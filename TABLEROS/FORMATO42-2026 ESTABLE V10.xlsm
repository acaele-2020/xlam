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bea8ee69d88449f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backupFile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caele\ACAELEVENTA\acaele\"/>
    </mc:Choice>
  </mc:AlternateContent>
  <xr:revisionPtr revIDLastSave="0" documentId="8_{66678F1F-F93E-47C5-9B9B-20913489F3A5}" xr6:coauthVersionLast="47" xr6:coauthVersionMax="47" xr10:uidLastSave="{00000000-0000-0000-0000-000000000000}"/>
  <bookViews>
    <workbookView xWindow="-7128" yWindow="-16308" windowWidth="29016" windowHeight="15696" tabRatio="799" activeTab="4" xr2:uid="{00000000-000D-0000-FFFF-FFFF00000000}"/>
  </bookViews>
  <sheets>
    <sheet name="Base de Datos" sheetId="17" r:id="rId1"/>
    <sheet name="TABLA" sheetId="18" r:id="rId2"/>
    <sheet name=" " sheetId="1" state="veryHidden" r:id="rId3"/>
    <sheet name="DATOS" sheetId="16" r:id="rId4"/>
    <sheet name="TABLERO" sheetId="2" r:id="rId5"/>
    <sheet name="CUADROACAD" sheetId="28" state="hidden" r:id="rId6"/>
    <sheet name="CUANTIFICACION" sheetId="19" r:id="rId7"/>
    <sheet name="DESTINO" sheetId="29" r:id="rId8"/>
    <sheet name="CAMBIOS" sheetId="30" r:id="rId9"/>
  </sheets>
  <externalReferences>
    <externalReference r:id="rId10"/>
  </externalReferences>
  <definedNames>
    <definedName name="_xleta.N" hidden="1" xlm="1">#NAME?</definedName>
    <definedName name="_xleta.OR" hidden="1" xlm="1">#NAME?</definedName>
    <definedName name="ACOMETIPO">TIPOACOMETIDA[tipoacometida]</definedName>
    <definedName name="agrupamiento">#REF!</definedName>
    <definedName name="agrupamiento2">#REF!</definedName>
    <definedName name="ALCANCE">#N/A</definedName>
    <definedName name="ALUMINIO">#REF!</definedName>
    <definedName name="aluminio2">#REF!</definedName>
    <definedName name="areacond">#REF!</definedName>
    <definedName name="areacond2">#REF!</definedName>
    <definedName name="CANALIZACIONTIPO">DATOS!$A$283:$A$286</definedName>
    <definedName name="CAPCONDALUM">' '!$B$120:$D$144</definedName>
    <definedName name="CAPCONDCOBRE">' '!$B$79:$D$107</definedName>
    <definedName name="CAPDECONDUCCION">' '!$B$79:$D$107</definedName>
    <definedName name="COBRE">#REF!</definedName>
    <definedName name="cobre2">#REF!</definedName>
    <definedName name="DERIVADOS">DATOS!$K$403:$K$450</definedName>
    <definedName name="derivados3">#REF!</definedName>
    <definedName name="DERIVADOSX">DERIVADOS2[DERIVADOS]</definedName>
    <definedName name="Desc_tipo_carga">Tabla4[[#Headers],[DESCRIPCION DEL TIPO DE CARGA]]</definedName>
    <definedName name="DIBTAB">Tabla2[DIBUJO EN EL TABLERO]</definedName>
    <definedName name="DR">#REF!</definedName>
    <definedName name="DR_2">#REF!</definedName>
    <definedName name="DUCTO">#REF!</definedName>
    <definedName name="DUCTO2">#REF!</definedName>
    <definedName name="FCA">' '!$D$53:$E$59</definedName>
    <definedName name="FCADUCTO">' '!$D$68:$E$70</definedName>
    <definedName name="FCATUBO">' '!$D$53:$E$59</definedName>
    <definedName name="FCTEMP">' '!$C$37:$F$45</definedName>
    <definedName name="interruptor">#REF!</definedName>
    <definedName name="INTERRUPTOR2">#REF!</definedName>
    <definedName name="MM2CONDUTOR">' '!$B$716:$C$732</definedName>
    <definedName name="nomenclaturacables">' '!$A$640:$B$659</definedName>
    <definedName name="seccioncobre">#REF!</definedName>
    <definedName name="TABLEROREFERENCIA">TABLERO!$B$31:$FM$115</definedName>
    <definedName name="taluminio">#REF!</definedName>
    <definedName name="TB31015_FCA">' '!$D$53:$E$59</definedName>
    <definedName name="tcobre">#REF!</definedName>
    <definedName name="temperatura">#REF!</definedName>
    <definedName name="TIERRAMC">' '!$N$495:$O$507</definedName>
    <definedName name="TIERRAPROTECCION">' '!$R$495:$T$508</definedName>
    <definedName name="TIERRATUBERIA">' '!$A$492:$C$520</definedName>
    <definedName name="TIPOCA">#REF!</definedName>
    <definedName name="TIPOCALCULO">DATOS!$A$292:$A$298</definedName>
    <definedName name="tipocana1">DATOS!$B$390:$B$396</definedName>
    <definedName name="TIPOCARGAX">TIPOCARGA2[TIPO DE CARGA]</definedName>
    <definedName name="TIPOTRAFO">DATOS!#REF!</definedName>
    <definedName name="trafostipos">tipotrafos2[[#All],[tipos]]</definedName>
    <definedName name="TUBO">#REF!</definedName>
  </definedNames>
  <calcPr calcId="191029"/>
  <pivotCaches>
    <pivotCache cacheId="0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C128" i="2" l="1"/>
  <c r="O128" i="2"/>
  <c r="N128" i="2"/>
  <c r="M128" i="2"/>
  <c r="FX127" i="2"/>
  <c r="FC127" i="2"/>
  <c r="I127" i="2"/>
  <c r="CC126" i="2"/>
  <c r="O126" i="2"/>
  <c r="N126" i="2"/>
  <c r="M126" i="2"/>
  <c r="FX125" i="2"/>
  <c r="FC125" i="2"/>
  <c r="CR125" i="2"/>
  <c r="I125" i="2"/>
  <c r="DB124" i="2"/>
  <c r="CR124" i="2"/>
  <c r="CC124" i="2"/>
  <c r="O124" i="2"/>
  <c r="N124" i="2"/>
  <c r="M124" i="2"/>
  <c r="FX123" i="2"/>
  <c r="EZ123" i="2"/>
  <c r="CR123" i="2"/>
  <c r="I123" i="2"/>
  <c r="CR122" i="2"/>
  <c r="CC122" i="2"/>
  <c r="O122" i="2"/>
  <c r="N122" i="2"/>
  <c r="M122" i="2"/>
  <c r="FX121" i="2"/>
  <c r="FC121" i="2"/>
  <c r="FB121" i="2"/>
  <c r="FA121" i="2"/>
  <c r="EZ121" i="2"/>
  <c r="EY121" i="2"/>
  <c r="EX121" i="2"/>
  <c r="EW121" i="2"/>
  <c r="CR121" i="2"/>
  <c r="I121" i="2"/>
  <c r="CR120" i="2"/>
  <c r="CC120" i="2"/>
  <c r="J120" i="2"/>
  <c r="CT120" i="2" s="1"/>
  <c r="G120" i="2"/>
  <c r="FC119" i="2"/>
  <c r="FB119" i="2"/>
  <c r="FA119" i="2"/>
  <c r="EZ119" i="2"/>
  <c r="EY119" i="2"/>
  <c r="EX119" i="2"/>
  <c r="EW119" i="2"/>
  <c r="CR119" i="2"/>
  <c r="I119" i="2"/>
  <c r="CR118" i="2"/>
  <c r="CC118" i="2"/>
  <c r="U118" i="2"/>
  <c r="O118" i="2"/>
  <c r="N118" i="2"/>
  <c r="M118" i="2"/>
  <c r="FC117" i="2"/>
  <c r="FB117" i="2"/>
  <c r="FA117" i="2"/>
  <c r="EZ117" i="2"/>
  <c r="EY117" i="2"/>
  <c r="EX117" i="2"/>
  <c r="EW117" i="2"/>
  <c r="CR117" i="2"/>
  <c r="I117" i="2"/>
  <c r="CZ116" i="2"/>
  <c r="CR116" i="2"/>
  <c r="CC116" i="2"/>
  <c r="BA116" i="2"/>
  <c r="AZ116" i="2"/>
  <c r="AY116" i="2"/>
  <c r="AX116" i="2"/>
  <c r="AW116" i="2"/>
  <c r="AV116" i="2"/>
  <c r="AU116" i="2"/>
  <c r="AT116" i="2"/>
  <c r="AS116" i="2"/>
  <c r="AR116" i="2"/>
  <c r="AQ116" i="2"/>
  <c r="AP116" i="2"/>
  <c r="AO116" i="2"/>
  <c r="AN116" i="2"/>
  <c r="AM116" i="2"/>
  <c r="AL116" i="2"/>
  <c r="AK116" i="2"/>
  <c r="AJ116" i="2"/>
  <c r="AI116" i="2"/>
  <c r="AH116" i="2"/>
  <c r="AG116" i="2"/>
  <c r="AF116" i="2"/>
  <c r="AE116" i="2"/>
  <c r="AD116" i="2"/>
  <c r="AC116" i="2"/>
  <c r="AB116" i="2"/>
  <c r="AA116" i="2"/>
  <c r="Z116" i="2"/>
  <c r="Y116" i="2"/>
  <c r="X116" i="2"/>
  <c r="FX114" i="2"/>
  <c r="EM114" i="2"/>
  <c r="EL114" i="2"/>
  <c r="EK114" i="2"/>
  <c r="EJ114" i="2"/>
  <c r="EB114" i="2" a="1"/>
  <c r="EB114" i="2" s="1"/>
  <c r="DZ114" i="2"/>
  <c r="DZ114" i="2" a="1"/>
  <c r="DY114" i="2" a="1"/>
  <c r="DY114" i="2" s="1"/>
  <c r="DX114" i="2"/>
  <c r="DX114" i="2" a="1"/>
  <c r="DW114" i="2"/>
  <c r="DW114" i="2" a="1"/>
  <c r="DV114" i="2" a="1"/>
  <c r="DV114" i="2" s="1"/>
  <c r="CC114" i="2" s="1"/>
  <c r="EE114" i="2" s="1"/>
  <c r="DJ114" i="2" a="1"/>
  <c r="DJ114" i="2" s="1"/>
  <c r="DI114" i="2" a="1"/>
  <c r="DI114" i="2" s="1"/>
  <c r="CU114" i="2"/>
  <c r="CT114" i="2"/>
  <c r="CR114" i="2"/>
  <c r="W114" i="2"/>
  <c r="G114" i="2"/>
  <c r="D114" i="2"/>
  <c r="C114" i="2"/>
  <c r="FX113" i="2"/>
  <c r="EM113" i="2"/>
  <c r="EL113" i="2"/>
  <c r="EK113" i="2"/>
  <c r="EJ113" i="2"/>
  <c r="EB113" i="2"/>
  <c r="EB113" i="2" a="1"/>
  <c r="DZ113" i="2"/>
  <c r="DZ113" i="2" a="1"/>
  <c r="DY113" i="2" a="1"/>
  <c r="DY113" i="2" s="1"/>
  <c r="DX113" i="2"/>
  <c r="DX113" i="2" a="1"/>
  <c r="DW113" i="2" a="1"/>
  <c r="DW113" i="2" s="1"/>
  <c r="DV113" i="2"/>
  <c r="DV113" i="2" a="1"/>
  <c r="DJ113" i="2"/>
  <c r="DJ113" i="2" a="1"/>
  <c r="DI113" i="2" a="1"/>
  <c r="DI113" i="2" s="1"/>
  <c r="CU113" i="2"/>
  <c r="CT113" i="2"/>
  <c r="CR113" i="2"/>
  <c r="CC113" i="2"/>
  <c r="EE113" i="2" s="1"/>
  <c r="W113" i="2"/>
  <c r="G113" i="2"/>
  <c r="D113" i="2"/>
  <c r="C113" i="2"/>
  <c r="FX112" i="2"/>
  <c r="EM112" i="2"/>
  <c r="EL112" i="2"/>
  <c r="EK112" i="2"/>
  <c r="EJ112" i="2"/>
  <c r="EB112" i="2"/>
  <c r="EB112" i="2" a="1"/>
  <c r="DZ112" i="2" a="1"/>
  <c r="DZ112" i="2" s="1"/>
  <c r="DY112" i="2"/>
  <c r="DY112" i="2" a="1"/>
  <c r="DX112" i="2"/>
  <c r="DX112" i="2" a="1"/>
  <c r="DW112" i="2" a="1"/>
  <c r="DW112" i="2" s="1"/>
  <c r="DV112" i="2" a="1"/>
  <c r="DV112" i="2" s="1"/>
  <c r="CC112" i="2" s="1"/>
  <c r="EE112" i="2" s="1"/>
  <c r="DJ112" i="2" a="1"/>
  <c r="DJ112" i="2" s="1"/>
  <c r="DI112" i="2"/>
  <c r="DI112" i="2" a="1"/>
  <c r="CU112" i="2"/>
  <c r="CT112" i="2"/>
  <c r="CR112" i="2"/>
  <c r="W112" i="2"/>
  <c r="G112" i="2"/>
  <c r="D112" i="2"/>
  <c r="C112" i="2"/>
  <c r="FX111" i="2"/>
  <c r="EM111" i="2"/>
  <c r="EL111" i="2"/>
  <c r="EK111" i="2"/>
  <c r="EJ111" i="2"/>
  <c r="EB111" i="2" a="1"/>
  <c r="EB111" i="2" s="1"/>
  <c r="DZ111" i="2" a="1"/>
  <c r="DZ111" i="2" s="1"/>
  <c r="DY111" i="2"/>
  <c r="DY111" i="2" a="1"/>
  <c r="DX111" i="2" a="1"/>
  <c r="DX111" i="2" s="1"/>
  <c r="DW111" i="2"/>
  <c r="DW111" i="2" a="1"/>
  <c r="DV111" i="2" a="1"/>
  <c r="DV111" i="2" s="1"/>
  <c r="DJ111" i="2" a="1"/>
  <c r="DJ111" i="2" s="1"/>
  <c r="DI111" i="2"/>
  <c r="DI111" i="2" a="1"/>
  <c r="CU111" i="2"/>
  <c r="CT111" i="2"/>
  <c r="CR111" i="2"/>
  <c r="CC111" i="2"/>
  <c r="EE111" i="2" s="1"/>
  <c r="W111" i="2"/>
  <c r="G111" i="2"/>
  <c r="D111" i="2"/>
  <c r="C111" i="2"/>
  <c r="FX110" i="2"/>
  <c r="EM110" i="2"/>
  <c r="EL110" i="2"/>
  <c r="EK110" i="2"/>
  <c r="EJ110" i="2"/>
  <c r="EB110" i="2"/>
  <c r="EB110" i="2" a="1"/>
  <c r="DZ110" i="2" a="1"/>
  <c r="DZ110" i="2" s="1"/>
  <c r="DY110" i="2"/>
  <c r="DY110" i="2" a="1"/>
  <c r="DX110" i="2"/>
  <c r="DX110" i="2" a="1"/>
  <c r="DW110" i="2" a="1"/>
  <c r="DW110" i="2" s="1"/>
  <c r="DV110" i="2" a="1"/>
  <c r="DV110" i="2" s="1"/>
  <c r="CC110" i="2" s="1"/>
  <c r="EE110" i="2" s="1"/>
  <c r="DJ110" i="2" a="1"/>
  <c r="DJ110" i="2" s="1"/>
  <c r="DI110" i="2"/>
  <c r="DI110" i="2" a="1"/>
  <c r="CU110" i="2"/>
  <c r="CT110" i="2"/>
  <c r="CR110" i="2"/>
  <c r="W110" i="2"/>
  <c r="G110" i="2"/>
  <c r="D110" i="2"/>
  <c r="C110" i="2"/>
  <c r="FX109" i="2"/>
  <c r="EM109" i="2"/>
  <c r="EL109" i="2"/>
  <c r="EK109" i="2"/>
  <c r="EJ109" i="2"/>
  <c r="EB109" i="2"/>
  <c r="EB109" i="2" a="1"/>
  <c r="DZ109" i="2" a="1"/>
  <c r="DZ109" i="2" s="1"/>
  <c r="DY109" i="2"/>
  <c r="DY109" i="2" a="1"/>
  <c r="DX109" i="2"/>
  <c r="DX109" i="2" a="1"/>
  <c r="DW109" i="2"/>
  <c r="DW109" i="2" a="1"/>
  <c r="DV109" i="2" a="1"/>
  <c r="DV109" i="2" s="1"/>
  <c r="CC109" i="2" s="1"/>
  <c r="EE109" i="2" s="1"/>
  <c r="DJ109" i="2" a="1"/>
  <c r="DJ109" i="2" s="1"/>
  <c r="DI109" i="2" a="1"/>
  <c r="DI109" i="2" s="1"/>
  <c r="CU109" i="2"/>
  <c r="CT109" i="2"/>
  <c r="CR109" i="2"/>
  <c r="W109" i="2"/>
  <c r="G109" i="2"/>
  <c r="D109" i="2"/>
  <c r="C109" i="2"/>
  <c r="FX108" i="2"/>
  <c r="EM108" i="2"/>
  <c r="EL108" i="2"/>
  <c r="EK108" i="2"/>
  <c r="EJ108" i="2"/>
  <c r="EB108" i="2"/>
  <c r="EB108" i="2" a="1"/>
  <c r="DZ108" i="2"/>
  <c r="DZ108" i="2" a="1"/>
  <c r="DY108" i="2" a="1"/>
  <c r="DY108" i="2" s="1"/>
  <c r="DX108" i="2"/>
  <c r="DX108" i="2" a="1"/>
  <c r="DW108" i="2"/>
  <c r="DW108" i="2" a="1"/>
  <c r="DV108" i="2"/>
  <c r="DV108" i="2" a="1"/>
  <c r="DJ108" i="2" a="1"/>
  <c r="DJ108" i="2" s="1"/>
  <c r="DI108" i="2" a="1"/>
  <c r="DI108" i="2" s="1"/>
  <c r="CU108" i="2"/>
  <c r="CT108" i="2"/>
  <c r="CR108" i="2"/>
  <c r="CC108" i="2"/>
  <c r="EE108" i="2" s="1"/>
  <c r="W108" i="2"/>
  <c r="G108" i="2"/>
  <c r="D108" i="2"/>
  <c r="C108" i="2"/>
  <c r="FX107" i="2"/>
  <c r="EM107" i="2"/>
  <c r="EL107" i="2"/>
  <c r="EK107" i="2"/>
  <c r="EJ107" i="2"/>
  <c r="EB107" i="2"/>
  <c r="EB107" i="2" a="1"/>
  <c r="DZ107" i="2"/>
  <c r="DZ107" i="2" a="1"/>
  <c r="DY107" i="2" a="1"/>
  <c r="DY107" i="2" s="1"/>
  <c r="DX107" i="2"/>
  <c r="DX107" i="2" a="1"/>
  <c r="DW107" i="2" a="1"/>
  <c r="DW107" i="2" s="1"/>
  <c r="DV107" i="2" a="1"/>
  <c r="DV107" i="2" s="1"/>
  <c r="CC107" i="2" s="1"/>
  <c r="EE107" i="2" s="1"/>
  <c r="DJ107" i="2" a="1"/>
  <c r="DJ107" i="2" s="1"/>
  <c r="DI107" i="2" a="1"/>
  <c r="DI107" i="2" s="1"/>
  <c r="CU107" i="2"/>
  <c r="CT107" i="2"/>
  <c r="CR107" i="2"/>
  <c r="W107" i="2"/>
  <c r="G107" i="2"/>
  <c r="D107" i="2"/>
  <c r="C107" i="2"/>
  <c r="FX106" i="2"/>
  <c r="EM106" i="2"/>
  <c r="EL106" i="2"/>
  <c r="EK106" i="2"/>
  <c r="EJ106" i="2"/>
  <c r="EB106" i="2" a="1"/>
  <c r="EB106" i="2" s="1"/>
  <c r="DZ106" i="2"/>
  <c r="DZ106" i="2" a="1"/>
  <c r="DY106" i="2"/>
  <c r="DY106" i="2" a="1"/>
  <c r="DX106" i="2" a="1"/>
  <c r="DX106" i="2" s="1"/>
  <c r="DW106" i="2"/>
  <c r="DW106" i="2" a="1"/>
  <c r="DV106" i="2"/>
  <c r="CC106" i="2" s="1"/>
  <c r="EE106" i="2" s="1"/>
  <c r="DV106" i="2" a="1"/>
  <c r="DJ106" i="2" a="1"/>
  <c r="DJ106" i="2" s="1"/>
  <c r="DI106" i="2" a="1"/>
  <c r="DI106" i="2" s="1"/>
  <c r="CU106" i="2"/>
  <c r="CT106" i="2"/>
  <c r="CR106" i="2"/>
  <c r="W106" i="2"/>
  <c r="G106" i="2"/>
  <c r="D106" i="2"/>
  <c r="C106" i="2"/>
  <c r="FX105" i="2"/>
  <c r="EM105" i="2"/>
  <c r="EL105" i="2"/>
  <c r="EK105" i="2"/>
  <c r="EJ105" i="2"/>
  <c r="EB105" i="2" a="1"/>
  <c r="EB105" i="2" s="1"/>
  <c r="DZ105" i="2" a="1"/>
  <c r="DZ105" i="2" s="1"/>
  <c r="DY105" i="2" a="1"/>
  <c r="DY105" i="2" s="1"/>
  <c r="DX105" i="2" a="1"/>
  <c r="DX105" i="2" s="1"/>
  <c r="DW105" i="2" a="1"/>
  <c r="DW105" i="2" s="1"/>
  <c r="DV105" i="2" a="1"/>
  <c r="DV105" i="2" s="1"/>
  <c r="CC105" i="2" s="1"/>
  <c r="EE105" i="2" s="1"/>
  <c r="DJ105" i="2" a="1"/>
  <c r="DJ105" i="2" s="1"/>
  <c r="DI105" i="2" a="1"/>
  <c r="DI105" i="2" s="1"/>
  <c r="CU105" i="2"/>
  <c r="CT105" i="2"/>
  <c r="CR105" i="2"/>
  <c r="W105" i="2"/>
  <c r="G105" i="2"/>
  <c r="D105" i="2"/>
  <c r="C105" i="2"/>
  <c r="FX104" i="2"/>
  <c r="EM104" i="2"/>
  <c r="EL104" i="2"/>
  <c r="EK104" i="2"/>
  <c r="EJ104" i="2"/>
  <c r="EB104" i="2"/>
  <c r="EB104" i="2" a="1"/>
  <c r="DZ104" i="2"/>
  <c r="DZ104" i="2" a="1"/>
  <c r="DY104" i="2"/>
  <c r="DY104" i="2" a="1"/>
  <c r="DX104" i="2"/>
  <c r="DX104" i="2" a="1"/>
  <c r="DW104" i="2" a="1"/>
  <c r="DW104" i="2" s="1"/>
  <c r="DV104" i="2"/>
  <c r="DV104" i="2" a="1"/>
  <c r="DJ104" i="2"/>
  <c r="DJ104" i="2" a="1"/>
  <c r="DI104" i="2"/>
  <c r="DI104" i="2" a="1"/>
  <c r="CU104" i="2"/>
  <c r="CT104" i="2"/>
  <c r="CR104" i="2"/>
  <c r="CC104" i="2"/>
  <c r="EE104" i="2" s="1"/>
  <c r="W104" i="2"/>
  <c r="G104" i="2"/>
  <c r="D104" i="2"/>
  <c r="C104" i="2"/>
  <c r="FX103" i="2"/>
  <c r="EM103" i="2"/>
  <c r="EL103" i="2"/>
  <c r="EK103" i="2"/>
  <c r="EJ103" i="2"/>
  <c r="EB103" i="2"/>
  <c r="EB103" i="2" a="1"/>
  <c r="DZ103" i="2"/>
  <c r="DZ103" i="2" a="1"/>
  <c r="DY103" i="2" a="1"/>
  <c r="DY103" i="2" s="1"/>
  <c r="DX103" i="2"/>
  <c r="DX103" i="2" a="1"/>
  <c r="DW103" i="2" a="1"/>
  <c r="DW103" i="2" s="1"/>
  <c r="DV103" i="2"/>
  <c r="CC103" i="2" s="1"/>
  <c r="EE103" i="2" s="1"/>
  <c r="DV103" i="2" a="1"/>
  <c r="DJ103" i="2"/>
  <c r="DJ103" i="2" a="1"/>
  <c r="DI103" i="2" a="1"/>
  <c r="DI103" i="2" s="1"/>
  <c r="CU103" i="2"/>
  <c r="CT103" i="2"/>
  <c r="CR103" i="2"/>
  <c r="W103" i="2"/>
  <c r="G103" i="2"/>
  <c r="D103" i="2"/>
  <c r="C103" i="2"/>
  <c r="FX102" i="2"/>
  <c r="EM102" i="2"/>
  <c r="EL102" i="2"/>
  <c r="EK102" i="2"/>
  <c r="EJ102" i="2"/>
  <c r="EB102" i="2"/>
  <c r="EB102" i="2" a="1"/>
  <c r="DZ102" i="2" a="1"/>
  <c r="DZ102" i="2" s="1"/>
  <c r="DY102" i="2"/>
  <c r="DY102" i="2" a="1"/>
  <c r="DX102" i="2" a="1"/>
  <c r="DX102" i="2" s="1"/>
  <c r="DW102" i="2"/>
  <c r="DW102" i="2" a="1"/>
  <c r="DV102" i="2" a="1"/>
  <c r="DV102" i="2" s="1"/>
  <c r="DJ102" i="2" a="1"/>
  <c r="DJ102" i="2" s="1"/>
  <c r="DI102" i="2"/>
  <c r="DI102" i="2" a="1"/>
  <c r="CU102" i="2"/>
  <c r="CT102" i="2"/>
  <c r="CR102" i="2"/>
  <c r="CC102" i="2"/>
  <c r="EE102" i="2" s="1"/>
  <c r="W102" i="2"/>
  <c r="G102" i="2"/>
  <c r="D102" i="2"/>
  <c r="C102" i="2"/>
  <c r="FX101" i="2"/>
  <c r="EM101" i="2"/>
  <c r="EL101" i="2"/>
  <c r="EK101" i="2"/>
  <c r="EJ101" i="2"/>
  <c r="EB101" i="2"/>
  <c r="EB101" i="2" a="1"/>
  <c r="DZ101" i="2"/>
  <c r="DZ101" i="2" a="1"/>
  <c r="DY101" i="2"/>
  <c r="DY101" i="2" a="1"/>
  <c r="DX101" i="2"/>
  <c r="DX101" i="2" a="1"/>
  <c r="DW101" i="2" a="1"/>
  <c r="DW101" i="2" s="1"/>
  <c r="DV101" i="2"/>
  <c r="CC101" i="2" s="1"/>
  <c r="EE101" i="2" s="1"/>
  <c r="DV101" i="2" a="1"/>
  <c r="DJ101" i="2"/>
  <c r="DJ101" i="2" a="1"/>
  <c r="DI101" i="2"/>
  <c r="DI101" i="2" a="1"/>
  <c r="CU101" i="2"/>
  <c r="CT101" i="2"/>
  <c r="CR101" i="2"/>
  <c r="W101" i="2"/>
  <c r="G101" i="2"/>
  <c r="D101" i="2"/>
  <c r="C101" i="2"/>
  <c r="FX100" i="2"/>
  <c r="EM100" i="2"/>
  <c r="EL100" i="2"/>
  <c r="EK100" i="2"/>
  <c r="EJ100" i="2"/>
  <c r="EB100" i="2"/>
  <c r="EB100" i="2" a="1"/>
  <c r="DZ100" i="2" a="1"/>
  <c r="DZ100" i="2" s="1"/>
  <c r="DY100" i="2"/>
  <c r="DY100" i="2" a="1"/>
  <c r="DX100" i="2"/>
  <c r="DX100" i="2" a="1"/>
  <c r="DW100" i="2"/>
  <c r="DW100" i="2" a="1"/>
  <c r="DV100" i="2" a="1"/>
  <c r="DV100" i="2" s="1"/>
  <c r="CC100" i="2" s="1"/>
  <c r="EE100" i="2" s="1"/>
  <c r="DJ100" i="2" a="1"/>
  <c r="DJ100" i="2" s="1"/>
  <c r="DI100" i="2"/>
  <c r="DI100" i="2" a="1"/>
  <c r="CU100" i="2"/>
  <c r="CT100" i="2"/>
  <c r="CR100" i="2"/>
  <c r="W100" i="2"/>
  <c r="G100" i="2"/>
  <c r="D100" i="2"/>
  <c r="C100" i="2"/>
  <c r="FX99" i="2"/>
  <c r="EM99" i="2"/>
  <c r="EL99" i="2"/>
  <c r="EK99" i="2"/>
  <c r="EJ99" i="2"/>
  <c r="EB99" i="2"/>
  <c r="EB99" i="2" a="1"/>
  <c r="DZ99" i="2" a="1"/>
  <c r="DZ99" i="2" s="1"/>
  <c r="DY99" i="2"/>
  <c r="DY99" i="2" a="1"/>
  <c r="DX99" i="2"/>
  <c r="DX99" i="2" a="1"/>
  <c r="DW99" i="2"/>
  <c r="DW99" i="2" a="1"/>
  <c r="DV99" i="2" a="1"/>
  <c r="DV99" i="2" s="1"/>
  <c r="DJ99" i="2" a="1"/>
  <c r="DJ99" i="2" s="1"/>
  <c r="DI99" i="2" a="1"/>
  <c r="DI99" i="2" s="1"/>
  <c r="CU99" i="2"/>
  <c r="CT99" i="2"/>
  <c r="CR99" i="2"/>
  <c r="CC99" i="2"/>
  <c r="EE99" i="2" s="1"/>
  <c r="W99" i="2"/>
  <c r="G99" i="2"/>
  <c r="D99" i="2"/>
  <c r="C99" i="2"/>
  <c r="FX98" i="2"/>
  <c r="EM98" i="2"/>
  <c r="EL98" i="2"/>
  <c r="EK98" i="2"/>
  <c r="EJ98" i="2"/>
  <c r="EB98" i="2"/>
  <c r="EB98" i="2" a="1"/>
  <c r="DZ98" i="2"/>
  <c r="DZ98" i="2" a="1"/>
  <c r="DY98" i="2"/>
  <c r="DY98" i="2" a="1"/>
  <c r="DX98" i="2"/>
  <c r="DX98" i="2" a="1"/>
  <c r="DW98" i="2" a="1"/>
  <c r="DW98" i="2" s="1"/>
  <c r="DV98" i="2"/>
  <c r="DV98" i="2" a="1"/>
  <c r="DJ98" i="2" a="1"/>
  <c r="DJ98" i="2" s="1"/>
  <c r="DI98" i="2" a="1"/>
  <c r="DI98" i="2" s="1"/>
  <c r="CU98" i="2"/>
  <c r="CT98" i="2"/>
  <c r="CR98" i="2"/>
  <c r="CC98" i="2"/>
  <c r="EE98" i="2" s="1"/>
  <c r="W98" i="2"/>
  <c r="G98" i="2"/>
  <c r="D98" i="2"/>
  <c r="C98" i="2"/>
  <c r="FX97" i="2"/>
  <c r="EM97" i="2"/>
  <c r="EL97" i="2"/>
  <c r="EK97" i="2"/>
  <c r="EJ97" i="2"/>
  <c r="EB97" i="2" a="1"/>
  <c r="EB97" i="2" s="1"/>
  <c r="DZ97" i="2"/>
  <c r="DZ97" i="2" a="1"/>
  <c r="DY97" i="2" a="1"/>
  <c r="DY97" i="2" s="1"/>
  <c r="DX97" i="2" a="1"/>
  <c r="DX97" i="2" s="1"/>
  <c r="DW97" i="2" a="1"/>
  <c r="DW97" i="2" s="1"/>
  <c r="DV97" i="2"/>
  <c r="DV97" i="2" a="1"/>
  <c r="DJ97" i="2" a="1"/>
  <c r="DJ97" i="2" s="1"/>
  <c r="DI97" i="2" a="1"/>
  <c r="DI97" i="2" s="1"/>
  <c r="CU97" i="2"/>
  <c r="CT97" i="2"/>
  <c r="CR97" i="2"/>
  <c r="CC97" i="2"/>
  <c r="EE97" i="2" s="1"/>
  <c r="W97" i="2"/>
  <c r="G97" i="2"/>
  <c r="D97" i="2"/>
  <c r="C97" i="2"/>
  <c r="FX96" i="2"/>
  <c r="EM96" i="2"/>
  <c r="EL96" i="2"/>
  <c r="EK96" i="2"/>
  <c r="EJ96" i="2"/>
  <c r="EB96" i="2"/>
  <c r="EB96" i="2" a="1"/>
  <c r="DZ96" i="2"/>
  <c r="DZ96" i="2" a="1"/>
  <c r="DY96" i="2"/>
  <c r="DY96" i="2" a="1"/>
  <c r="DX96" i="2"/>
  <c r="DX96" i="2" a="1"/>
  <c r="DW96" i="2"/>
  <c r="DW96" i="2" a="1"/>
  <c r="DV96" i="2"/>
  <c r="CC96" i="2" s="1"/>
  <c r="EE96" i="2" s="1"/>
  <c r="DV96" i="2" a="1"/>
  <c r="DJ96" i="2"/>
  <c r="DJ96" i="2" a="1"/>
  <c r="DI96" i="2"/>
  <c r="DI96" i="2" a="1"/>
  <c r="CU96" i="2"/>
  <c r="CT96" i="2"/>
  <c r="CR96" i="2"/>
  <c r="W96" i="2"/>
  <c r="G96" i="2"/>
  <c r="D96" i="2"/>
  <c r="C96" i="2"/>
  <c r="FX95" i="2"/>
  <c r="EM95" i="2"/>
  <c r="EL95" i="2"/>
  <c r="EK95" i="2"/>
  <c r="EJ95" i="2"/>
  <c r="EB95" i="2" a="1"/>
  <c r="EB95" i="2" s="1"/>
  <c r="DZ95" i="2" a="1"/>
  <c r="DZ95" i="2" s="1"/>
  <c r="DY95" i="2"/>
  <c r="DY95" i="2" a="1"/>
  <c r="DX95" i="2" a="1"/>
  <c r="DX95" i="2" s="1"/>
  <c r="DW95" i="2" a="1"/>
  <c r="DW95" i="2" s="1"/>
  <c r="DV95" i="2" a="1"/>
  <c r="DV95" i="2" s="1"/>
  <c r="CC95" i="2" s="1"/>
  <c r="EE95" i="2" s="1"/>
  <c r="DJ95" i="2" a="1"/>
  <c r="DJ95" i="2" s="1"/>
  <c r="DI95" i="2"/>
  <c r="DI95" i="2" a="1"/>
  <c r="CU95" i="2"/>
  <c r="CT95" i="2"/>
  <c r="CR95" i="2"/>
  <c r="W95" i="2"/>
  <c r="G95" i="2"/>
  <c r="D95" i="2"/>
  <c r="C95" i="2"/>
  <c r="FX94" i="2"/>
  <c r="EM94" i="2"/>
  <c r="EL94" i="2"/>
  <c r="EK94" i="2"/>
  <c r="EJ94" i="2"/>
  <c r="EB94" i="2"/>
  <c r="EB94" i="2" a="1"/>
  <c r="DZ94" i="2" a="1"/>
  <c r="DZ94" i="2" s="1"/>
  <c r="DY94" i="2"/>
  <c r="DY94" i="2" a="1"/>
  <c r="DX94" i="2"/>
  <c r="DX94" i="2" a="1"/>
  <c r="DW94" i="2"/>
  <c r="DW94" i="2" a="1"/>
  <c r="DV94" i="2" a="1"/>
  <c r="DV94" i="2" s="1"/>
  <c r="CC94" i="2" s="1"/>
  <c r="EE94" i="2" s="1"/>
  <c r="DJ94" i="2" a="1"/>
  <c r="DJ94" i="2" s="1"/>
  <c r="DI94" i="2"/>
  <c r="DI94" i="2" a="1"/>
  <c r="CU94" i="2"/>
  <c r="CT94" i="2"/>
  <c r="CR94" i="2"/>
  <c r="W94" i="2"/>
  <c r="G94" i="2"/>
  <c r="D94" i="2"/>
  <c r="C94" i="2"/>
  <c r="FX93" i="2"/>
  <c r="EM93" i="2"/>
  <c r="EL93" i="2"/>
  <c r="EK93" i="2"/>
  <c r="EJ93" i="2"/>
  <c r="EB93" i="2"/>
  <c r="EB93" i="2" a="1"/>
  <c r="DZ93" i="2" a="1"/>
  <c r="DZ93" i="2" s="1"/>
  <c r="DY93" i="2" a="1"/>
  <c r="DY93" i="2" s="1"/>
  <c r="DX93" i="2"/>
  <c r="DX93" i="2" a="1"/>
  <c r="DW93" i="2" a="1"/>
  <c r="DW93" i="2" s="1"/>
  <c r="DV93" i="2" a="1"/>
  <c r="DV93" i="2" s="1"/>
  <c r="DJ93" i="2" a="1"/>
  <c r="DJ93" i="2" s="1"/>
  <c r="DI93" i="2" a="1"/>
  <c r="DI93" i="2" s="1"/>
  <c r="CU93" i="2"/>
  <c r="CT93" i="2"/>
  <c r="CR93" i="2"/>
  <c r="CC93" i="2"/>
  <c r="EE93" i="2" s="1"/>
  <c r="W93" i="2"/>
  <c r="G93" i="2"/>
  <c r="D93" i="2"/>
  <c r="C93" i="2"/>
  <c r="FX92" i="2"/>
  <c r="EM92" i="2"/>
  <c r="EL92" i="2"/>
  <c r="EK92" i="2"/>
  <c r="EJ92" i="2"/>
  <c r="EB92" i="2"/>
  <c r="EB92" i="2" a="1"/>
  <c r="DZ92" i="2"/>
  <c r="DZ92" i="2" a="1"/>
  <c r="DY92" i="2" a="1"/>
  <c r="DY92" i="2" s="1"/>
  <c r="DX92" i="2"/>
  <c r="DX92" i="2" a="1"/>
  <c r="DW92" i="2"/>
  <c r="DW92" i="2" a="1"/>
  <c r="DV92" i="2"/>
  <c r="CC92" i="2" s="1"/>
  <c r="EE92" i="2" s="1"/>
  <c r="DV92" i="2" a="1"/>
  <c r="DJ92" i="2"/>
  <c r="DJ92" i="2" a="1"/>
  <c r="DI92" i="2" a="1"/>
  <c r="DI92" i="2" s="1"/>
  <c r="CU92" i="2"/>
  <c r="CT92" i="2"/>
  <c r="CR92" i="2"/>
  <c r="W92" i="2"/>
  <c r="G92" i="2"/>
  <c r="D92" i="2"/>
  <c r="C92" i="2"/>
  <c r="FX91" i="2"/>
  <c r="EM91" i="2"/>
  <c r="EL91" i="2"/>
  <c r="EK91" i="2"/>
  <c r="EJ91" i="2"/>
  <c r="EB91" i="2" a="1"/>
  <c r="EB91" i="2" s="1"/>
  <c r="DZ91" i="2" a="1"/>
  <c r="DZ91" i="2" s="1"/>
  <c r="DY91" i="2" a="1"/>
  <c r="DY91" i="2" s="1"/>
  <c r="DX91" i="2" a="1"/>
  <c r="DX91" i="2" s="1"/>
  <c r="DW91" i="2"/>
  <c r="DW91" i="2" a="1"/>
  <c r="DV91" i="2" a="1"/>
  <c r="DV91" i="2" s="1"/>
  <c r="DJ91" i="2" a="1"/>
  <c r="DJ91" i="2" s="1"/>
  <c r="DI91" i="2" a="1"/>
  <c r="DI91" i="2" s="1"/>
  <c r="CU91" i="2"/>
  <c r="CT91" i="2"/>
  <c r="CR91" i="2"/>
  <c r="CC91" i="2"/>
  <c r="EE91" i="2" s="1"/>
  <c r="W91" i="2"/>
  <c r="G91" i="2"/>
  <c r="D91" i="2"/>
  <c r="C91" i="2"/>
  <c r="FX90" i="2"/>
  <c r="EM90" i="2"/>
  <c r="EL90" i="2"/>
  <c r="EK90" i="2"/>
  <c r="EJ90" i="2"/>
  <c r="EB90" i="2"/>
  <c r="EB90" i="2" a="1"/>
  <c r="DZ90" i="2"/>
  <c r="DZ90" i="2" a="1"/>
  <c r="DY90" i="2" a="1"/>
  <c r="DY90" i="2" s="1"/>
  <c r="DX90" i="2"/>
  <c r="DX90" i="2" a="1"/>
  <c r="DW90" i="2"/>
  <c r="DW90" i="2" a="1"/>
  <c r="DV90" i="2"/>
  <c r="CC90" i="2" s="1"/>
  <c r="EE90" i="2" s="1"/>
  <c r="DV90" i="2" a="1"/>
  <c r="DJ90" i="2"/>
  <c r="DJ90" i="2" a="1"/>
  <c r="DI90" i="2" a="1"/>
  <c r="DI90" i="2" s="1"/>
  <c r="CU90" i="2"/>
  <c r="CT90" i="2"/>
  <c r="CR90" i="2"/>
  <c r="W90" i="2"/>
  <c r="G90" i="2"/>
  <c r="D90" i="2"/>
  <c r="C90" i="2"/>
  <c r="FX89" i="2"/>
  <c r="EM89" i="2"/>
  <c r="EL89" i="2"/>
  <c r="EK89" i="2"/>
  <c r="EJ89" i="2"/>
  <c r="EB89" i="2" a="1"/>
  <c r="EB89" i="2" s="1"/>
  <c r="DZ89" i="2" a="1"/>
  <c r="DZ89" i="2" s="1"/>
  <c r="DY89" i="2" a="1"/>
  <c r="DY89" i="2" s="1"/>
  <c r="DX89" i="2" a="1"/>
  <c r="DX89" i="2" s="1"/>
  <c r="DW89" i="2" a="1"/>
  <c r="DW89" i="2" s="1"/>
  <c r="DV89" i="2" a="1"/>
  <c r="DV89" i="2" s="1"/>
  <c r="DJ89" i="2" a="1"/>
  <c r="DJ89" i="2" s="1"/>
  <c r="DI89" i="2" a="1"/>
  <c r="DI89" i="2" s="1"/>
  <c r="CU89" i="2"/>
  <c r="CT89" i="2"/>
  <c r="CR89" i="2"/>
  <c r="CC89" i="2"/>
  <c r="EE89" i="2" s="1"/>
  <c r="W89" i="2"/>
  <c r="G89" i="2"/>
  <c r="D89" i="2"/>
  <c r="C89" i="2"/>
  <c r="FX88" i="2"/>
  <c r="EM88" i="2"/>
  <c r="EL88" i="2"/>
  <c r="EK88" i="2"/>
  <c r="EJ88" i="2"/>
  <c r="EB88" i="2"/>
  <c r="EB88" i="2" a="1"/>
  <c r="DZ88" i="2"/>
  <c r="DZ88" i="2" a="1"/>
  <c r="DY88" i="2"/>
  <c r="DY88" i="2" a="1"/>
  <c r="DX88" i="2"/>
  <c r="DX88" i="2" a="1"/>
  <c r="DW88" i="2"/>
  <c r="DW88" i="2" a="1"/>
  <c r="DV88" i="2"/>
  <c r="CC88" i="2" s="1"/>
  <c r="EE88" i="2" s="1"/>
  <c r="DV88" i="2" a="1"/>
  <c r="DJ88" i="2"/>
  <c r="DJ88" i="2" a="1"/>
  <c r="DI88" i="2"/>
  <c r="DI88" i="2" a="1"/>
  <c r="CU88" i="2"/>
  <c r="CT88" i="2"/>
  <c r="CR88" i="2"/>
  <c r="W88" i="2"/>
  <c r="G88" i="2"/>
  <c r="D88" i="2"/>
  <c r="C88" i="2"/>
  <c r="FX87" i="2"/>
  <c r="EM87" i="2"/>
  <c r="EL87" i="2"/>
  <c r="EK87" i="2"/>
  <c r="EJ87" i="2"/>
  <c r="EB87" i="2" a="1"/>
  <c r="EB87" i="2" s="1"/>
  <c r="DZ87" i="2" a="1"/>
  <c r="DZ87" i="2" s="1"/>
  <c r="DY87" i="2" a="1"/>
  <c r="DY87" i="2" s="1"/>
  <c r="DX87" i="2" a="1"/>
  <c r="DX87" i="2" s="1"/>
  <c r="DW87" i="2" a="1"/>
  <c r="DW87" i="2" s="1"/>
  <c r="DV87" i="2" a="1"/>
  <c r="DV87" i="2" s="1"/>
  <c r="CC87" i="2" s="1"/>
  <c r="EE87" i="2" s="1"/>
  <c r="DJ87" i="2" a="1"/>
  <c r="DJ87" i="2" s="1"/>
  <c r="DI87" i="2" a="1"/>
  <c r="DI87" i="2" s="1"/>
  <c r="CU87" i="2"/>
  <c r="CT87" i="2"/>
  <c r="CR87" i="2"/>
  <c r="W87" i="2"/>
  <c r="G87" i="2"/>
  <c r="D87" i="2"/>
  <c r="C87" i="2"/>
  <c r="FX86" i="2"/>
  <c r="EM86" i="2"/>
  <c r="EL86" i="2"/>
  <c r="EK86" i="2"/>
  <c r="EJ86" i="2"/>
  <c r="EB86" i="2"/>
  <c r="EB86" i="2" a="1"/>
  <c r="DZ86" i="2"/>
  <c r="DZ86" i="2" a="1"/>
  <c r="DY86" i="2"/>
  <c r="DY86" i="2" a="1"/>
  <c r="DX86" i="2"/>
  <c r="DX86" i="2" a="1"/>
  <c r="DW86" i="2" a="1"/>
  <c r="DW86" i="2" s="1"/>
  <c r="DV86" i="2"/>
  <c r="CC86" i="2" s="1"/>
  <c r="EE86" i="2" s="1"/>
  <c r="DV86" i="2" a="1"/>
  <c r="DJ86" i="2"/>
  <c r="DJ86" i="2" a="1"/>
  <c r="DI86" i="2"/>
  <c r="DI86" i="2" a="1"/>
  <c r="CU86" i="2"/>
  <c r="CT86" i="2"/>
  <c r="CR86" i="2"/>
  <c r="W86" i="2"/>
  <c r="G86" i="2"/>
  <c r="D86" i="2"/>
  <c r="C86" i="2"/>
  <c r="FX85" i="2"/>
  <c r="EM85" i="2"/>
  <c r="EL85" i="2"/>
  <c r="EK85" i="2"/>
  <c r="EJ85" i="2"/>
  <c r="EB85" i="2" a="1"/>
  <c r="EB85" i="2" s="1"/>
  <c r="DZ85" i="2" a="1"/>
  <c r="DZ85" i="2" s="1"/>
  <c r="DY85" i="2"/>
  <c r="DY85" i="2" a="1"/>
  <c r="DX85" i="2" a="1"/>
  <c r="DX85" i="2" s="1"/>
  <c r="DW85" i="2" a="1"/>
  <c r="DW85" i="2" s="1"/>
  <c r="DV85" i="2" a="1"/>
  <c r="DV85" i="2" s="1"/>
  <c r="CC85" i="2" s="1"/>
  <c r="EE85" i="2" s="1"/>
  <c r="DJ85" i="2" a="1"/>
  <c r="DJ85" i="2" s="1"/>
  <c r="DI85" i="2" a="1"/>
  <c r="DI85" i="2" s="1"/>
  <c r="CU85" i="2"/>
  <c r="CT85" i="2"/>
  <c r="CR85" i="2"/>
  <c r="W85" i="2"/>
  <c r="G85" i="2"/>
  <c r="D85" i="2"/>
  <c r="C85" i="2"/>
  <c r="FX84" i="2"/>
  <c r="EM84" i="2"/>
  <c r="EL84" i="2"/>
  <c r="EK84" i="2"/>
  <c r="EJ84" i="2"/>
  <c r="EB84" i="2"/>
  <c r="EB84" i="2" a="1"/>
  <c r="DZ84" i="2" a="1"/>
  <c r="DZ84" i="2" s="1"/>
  <c r="DY84" i="2"/>
  <c r="DY84" i="2" a="1"/>
  <c r="DX84" i="2"/>
  <c r="DX84" i="2" a="1"/>
  <c r="DW84" i="2"/>
  <c r="DW84" i="2" a="1"/>
  <c r="DV84" i="2" a="1"/>
  <c r="DV84" i="2" s="1"/>
  <c r="CC84" i="2" s="1"/>
  <c r="EE84" i="2" s="1"/>
  <c r="DJ84" i="2" a="1"/>
  <c r="DJ84" i="2" s="1"/>
  <c r="DI84" i="2"/>
  <c r="DI84" i="2" a="1"/>
  <c r="CU84" i="2"/>
  <c r="CT84" i="2"/>
  <c r="CR84" i="2"/>
  <c r="W84" i="2"/>
  <c r="G84" i="2"/>
  <c r="D84" i="2"/>
  <c r="C84" i="2"/>
  <c r="FX83" i="2"/>
  <c r="EM83" i="2"/>
  <c r="EL83" i="2"/>
  <c r="EK83" i="2"/>
  <c r="EJ83" i="2"/>
  <c r="EB83" i="2"/>
  <c r="EB83" i="2" a="1"/>
  <c r="DZ83" i="2" a="1"/>
  <c r="DZ83" i="2" s="1"/>
  <c r="DY83" i="2" a="1"/>
  <c r="DY83" i="2" s="1"/>
  <c r="DX83" i="2"/>
  <c r="DX83" i="2" a="1"/>
  <c r="DW83" i="2"/>
  <c r="DW83" i="2" a="1"/>
  <c r="DV83" i="2" a="1"/>
  <c r="DV83" i="2" s="1"/>
  <c r="CC83" i="2" s="1"/>
  <c r="EE83" i="2" s="1"/>
  <c r="DJ83" i="2" a="1"/>
  <c r="DJ83" i="2" s="1"/>
  <c r="DI83" i="2" a="1"/>
  <c r="DI83" i="2" s="1"/>
  <c r="CU83" i="2"/>
  <c r="CT83" i="2"/>
  <c r="CR83" i="2"/>
  <c r="W83" i="2"/>
  <c r="G83" i="2"/>
  <c r="D83" i="2"/>
  <c r="C83" i="2"/>
  <c r="FX82" i="2"/>
  <c r="EM82" i="2"/>
  <c r="EL82" i="2"/>
  <c r="EK82" i="2"/>
  <c r="EJ82" i="2"/>
  <c r="EE82" i="2"/>
  <c r="EB82" i="2"/>
  <c r="EB82" i="2" a="1"/>
  <c r="DZ82" i="2"/>
  <c r="DZ82" i="2" a="1"/>
  <c r="DY82" i="2" a="1"/>
  <c r="DY82" i="2" s="1"/>
  <c r="DX82" i="2"/>
  <c r="DX82" i="2" a="1"/>
  <c r="DW82" i="2"/>
  <c r="DW82" i="2" a="1"/>
  <c r="DV82" i="2"/>
  <c r="DV82" i="2" a="1"/>
  <c r="DJ82" i="2"/>
  <c r="DJ82" i="2" a="1"/>
  <c r="DI82" i="2" a="1"/>
  <c r="DI82" i="2" s="1"/>
  <c r="CU82" i="2"/>
  <c r="CT82" i="2"/>
  <c r="CR82" i="2"/>
  <c r="CC82" i="2"/>
  <c r="W82" i="2"/>
  <c r="G82" i="2"/>
  <c r="D82" i="2"/>
  <c r="C82" i="2"/>
  <c r="FX81" i="2"/>
  <c r="EM81" i="2"/>
  <c r="EL81" i="2"/>
  <c r="EK81" i="2"/>
  <c r="EJ81" i="2"/>
  <c r="EB81" i="2" a="1"/>
  <c r="EB81" i="2" s="1"/>
  <c r="DZ81" i="2"/>
  <c r="DZ81" i="2" a="1"/>
  <c r="DY81" i="2"/>
  <c r="DY81" i="2" a="1"/>
  <c r="DX81" i="2" a="1"/>
  <c r="DX81" i="2" s="1"/>
  <c r="DW81" i="2" a="1"/>
  <c r="DW81" i="2" s="1"/>
  <c r="DV81" i="2"/>
  <c r="CC81" i="2" s="1"/>
  <c r="EE81" i="2" s="1"/>
  <c r="DV81" i="2" a="1"/>
  <c r="DJ81" i="2"/>
  <c r="DJ81" i="2" a="1"/>
  <c r="DI81" i="2"/>
  <c r="DI81" i="2" a="1"/>
  <c r="CU81" i="2"/>
  <c r="CT81" i="2"/>
  <c r="CR81" i="2"/>
  <c r="W81" i="2"/>
  <c r="G81" i="2"/>
  <c r="D81" i="2"/>
  <c r="C81" i="2"/>
  <c r="FX80" i="2"/>
  <c r="EM80" i="2"/>
  <c r="EL80" i="2"/>
  <c r="EK80" i="2"/>
  <c r="EJ80" i="2"/>
  <c r="EB80" i="2"/>
  <c r="EB80" i="2" a="1"/>
  <c r="DZ80" i="2"/>
  <c r="DZ80" i="2" a="1"/>
  <c r="DY80" i="2"/>
  <c r="DY80" i="2" a="1"/>
  <c r="DX80" i="2"/>
  <c r="DX80" i="2" a="1"/>
  <c r="DW80" i="2" a="1"/>
  <c r="DW80" i="2" s="1"/>
  <c r="DV80" i="2"/>
  <c r="DV80" i="2" a="1"/>
  <c r="DJ80" i="2" a="1"/>
  <c r="DJ80" i="2" s="1"/>
  <c r="DI80" i="2"/>
  <c r="DI80" i="2" a="1"/>
  <c r="CU80" i="2"/>
  <c r="CT80" i="2"/>
  <c r="CR80" i="2"/>
  <c r="CC80" i="2"/>
  <c r="EE80" i="2" s="1"/>
  <c r="W80" i="2"/>
  <c r="G80" i="2"/>
  <c r="D80" i="2"/>
  <c r="C80" i="2"/>
  <c r="FX79" i="2"/>
  <c r="EM79" i="2"/>
  <c r="EL79" i="2"/>
  <c r="EK79" i="2"/>
  <c r="EJ79" i="2"/>
  <c r="EB79" i="2"/>
  <c r="EB79" i="2" a="1"/>
  <c r="DZ79" i="2" a="1"/>
  <c r="DZ79" i="2" s="1"/>
  <c r="DY79" i="2"/>
  <c r="DY79" i="2" a="1"/>
  <c r="DX79" i="2"/>
  <c r="DX79" i="2" a="1"/>
  <c r="DW79" i="2" a="1"/>
  <c r="DW79" i="2" s="1"/>
  <c r="DV79" i="2" a="1"/>
  <c r="DV79" i="2" s="1"/>
  <c r="CC79" i="2" s="1"/>
  <c r="EE79" i="2" s="1"/>
  <c r="DJ79" i="2" a="1"/>
  <c r="DJ79" i="2" s="1"/>
  <c r="DI79" i="2"/>
  <c r="DI79" i="2" a="1"/>
  <c r="CU79" i="2"/>
  <c r="CT79" i="2"/>
  <c r="CR79" i="2"/>
  <c r="W79" i="2"/>
  <c r="G79" i="2"/>
  <c r="D79" i="2"/>
  <c r="C79" i="2"/>
  <c r="FX78" i="2"/>
  <c r="EM78" i="2"/>
  <c r="EL78" i="2"/>
  <c r="EK78" i="2"/>
  <c r="EJ78" i="2"/>
  <c r="EB78" i="2"/>
  <c r="EB78" i="2" a="1"/>
  <c r="DZ78" i="2" a="1"/>
  <c r="DZ78" i="2" s="1"/>
  <c r="DY78" i="2"/>
  <c r="DY78" i="2" a="1"/>
  <c r="DX78" i="2"/>
  <c r="DX78" i="2" a="1"/>
  <c r="DW78" i="2"/>
  <c r="DW78" i="2" a="1"/>
  <c r="DV78" i="2" a="1"/>
  <c r="DV78" i="2" s="1"/>
  <c r="CC78" i="2" s="1"/>
  <c r="EE78" i="2" s="1"/>
  <c r="DJ78" i="2" a="1"/>
  <c r="DJ78" i="2" s="1"/>
  <c r="DI78" i="2"/>
  <c r="DI78" i="2" a="1"/>
  <c r="CU78" i="2"/>
  <c r="CT78" i="2"/>
  <c r="CR78" i="2"/>
  <c r="W78" i="2"/>
  <c r="G78" i="2"/>
  <c r="D78" i="2"/>
  <c r="C78" i="2"/>
  <c r="FX77" i="2"/>
  <c r="EM77" i="2"/>
  <c r="EL77" i="2"/>
  <c r="EK77" i="2"/>
  <c r="EJ77" i="2"/>
  <c r="EB77" i="2"/>
  <c r="EB77" i="2" a="1"/>
  <c r="DZ77" i="2" a="1"/>
  <c r="DZ77" i="2" s="1"/>
  <c r="DY77" i="2" a="1"/>
  <c r="DY77" i="2" s="1"/>
  <c r="DX77" i="2"/>
  <c r="DX77" i="2" a="1"/>
  <c r="DW77" i="2" a="1"/>
  <c r="DW77" i="2" s="1"/>
  <c r="DV77" i="2" a="1"/>
  <c r="DV77" i="2" s="1"/>
  <c r="DJ77" i="2" a="1"/>
  <c r="DJ77" i="2" s="1"/>
  <c r="DI77" i="2" a="1"/>
  <c r="DI77" i="2" s="1"/>
  <c r="CU77" i="2"/>
  <c r="CT77" i="2"/>
  <c r="CR77" i="2"/>
  <c r="CC77" i="2"/>
  <c r="EE77" i="2" s="1"/>
  <c r="W77" i="2"/>
  <c r="G77" i="2"/>
  <c r="D77" i="2"/>
  <c r="C77" i="2"/>
  <c r="FX76" i="2"/>
  <c r="EM76" i="2"/>
  <c r="EL76" i="2"/>
  <c r="EK76" i="2"/>
  <c r="EJ76" i="2"/>
  <c r="EB76" i="2"/>
  <c r="EB76" i="2" a="1"/>
  <c r="DZ76" i="2"/>
  <c r="DZ76" i="2" a="1"/>
  <c r="DY76" i="2"/>
  <c r="DY76" i="2" a="1"/>
  <c r="DX76" i="2"/>
  <c r="DX76" i="2" a="1"/>
  <c r="DW76" i="2"/>
  <c r="DW76" i="2" a="1"/>
  <c r="DV76" i="2"/>
  <c r="CC76" i="2" s="1"/>
  <c r="EE76" i="2" s="1"/>
  <c r="DV76" i="2" a="1"/>
  <c r="DJ76" i="2"/>
  <c r="DJ76" i="2" a="1"/>
  <c r="DI76" i="2" a="1"/>
  <c r="DI76" i="2" s="1"/>
  <c r="CU76" i="2"/>
  <c r="CT76" i="2"/>
  <c r="CR76" i="2"/>
  <c r="W76" i="2"/>
  <c r="G76" i="2"/>
  <c r="D76" i="2"/>
  <c r="C76" i="2"/>
  <c r="FX75" i="2"/>
  <c r="EM75" i="2"/>
  <c r="EL75" i="2"/>
  <c r="EK75" i="2"/>
  <c r="EJ75" i="2"/>
  <c r="EB75" i="2" a="1"/>
  <c r="EB75" i="2" s="1"/>
  <c r="DZ75" i="2" a="1"/>
  <c r="DZ75" i="2" s="1"/>
  <c r="DY75" i="2" a="1"/>
  <c r="DY75" i="2" s="1"/>
  <c r="DX75" i="2" a="1"/>
  <c r="DX75" i="2" s="1"/>
  <c r="DW75" i="2"/>
  <c r="DW75" i="2" a="1"/>
  <c r="DV75" i="2" a="1"/>
  <c r="DV75" i="2" s="1"/>
  <c r="DJ75" i="2" a="1"/>
  <c r="DJ75" i="2" s="1"/>
  <c r="DI75" i="2" a="1"/>
  <c r="DI75" i="2" s="1"/>
  <c r="CU75" i="2"/>
  <c r="CT75" i="2"/>
  <c r="CR75" i="2"/>
  <c r="CC75" i="2"/>
  <c r="EE75" i="2" s="1"/>
  <c r="W75" i="2"/>
  <c r="G75" i="2"/>
  <c r="D75" i="2"/>
  <c r="C75" i="2"/>
  <c r="FX74" i="2"/>
  <c r="EM74" i="2"/>
  <c r="EL74" i="2"/>
  <c r="EK74" i="2"/>
  <c r="EJ74" i="2"/>
  <c r="EB74" i="2"/>
  <c r="EB74" i="2" a="1"/>
  <c r="DZ74" i="2"/>
  <c r="DZ74" i="2" a="1"/>
  <c r="DY74" i="2"/>
  <c r="DY74" i="2" a="1"/>
  <c r="DX74" i="2"/>
  <c r="DX74" i="2" a="1"/>
  <c r="DW74" i="2"/>
  <c r="DW74" i="2" a="1"/>
  <c r="DV74" i="2"/>
  <c r="DV74" i="2" a="1"/>
  <c r="DJ74" i="2"/>
  <c r="DJ74" i="2" a="1"/>
  <c r="DI74" i="2"/>
  <c r="DI74" i="2" a="1"/>
  <c r="CU74" i="2"/>
  <c r="CT74" i="2"/>
  <c r="CR74" i="2"/>
  <c r="CC74" i="2"/>
  <c r="EE74" i="2" s="1"/>
  <c r="W74" i="2"/>
  <c r="G74" i="2"/>
  <c r="D74" i="2"/>
  <c r="C74" i="2"/>
  <c r="FX73" i="2"/>
  <c r="EM73" i="2"/>
  <c r="EL73" i="2"/>
  <c r="EK73" i="2"/>
  <c r="EJ73" i="2"/>
  <c r="EB73" i="2" a="1"/>
  <c r="EB73" i="2" s="1"/>
  <c r="DZ73" i="2"/>
  <c r="DZ73" i="2" a="1"/>
  <c r="DY73" i="2" a="1"/>
  <c r="DY73" i="2" s="1"/>
  <c r="DX73" i="2" a="1"/>
  <c r="DX73" i="2" s="1"/>
  <c r="DW73" i="2"/>
  <c r="DW73" i="2" a="1"/>
  <c r="DV73" i="2" a="1"/>
  <c r="DV73" i="2" s="1"/>
  <c r="DJ73" i="2" a="1"/>
  <c r="DJ73" i="2" s="1"/>
  <c r="DI73" i="2" a="1"/>
  <c r="DI73" i="2" s="1"/>
  <c r="CU73" i="2"/>
  <c r="CT73" i="2"/>
  <c r="CR73" i="2"/>
  <c r="CC73" i="2"/>
  <c r="EE73" i="2" s="1"/>
  <c r="W73" i="2"/>
  <c r="G73" i="2"/>
  <c r="D73" i="2"/>
  <c r="C73" i="2"/>
  <c r="FX72" i="2"/>
  <c r="EM72" i="2"/>
  <c r="EL72" i="2"/>
  <c r="EK72" i="2"/>
  <c r="EJ72" i="2"/>
  <c r="EE72" i="2"/>
  <c r="EB72" i="2"/>
  <c r="EB72" i="2" a="1"/>
  <c r="DZ72" i="2"/>
  <c r="DZ72" i="2" a="1"/>
  <c r="DY72" i="2" a="1"/>
  <c r="DY72" i="2" s="1"/>
  <c r="DX72" i="2"/>
  <c r="DX72" i="2" a="1"/>
  <c r="DW72" i="2" a="1"/>
  <c r="DW72" i="2" s="1"/>
  <c r="DV72" i="2"/>
  <c r="CC72" i="2" s="1"/>
  <c r="DV72" i="2" a="1"/>
  <c r="DJ72" i="2"/>
  <c r="DJ72" i="2" a="1"/>
  <c r="DI72" i="2" a="1"/>
  <c r="DI72" i="2" s="1"/>
  <c r="CU72" i="2"/>
  <c r="CT72" i="2"/>
  <c r="CR72" i="2"/>
  <c r="W72" i="2"/>
  <c r="G72" i="2"/>
  <c r="D72" i="2"/>
  <c r="C72" i="2"/>
  <c r="FX71" i="2"/>
  <c r="EM71" i="2"/>
  <c r="EL71" i="2"/>
  <c r="EK71" i="2"/>
  <c r="EJ71" i="2"/>
  <c r="EB71" i="2" a="1"/>
  <c r="EB71" i="2" s="1"/>
  <c r="DZ71" i="2" a="1"/>
  <c r="DZ71" i="2" s="1"/>
  <c r="DY71" i="2"/>
  <c r="DY71" i="2" a="1"/>
  <c r="DX71" i="2" a="1"/>
  <c r="DX71" i="2" s="1"/>
  <c r="DW71" i="2"/>
  <c r="DW71" i="2" a="1"/>
  <c r="DV71" i="2" a="1"/>
  <c r="DV71" i="2" s="1"/>
  <c r="CC71" i="2" s="1"/>
  <c r="EE71" i="2" s="1"/>
  <c r="DJ71" i="2" a="1"/>
  <c r="DJ71" i="2" s="1"/>
  <c r="DI71" i="2" a="1"/>
  <c r="DI71" i="2" s="1"/>
  <c r="CU71" i="2"/>
  <c r="CT71" i="2"/>
  <c r="CR71" i="2"/>
  <c r="W71" i="2"/>
  <c r="G71" i="2"/>
  <c r="D71" i="2"/>
  <c r="C71" i="2"/>
  <c r="FX70" i="2"/>
  <c r="EM70" i="2"/>
  <c r="EL70" i="2"/>
  <c r="EK70" i="2"/>
  <c r="EJ70" i="2"/>
  <c r="EB70" i="2" a="1"/>
  <c r="EB70" i="2" s="1"/>
  <c r="DZ70" i="2" a="1"/>
  <c r="DZ70" i="2" s="1"/>
  <c r="DY70" i="2"/>
  <c r="DY70" i="2" a="1"/>
  <c r="DX70" i="2" a="1"/>
  <c r="DX70" i="2" s="1"/>
  <c r="DW70" i="2"/>
  <c r="DW70" i="2" a="1"/>
  <c r="DV70" i="2" a="1"/>
  <c r="DV70" i="2" s="1"/>
  <c r="CC70" i="2" s="1"/>
  <c r="EE70" i="2" s="1"/>
  <c r="DJ70" i="2" a="1"/>
  <c r="DJ70" i="2" s="1"/>
  <c r="DI70" i="2"/>
  <c r="DI70" i="2" a="1"/>
  <c r="CU70" i="2"/>
  <c r="CT70" i="2"/>
  <c r="CR70" i="2"/>
  <c r="W70" i="2"/>
  <c r="G70" i="2"/>
  <c r="D70" i="2"/>
  <c r="C70" i="2"/>
  <c r="FX69" i="2"/>
  <c r="EM69" i="2"/>
  <c r="EL69" i="2"/>
  <c r="EK69" i="2"/>
  <c r="EJ69" i="2"/>
  <c r="EB69" i="2"/>
  <c r="EB69" i="2" a="1"/>
  <c r="DZ69" i="2" a="1"/>
  <c r="DZ69" i="2" s="1"/>
  <c r="DY69" i="2" a="1"/>
  <c r="DY69" i="2" s="1"/>
  <c r="DX69" i="2"/>
  <c r="DX69" i="2" a="1"/>
  <c r="DW69" i="2"/>
  <c r="DW69" i="2" a="1"/>
  <c r="DV69" i="2" a="1"/>
  <c r="DV69" i="2" s="1"/>
  <c r="CC69" i="2" s="1"/>
  <c r="EE69" i="2" s="1"/>
  <c r="DJ69" i="2" a="1"/>
  <c r="DJ69" i="2" s="1"/>
  <c r="DI69" i="2" a="1"/>
  <c r="DI69" i="2" s="1"/>
  <c r="CU69" i="2"/>
  <c r="CT69" i="2"/>
  <c r="CR69" i="2"/>
  <c r="W69" i="2"/>
  <c r="G69" i="2"/>
  <c r="D69" i="2"/>
  <c r="C69" i="2"/>
  <c r="FX68" i="2"/>
  <c r="EM68" i="2"/>
  <c r="EL68" i="2"/>
  <c r="EK68" i="2"/>
  <c r="EJ68" i="2"/>
  <c r="EB68" i="2"/>
  <c r="EB68" i="2" a="1"/>
  <c r="DZ68" i="2"/>
  <c r="DZ68" i="2" a="1"/>
  <c r="DY68" i="2" a="1"/>
  <c r="DY68" i="2" s="1"/>
  <c r="DX68" i="2"/>
  <c r="DX68" i="2" a="1"/>
  <c r="DW68" i="2" a="1"/>
  <c r="DW68" i="2" s="1"/>
  <c r="DV68" i="2"/>
  <c r="DV68" i="2" a="1"/>
  <c r="DJ68" i="2"/>
  <c r="DJ68" i="2" a="1"/>
  <c r="DI68" i="2" a="1"/>
  <c r="DI68" i="2" s="1"/>
  <c r="CU68" i="2"/>
  <c r="CT68" i="2"/>
  <c r="CR68" i="2"/>
  <c r="CC68" i="2"/>
  <c r="EE68" i="2" s="1"/>
  <c r="W68" i="2"/>
  <c r="G68" i="2"/>
  <c r="D68" i="2"/>
  <c r="C68" i="2"/>
  <c r="FX67" i="2"/>
  <c r="EM67" i="2"/>
  <c r="EL67" i="2"/>
  <c r="EK67" i="2"/>
  <c r="EJ67" i="2"/>
  <c r="EE67" i="2"/>
  <c r="EB67" i="2"/>
  <c r="EB67" i="2" a="1"/>
  <c r="DZ67" i="2" a="1"/>
  <c r="DZ67" i="2" s="1"/>
  <c r="DY67" i="2" a="1"/>
  <c r="DY67" i="2" s="1"/>
  <c r="DX67" i="2"/>
  <c r="DX67" i="2" a="1"/>
  <c r="DW67" i="2"/>
  <c r="DW67" i="2" a="1"/>
  <c r="DV67" i="2"/>
  <c r="CC67" i="2" s="1"/>
  <c r="DV67" i="2" a="1"/>
  <c r="DJ67" i="2" a="1"/>
  <c r="DJ67" i="2" s="1"/>
  <c r="DI67" i="2" a="1"/>
  <c r="DI67" i="2" s="1"/>
  <c r="CU67" i="2"/>
  <c r="CT67" i="2"/>
  <c r="CR67" i="2"/>
  <c r="W67" i="2"/>
  <c r="G67" i="2"/>
  <c r="D67" i="2"/>
  <c r="C67" i="2"/>
  <c r="FX66" i="2"/>
  <c r="EM66" i="2"/>
  <c r="EL66" i="2"/>
  <c r="EK66" i="2"/>
  <c r="EJ66" i="2"/>
  <c r="EB66" i="2" a="1"/>
  <c r="EB66" i="2" s="1"/>
  <c r="DZ66" i="2" a="1"/>
  <c r="DZ66" i="2" s="1"/>
  <c r="DY66" i="2"/>
  <c r="DY66" i="2" a="1"/>
  <c r="DX66" i="2" a="1"/>
  <c r="DX66" i="2" s="1"/>
  <c r="DW66" i="2"/>
  <c r="DW66" i="2" a="1"/>
  <c r="DV66" i="2" a="1"/>
  <c r="DV66" i="2" s="1"/>
  <c r="CC66" i="2" s="1"/>
  <c r="EE66" i="2" s="1"/>
  <c r="DJ66" i="2" a="1"/>
  <c r="DJ66" i="2" s="1"/>
  <c r="DI66" i="2"/>
  <c r="DI66" i="2" a="1"/>
  <c r="CU66" i="2"/>
  <c r="CT66" i="2"/>
  <c r="CR66" i="2"/>
  <c r="W66" i="2"/>
  <c r="G66" i="2"/>
  <c r="D66" i="2"/>
  <c r="C66" i="2"/>
  <c r="FX65" i="2"/>
  <c r="EM65" i="2"/>
  <c r="EL65" i="2"/>
  <c r="EK65" i="2"/>
  <c r="EJ65" i="2"/>
  <c r="EB65" i="2" a="1"/>
  <c r="EB65" i="2" s="1"/>
  <c r="DZ65" i="2"/>
  <c r="DZ65" i="2" a="1"/>
  <c r="DY65" i="2" a="1"/>
  <c r="DY65" i="2" s="1"/>
  <c r="DX65" i="2" a="1"/>
  <c r="DX65" i="2" s="1"/>
  <c r="DW65" i="2"/>
  <c r="DW65" i="2" a="1"/>
  <c r="DV65" i="2"/>
  <c r="CC65" i="2" s="1"/>
  <c r="EE65" i="2" s="1"/>
  <c r="DV65" i="2" a="1"/>
  <c r="DJ65" i="2"/>
  <c r="DJ65" i="2" a="1"/>
  <c r="DI65" i="2" a="1"/>
  <c r="DI65" i="2" s="1"/>
  <c r="CU65" i="2"/>
  <c r="CT65" i="2"/>
  <c r="CR65" i="2"/>
  <c r="W65" i="2"/>
  <c r="G65" i="2"/>
  <c r="D65" i="2"/>
  <c r="C65" i="2"/>
  <c r="FX64" i="2"/>
  <c r="EM64" i="2"/>
  <c r="EL64" i="2"/>
  <c r="EK64" i="2"/>
  <c r="EJ64" i="2"/>
  <c r="EB64" i="2" a="1"/>
  <c r="EB64" i="2" s="1"/>
  <c r="DZ64" i="2" a="1"/>
  <c r="DZ64" i="2" s="1"/>
  <c r="DY64" i="2"/>
  <c r="DY64" i="2" a="1"/>
  <c r="DX64" i="2" a="1"/>
  <c r="DX64" i="2" s="1"/>
  <c r="DW64" i="2" a="1"/>
  <c r="DW64" i="2" s="1"/>
  <c r="DV64" i="2" a="1"/>
  <c r="DV64" i="2" s="1"/>
  <c r="CC64" i="2" s="1"/>
  <c r="EE64" i="2" s="1"/>
  <c r="DJ64" i="2" a="1"/>
  <c r="DJ64" i="2" s="1"/>
  <c r="DI64" i="2"/>
  <c r="DI64" i="2" a="1"/>
  <c r="CU64" i="2"/>
  <c r="CT64" i="2"/>
  <c r="CR64" i="2"/>
  <c r="W64" i="2"/>
  <c r="G64" i="2"/>
  <c r="D64" i="2"/>
  <c r="C64" i="2"/>
  <c r="FX63" i="2"/>
  <c r="EM63" i="2"/>
  <c r="EL63" i="2"/>
  <c r="EK63" i="2"/>
  <c r="EJ63" i="2"/>
  <c r="EE63" i="2"/>
  <c r="EB63" i="2"/>
  <c r="EB63" i="2" a="1"/>
  <c r="DZ63" i="2"/>
  <c r="DZ63" i="2" a="1"/>
  <c r="DY63" i="2"/>
  <c r="DY63" i="2" a="1"/>
  <c r="DX63" i="2"/>
  <c r="DX63" i="2" a="1"/>
  <c r="DW63" i="2" a="1"/>
  <c r="DW63" i="2" s="1"/>
  <c r="DV63" i="2"/>
  <c r="CC63" i="2" s="1"/>
  <c r="DV63" i="2" a="1"/>
  <c r="DJ63" i="2"/>
  <c r="DJ63" i="2" a="1"/>
  <c r="DI63" i="2"/>
  <c r="DI63" i="2" a="1"/>
  <c r="CU63" i="2"/>
  <c r="CT63" i="2"/>
  <c r="CR63" i="2"/>
  <c r="W63" i="2"/>
  <c r="G63" i="2"/>
  <c r="D63" i="2"/>
  <c r="C63" i="2"/>
  <c r="FX62" i="2"/>
  <c r="EM62" i="2"/>
  <c r="EL62" i="2"/>
  <c r="EK62" i="2"/>
  <c r="EJ62" i="2"/>
  <c r="EB62" i="2" a="1"/>
  <c r="EB62" i="2" s="1"/>
  <c r="DZ62" i="2" a="1"/>
  <c r="DZ62" i="2" s="1"/>
  <c r="DY62" i="2"/>
  <c r="DY62" i="2" a="1"/>
  <c r="DX62" i="2"/>
  <c r="DX62" i="2" a="1"/>
  <c r="DW62" i="2" a="1"/>
  <c r="DW62" i="2" s="1"/>
  <c r="DV62" i="2" a="1"/>
  <c r="DV62" i="2" s="1"/>
  <c r="CC62" i="2" s="1"/>
  <c r="EE62" i="2" s="1"/>
  <c r="DJ62" i="2" a="1"/>
  <c r="DJ62" i="2" s="1"/>
  <c r="DI62" i="2" a="1"/>
  <c r="DI62" i="2" s="1"/>
  <c r="CU62" i="2"/>
  <c r="CT62" i="2"/>
  <c r="CR62" i="2"/>
  <c r="W62" i="2"/>
  <c r="G62" i="2"/>
  <c r="D62" i="2"/>
  <c r="C62" i="2"/>
  <c r="FX61" i="2"/>
  <c r="EM61" i="2"/>
  <c r="EL61" i="2"/>
  <c r="EK61" i="2"/>
  <c r="EJ61" i="2"/>
  <c r="EB61" i="2"/>
  <c r="EB61" i="2" a="1"/>
  <c r="DZ61" i="2" a="1"/>
  <c r="DZ61" i="2" s="1"/>
  <c r="DY61" i="2"/>
  <c r="DY61" i="2" a="1"/>
  <c r="DX61" i="2"/>
  <c r="DX61" i="2" a="1"/>
  <c r="DW61" i="2" a="1"/>
  <c r="DW61" i="2" s="1"/>
  <c r="DV61" i="2" a="1"/>
  <c r="DV61" i="2" s="1"/>
  <c r="CC61" i="2" s="1"/>
  <c r="EE61" i="2" s="1"/>
  <c r="DJ61" i="2" a="1"/>
  <c r="DJ61" i="2" s="1"/>
  <c r="DI61" i="2"/>
  <c r="DI61" i="2" a="1"/>
  <c r="CU61" i="2"/>
  <c r="CT61" i="2"/>
  <c r="CR61" i="2"/>
  <c r="W61" i="2"/>
  <c r="G61" i="2"/>
  <c r="D61" i="2"/>
  <c r="C61" i="2"/>
  <c r="FX60" i="2"/>
  <c r="EM60" i="2"/>
  <c r="EL60" i="2"/>
  <c r="EK60" i="2"/>
  <c r="EJ60" i="2"/>
  <c r="EB60" i="2" a="1"/>
  <c r="EB60" i="2" s="1"/>
  <c r="DZ60" i="2" a="1"/>
  <c r="DZ60" i="2" s="1"/>
  <c r="DY60" i="2"/>
  <c r="DY60" i="2" a="1"/>
  <c r="DX60" i="2" a="1"/>
  <c r="DX60" i="2" s="1"/>
  <c r="DW60" i="2"/>
  <c r="DW60" i="2" a="1"/>
  <c r="DV60" i="2" a="1"/>
  <c r="DV60" i="2" s="1"/>
  <c r="CC60" i="2" s="1"/>
  <c r="EE60" i="2" s="1"/>
  <c r="DJ60" i="2" a="1"/>
  <c r="DJ60" i="2" s="1"/>
  <c r="DI60" i="2" a="1"/>
  <c r="DI60" i="2" s="1"/>
  <c r="CU60" i="2"/>
  <c r="CT60" i="2"/>
  <c r="CR60" i="2"/>
  <c r="W60" i="2"/>
  <c r="G60" i="2"/>
  <c r="D60" i="2"/>
  <c r="C60" i="2"/>
  <c r="FX59" i="2"/>
  <c r="EM59" i="2"/>
  <c r="EL59" i="2"/>
  <c r="EK59" i="2"/>
  <c r="EJ59" i="2"/>
  <c r="EB59" i="2"/>
  <c r="EB59" i="2" a="1"/>
  <c r="DZ59" i="2" a="1"/>
  <c r="DZ59" i="2" s="1"/>
  <c r="DY59" i="2" a="1"/>
  <c r="DY59" i="2" s="1"/>
  <c r="DX59" i="2"/>
  <c r="DX59" i="2" a="1"/>
  <c r="DW59" i="2"/>
  <c r="DW59" i="2" a="1"/>
  <c r="DV59" i="2" a="1"/>
  <c r="DV59" i="2" s="1"/>
  <c r="CC59" i="2" s="1"/>
  <c r="EE59" i="2" s="1"/>
  <c r="DJ59" i="2" a="1"/>
  <c r="DJ59" i="2" s="1"/>
  <c r="DI59" i="2" a="1"/>
  <c r="DI59" i="2" s="1"/>
  <c r="CU59" i="2"/>
  <c r="CT59" i="2"/>
  <c r="CR59" i="2"/>
  <c r="W59" i="2"/>
  <c r="G59" i="2"/>
  <c r="D59" i="2"/>
  <c r="C59" i="2"/>
  <c r="FX58" i="2"/>
  <c r="EM58" i="2"/>
  <c r="EL58" i="2"/>
  <c r="EK58" i="2"/>
  <c r="EJ58" i="2"/>
  <c r="EB58" i="2"/>
  <c r="EB58" i="2" a="1"/>
  <c r="DZ58" i="2" a="1"/>
  <c r="DZ58" i="2" s="1"/>
  <c r="DY58" i="2" a="1"/>
  <c r="DY58" i="2" s="1"/>
  <c r="DX58" i="2"/>
  <c r="DX58" i="2" a="1"/>
  <c r="DW58" i="2" a="1"/>
  <c r="DW58" i="2" s="1"/>
  <c r="DV58" i="2" a="1"/>
  <c r="DV58" i="2" s="1"/>
  <c r="CC58" i="2" s="1"/>
  <c r="EE58" i="2" s="1"/>
  <c r="DJ58" i="2" a="1"/>
  <c r="DJ58" i="2" s="1"/>
  <c r="DI58" i="2" a="1"/>
  <c r="DI58" i="2" s="1"/>
  <c r="CU58" i="2"/>
  <c r="CT58" i="2"/>
  <c r="CR58" i="2"/>
  <c r="W58" i="2"/>
  <c r="G58" i="2"/>
  <c r="D58" i="2"/>
  <c r="C58" i="2"/>
  <c r="FX57" i="2"/>
  <c r="EM57" i="2"/>
  <c r="EL57" i="2"/>
  <c r="EK57" i="2"/>
  <c r="EJ57" i="2"/>
  <c r="EB57" i="2"/>
  <c r="EB57" i="2" a="1"/>
  <c r="DZ57" i="2" a="1"/>
  <c r="DZ57" i="2" s="1"/>
  <c r="DY57" i="2"/>
  <c r="DY57" i="2" a="1"/>
  <c r="DX57" i="2"/>
  <c r="DX57" i="2" a="1"/>
  <c r="DW57" i="2"/>
  <c r="DW57" i="2" a="1"/>
  <c r="DV57" i="2" a="1"/>
  <c r="DV57" i="2" s="1"/>
  <c r="CC57" i="2" s="1"/>
  <c r="EE57" i="2" s="1"/>
  <c r="DJ57" i="2" a="1"/>
  <c r="DJ57" i="2" s="1"/>
  <c r="DI57" i="2"/>
  <c r="DI57" i="2" a="1"/>
  <c r="CU57" i="2"/>
  <c r="CT57" i="2"/>
  <c r="CR57" i="2"/>
  <c r="W57" i="2"/>
  <c r="G57" i="2"/>
  <c r="D57" i="2"/>
  <c r="C57" i="2"/>
  <c r="FX56" i="2"/>
  <c r="EM56" i="2"/>
  <c r="EL56" i="2"/>
  <c r="EK56" i="2"/>
  <c r="EJ56" i="2"/>
  <c r="EB56" i="2"/>
  <c r="EB56" i="2" a="1"/>
  <c r="DZ56" i="2"/>
  <c r="DZ56" i="2" a="1"/>
  <c r="DY56" i="2"/>
  <c r="DY56" i="2" a="1"/>
  <c r="DX56" i="2"/>
  <c r="DX56" i="2" a="1"/>
  <c r="DW56" i="2"/>
  <c r="DW56" i="2" a="1"/>
  <c r="DV56" i="2"/>
  <c r="DV56" i="2" a="1"/>
  <c r="DJ56" i="2"/>
  <c r="DJ56" i="2" a="1"/>
  <c r="DI56" i="2"/>
  <c r="DI56" i="2" a="1"/>
  <c r="CU56" i="2"/>
  <c r="CT56" i="2"/>
  <c r="CR56" i="2"/>
  <c r="CC56" i="2"/>
  <c r="EE56" i="2" s="1"/>
  <c r="W56" i="2"/>
  <c r="G56" i="2"/>
  <c r="D56" i="2"/>
  <c r="C56" i="2"/>
  <c r="FX55" i="2"/>
  <c r="EM55" i="2"/>
  <c r="EL55" i="2"/>
  <c r="EK55" i="2"/>
  <c r="EJ55" i="2"/>
  <c r="EB55" i="2"/>
  <c r="EB55" i="2" a="1"/>
  <c r="DZ55" i="2" a="1"/>
  <c r="DZ55" i="2" s="1"/>
  <c r="DY55" i="2" a="1"/>
  <c r="DY55" i="2" s="1"/>
  <c r="DX55" i="2"/>
  <c r="DX55" i="2" a="1"/>
  <c r="DW55" i="2" a="1"/>
  <c r="DW55" i="2" s="1"/>
  <c r="DV55" i="2" a="1"/>
  <c r="DV55" i="2" s="1"/>
  <c r="DJ55" i="2" a="1"/>
  <c r="DJ55" i="2" s="1"/>
  <c r="DI55" i="2" a="1"/>
  <c r="DI55" i="2" s="1"/>
  <c r="CU55" i="2"/>
  <c r="CT55" i="2"/>
  <c r="CR55" i="2"/>
  <c r="CC55" i="2"/>
  <c r="EE55" i="2" s="1"/>
  <c r="W55" i="2"/>
  <c r="G55" i="2"/>
  <c r="D55" i="2"/>
  <c r="C55" i="2"/>
  <c r="FX54" i="2"/>
  <c r="EM54" i="2"/>
  <c r="EL54" i="2"/>
  <c r="EK54" i="2"/>
  <c r="EJ54" i="2"/>
  <c r="EB54" i="2"/>
  <c r="EB54" i="2" a="1"/>
  <c r="DZ54" i="2"/>
  <c r="DZ54" i="2" a="1"/>
  <c r="DY54" i="2"/>
  <c r="DY54" i="2" a="1"/>
  <c r="DX54" i="2"/>
  <c r="DX54" i="2" a="1"/>
  <c r="DW54" i="2" a="1"/>
  <c r="DW54" i="2" s="1"/>
  <c r="DV54" i="2"/>
  <c r="CC54" i="2" s="1"/>
  <c r="EE54" i="2" s="1"/>
  <c r="DV54" i="2" a="1"/>
  <c r="DJ54" i="2"/>
  <c r="DJ54" i="2" a="1"/>
  <c r="DI54" i="2" a="1"/>
  <c r="DI54" i="2" s="1"/>
  <c r="CU54" i="2"/>
  <c r="CT54" i="2"/>
  <c r="CR54" i="2"/>
  <c r="W54" i="2"/>
  <c r="G54" i="2"/>
  <c r="D54" i="2"/>
  <c r="C54" i="2"/>
  <c r="FX53" i="2"/>
  <c r="EM53" i="2"/>
  <c r="EL53" i="2"/>
  <c r="EK53" i="2"/>
  <c r="EJ53" i="2"/>
  <c r="EB53" i="2" a="1"/>
  <c r="EB53" i="2" s="1"/>
  <c r="DZ53" i="2" a="1"/>
  <c r="DZ53" i="2" s="1"/>
  <c r="DY53" i="2"/>
  <c r="DY53" i="2" a="1"/>
  <c r="DX53" i="2" a="1"/>
  <c r="DX53" i="2" s="1"/>
  <c r="DW53" i="2" a="1"/>
  <c r="DW53" i="2" s="1"/>
  <c r="DV53" i="2" a="1"/>
  <c r="DV53" i="2" s="1"/>
  <c r="CC53" i="2" s="1"/>
  <c r="EE53" i="2" s="1"/>
  <c r="DJ53" i="2" a="1"/>
  <c r="DJ53" i="2" s="1"/>
  <c r="DI53" i="2" a="1"/>
  <c r="DI53" i="2" s="1"/>
  <c r="CU53" i="2"/>
  <c r="CT53" i="2"/>
  <c r="CR53" i="2"/>
  <c r="W53" i="2"/>
  <c r="G53" i="2"/>
  <c r="D53" i="2"/>
  <c r="C53" i="2"/>
  <c r="FX52" i="2"/>
  <c r="EM52" i="2"/>
  <c r="EL52" i="2"/>
  <c r="EK52" i="2"/>
  <c r="EJ52" i="2"/>
  <c r="EB52" i="2"/>
  <c r="EB52" i="2" a="1"/>
  <c r="DZ52" i="2" a="1"/>
  <c r="DZ52" i="2" s="1"/>
  <c r="DY52" i="2"/>
  <c r="DY52" i="2" a="1"/>
  <c r="DX52" i="2"/>
  <c r="DX52" i="2" a="1"/>
  <c r="DW52" i="2"/>
  <c r="DW52" i="2" a="1"/>
  <c r="DV52" i="2" a="1"/>
  <c r="DV52" i="2" s="1"/>
  <c r="CC52" i="2" s="1"/>
  <c r="EE52" i="2" s="1"/>
  <c r="DJ52" i="2" a="1"/>
  <c r="DJ52" i="2" s="1"/>
  <c r="DI52" i="2"/>
  <c r="DI52" i="2" a="1"/>
  <c r="CU52" i="2"/>
  <c r="CT52" i="2"/>
  <c r="CR52" i="2"/>
  <c r="W52" i="2"/>
  <c r="G52" i="2"/>
  <c r="D52" i="2"/>
  <c r="C52" i="2"/>
  <c r="FX51" i="2"/>
  <c r="EM51" i="2"/>
  <c r="EL51" i="2"/>
  <c r="EK51" i="2"/>
  <c r="EJ51" i="2"/>
  <c r="EB51" i="2" a="1"/>
  <c r="EB51" i="2" s="1"/>
  <c r="DZ51" i="2" a="1"/>
  <c r="DZ51" i="2" s="1"/>
  <c r="DY51" i="2" a="1"/>
  <c r="DY51" i="2" s="1"/>
  <c r="DX51" i="2" a="1"/>
  <c r="DX51" i="2" s="1"/>
  <c r="DW51" i="2" a="1"/>
  <c r="DW51" i="2" s="1"/>
  <c r="DV51" i="2" a="1"/>
  <c r="DV51" i="2" s="1"/>
  <c r="CC51" i="2" s="1"/>
  <c r="EE51" i="2" s="1"/>
  <c r="DJ51" i="2" a="1"/>
  <c r="DJ51" i="2" s="1"/>
  <c r="DI51" i="2" a="1"/>
  <c r="DI51" i="2" s="1"/>
  <c r="CU51" i="2"/>
  <c r="CT51" i="2"/>
  <c r="CR51" i="2"/>
  <c r="W51" i="2"/>
  <c r="G51" i="2"/>
  <c r="D51" i="2"/>
  <c r="C51" i="2"/>
  <c r="FX50" i="2"/>
  <c r="EM50" i="2"/>
  <c r="EL50" i="2"/>
  <c r="EK50" i="2"/>
  <c r="EJ50" i="2"/>
  <c r="EB50" i="2"/>
  <c r="EB50" i="2" a="1"/>
  <c r="DZ50" i="2"/>
  <c r="DZ50" i="2" a="1"/>
  <c r="DY50" i="2"/>
  <c r="DY50" i="2" a="1"/>
  <c r="DX50" i="2"/>
  <c r="DX50" i="2" a="1"/>
  <c r="DW50" i="2"/>
  <c r="DW50" i="2" a="1"/>
  <c r="DV50" i="2"/>
  <c r="CC50" i="2" s="1"/>
  <c r="EE50" i="2" s="1"/>
  <c r="DV50" i="2" a="1"/>
  <c r="DJ50" i="2"/>
  <c r="DJ50" i="2" a="1"/>
  <c r="DI50" i="2"/>
  <c r="DI50" i="2" a="1"/>
  <c r="CU50" i="2"/>
  <c r="CT50" i="2"/>
  <c r="CR50" i="2"/>
  <c r="W50" i="2"/>
  <c r="G50" i="2"/>
  <c r="D50" i="2"/>
  <c r="C50" i="2"/>
  <c r="FX49" i="2"/>
  <c r="EM49" i="2"/>
  <c r="EL49" i="2"/>
  <c r="EK49" i="2"/>
  <c r="EJ49" i="2"/>
  <c r="EB49" i="2" a="1"/>
  <c r="EB49" i="2" s="1"/>
  <c r="DZ49" i="2" a="1"/>
  <c r="DZ49" i="2" s="1"/>
  <c r="DY49" i="2"/>
  <c r="DY49" i="2" a="1"/>
  <c r="DX49" i="2" a="1"/>
  <c r="DX49" i="2" s="1"/>
  <c r="DW49" i="2" a="1"/>
  <c r="DW49" i="2" s="1"/>
  <c r="DV49" i="2" a="1"/>
  <c r="DV49" i="2" s="1"/>
  <c r="DJ49" i="2" a="1"/>
  <c r="DJ49" i="2" s="1"/>
  <c r="DI49" i="2"/>
  <c r="DI49" i="2" a="1"/>
  <c r="CU49" i="2"/>
  <c r="CT49" i="2"/>
  <c r="CR49" i="2"/>
  <c r="CC49" i="2"/>
  <c r="EE49" i="2" s="1"/>
  <c r="W49" i="2"/>
  <c r="G49" i="2"/>
  <c r="D49" i="2"/>
  <c r="C49" i="2"/>
  <c r="FX48" i="2"/>
  <c r="EM48" i="2"/>
  <c r="EL48" i="2"/>
  <c r="EK48" i="2"/>
  <c r="EJ48" i="2"/>
  <c r="EB48" i="2"/>
  <c r="EB48" i="2" a="1"/>
  <c r="DZ48" i="2"/>
  <c r="DZ48" i="2" a="1"/>
  <c r="DY48" i="2"/>
  <c r="DY48" i="2" a="1"/>
  <c r="DX48" i="2"/>
  <c r="DX48" i="2" a="1"/>
  <c r="DW48" i="2" a="1"/>
  <c r="DW48" i="2" s="1"/>
  <c r="DV48" i="2"/>
  <c r="CC48" i="2" s="1"/>
  <c r="EE48" i="2" s="1"/>
  <c r="DV48" i="2" a="1"/>
  <c r="DJ48" i="2"/>
  <c r="DJ48" i="2" a="1"/>
  <c r="DI48" i="2"/>
  <c r="DI48" i="2" a="1"/>
  <c r="CU48" i="2"/>
  <c r="CT48" i="2"/>
  <c r="CR48" i="2"/>
  <c r="W48" i="2"/>
  <c r="G48" i="2"/>
  <c r="D48" i="2"/>
  <c r="C48" i="2"/>
  <c r="FX47" i="2"/>
  <c r="EM47" i="2"/>
  <c r="EL47" i="2"/>
  <c r="EK47" i="2"/>
  <c r="EJ47" i="2"/>
  <c r="EB47" i="2"/>
  <c r="EB47" i="2" a="1"/>
  <c r="DZ47" i="2" a="1"/>
  <c r="DZ47" i="2" s="1"/>
  <c r="DY47" i="2" a="1"/>
  <c r="DY47" i="2" s="1"/>
  <c r="DX47" i="2"/>
  <c r="DX47" i="2" a="1"/>
  <c r="DW47" i="2" a="1"/>
  <c r="DW47" i="2" s="1"/>
  <c r="DV47" i="2" a="1"/>
  <c r="DV47" i="2" s="1"/>
  <c r="DJ47" i="2" a="1"/>
  <c r="DJ47" i="2" s="1"/>
  <c r="DI47" i="2" a="1"/>
  <c r="DI47" i="2" s="1"/>
  <c r="CU47" i="2"/>
  <c r="CT47" i="2"/>
  <c r="CR47" i="2"/>
  <c r="CC47" i="2"/>
  <c r="EE47" i="2" s="1"/>
  <c r="W47" i="2"/>
  <c r="G47" i="2"/>
  <c r="D47" i="2"/>
  <c r="C47" i="2"/>
  <c r="FX46" i="2"/>
  <c r="EM46" i="2"/>
  <c r="EL46" i="2"/>
  <c r="EK46" i="2"/>
  <c r="EJ46" i="2"/>
  <c r="EB46" i="2"/>
  <c r="EB46" i="2" a="1"/>
  <c r="DZ46" i="2"/>
  <c r="DZ46" i="2" a="1"/>
  <c r="DY46" i="2"/>
  <c r="DY46" i="2" a="1"/>
  <c r="DX46" i="2"/>
  <c r="DX46" i="2" a="1"/>
  <c r="DW46" i="2" a="1"/>
  <c r="DW46" i="2" s="1"/>
  <c r="DV46" i="2" a="1"/>
  <c r="DV46" i="2" s="1"/>
  <c r="CC46" i="2" s="1"/>
  <c r="EE46" i="2" s="1"/>
  <c r="DJ46" i="2"/>
  <c r="DJ46" i="2" a="1"/>
  <c r="DI46" i="2"/>
  <c r="DI46" i="2" a="1"/>
  <c r="CU46" i="2"/>
  <c r="CT46" i="2"/>
  <c r="CR46" i="2"/>
  <c r="W46" i="2"/>
  <c r="G46" i="2"/>
  <c r="D46" i="2"/>
  <c r="C46" i="2"/>
  <c r="FX45" i="2"/>
  <c r="EM45" i="2"/>
  <c r="EL45" i="2"/>
  <c r="EK45" i="2"/>
  <c r="EJ45" i="2"/>
  <c r="EB45" i="2" a="1"/>
  <c r="EB45" i="2" s="1"/>
  <c r="DZ45" i="2" a="1"/>
  <c r="DZ45" i="2" s="1"/>
  <c r="DY45" i="2" a="1"/>
  <c r="DY45" i="2" s="1"/>
  <c r="DX45" i="2" a="1"/>
  <c r="DX45" i="2" s="1"/>
  <c r="DW45" i="2" a="1"/>
  <c r="DW45" i="2" s="1"/>
  <c r="DV45" i="2" a="1"/>
  <c r="DV45" i="2" s="1"/>
  <c r="CC45" i="2" s="1"/>
  <c r="EE45" i="2" s="1"/>
  <c r="DJ45" i="2" a="1"/>
  <c r="DJ45" i="2" s="1"/>
  <c r="DI45" i="2" a="1"/>
  <c r="DI45" i="2" s="1"/>
  <c r="CU45" i="2"/>
  <c r="CT45" i="2"/>
  <c r="CR45" i="2"/>
  <c r="W45" i="2"/>
  <c r="G45" i="2"/>
  <c r="D45" i="2"/>
  <c r="C45" i="2"/>
  <c r="FX44" i="2"/>
  <c r="EM44" i="2"/>
  <c r="EL44" i="2"/>
  <c r="EK44" i="2"/>
  <c r="EJ44" i="2"/>
  <c r="EB44" i="2"/>
  <c r="EB44" i="2" a="1"/>
  <c r="DZ44" i="2" a="1"/>
  <c r="DZ44" i="2" s="1"/>
  <c r="DY44" i="2"/>
  <c r="DY44" i="2" a="1"/>
  <c r="DX44" i="2"/>
  <c r="DX44" i="2" a="1"/>
  <c r="DW44" i="2"/>
  <c r="DW44" i="2" a="1"/>
  <c r="DV44" i="2" a="1"/>
  <c r="DV44" i="2" s="1"/>
  <c r="CC44" i="2" s="1"/>
  <c r="EE44" i="2" s="1"/>
  <c r="DJ44" i="2" a="1"/>
  <c r="DJ44" i="2" s="1"/>
  <c r="DI44" i="2" a="1"/>
  <c r="DI44" i="2" s="1"/>
  <c r="CU44" i="2"/>
  <c r="CT44" i="2"/>
  <c r="CR44" i="2"/>
  <c r="W44" i="2"/>
  <c r="G44" i="2"/>
  <c r="D44" i="2"/>
  <c r="C44" i="2"/>
  <c r="FX43" i="2"/>
  <c r="EM43" i="2"/>
  <c r="EL43" i="2"/>
  <c r="EK43" i="2"/>
  <c r="EJ43" i="2"/>
  <c r="EB43" i="2"/>
  <c r="EB43" i="2" a="1"/>
  <c r="DZ43" i="2" a="1"/>
  <c r="DZ43" i="2" s="1"/>
  <c r="DY43" i="2" a="1"/>
  <c r="DY43" i="2" s="1"/>
  <c r="DX43" i="2"/>
  <c r="DX43" i="2" a="1"/>
  <c r="DW43" i="2"/>
  <c r="DW43" i="2" a="1"/>
  <c r="DV43" i="2" a="1"/>
  <c r="DV43" i="2" s="1"/>
  <c r="CC43" i="2" s="1"/>
  <c r="EE43" i="2" s="1"/>
  <c r="DJ43" i="2"/>
  <c r="DJ43" i="2" a="1"/>
  <c r="DI43" i="2" a="1"/>
  <c r="DI43" i="2" s="1"/>
  <c r="CU43" i="2"/>
  <c r="CT43" i="2"/>
  <c r="CR43" i="2"/>
  <c r="W43" i="2"/>
  <c r="G43" i="2"/>
  <c r="D43" i="2"/>
  <c r="C43" i="2"/>
  <c r="FX42" i="2"/>
  <c r="EM42" i="2"/>
  <c r="EL42" i="2"/>
  <c r="EK42" i="2"/>
  <c r="EJ42" i="2"/>
  <c r="EB42" i="2" a="1"/>
  <c r="EB42" i="2" s="1"/>
  <c r="DZ42" i="2"/>
  <c r="DZ42" i="2" a="1"/>
  <c r="DY42" i="2" a="1"/>
  <c r="DY42" i="2" s="1"/>
  <c r="DX42" i="2" a="1"/>
  <c r="DX42" i="2" s="1"/>
  <c r="DW42" i="2" a="1"/>
  <c r="DW42" i="2" s="1"/>
  <c r="DV42" i="2"/>
  <c r="CC42" i="2" s="1"/>
  <c r="EE42" i="2" s="1"/>
  <c r="DV42" i="2" a="1"/>
  <c r="DJ42" i="2"/>
  <c r="DJ42" i="2" a="1"/>
  <c r="DI42" i="2" a="1"/>
  <c r="DI42" i="2" s="1"/>
  <c r="CU42" i="2"/>
  <c r="CT42" i="2"/>
  <c r="CR42" i="2"/>
  <c r="W42" i="2"/>
  <c r="G42" i="2"/>
  <c r="D42" i="2"/>
  <c r="C42" i="2"/>
  <c r="FX41" i="2"/>
  <c r="EM41" i="2"/>
  <c r="EL41" i="2"/>
  <c r="EK41" i="2"/>
  <c r="EJ41" i="2"/>
  <c r="EB41" i="2" a="1"/>
  <c r="EB41" i="2" s="1"/>
  <c r="DZ41" i="2"/>
  <c r="DZ41" i="2" a="1"/>
  <c r="DY41" i="2"/>
  <c r="DY41" i="2" a="1"/>
  <c r="DX41" i="2" a="1"/>
  <c r="DX41" i="2" s="1"/>
  <c r="DW41" i="2"/>
  <c r="DW41" i="2" a="1"/>
  <c r="DV41" i="2"/>
  <c r="CC41" i="2" s="1"/>
  <c r="EE41" i="2" s="1"/>
  <c r="DV41" i="2" a="1"/>
  <c r="DJ41" i="2"/>
  <c r="DJ41" i="2" a="1"/>
  <c r="DI41" i="2"/>
  <c r="DI41" i="2" a="1"/>
  <c r="CU41" i="2"/>
  <c r="CT41" i="2"/>
  <c r="CR41" i="2"/>
  <c r="W41" i="2"/>
  <c r="G41" i="2"/>
  <c r="D41" i="2"/>
  <c r="C41" i="2"/>
  <c r="FX40" i="2"/>
  <c r="EM40" i="2"/>
  <c r="EL40" i="2"/>
  <c r="EK40" i="2"/>
  <c r="EJ40" i="2"/>
  <c r="EB40" i="2" a="1"/>
  <c r="EB40" i="2" s="1"/>
  <c r="DZ40" i="2" a="1"/>
  <c r="DZ40" i="2" s="1"/>
  <c r="DY40" i="2"/>
  <c r="DY40" i="2" a="1"/>
  <c r="DX40" i="2" a="1"/>
  <c r="DX40" i="2" s="1"/>
  <c r="DW40" i="2" a="1"/>
  <c r="DW40" i="2" s="1"/>
  <c r="DV40" i="2" a="1"/>
  <c r="DV40" i="2" s="1"/>
  <c r="CC40" i="2" s="1"/>
  <c r="EE40" i="2" s="1"/>
  <c r="DJ40" i="2" a="1"/>
  <c r="DJ40" i="2" s="1"/>
  <c r="DI40" i="2"/>
  <c r="DI40" i="2" a="1"/>
  <c r="CU40" i="2"/>
  <c r="CT40" i="2"/>
  <c r="CR40" i="2"/>
  <c r="W40" i="2"/>
  <c r="G40" i="2"/>
  <c r="D40" i="2"/>
  <c r="C40" i="2"/>
  <c r="FX39" i="2"/>
  <c r="EM39" i="2"/>
  <c r="EL39" i="2"/>
  <c r="EK39" i="2"/>
  <c r="EJ39" i="2"/>
  <c r="EI39" i="2"/>
  <c r="EB39" i="2"/>
  <c r="EB39" i="2" a="1"/>
  <c r="DZ39" i="2"/>
  <c r="DZ39" i="2" a="1"/>
  <c r="DY39" i="2"/>
  <c r="DY39" i="2" a="1"/>
  <c r="DX39" i="2"/>
  <c r="DX39" i="2" a="1"/>
  <c r="DW39" i="2" a="1"/>
  <c r="DW39" i="2" s="1"/>
  <c r="DV39" i="2"/>
  <c r="DV39" i="2" a="1"/>
  <c r="DJ39" i="2"/>
  <c r="DJ39" i="2" a="1"/>
  <c r="DI39" i="2"/>
  <c r="DI39" i="2" a="1"/>
  <c r="CU39" i="2"/>
  <c r="CT39" i="2"/>
  <c r="CR39" i="2"/>
  <c r="CC39" i="2"/>
  <c r="EE39" i="2" s="1"/>
  <c r="W39" i="2"/>
  <c r="G39" i="2"/>
  <c r="D39" i="2"/>
  <c r="C39" i="2"/>
  <c r="FX38" i="2"/>
  <c r="EM38" i="2"/>
  <c r="EL38" i="2"/>
  <c r="EK38" i="2"/>
  <c r="EJ38" i="2"/>
  <c r="EB38" i="2"/>
  <c r="EB38" i="2" a="1"/>
  <c r="DZ38" i="2" a="1"/>
  <c r="DZ38" i="2" s="1"/>
  <c r="DY38" i="2" a="1"/>
  <c r="DY38" i="2" s="1"/>
  <c r="DX38" i="2"/>
  <c r="DX38" i="2" a="1"/>
  <c r="DW38" i="2" a="1"/>
  <c r="DW38" i="2" s="1"/>
  <c r="DV38" i="2" a="1"/>
  <c r="DV38" i="2" s="1"/>
  <c r="CC38" i="2" s="1"/>
  <c r="EE38" i="2" s="1"/>
  <c r="DJ38" i="2" a="1"/>
  <c r="DJ38" i="2" s="1"/>
  <c r="DI38" i="2" a="1"/>
  <c r="DI38" i="2" s="1"/>
  <c r="CU38" i="2"/>
  <c r="CT38" i="2"/>
  <c r="CR38" i="2"/>
  <c r="W38" i="2"/>
  <c r="G38" i="2"/>
  <c r="D38" i="2"/>
  <c r="C38" i="2"/>
  <c r="FX37" i="2"/>
  <c r="EM37" i="2"/>
  <c r="EL37" i="2"/>
  <c r="EK37" i="2"/>
  <c r="EJ37" i="2"/>
  <c r="EB37" i="2"/>
  <c r="EB37" i="2" a="1"/>
  <c r="DZ37" i="2"/>
  <c r="DZ37" i="2" a="1"/>
  <c r="DY37" i="2"/>
  <c r="DY37" i="2" a="1"/>
  <c r="DX37" i="2"/>
  <c r="DX37" i="2" a="1"/>
  <c r="DW37" i="2"/>
  <c r="DW37" i="2" a="1"/>
  <c r="DV37" i="2"/>
  <c r="CC37" i="2" s="1"/>
  <c r="EE37" i="2" s="1"/>
  <c r="DV37" i="2" a="1"/>
  <c r="DJ37" i="2"/>
  <c r="DJ37" i="2" a="1"/>
  <c r="DI37" i="2" a="1"/>
  <c r="DI37" i="2" s="1"/>
  <c r="CU37" i="2"/>
  <c r="CT37" i="2"/>
  <c r="CR37" i="2"/>
  <c r="W37" i="2"/>
  <c r="G37" i="2"/>
  <c r="D37" i="2"/>
  <c r="C37" i="2"/>
  <c r="FX36" i="2"/>
  <c r="EM36" i="2"/>
  <c r="EL36" i="2"/>
  <c r="EK36" i="2"/>
  <c r="EJ36" i="2"/>
  <c r="EB36" i="2" a="1"/>
  <c r="EB36" i="2" s="1"/>
  <c r="DZ36" i="2" a="1"/>
  <c r="DZ36" i="2" s="1"/>
  <c r="DY36" i="2" a="1"/>
  <c r="DY36" i="2" s="1"/>
  <c r="DX36" i="2" a="1"/>
  <c r="DX36" i="2" s="1"/>
  <c r="DW36" i="2"/>
  <c r="DW36" i="2" a="1"/>
  <c r="DV36" i="2" a="1"/>
  <c r="DV36" i="2" s="1"/>
  <c r="DJ36" i="2" a="1"/>
  <c r="DJ36" i="2" s="1"/>
  <c r="DI36" i="2" a="1"/>
  <c r="DI36" i="2" s="1"/>
  <c r="CU36" i="2"/>
  <c r="CT36" i="2"/>
  <c r="CR36" i="2"/>
  <c r="CC36" i="2"/>
  <c r="EE36" i="2" s="1"/>
  <c r="W36" i="2"/>
  <c r="G36" i="2"/>
  <c r="D36" i="2"/>
  <c r="C36" i="2"/>
  <c r="FX35" i="2"/>
  <c r="EM35" i="2"/>
  <c r="EL35" i="2"/>
  <c r="EK35" i="2"/>
  <c r="EJ35" i="2"/>
  <c r="EE35" i="2"/>
  <c r="EB35" i="2"/>
  <c r="EB35" i="2" a="1"/>
  <c r="DZ35" i="2"/>
  <c r="DZ35" i="2" a="1"/>
  <c r="DY35" i="2"/>
  <c r="DY35" i="2" a="1"/>
  <c r="DX35" i="2"/>
  <c r="DX35" i="2" a="1"/>
  <c r="DW35" i="2"/>
  <c r="DW35" i="2" a="1"/>
  <c r="DV35" i="2"/>
  <c r="DV35" i="2" a="1"/>
  <c r="DJ35" i="2"/>
  <c r="DJ35" i="2" a="1"/>
  <c r="DI35" i="2" a="1"/>
  <c r="DI35" i="2" s="1"/>
  <c r="CU35" i="2"/>
  <c r="CT35" i="2"/>
  <c r="CR35" i="2"/>
  <c r="CC35" i="2"/>
  <c r="W35" i="2"/>
  <c r="G35" i="2"/>
  <c r="D35" i="2"/>
  <c r="C35" i="2"/>
  <c r="FX34" i="2"/>
  <c r="EM34" i="2"/>
  <c r="EL34" i="2"/>
  <c r="EK34" i="2"/>
  <c r="EJ34" i="2"/>
  <c r="EI34" i="2"/>
  <c r="EB34" i="2" a="1"/>
  <c r="EB34" i="2" s="1"/>
  <c r="DZ34" i="2"/>
  <c r="DZ34" i="2" a="1"/>
  <c r="DY34" i="2" a="1"/>
  <c r="DY34" i="2" s="1"/>
  <c r="DX34" i="2"/>
  <c r="DX34" i="2" a="1"/>
  <c r="DW34" i="2" a="1"/>
  <c r="DW34" i="2" s="1"/>
  <c r="DV34" i="2"/>
  <c r="CC34" i="2" s="1"/>
  <c r="EE34" i="2" s="1"/>
  <c r="DV34" i="2" a="1"/>
  <c r="DJ34" i="2"/>
  <c r="DJ34" i="2" a="1"/>
  <c r="DI34" i="2" a="1"/>
  <c r="DI34" i="2" s="1"/>
  <c r="CU34" i="2"/>
  <c r="CT34" i="2"/>
  <c r="CR34" i="2"/>
  <c r="W34" i="2"/>
  <c r="G34" i="2"/>
  <c r="D34" i="2"/>
  <c r="C34" i="2"/>
  <c r="FX33" i="2"/>
  <c r="EM33" i="2"/>
  <c r="EL33" i="2"/>
  <c r="EK33" i="2"/>
  <c r="EJ33" i="2"/>
  <c r="EI33" i="2"/>
  <c r="EB33" i="2" a="1"/>
  <c r="EB33" i="2" s="1"/>
  <c r="DZ33" i="2"/>
  <c r="DZ33" i="2" a="1"/>
  <c r="DY33" i="2" a="1"/>
  <c r="DY33" i="2" s="1"/>
  <c r="DX33" i="2"/>
  <c r="DX33" i="2" a="1"/>
  <c r="DW33" i="2" a="1"/>
  <c r="DW33" i="2" s="1"/>
  <c r="DV33" i="2" a="1"/>
  <c r="DV33" i="2" s="1"/>
  <c r="CC33" i="2" s="1"/>
  <c r="EE33" i="2" s="1"/>
  <c r="DJ33" i="2" a="1"/>
  <c r="DJ33" i="2" s="1"/>
  <c r="DI33" i="2"/>
  <c r="DI33" i="2" a="1"/>
  <c r="CU33" i="2"/>
  <c r="CT33" i="2"/>
  <c r="CR33" i="2"/>
  <c r="W33" i="2"/>
  <c r="G33" i="2"/>
  <c r="D33" i="2"/>
  <c r="C33" i="2"/>
  <c r="FX32" i="2"/>
  <c r="EM32" i="2"/>
  <c r="EL32" i="2"/>
  <c r="EK32" i="2"/>
  <c r="EJ32" i="2"/>
  <c r="EB32" i="2" a="1"/>
  <c r="EB32" i="2" s="1"/>
  <c r="DZ32" i="2" a="1"/>
  <c r="DZ32" i="2" s="1"/>
  <c r="DY32" i="2"/>
  <c r="DY32" i="2" a="1"/>
  <c r="DX32" i="2" a="1"/>
  <c r="DX32" i="2" s="1"/>
  <c r="DW32" i="2" a="1"/>
  <c r="DW32" i="2" s="1"/>
  <c r="DV32" i="2" a="1"/>
  <c r="DV32" i="2" s="1"/>
  <c r="CC32" i="2" s="1"/>
  <c r="EE32" i="2" s="1"/>
  <c r="DJ32" i="2"/>
  <c r="DJ32" i="2" a="1"/>
  <c r="DI32" i="2"/>
  <c r="DI32" i="2" a="1"/>
  <c r="CU32" i="2"/>
  <c r="CT32" i="2"/>
  <c r="CR32" i="2"/>
  <c r="W32" i="2"/>
  <c r="G32" i="2"/>
  <c r="D32" i="2"/>
  <c r="C32" i="2"/>
  <c r="FX31" i="2"/>
  <c r="EM31" i="2"/>
  <c r="EL31" i="2"/>
  <c r="EK31" i="2"/>
  <c r="EJ31" i="2"/>
  <c r="EB31" i="2" a="1"/>
  <c r="EB31" i="2" s="1"/>
  <c r="DZ31" i="2" a="1"/>
  <c r="DZ31" i="2" s="1"/>
  <c r="DY31" i="2"/>
  <c r="DY31" i="2" a="1"/>
  <c r="DX31" i="2" a="1"/>
  <c r="DX31" i="2" s="1"/>
  <c r="DW31" i="2"/>
  <c r="DW31" i="2" a="1"/>
  <c r="DV31" i="2" a="1"/>
  <c r="DV31" i="2" s="1"/>
  <c r="CC31" i="2" s="1"/>
  <c r="EE31" i="2" s="1"/>
  <c r="DJ31" i="2" a="1"/>
  <c r="DJ31" i="2" s="1"/>
  <c r="DI31" i="2"/>
  <c r="DI31" i="2" a="1"/>
  <c r="DA31" i="2"/>
  <c r="DB31" i="2" s="1"/>
  <c r="CU31" i="2"/>
  <c r="CT31" i="2"/>
  <c r="CR31" i="2"/>
  <c r="W31" i="2"/>
  <c r="G31" i="2"/>
  <c r="D31" i="2"/>
  <c r="C31" i="2"/>
  <c r="M18" i="2"/>
  <c r="F6" i="2"/>
  <c r="E116" i="2" s="1"/>
  <c r="F10" i="2"/>
  <c r="H10" i="2"/>
  <c r="H1" i="2"/>
  <c r="F16" i="2"/>
  <c r="K1" i="2"/>
  <c r="M1" i="2"/>
  <c r="N1" i="2"/>
  <c r="O1" i="2"/>
  <c r="P1" i="2"/>
  <c r="Q1" i="2"/>
  <c r="R1" i="2"/>
  <c r="S1" i="2"/>
  <c r="T1" i="2"/>
  <c r="U1" i="2"/>
  <c r="V1" i="2"/>
  <c r="W1" i="2"/>
  <c r="BQ30" i="2"/>
  <c r="BR30" i="2"/>
  <c r="BS30" i="2"/>
  <c r="M10" i="2"/>
  <c r="BJ26" i="2" s="1"/>
  <c r="O17" i="2"/>
  <c r="CW139" i="2" s="1"/>
  <c r="F9" i="2"/>
  <c r="H9" i="2" s="1"/>
  <c r="BV32" i="2" s="1"/>
  <c r="M9" i="2"/>
  <c r="CC1" i="2"/>
  <c r="CD1" i="2"/>
  <c r="CF1" i="2"/>
  <c r="CG1" i="2"/>
  <c r="CO1" i="2"/>
  <c r="CP1" i="2"/>
  <c r="CQ1" i="2"/>
  <c r="CR1" i="2"/>
  <c r="CU1" i="2"/>
  <c r="CY139" i="2"/>
  <c r="CZ1" i="2"/>
  <c r="F14" i="2"/>
  <c r="DA40" i="2" s="1"/>
  <c r="DB40" i="2" s="1"/>
  <c r="DJ1" i="2"/>
  <c r="DL139" i="2"/>
  <c r="DW1" i="2"/>
  <c r="DX1" i="2"/>
  <c r="DY1" i="2"/>
  <c r="EB1" i="2"/>
  <c r="EE1" i="2"/>
  <c r="ER1" i="2"/>
  <c r="ES1" i="2"/>
  <c r="F5" i="2"/>
  <c r="M5" i="2"/>
  <c r="V5" i="2"/>
  <c r="F7" i="2"/>
  <c r="M7" i="2"/>
  <c r="F8" i="2"/>
  <c r="M8" i="2"/>
  <c r="N9" i="2"/>
  <c r="R9" i="2"/>
  <c r="V9" i="2"/>
  <c r="R10" i="2"/>
  <c r="V10" i="2"/>
  <c r="F11" i="2"/>
  <c r="M11" i="2"/>
  <c r="N11" i="2" s="1"/>
  <c r="BK26" i="2" s="1"/>
  <c r="R11" i="2"/>
  <c r="V11" i="2"/>
  <c r="W11" i="2"/>
  <c r="F12" i="2"/>
  <c r="M12" i="2"/>
  <c r="R12" i="2"/>
  <c r="V12" i="2"/>
  <c r="W12" i="2"/>
  <c r="F13" i="2"/>
  <c r="EI41" i="2" s="1"/>
  <c r="M13" i="2"/>
  <c r="BV25" i="2" s="1"/>
  <c r="R13" i="2"/>
  <c r="G14" i="2"/>
  <c r="M14" i="2"/>
  <c r="R14" i="2"/>
  <c r="V14" i="2"/>
  <c r="F15" i="2"/>
  <c r="M15" i="2"/>
  <c r="BH26" i="2" s="1"/>
  <c r="R15" i="2"/>
  <c r="V15" i="2"/>
  <c r="G16" i="2"/>
  <c r="M16" i="2"/>
  <c r="BV26" i="2" s="1"/>
  <c r="R16" i="2"/>
  <c r="F17" i="2"/>
  <c r="M17" i="2"/>
  <c r="BC26" i="2"/>
  <c r="R17" i="2"/>
  <c r="F18" i="2"/>
  <c r="G18" i="2"/>
  <c r="H18" i="2"/>
  <c r="P18" i="2"/>
  <c r="Q18" i="2"/>
  <c r="R18" i="2"/>
  <c r="S18" i="2"/>
  <c r="F19" i="2"/>
  <c r="G19" i="2"/>
  <c r="H19" i="2"/>
  <c r="P19" i="2"/>
  <c r="Q19" i="2"/>
  <c r="R19" i="2"/>
  <c r="S19" i="2"/>
  <c r="F20" i="2"/>
  <c r="G20" i="2"/>
  <c r="H20" i="2"/>
  <c r="M20" i="2"/>
  <c r="N20" i="2" s="1"/>
  <c r="P20" i="2"/>
  <c r="Q20" i="2"/>
  <c r="R20" i="2"/>
  <c r="S20" i="2"/>
  <c r="M21" i="2"/>
  <c r="N21" i="2"/>
  <c r="O21" i="2"/>
  <c r="P21" i="2"/>
  <c r="Q21" i="2"/>
  <c r="R21" i="2"/>
  <c r="S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V22" i="2"/>
  <c r="E25" i="2"/>
  <c r="EN114" i="2" a="1"/>
  <c r="EC114" i="2" a="1"/>
  <c r="EC112" i="2" a="1"/>
  <c r="CQ111" i="2" a="1"/>
  <c r="CP114" i="2" a="1"/>
  <c r="EN113" i="2" a="1"/>
  <c r="CO112" i="2" a="1"/>
  <c r="CQ113" i="2" a="1"/>
  <c r="CO114" i="2" a="1"/>
  <c r="EC111" i="2" a="1"/>
  <c r="CP113" i="2" a="1"/>
  <c r="EN112" i="2" a="1"/>
  <c r="CO111" i="2" a="1"/>
  <c r="EC113" i="2" a="1"/>
  <c r="CQ112" i="2" a="1"/>
  <c r="CQ114" i="2" a="1"/>
  <c r="EC110" i="2" a="1"/>
  <c r="CQ109" i="2" a="1"/>
  <c r="CP107" i="2" a="1"/>
  <c r="EN106" i="2" a="1"/>
  <c r="CP112" i="2" a="1"/>
  <c r="CO110" i="2" a="1"/>
  <c r="EC107" i="2" a="1"/>
  <c r="CO113" i="2" a="1"/>
  <c r="CP109" i="2" a="1"/>
  <c r="EN108" i="2" a="1"/>
  <c r="CO107" i="2" a="1"/>
  <c r="EC109" i="2" a="1"/>
  <c r="CQ108" i="2" a="1"/>
  <c r="CP111" i="2" a="1"/>
  <c r="EN110" i="2" a="1"/>
  <c r="CO109" i="2" a="1"/>
  <c r="EC106" i="2" a="1"/>
  <c r="CQ110" i="2" a="1"/>
  <c r="CP108" i="2" a="1"/>
  <c r="EN107" i="2" a="1"/>
  <c r="EN111" i="2" a="1"/>
  <c r="CP110" i="2" a="1"/>
  <c r="CP106" i="2" a="1"/>
  <c r="EN105" i="2" a="1"/>
  <c r="CO104" i="2" a="1"/>
  <c r="CQ107" i="2" a="1"/>
  <c r="CQ105" i="2" a="1"/>
  <c r="CP103" i="2" a="1"/>
  <c r="EN102" i="2" a="1"/>
  <c r="CO108" i="2" a="1"/>
  <c r="CO106" i="2" a="1"/>
  <c r="EC103" i="2" a="1"/>
  <c r="CQ102" i="2" a="1"/>
  <c r="CP105" i="2" a="1"/>
  <c r="EN104" i="2" a="1"/>
  <c r="CO103" i="2" a="1"/>
  <c r="EC105" i="2" a="1"/>
  <c r="CQ104" i="2" a="1"/>
  <c r="EC108" i="2" a="1"/>
  <c r="CO105" i="2" a="1"/>
  <c r="EC102" i="2" a="1"/>
  <c r="EC104" i="2" a="1"/>
  <c r="EN103" i="2" a="1"/>
  <c r="EC100" i="2" a="1"/>
  <c r="CQ99" i="2" a="1"/>
  <c r="EN101" i="2" a="1"/>
  <c r="CO100" i="2" a="1"/>
  <c r="EN109" i="2" a="1"/>
  <c r="CQ106" i="2" a="1"/>
  <c r="CP104" i="2" a="1"/>
  <c r="CQ103" i="2" a="1"/>
  <c r="CP102" i="2" a="1"/>
  <c r="CQ101" i="2" a="1"/>
  <c r="CP99" i="2" a="1"/>
  <c r="EN98" i="2" a="1"/>
  <c r="EC99" i="2" a="1"/>
  <c r="CO102" i="2" a="1"/>
  <c r="CP101" i="2" a="1"/>
  <c r="EN100" i="2" a="1"/>
  <c r="CO99" i="2" a="1"/>
  <c r="EC101" i="2" a="1"/>
  <c r="CQ100" i="2" a="1"/>
  <c r="CP100" i="2" a="1"/>
  <c r="EN99" i="2" a="1"/>
  <c r="CO98" i="2" a="1"/>
  <c r="CQ98" i="2" a="1"/>
  <c r="EC95" i="2" a="1"/>
  <c r="CQ94" i="2" a="1"/>
  <c r="CP92" i="2" a="1"/>
  <c r="EN91" i="2" a="1"/>
  <c r="CP97" i="2" a="1"/>
  <c r="EN96" i="2" a="1"/>
  <c r="CO95" i="2" a="1"/>
  <c r="EC92" i="2" a="1"/>
  <c r="CQ91" i="2" a="1"/>
  <c r="EC98" i="2" a="1"/>
  <c r="CP98" i="2" a="1"/>
  <c r="EC97" i="2" a="1"/>
  <c r="CQ96" i="2" a="1"/>
  <c r="CP94" i="2" a="1"/>
  <c r="EN93" i="2" a="1"/>
  <c r="CO92" i="2" a="1"/>
  <c r="CO97" i="2" a="1"/>
  <c r="EC94" i="2" a="1"/>
  <c r="CQ93" i="2" a="1"/>
  <c r="CP91" i="2" a="1"/>
  <c r="EN90" i="2" a="1"/>
  <c r="CP96" i="2" a="1"/>
  <c r="EN95" i="2" a="1"/>
  <c r="CO101" i="2" a="1"/>
  <c r="EC96" i="2" a="1"/>
  <c r="CQ95" i="2" a="1"/>
  <c r="CP93" i="2" a="1"/>
  <c r="EN92" i="2" a="1"/>
  <c r="CQ97" i="2" a="1"/>
  <c r="CP95" i="2" a="1"/>
  <c r="EN94" i="2" a="1"/>
  <c r="CO94" i="2" a="1"/>
  <c r="CQ90" i="2" a="1"/>
  <c r="EN89" i="2" a="1"/>
  <c r="CO88" i="2" a="1"/>
  <c r="EC85" i="2" a="1"/>
  <c r="CQ84" i="2" a="1"/>
  <c r="CP82" i="2" a="1"/>
  <c r="CQ89" i="2" a="1"/>
  <c r="CP87" i="2" a="1"/>
  <c r="EN86" i="2" a="1"/>
  <c r="CO85" i="2" a="1"/>
  <c r="EC93" i="2" a="1"/>
  <c r="EC90" i="2" a="1"/>
  <c r="CP90" i="2" a="1"/>
  <c r="EC87" i="2" a="1"/>
  <c r="CQ86" i="2" a="1"/>
  <c r="CP89" i="2" a="1"/>
  <c r="EN88" i="2" a="1"/>
  <c r="CO87" i="2" a="1"/>
  <c r="EC84" i="2" a="1"/>
  <c r="CQ83" i="2" a="1"/>
  <c r="CO91" i="2" a="1"/>
  <c r="CO90" i="2" a="1"/>
  <c r="EC89" i="2" a="1"/>
  <c r="CO96" i="2" a="1"/>
  <c r="EC91" i="2" a="1"/>
  <c r="CO89" i="2" a="1"/>
  <c r="EC86" i="2" a="1"/>
  <c r="CQ85" i="2" a="1"/>
  <c r="CP83" i="2" a="1"/>
  <c r="EN82" i="2" a="1"/>
  <c r="CO93" i="2" a="1"/>
  <c r="EC88" i="2" a="1"/>
  <c r="CQ87" i="2" a="1"/>
  <c r="CP85" i="2" a="1"/>
  <c r="EN84" i="2" a="1"/>
  <c r="CO83" i="2" a="1"/>
  <c r="CQ92" i="2" a="1"/>
  <c r="EC82" i="2" a="1"/>
  <c r="EC79" i="2" a="1"/>
  <c r="CQ78" i="2" a="1"/>
  <c r="CP76" i="2" a="1"/>
  <c r="EN75" i="2" a="1"/>
  <c r="EN85" i="2" a="1"/>
  <c r="EN83" i="2" a="1"/>
  <c r="EC83" i="2" a="1"/>
  <c r="CQ82" i="2" a="1"/>
  <c r="CP81" i="2" a="1"/>
  <c r="EN80" i="2" a="1"/>
  <c r="CO79" i="2" a="1"/>
  <c r="EC76" i="2" a="1"/>
  <c r="CQ75" i="2" a="1"/>
  <c r="EN87" i="2" a="1"/>
  <c r="EC81" i="2" a="1"/>
  <c r="CQ80" i="2" a="1"/>
  <c r="CP78" i="2" a="1"/>
  <c r="EN77" i="2" a="1"/>
  <c r="CQ88" i="2" a="1"/>
  <c r="CP84" i="2" a="1"/>
  <c r="CO82" i="2" a="1"/>
  <c r="CO81" i="2" a="1"/>
  <c r="EC78" i="2" a="1"/>
  <c r="CQ77" i="2" a="1"/>
  <c r="CP75" i="2" a="1"/>
  <c r="EN74" i="2" a="1"/>
  <c r="CP88" i="2" a="1"/>
  <c r="CP86" i="2" a="1"/>
  <c r="CO84" i="2" a="1"/>
  <c r="CP80" i="2" a="1"/>
  <c r="EN79" i="2" a="1"/>
  <c r="CO78" i="2" a="1"/>
  <c r="EC75" i="2" a="1"/>
  <c r="EN97" i="2" a="1"/>
  <c r="CO86" i="2" a="1"/>
  <c r="EC80" i="2" a="1"/>
  <c r="CQ79" i="2" a="1"/>
  <c r="CP77" i="2" a="1"/>
  <c r="EN76" i="2" a="1"/>
  <c r="CO75" i="2" a="1"/>
  <c r="CQ81" i="2" a="1"/>
  <c r="CP79" i="2" a="1"/>
  <c r="EN78" i="2" a="1"/>
  <c r="CO77" i="2" a="1"/>
  <c r="EC74" i="2" a="1"/>
  <c r="EC77" i="2" a="1"/>
  <c r="CP74" i="2" a="1"/>
  <c r="EC73" i="2" a="1"/>
  <c r="CP72" i="2" a="1"/>
  <c r="EN71" i="2" a="1"/>
  <c r="CO70" i="2" a="1"/>
  <c r="EC67" i="2" a="1"/>
  <c r="CQ66" i="2" a="1"/>
  <c r="EC72" i="2" a="1"/>
  <c r="CQ71" i="2" a="1"/>
  <c r="CP69" i="2" a="1"/>
  <c r="EN68" i="2" a="1"/>
  <c r="CO67" i="2" a="1"/>
  <c r="CO74" i="2" a="1"/>
  <c r="CO72" i="2" a="1"/>
  <c r="EC69" i="2" a="1"/>
  <c r="CQ68" i="2" a="1"/>
  <c r="CQ73" i="2" a="1"/>
  <c r="CP71" i="2" a="1"/>
  <c r="EN70" i="2" a="1"/>
  <c r="CO69" i="2" a="1"/>
  <c r="EC66" i="2" a="1"/>
  <c r="EC71" i="2" a="1"/>
  <c r="CQ70" i="2" a="1"/>
  <c r="CP68" i="2" a="1"/>
  <c r="EN67" i="2" a="1"/>
  <c r="CO66" i="2" a="1"/>
  <c r="CO73" i="2" a="1"/>
  <c r="EC70" i="2" a="1"/>
  <c r="CQ69" i="2" a="1"/>
  <c r="CP67" i="2" a="1"/>
  <c r="EN66" i="2" a="1"/>
  <c r="CO65" i="2" a="1"/>
  <c r="CO71" i="2" a="1"/>
  <c r="CO64" i="2" a="1"/>
  <c r="EC61" i="2" a="1"/>
  <c r="CQ60" i="2" a="1"/>
  <c r="CP58" i="2" a="1"/>
  <c r="EN57" i="2" a="1"/>
  <c r="EC68" i="2" a="1"/>
  <c r="CP65" i="2" a="1"/>
  <c r="CP63" i="2" a="1"/>
  <c r="EN62" i="2" a="1"/>
  <c r="CO61" i="2" a="1"/>
  <c r="EC58" i="2" a="1"/>
  <c r="CQ57" i="2" a="1"/>
  <c r="CQ76" i="2" a="1"/>
  <c r="CQ74" i="2" a="1"/>
  <c r="EC63" i="2" a="1"/>
  <c r="CQ62" i="2" a="1"/>
  <c r="CP60" i="2" a="1"/>
  <c r="EN59" i="2" a="1"/>
  <c r="CO58" i="2" a="1"/>
  <c r="CO76" i="2" a="1"/>
  <c r="EN72" i="2" a="1"/>
  <c r="EN69" i="2" a="1"/>
  <c r="EN64" i="2" a="1"/>
  <c r="CO63" i="2" a="1"/>
  <c r="EC60" i="2" a="1"/>
  <c r="CQ59" i="2" a="1"/>
  <c r="CQ67" i="2" a="1"/>
  <c r="CQ64" i="2" a="1"/>
  <c r="CP62" i="2" a="1"/>
  <c r="EN61" i="2" a="1"/>
  <c r="CO60" i="2" a="1"/>
  <c r="EC57" i="2" a="1"/>
  <c r="CO80" i="2" a="1"/>
  <c r="CP73" i="2" a="1"/>
  <c r="CP70" i="2" a="1"/>
  <c r="EN65" i="2" a="1"/>
  <c r="EC62" i="2" a="1"/>
  <c r="CQ61" i="2" a="1"/>
  <c r="CP59" i="2" a="1"/>
  <c r="EN58" i="2" a="1"/>
  <c r="EN81" i="2" a="1"/>
  <c r="CQ72" i="2" a="1"/>
  <c r="EC65" i="2" a="1"/>
  <c r="CP64" i="2" a="1"/>
  <c r="EN60" i="2" a="1"/>
  <c r="CO59" i="2" a="1"/>
  <c r="CQ56" i="2" a="1"/>
  <c r="CP54" i="2" a="1"/>
  <c r="EN53" i="2" a="1"/>
  <c r="CO52" i="2" a="1"/>
  <c r="CQ58" i="2" a="1"/>
  <c r="EC54" i="2" a="1"/>
  <c r="CQ53" i="2" a="1"/>
  <c r="CP51" i="2" a="1"/>
  <c r="EN50" i="2" a="1"/>
  <c r="CO49" i="2" a="1"/>
  <c r="CP66" i="2" a="1"/>
  <c r="CP61" i="2" a="1"/>
  <c r="CP56" i="2" a="1"/>
  <c r="EN55" i="2" a="1"/>
  <c r="CO54" i="2" a="1"/>
  <c r="EC51" i="2" a="1"/>
  <c r="EC56" i="2" a="1"/>
  <c r="CQ55" i="2" a="1"/>
  <c r="CP53" i="2" a="1"/>
  <c r="EN52" i="2" a="1"/>
  <c r="CO51" i="2" a="1"/>
  <c r="CQ63" i="2" a="1"/>
  <c r="CO62" i="2" a="1"/>
  <c r="CO56" i="2" a="1"/>
  <c r="EC53" i="2" a="1"/>
  <c r="CQ52" i="2" a="1"/>
  <c r="CP50" i="2" a="1"/>
  <c r="EN73" i="2" a="1"/>
  <c r="EC59" i="2" a="1"/>
  <c r="CP57" i="2" a="1"/>
  <c r="CP55" i="2" a="1"/>
  <c r="EN54" i="2" a="1"/>
  <c r="CO53" i="2" a="1"/>
  <c r="EC50" i="2" a="1"/>
  <c r="EC64" i="2" a="1"/>
  <c r="EN56" i="2" a="1"/>
  <c r="CO55" i="2" a="1"/>
  <c r="EC52" i="2" a="1"/>
  <c r="CQ51" i="2" a="1"/>
  <c r="EC48" i="2" a="1"/>
  <c r="CQ47" i="2" a="1"/>
  <c r="CP45" i="2" a="1"/>
  <c r="EN44" i="2" a="1"/>
  <c r="CO43" i="2" a="1"/>
  <c r="CQ65" i="2" a="1"/>
  <c r="EN63" i="2" a="1"/>
  <c r="CO48" i="2" a="1"/>
  <c r="EC45" i="2" a="1"/>
  <c r="CQ44" i="2" a="1"/>
  <c r="EC55" i="2" a="1"/>
  <c r="EN51" i="2" a="1"/>
  <c r="CP47" i="2" a="1"/>
  <c r="EN46" i="2" a="1"/>
  <c r="CO45" i="2" a="1"/>
  <c r="CO57" i="2" a="1"/>
  <c r="EC47" i="2" a="1"/>
  <c r="CO68" i="2" a="1"/>
  <c r="CP52" i="2" a="1"/>
  <c r="EC49" i="2" a="1"/>
  <c r="CQ48" i="2" a="1"/>
  <c r="CQ54" i="2" a="1"/>
  <c r="CQ50" i="2" a="1"/>
  <c r="CP49" i="2" a="1"/>
  <c r="EC46" i="2" a="1"/>
  <c r="CO50" i="2" a="1"/>
  <c r="CO47" i="2" a="1"/>
  <c r="CO46" i="2" a="1"/>
  <c r="CQ45" i="2" a="1"/>
  <c r="EC40" i="2" a="1"/>
  <c r="CQ39" i="2" a="1"/>
  <c r="CP37" i="2" a="1"/>
  <c r="EN36" i="2" a="1"/>
  <c r="CO35" i="2" a="1"/>
  <c r="EC32" i="2" a="1"/>
  <c r="CQ49" i="2" a="1"/>
  <c r="EN47" i="2" a="1"/>
  <c r="EC44" i="2" a="1"/>
  <c r="CQ43" i="2" a="1"/>
  <c r="CP42" i="2" a="1"/>
  <c r="EN41" i="2" a="1"/>
  <c r="CO40" i="2" a="1"/>
  <c r="EC37" i="2" a="1"/>
  <c r="CQ36" i="2" a="1"/>
  <c r="CP34" i="2" a="1"/>
  <c r="EN33" i="2" a="1"/>
  <c r="EN43" i="2" a="1"/>
  <c r="EC42" i="2" a="1"/>
  <c r="CQ41" i="2" a="1"/>
  <c r="CP44" i="2" a="1"/>
  <c r="CP43" i="2" a="1"/>
  <c r="CO42" i="2" a="1"/>
  <c r="EC39" i="2" a="1"/>
  <c r="CQ38" i="2" a="1"/>
  <c r="CP36" i="2" a="1"/>
  <c r="EN35" i="2" a="1"/>
  <c r="CP48" i="2" a="1"/>
  <c r="EC43" i="2" a="1"/>
  <c r="CP41" i="2" a="1"/>
  <c r="EN40" i="2" a="1"/>
  <c r="EN48" i="2" a="1"/>
  <c r="CQ46" i="2" a="1"/>
  <c r="CO44" i="2" a="1"/>
  <c r="EC41" i="2" a="1"/>
  <c r="CQ40" i="2" a="1"/>
  <c r="CP38" i="2" a="1"/>
  <c r="EN37" i="2" a="1"/>
  <c r="CO36" i="2" a="1"/>
  <c r="CP40" i="2" a="1"/>
  <c r="EC34" i="2" a="1"/>
  <c r="CQ34" i="2" a="1"/>
  <c r="CP33" i="2" a="1"/>
  <c r="EN32" i="2" a="1"/>
  <c r="CP31" i="2" a="1"/>
  <c r="CO38" i="2" a="1"/>
  <c r="EC33" i="2" a="1"/>
  <c r="EC31" i="2" a="1"/>
  <c r="CO41" i="2" a="1"/>
  <c r="EN38" i="2" a="1"/>
  <c r="EC38" i="2" a="1"/>
  <c r="CQ32" i="2" a="1"/>
  <c r="EN45" i="2" a="1"/>
  <c r="CQ37" i="2" a="1"/>
  <c r="EC36" i="2" a="1"/>
  <c r="CO34" i="2" a="1"/>
  <c r="CO33" i="2" a="1"/>
  <c r="CO31" i="2" a="1"/>
  <c r="EN49" i="2" a="1"/>
  <c r="CP46" i="2" a="1"/>
  <c r="CP39" i="2" a="1"/>
  <c r="CP32" i="2" a="1"/>
  <c r="EN31" i="2" a="1"/>
  <c r="CQ42" i="2" a="1"/>
  <c r="EN39" i="2" a="1"/>
  <c r="CO39" i="2" a="1"/>
  <c r="EC35" i="2" a="1"/>
  <c r="CP35" i="2" a="1"/>
  <c r="EN34" i="2" a="1"/>
  <c r="CQ33" i="2" a="1"/>
  <c r="CO32" i="2" a="1"/>
  <c r="CQ31" i="2" a="1"/>
  <c r="CO37" i="2" a="1"/>
  <c r="CQ35" i="2" a="1"/>
  <c r="EN42" i="2" a="1"/>
  <c r="X29" i="2" a="1"/>
  <c r="EN42" i="2" l="1"/>
  <c r="CQ35" i="2"/>
  <c r="CO37" i="2"/>
  <c r="CQ31" i="2"/>
  <c r="CO32" i="2"/>
  <c r="CQ33" i="2"/>
  <c r="EN34" i="2"/>
  <c r="CP35" i="2"/>
  <c r="EC35" i="2"/>
  <c r="CO39" i="2"/>
  <c r="EN39" i="2"/>
  <c r="CQ42" i="2"/>
  <c r="EN31" i="2"/>
  <c r="CP32" i="2"/>
  <c r="CP39" i="2"/>
  <c r="CP46" i="2"/>
  <c r="EN49" i="2"/>
  <c r="CO31" i="2"/>
  <c r="CO33" i="2"/>
  <c r="CO34" i="2"/>
  <c r="EC36" i="2"/>
  <c r="CQ37" i="2"/>
  <c r="EN45" i="2"/>
  <c r="CQ32" i="2"/>
  <c r="EC38" i="2"/>
  <c r="EN38" i="2"/>
  <c r="CO41" i="2"/>
  <c r="EC31" i="2"/>
  <c r="EC33" i="2"/>
  <c r="CO38" i="2"/>
  <c r="CP31" i="2"/>
  <c r="EN32" i="2"/>
  <c r="CP33" i="2"/>
  <c r="CQ34" i="2"/>
  <c r="EC34" i="2"/>
  <c r="CP40" i="2"/>
  <c r="CO36" i="2"/>
  <c r="EN37" i="2"/>
  <c r="CP38" i="2"/>
  <c r="CQ40" i="2"/>
  <c r="EC41" i="2"/>
  <c r="CO44" i="2"/>
  <c r="CQ46" i="2"/>
  <c r="EN48" i="2"/>
  <c r="EN40" i="2"/>
  <c r="CP41" i="2"/>
  <c r="EC43" i="2"/>
  <c r="CP48" i="2"/>
  <c r="EN35" i="2"/>
  <c r="CP36" i="2"/>
  <c r="CQ38" i="2"/>
  <c r="EC39" i="2"/>
  <c r="CO42" i="2"/>
  <c r="CP43" i="2"/>
  <c r="CP44" i="2"/>
  <c r="CQ41" i="2"/>
  <c r="EC42" i="2"/>
  <c r="EN43" i="2"/>
  <c r="EN33" i="2"/>
  <c r="CP34" i="2"/>
  <c r="CQ36" i="2"/>
  <c r="EC37" i="2"/>
  <c r="CO40" i="2"/>
  <c r="EN41" i="2"/>
  <c r="CP42" i="2"/>
  <c r="CQ43" i="2"/>
  <c r="EC44" i="2"/>
  <c r="EN47" i="2"/>
  <c r="CQ49" i="2"/>
  <c r="EC32" i="2"/>
  <c r="CO35" i="2"/>
  <c r="EN36" i="2"/>
  <c r="CP37" i="2"/>
  <c r="CQ39" i="2"/>
  <c r="EC40" i="2"/>
  <c r="CQ45" i="2"/>
  <c r="CO46" i="2"/>
  <c r="CO47" i="2"/>
  <c r="CO50" i="2"/>
  <c r="EC46" i="2"/>
  <c r="CP49" i="2"/>
  <c r="CQ50" i="2"/>
  <c r="CQ54" i="2"/>
  <c r="CQ48" i="2"/>
  <c r="EC49" i="2"/>
  <c r="CP52" i="2"/>
  <c r="CO68" i="2"/>
  <c r="EC47" i="2"/>
  <c r="CO57" i="2"/>
  <c r="CO45" i="2"/>
  <c r="EN46" i="2"/>
  <c r="CP47" i="2"/>
  <c r="EN51" i="2"/>
  <c r="EC55" i="2"/>
  <c r="CQ44" i="2"/>
  <c r="EC45" i="2"/>
  <c r="CO48" i="2"/>
  <c r="EN63" i="2"/>
  <c r="CQ65" i="2"/>
  <c r="CO43" i="2"/>
  <c r="EN44" i="2"/>
  <c r="CP45" i="2"/>
  <c r="CQ47" i="2"/>
  <c r="EC48" i="2"/>
  <c r="CQ51" i="2"/>
  <c r="EC52" i="2"/>
  <c r="CO55" i="2"/>
  <c r="EN56" i="2"/>
  <c r="EC64" i="2"/>
  <c r="EC50" i="2"/>
  <c r="CO53" i="2"/>
  <c r="EN54" i="2"/>
  <c r="CP55" i="2"/>
  <c r="CP57" i="2"/>
  <c r="EC59" i="2"/>
  <c r="EN73" i="2"/>
  <c r="CP50" i="2"/>
  <c r="CQ52" i="2"/>
  <c r="EC53" i="2"/>
  <c r="CO56" i="2"/>
  <c r="CO62" i="2"/>
  <c r="CQ63" i="2"/>
  <c r="CO51" i="2"/>
  <c r="EN52" i="2"/>
  <c r="CP53" i="2"/>
  <c r="CQ55" i="2"/>
  <c r="EC56" i="2"/>
  <c r="EC51" i="2"/>
  <c r="CO54" i="2"/>
  <c r="EN55" i="2"/>
  <c r="CP56" i="2"/>
  <c r="CP61" i="2"/>
  <c r="CP66" i="2"/>
  <c r="CO49" i="2"/>
  <c r="EN50" i="2"/>
  <c r="CP51" i="2"/>
  <c r="CQ53" i="2"/>
  <c r="EC54" i="2"/>
  <c r="CQ58" i="2"/>
  <c r="CO52" i="2"/>
  <c r="EN53" i="2"/>
  <c r="CP54" i="2"/>
  <c r="CQ56" i="2"/>
  <c r="CO59" i="2"/>
  <c r="EN60" i="2"/>
  <c r="CP64" i="2"/>
  <c r="EC65" i="2"/>
  <c r="CQ72" i="2"/>
  <c r="EN81" i="2"/>
  <c r="EN58" i="2"/>
  <c r="CP59" i="2"/>
  <c r="CQ61" i="2"/>
  <c r="EC62" i="2"/>
  <c r="EN65" i="2"/>
  <c r="CP70" i="2"/>
  <c r="CP73" i="2"/>
  <c r="CO80" i="2"/>
  <c r="EC57" i="2"/>
  <c r="CO60" i="2"/>
  <c r="EN61" i="2"/>
  <c r="CP62" i="2"/>
  <c r="CQ64" i="2"/>
  <c r="CQ67" i="2"/>
  <c r="CQ59" i="2"/>
  <c r="EC60" i="2"/>
  <c r="CO63" i="2"/>
  <c r="EN64" i="2"/>
  <c r="EN69" i="2"/>
  <c r="EN72" i="2"/>
  <c r="CO76" i="2"/>
  <c r="CO58" i="2"/>
  <c r="EN59" i="2"/>
  <c r="CP60" i="2"/>
  <c r="CQ62" i="2"/>
  <c r="EC63" i="2"/>
  <c r="CQ74" i="2"/>
  <c r="CQ76" i="2"/>
  <c r="CQ57" i="2"/>
  <c r="EC58" i="2"/>
  <c r="CO61" i="2"/>
  <c r="EN62" i="2"/>
  <c r="CP63" i="2"/>
  <c r="CP65" i="2"/>
  <c r="EC68" i="2"/>
  <c r="EN57" i="2"/>
  <c r="CP58" i="2"/>
  <c r="CQ60" i="2"/>
  <c r="EC61" i="2"/>
  <c r="CO64" i="2"/>
  <c r="CO71" i="2"/>
  <c r="CO65" i="2"/>
  <c r="EN66" i="2"/>
  <c r="CP67" i="2"/>
  <c r="CQ69" i="2"/>
  <c r="EC70" i="2"/>
  <c r="CO73" i="2"/>
  <c r="CO66" i="2"/>
  <c r="EN67" i="2"/>
  <c r="CP68" i="2"/>
  <c r="CQ70" i="2"/>
  <c r="EC71" i="2"/>
  <c r="EC66" i="2"/>
  <c r="CO69" i="2"/>
  <c r="EN70" i="2"/>
  <c r="CP71" i="2"/>
  <c r="CQ73" i="2"/>
  <c r="CQ68" i="2"/>
  <c r="EC69" i="2"/>
  <c r="CO72" i="2"/>
  <c r="CO74" i="2"/>
  <c r="CO67" i="2"/>
  <c r="EN68" i="2"/>
  <c r="CP69" i="2"/>
  <c r="CQ71" i="2"/>
  <c r="EC72" i="2"/>
  <c r="CQ66" i="2"/>
  <c r="EC67" i="2"/>
  <c r="CO70" i="2"/>
  <c r="EN71" i="2"/>
  <c r="CP72" i="2"/>
  <c r="EC73" i="2"/>
  <c r="CP74" i="2"/>
  <c r="EC77" i="2"/>
  <c r="EC74" i="2"/>
  <c r="CO77" i="2"/>
  <c r="EN78" i="2"/>
  <c r="CP79" i="2"/>
  <c r="CQ81" i="2"/>
  <c r="CO75" i="2"/>
  <c r="EN76" i="2"/>
  <c r="CP77" i="2"/>
  <c r="CQ79" i="2"/>
  <c r="EC80" i="2"/>
  <c r="CO86" i="2"/>
  <c r="EN97" i="2"/>
  <c r="EC75" i="2"/>
  <c r="CO78" i="2"/>
  <c r="EN79" i="2"/>
  <c r="CP80" i="2"/>
  <c r="CO84" i="2"/>
  <c r="CP86" i="2"/>
  <c r="CP88" i="2"/>
  <c r="EN74" i="2"/>
  <c r="CP75" i="2"/>
  <c r="CQ77" i="2"/>
  <c r="EC78" i="2"/>
  <c r="CO81" i="2"/>
  <c r="CO82" i="2"/>
  <c r="CP84" i="2"/>
  <c r="CQ88" i="2"/>
  <c r="EN77" i="2"/>
  <c r="CP78" i="2"/>
  <c r="CQ80" i="2"/>
  <c r="EC81" i="2"/>
  <c r="EN87" i="2"/>
  <c r="CQ75" i="2"/>
  <c r="EC76" i="2"/>
  <c r="CO79" i="2"/>
  <c r="EN80" i="2"/>
  <c r="CP81" i="2"/>
  <c r="CQ82" i="2"/>
  <c r="EC83" i="2"/>
  <c r="EN83" i="2"/>
  <c r="EN85" i="2"/>
  <c r="EN75" i="2"/>
  <c r="CP76" i="2"/>
  <c r="CQ78" i="2"/>
  <c r="EC79" i="2"/>
  <c r="EC82" i="2"/>
  <c r="CQ92" i="2"/>
  <c r="CO83" i="2"/>
  <c r="EN84" i="2"/>
  <c r="CP85" i="2"/>
  <c r="CQ87" i="2"/>
  <c r="EC88" i="2"/>
  <c r="CO93" i="2"/>
  <c r="EN82" i="2"/>
  <c r="CP83" i="2"/>
  <c r="CQ85" i="2"/>
  <c r="EC86" i="2"/>
  <c r="CO89" i="2"/>
  <c r="EC91" i="2"/>
  <c r="CO96" i="2"/>
  <c r="EC89" i="2"/>
  <c r="CO90" i="2"/>
  <c r="CO91" i="2"/>
  <c r="CQ83" i="2"/>
  <c r="EC84" i="2"/>
  <c r="CO87" i="2"/>
  <c r="EN88" i="2"/>
  <c r="CP89" i="2"/>
  <c r="CQ86" i="2"/>
  <c r="EC87" i="2"/>
  <c r="CP90" i="2"/>
  <c r="EC90" i="2"/>
  <c r="EC93" i="2"/>
  <c r="CO85" i="2"/>
  <c r="EN86" i="2"/>
  <c r="CP87" i="2"/>
  <c r="CQ89" i="2"/>
  <c r="CP82" i="2"/>
  <c r="CQ84" i="2"/>
  <c r="EC85" i="2"/>
  <c r="CO88" i="2"/>
  <c r="EN89" i="2"/>
  <c r="CQ90" i="2"/>
  <c r="CO94" i="2"/>
  <c r="EN94" i="2"/>
  <c r="CP95" i="2"/>
  <c r="CQ97" i="2"/>
  <c r="EN92" i="2"/>
  <c r="CP93" i="2"/>
  <c r="CQ95" i="2"/>
  <c r="EC96" i="2"/>
  <c r="CO101" i="2"/>
  <c r="EN95" i="2"/>
  <c r="CP96" i="2"/>
  <c r="EN90" i="2"/>
  <c r="CP91" i="2"/>
  <c r="CQ93" i="2"/>
  <c r="EC94" i="2"/>
  <c r="CO97" i="2"/>
  <c r="CO92" i="2"/>
  <c r="EN93" i="2"/>
  <c r="CP94" i="2"/>
  <c r="CQ96" i="2"/>
  <c r="EC97" i="2"/>
  <c r="CP98" i="2"/>
  <c r="EC98" i="2"/>
  <c r="CQ91" i="2"/>
  <c r="EC92" i="2"/>
  <c r="CO95" i="2"/>
  <c r="EN96" i="2"/>
  <c r="CP97" i="2"/>
  <c r="EN91" i="2"/>
  <c r="CP92" i="2"/>
  <c r="CQ94" i="2"/>
  <c r="EC95" i="2"/>
  <c r="CQ98" i="2"/>
  <c r="CO98" i="2"/>
  <c r="EN99" i="2"/>
  <c r="CP100" i="2"/>
  <c r="CQ100" i="2"/>
  <c r="EC101" i="2"/>
  <c r="CO99" i="2"/>
  <c r="EN100" i="2"/>
  <c r="CP101" i="2"/>
  <c r="CO102" i="2"/>
  <c r="EC99" i="2"/>
  <c r="EN98" i="2"/>
  <c r="CP99" i="2"/>
  <c r="CQ101" i="2"/>
  <c r="CP102" i="2"/>
  <c r="CQ103" i="2"/>
  <c r="CP104" i="2"/>
  <c r="CQ106" i="2"/>
  <c r="EN109" i="2"/>
  <c r="CO100" i="2"/>
  <c r="EN101" i="2"/>
  <c r="CQ99" i="2"/>
  <c r="EC100" i="2"/>
  <c r="EN103" i="2"/>
  <c r="EC104" i="2"/>
  <c r="EC102" i="2"/>
  <c r="CO105" i="2"/>
  <c r="EC108" i="2"/>
  <c r="CQ104" i="2"/>
  <c r="EC105" i="2"/>
  <c r="CO103" i="2"/>
  <c r="EN104" i="2"/>
  <c r="CP105" i="2"/>
  <c r="CQ102" i="2"/>
  <c r="EC103" i="2"/>
  <c r="CO106" i="2"/>
  <c r="CO108" i="2"/>
  <c r="EN102" i="2"/>
  <c r="CP103" i="2"/>
  <c r="CQ105" i="2"/>
  <c r="CQ107" i="2"/>
  <c r="CO104" i="2"/>
  <c r="EN105" i="2"/>
  <c r="CP106" i="2"/>
  <c r="CP110" i="2"/>
  <c r="EN111" i="2"/>
  <c r="EN107" i="2"/>
  <c r="CP108" i="2"/>
  <c r="CQ110" i="2"/>
  <c r="EC106" i="2"/>
  <c r="CO109" i="2"/>
  <c r="EN110" i="2"/>
  <c r="CP111" i="2"/>
  <c r="CQ108" i="2"/>
  <c r="EC109" i="2"/>
  <c r="CO107" i="2"/>
  <c r="EN108" i="2"/>
  <c r="CP109" i="2"/>
  <c r="CO113" i="2"/>
  <c r="EC107" i="2"/>
  <c r="CO110" i="2"/>
  <c r="CP112" i="2"/>
  <c r="EN106" i="2"/>
  <c r="CP107" i="2"/>
  <c r="CQ109" i="2"/>
  <c r="EC110" i="2"/>
  <c r="CQ114" i="2"/>
  <c r="CQ112" i="2"/>
  <c r="EC113" i="2"/>
  <c r="CO111" i="2"/>
  <c r="EN112" i="2"/>
  <c r="CP113" i="2"/>
  <c r="EC111" i="2"/>
  <c r="CO114" i="2"/>
  <c r="CQ113" i="2"/>
  <c r="CO112" i="2"/>
  <c r="EN113" i="2"/>
  <c r="CP114" i="2"/>
  <c r="CQ111" i="2"/>
  <c r="EC112" i="2"/>
  <c r="EC114" i="2"/>
  <c r="EN114" i="2"/>
  <c r="BL26" i="2"/>
  <c r="BV23" i="2"/>
  <c r="BE26" i="2"/>
  <c r="BV112" i="2"/>
  <c r="BV114" i="2"/>
  <c r="BV108" i="2"/>
  <c r="BV113" i="2"/>
  <c r="BV110" i="2"/>
  <c r="BV111" i="2"/>
  <c r="BV107" i="2"/>
  <c r="BV109" i="2"/>
  <c r="BV104" i="2"/>
  <c r="BV106" i="2"/>
  <c r="BV100" i="2"/>
  <c r="BV105" i="2"/>
  <c r="BV103" i="2"/>
  <c r="BV102" i="2"/>
  <c r="BV99" i="2"/>
  <c r="BV101" i="2"/>
  <c r="BV93" i="2"/>
  <c r="BV95" i="2"/>
  <c r="BV98" i="2"/>
  <c r="BV92" i="2"/>
  <c r="BV97" i="2"/>
  <c r="BV94" i="2"/>
  <c r="BV96" i="2"/>
  <c r="BV83" i="2"/>
  <c r="BV88" i="2"/>
  <c r="BV90" i="2"/>
  <c r="BV91" i="2"/>
  <c r="BV84" i="2"/>
  <c r="BV86" i="2"/>
  <c r="BV89" i="2"/>
  <c r="BV77" i="2"/>
  <c r="BV87" i="2"/>
  <c r="BV85" i="2"/>
  <c r="BV82" i="2"/>
  <c r="BV74" i="2"/>
  <c r="BV79" i="2"/>
  <c r="BV76" i="2"/>
  <c r="BV81" i="2"/>
  <c r="BV78" i="2"/>
  <c r="BV80" i="2"/>
  <c r="BV73" i="2"/>
  <c r="BV70" i="2"/>
  <c r="BV72" i="2"/>
  <c r="BV69" i="2"/>
  <c r="BV75" i="2"/>
  <c r="BV68" i="2"/>
  <c r="BV65" i="2"/>
  <c r="BV59" i="2"/>
  <c r="BV64" i="2"/>
  <c r="BV61" i="2"/>
  <c r="BV63" i="2"/>
  <c r="BV60" i="2"/>
  <c r="BV71" i="2"/>
  <c r="BV66" i="2"/>
  <c r="BV55" i="2"/>
  <c r="BV52" i="2"/>
  <c r="BV57" i="2"/>
  <c r="BV62" i="2"/>
  <c r="BV54" i="2"/>
  <c r="BV58" i="2"/>
  <c r="BV51" i="2"/>
  <c r="BV67" i="2"/>
  <c r="BV56" i="2"/>
  <c r="BV53" i="2"/>
  <c r="BV46" i="2"/>
  <c r="BV49" i="2"/>
  <c r="BV48" i="2"/>
  <c r="BV47" i="2"/>
  <c r="BV44" i="2"/>
  <c r="BV38" i="2"/>
  <c r="BV45" i="2"/>
  <c r="BV35" i="2"/>
  <c r="BV43" i="2"/>
  <c r="BV37" i="2"/>
  <c r="BV50" i="2"/>
  <c r="BV42" i="2"/>
  <c r="BV39" i="2"/>
  <c r="BV41" i="2"/>
  <c r="BV40" i="2"/>
  <c r="BV36" i="2"/>
  <c r="BV34" i="2"/>
  <c r="BV33" i="2"/>
  <c r="BP26" i="2"/>
  <c r="I128" i="2"/>
  <c r="I118" i="2"/>
  <c r="I116" i="2"/>
  <c r="I124" i="2"/>
  <c r="I120" i="2"/>
  <c r="F124" i="2"/>
  <c r="F122" i="2"/>
  <c r="F128" i="2"/>
  <c r="F126" i="2"/>
  <c r="F116" i="2"/>
  <c r="F118" i="2"/>
  <c r="BV27" i="2"/>
  <c r="BG26" i="2"/>
  <c r="I112" i="2"/>
  <c r="I114" i="2"/>
  <c r="I113" i="2"/>
  <c r="I110" i="2"/>
  <c r="I109" i="2"/>
  <c r="I106" i="2"/>
  <c r="I111" i="2"/>
  <c r="I103" i="2"/>
  <c r="I105" i="2"/>
  <c r="I104" i="2"/>
  <c r="I108" i="2"/>
  <c r="I100" i="2"/>
  <c r="I102" i="2"/>
  <c r="I107" i="2"/>
  <c r="I101" i="2"/>
  <c r="I95" i="2"/>
  <c r="I92" i="2"/>
  <c r="I97" i="2"/>
  <c r="I99" i="2"/>
  <c r="I94" i="2"/>
  <c r="I96" i="2"/>
  <c r="I98" i="2"/>
  <c r="I85" i="2"/>
  <c r="I93" i="2"/>
  <c r="I90" i="2"/>
  <c r="I91" i="2"/>
  <c r="I87" i="2"/>
  <c r="I84" i="2"/>
  <c r="I86" i="2"/>
  <c r="I88" i="2"/>
  <c r="I79" i="2"/>
  <c r="I76" i="2"/>
  <c r="I82" i="2"/>
  <c r="I81" i="2"/>
  <c r="I83" i="2"/>
  <c r="I78" i="2"/>
  <c r="I80" i="2"/>
  <c r="I75" i="2"/>
  <c r="I74" i="2"/>
  <c r="I67" i="2"/>
  <c r="I77" i="2"/>
  <c r="I72" i="2"/>
  <c r="I69" i="2"/>
  <c r="I71" i="2"/>
  <c r="I70" i="2"/>
  <c r="I61" i="2"/>
  <c r="I58" i="2"/>
  <c r="I73" i="2"/>
  <c r="I68" i="2"/>
  <c r="I63" i="2"/>
  <c r="I60" i="2"/>
  <c r="I65" i="2"/>
  <c r="I66" i="2"/>
  <c r="I62" i="2"/>
  <c r="I57" i="2"/>
  <c r="I54" i="2"/>
  <c r="I56" i="2"/>
  <c r="I59" i="2"/>
  <c r="I53" i="2"/>
  <c r="I89" i="2"/>
  <c r="I64" i="2"/>
  <c r="I50" i="2"/>
  <c r="I52" i="2"/>
  <c r="I48" i="2"/>
  <c r="I45" i="2"/>
  <c r="I51" i="2"/>
  <c r="I49" i="2"/>
  <c r="I46" i="2"/>
  <c r="I44" i="2"/>
  <c r="I40" i="2"/>
  <c r="I32" i="2"/>
  <c r="I37" i="2"/>
  <c r="I55" i="2"/>
  <c r="I47" i="2"/>
  <c r="I42" i="2"/>
  <c r="I39" i="2"/>
  <c r="I41" i="2"/>
  <c r="I36" i="2"/>
  <c r="I31" i="2"/>
  <c r="I43" i="2"/>
  <c r="I38" i="2"/>
  <c r="I35" i="2"/>
  <c r="I33" i="2"/>
  <c r="I34" i="2"/>
  <c r="DA128" i="2"/>
  <c r="DB128" i="2" s="1"/>
  <c r="DA126" i="2"/>
  <c r="DB126" i="2" s="1"/>
  <c r="DA122" i="2"/>
  <c r="DB122" i="2" s="1"/>
  <c r="DA120" i="2"/>
  <c r="DB120" i="2" s="1"/>
  <c r="DA118" i="2"/>
  <c r="DB118" i="2" s="1"/>
  <c r="DA114" i="2"/>
  <c r="DB114" i="2" s="1"/>
  <c r="DA116" i="2"/>
  <c r="DA113" i="2"/>
  <c r="DB113" i="2" s="1"/>
  <c r="DA112" i="2"/>
  <c r="DB112" i="2" s="1"/>
  <c r="DA109" i="2"/>
  <c r="DB109" i="2" s="1"/>
  <c r="DA108" i="2"/>
  <c r="DB108" i="2" s="1"/>
  <c r="DA111" i="2"/>
  <c r="DB111" i="2" s="1"/>
  <c r="DA103" i="2"/>
  <c r="DB103" i="2" s="1"/>
  <c r="DA107" i="2"/>
  <c r="DB107" i="2" s="1"/>
  <c r="DA105" i="2"/>
  <c r="DB105" i="2" s="1"/>
  <c r="DA110" i="2"/>
  <c r="DB110" i="2" s="1"/>
  <c r="DA104" i="2"/>
  <c r="DB104" i="2" s="1"/>
  <c r="DA106" i="2"/>
  <c r="DB106" i="2" s="1"/>
  <c r="DA99" i="2"/>
  <c r="DB99" i="2" s="1"/>
  <c r="DA102" i="2"/>
  <c r="DB102" i="2" s="1"/>
  <c r="DA101" i="2"/>
  <c r="DB101" i="2" s="1"/>
  <c r="DA97" i="2"/>
  <c r="DB97" i="2" s="1"/>
  <c r="DA94" i="2"/>
  <c r="DB94" i="2" s="1"/>
  <c r="DA96" i="2"/>
  <c r="DB96" i="2" s="1"/>
  <c r="DA98" i="2"/>
  <c r="DB98" i="2" s="1"/>
  <c r="DA100" i="2"/>
  <c r="DB100" i="2" s="1"/>
  <c r="DA87" i="2"/>
  <c r="DB87" i="2" s="1"/>
  <c r="DA91" i="2"/>
  <c r="DB91" i="2" s="1"/>
  <c r="DA89" i="2"/>
  <c r="DB89" i="2" s="1"/>
  <c r="DA86" i="2"/>
  <c r="DB86" i="2" s="1"/>
  <c r="DA90" i="2"/>
  <c r="DB90" i="2" s="1"/>
  <c r="DA88" i="2"/>
  <c r="DB88" i="2" s="1"/>
  <c r="DA95" i="2"/>
  <c r="DB95" i="2" s="1"/>
  <c r="DA92" i="2"/>
  <c r="DB92" i="2" s="1"/>
  <c r="DA82" i="2"/>
  <c r="DB82" i="2" s="1"/>
  <c r="DA83" i="2"/>
  <c r="DB83" i="2" s="1"/>
  <c r="DA81" i="2"/>
  <c r="DB81" i="2" s="1"/>
  <c r="DA84" i="2"/>
  <c r="DB84" i="2" s="1"/>
  <c r="DA78" i="2"/>
  <c r="DB78" i="2" s="1"/>
  <c r="DA93" i="2"/>
  <c r="DB93" i="2" s="1"/>
  <c r="DA85" i="2"/>
  <c r="DB85" i="2" s="1"/>
  <c r="DA80" i="2"/>
  <c r="DB80" i="2" s="1"/>
  <c r="DA77" i="2"/>
  <c r="DB77" i="2" s="1"/>
  <c r="DA76" i="2"/>
  <c r="DB76" i="2" s="1"/>
  <c r="DA69" i="2"/>
  <c r="DB69" i="2" s="1"/>
  <c r="DA71" i="2"/>
  <c r="DB71" i="2" s="1"/>
  <c r="DA74" i="2"/>
  <c r="DB74" i="2" s="1"/>
  <c r="DA68" i="2"/>
  <c r="DB68" i="2" s="1"/>
  <c r="DA75" i="2"/>
  <c r="DB75" i="2" s="1"/>
  <c r="DA73" i="2"/>
  <c r="DB73" i="2" s="1"/>
  <c r="DA79" i="2"/>
  <c r="DB79" i="2" s="1"/>
  <c r="DA72" i="2"/>
  <c r="DB72" i="2" s="1"/>
  <c r="DA63" i="2"/>
  <c r="DB63" i="2" s="1"/>
  <c r="DA65" i="2"/>
  <c r="DB65" i="2" s="1"/>
  <c r="DA60" i="2"/>
  <c r="DB60" i="2" s="1"/>
  <c r="DA66" i="2"/>
  <c r="DB66" i="2" s="1"/>
  <c r="DA62" i="2"/>
  <c r="DB62" i="2" s="1"/>
  <c r="DA59" i="2"/>
  <c r="DB59" i="2" s="1"/>
  <c r="DA70" i="2"/>
  <c r="DB70" i="2" s="1"/>
  <c r="DA64" i="2"/>
  <c r="DB64" i="2" s="1"/>
  <c r="DA67" i="2"/>
  <c r="DB67" i="2" s="1"/>
  <c r="DA58" i="2"/>
  <c r="DB58" i="2" s="1"/>
  <c r="DA56" i="2"/>
  <c r="DB56" i="2" s="1"/>
  <c r="DA61" i="2"/>
  <c r="DB61" i="2" s="1"/>
  <c r="DA53" i="2"/>
  <c r="DB53" i="2" s="1"/>
  <c r="DA50" i="2"/>
  <c r="DB50" i="2" s="1"/>
  <c r="DA55" i="2"/>
  <c r="DB55" i="2" s="1"/>
  <c r="DA52" i="2"/>
  <c r="DB52" i="2" s="1"/>
  <c r="DA57" i="2"/>
  <c r="DB57" i="2" s="1"/>
  <c r="DA54" i="2"/>
  <c r="DB54" i="2" s="1"/>
  <c r="DA47" i="2"/>
  <c r="DB47" i="2" s="1"/>
  <c r="DA44" i="2"/>
  <c r="DB44" i="2" s="1"/>
  <c r="DA51" i="2"/>
  <c r="DB51" i="2" s="1"/>
  <c r="DA48" i="2"/>
  <c r="DB48" i="2" s="1"/>
  <c r="DA42" i="2"/>
  <c r="DB42" i="2" s="1"/>
  <c r="DA34" i="2"/>
  <c r="DB34" i="2" s="1"/>
  <c r="DA39" i="2"/>
  <c r="DB39" i="2" s="1"/>
  <c r="DA43" i="2"/>
  <c r="DB43" i="2" s="1"/>
  <c r="DA41" i="2"/>
  <c r="DB41" i="2" s="1"/>
  <c r="DA49" i="2"/>
  <c r="DB49" i="2" s="1"/>
  <c r="DA46" i="2"/>
  <c r="DB46" i="2" s="1"/>
  <c r="DA45" i="2"/>
  <c r="DB45" i="2" s="1"/>
  <c r="DA35" i="2"/>
  <c r="DB35" i="2" s="1"/>
  <c r="DA38" i="2"/>
  <c r="DB38" i="2" s="1"/>
  <c r="DA37" i="2"/>
  <c r="DB37" i="2" s="1"/>
  <c r="DA33" i="2"/>
  <c r="DB33" i="2" s="1"/>
  <c r="DA32" i="2"/>
  <c r="DB32" i="2" s="1"/>
  <c r="DA36" i="2"/>
  <c r="DB36" i="2" s="1"/>
  <c r="BD26" i="2"/>
  <c r="BV31" i="2"/>
  <c r="BO26" i="2"/>
  <c r="EU128" i="2"/>
  <c r="EX126" i="2"/>
  <c r="FB128" i="2"/>
  <c r="ET128" i="2"/>
  <c r="EW126" i="2"/>
  <c r="E126" i="2"/>
  <c r="EP126" i="2" s="1"/>
  <c r="EP128" i="2" s="1"/>
  <c r="FB124" i="2"/>
  <c r="ET124" i="2"/>
  <c r="EW123" i="2"/>
  <c r="FB122" i="2"/>
  <c r="ET122" i="2"/>
  <c r="FA120" i="2"/>
  <c r="EW118" i="2"/>
  <c r="H128" i="2"/>
  <c r="EV124" i="2"/>
  <c r="FC124" i="2" s="1"/>
  <c r="EX122" i="2"/>
  <c r="EZ120" i="2"/>
  <c r="EZ118" i="2"/>
  <c r="CX117" i="2"/>
  <c r="FB126" i="2"/>
  <c r="H126" i="2"/>
  <c r="EU124" i="2"/>
  <c r="FB123" i="2"/>
  <c r="EW122" i="2"/>
  <c r="EY120" i="2"/>
  <c r="EY118" i="2"/>
  <c r="FA128" i="2"/>
  <c r="FA126" i="2"/>
  <c r="FA123" i="2"/>
  <c r="EV122" i="2"/>
  <c r="FC122" i="2" s="1"/>
  <c r="EX120" i="2"/>
  <c r="EX118" i="2"/>
  <c r="EZ128" i="2"/>
  <c r="E128" i="2"/>
  <c r="EZ126" i="2"/>
  <c r="FA124" i="2"/>
  <c r="EU122" i="2"/>
  <c r="EW120" i="2"/>
  <c r="EV118" i="2"/>
  <c r="FC118" i="2" s="1"/>
  <c r="EY128" i="2"/>
  <c r="EY126" i="2"/>
  <c r="EZ124" i="2"/>
  <c r="EY123" i="2"/>
  <c r="EV120" i="2"/>
  <c r="FC120" i="2" s="1"/>
  <c r="EU118" i="2"/>
  <c r="EV128" i="2"/>
  <c r="FC128" i="2" s="1"/>
  <c r="ET126" i="2"/>
  <c r="EW124" i="2"/>
  <c r="EY122" i="2"/>
  <c r="FB120" i="2"/>
  <c r="EX128" i="2"/>
  <c r="EZ122" i="2"/>
  <c r="ET120" i="2"/>
  <c r="EW128" i="2"/>
  <c r="EV126" i="2"/>
  <c r="FC126" i="2" s="1"/>
  <c r="EU126" i="2"/>
  <c r="EX123" i="2"/>
  <c r="EV123" i="2"/>
  <c r="FC123" i="2" s="1"/>
  <c r="FB118" i="2"/>
  <c r="EY124" i="2"/>
  <c r="FA118" i="2"/>
  <c r="DN117" i="2"/>
  <c r="EP116" i="2"/>
  <c r="FA122" i="2"/>
  <c r="EU120" i="2"/>
  <c r="EX124" i="2"/>
  <c r="ET118" i="2"/>
  <c r="EI37" i="2"/>
  <c r="G122" i="2"/>
  <c r="G128" i="2"/>
  <c r="G126" i="2"/>
  <c r="G116" i="2"/>
  <c r="G124" i="2"/>
  <c r="G118" i="2"/>
  <c r="EI31" i="2"/>
  <c r="EI120" i="2"/>
  <c r="EI118" i="2"/>
  <c r="EI121" i="2"/>
  <c r="EI116" i="2"/>
  <c r="EI128" i="2"/>
  <c r="EI126" i="2"/>
  <c r="EI124" i="2"/>
  <c r="EI123" i="2"/>
  <c r="EI119" i="2"/>
  <c r="EI122" i="2"/>
  <c r="EI112" i="2"/>
  <c r="EI114" i="2"/>
  <c r="EI111" i="2"/>
  <c r="EI110" i="2"/>
  <c r="EI107" i="2"/>
  <c r="EI109" i="2"/>
  <c r="EI106" i="2"/>
  <c r="EI104" i="2"/>
  <c r="EI113" i="2"/>
  <c r="EI103" i="2"/>
  <c r="EI108" i="2"/>
  <c r="EI105" i="2"/>
  <c r="EI100" i="2"/>
  <c r="EI99" i="2"/>
  <c r="EI98" i="2"/>
  <c r="EI90" i="2"/>
  <c r="EI95" i="2"/>
  <c r="EI92" i="2"/>
  <c r="EI97" i="2"/>
  <c r="EI101" i="2"/>
  <c r="EI102" i="2"/>
  <c r="EI91" i="2"/>
  <c r="EI93" i="2"/>
  <c r="EI88" i="2"/>
  <c r="EI94" i="2"/>
  <c r="EI85" i="2"/>
  <c r="EI96" i="2"/>
  <c r="EI87" i="2"/>
  <c r="EI89" i="2"/>
  <c r="EI83" i="2"/>
  <c r="EI74" i="2"/>
  <c r="EI79" i="2"/>
  <c r="EI84" i="2"/>
  <c r="EI81" i="2"/>
  <c r="EI86" i="2"/>
  <c r="EI78" i="2"/>
  <c r="EI82" i="2"/>
  <c r="EI75" i="2"/>
  <c r="EI77" i="2"/>
  <c r="EI70" i="2"/>
  <c r="EI67" i="2"/>
  <c r="EI73" i="2"/>
  <c r="EI72" i="2"/>
  <c r="EI69" i="2"/>
  <c r="EI66" i="2"/>
  <c r="EI65" i="2"/>
  <c r="EI68" i="2"/>
  <c r="EI64" i="2"/>
  <c r="EI61" i="2"/>
  <c r="EI71" i="2"/>
  <c r="EI58" i="2"/>
  <c r="EI80" i="2"/>
  <c r="EI76" i="2"/>
  <c r="EI63" i="2"/>
  <c r="EI60" i="2"/>
  <c r="EI52" i="2"/>
  <c r="EI49" i="2"/>
  <c r="EI54" i="2"/>
  <c r="EI57" i="2"/>
  <c r="EI51" i="2"/>
  <c r="EI59" i="2"/>
  <c r="EI56" i="2"/>
  <c r="EI53" i="2"/>
  <c r="EI62" i="2"/>
  <c r="EI55" i="2"/>
  <c r="EI43" i="2"/>
  <c r="EI48" i="2"/>
  <c r="EI45" i="2"/>
  <c r="EI50" i="2"/>
  <c r="EI35" i="2"/>
  <c r="EI46" i="2"/>
  <c r="EI40" i="2"/>
  <c r="EI32" i="2"/>
  <c r="EI42" i="2"/>
  <c r="EI44" i="2"/>
  <c r="EI36" i="2"/>
  <c r="EI38" i="2"/>
  <c r="EI47" i="2"/>
  <c r="E1" i="2"/>
  <c r="BV28" i="2"/>
  <c r="BI26" i="2"/>
  <c r="BN26" i="2"/>
  <c r="BF26" i="2"/>
  <c r="BM26" i="2"/>
  <c r="X29" i="2"/>
  <c r="CG106" i="2" a="1"/>
  <c r="CG107" i="2" a="1"/>
  <c r="CG98" i="2" a="1"/>
  <c r="CG88" i="2" a="1"/>
  <c r="CG75" i="2" a="1"/>
  <c r="CG61" i="2" a="1"/>
  <c r="CG62" i="2" a="1"/>
  <c r="CG50" i="2" a="1"/>
  <c r="CG40" i="2" a="1"/>
  <c r="CG36" i="2" a="1"/>
  <c r="CG111" i="2" a="1"/>
  <c r="CG101" i="2" a="1"/>
  <c r="CG85" i="2" a="1"/>
  <c r="CG79" i="2" a="1"/>
  <c r="CG74" i="2" a="1"/>
  <c r="CG58" i="2" a="1"/>
  <c r="CG57" i="2" a="1"/>
  <c r="CG52" i="2" a="1"/>
  <c r="CG32" i="2" a="1"/>
  <c r="CG31" i="2" a="1"/>
  <c r="CG103" i="2" a="1"/>
  <c r="CG95" i="2" a="1"/>
  <c r="CG93" i="2" a="1"/>
  <c r="CG76" i="2" a="1"/>
  <c r="CG67" i="2" a="1"/>
  <c r="CG73" i="2" a="1"/>
  <c r="CG54" i="2" a="1"/>
  <c r="CG48" i="2" a="1"/>
  <c r="CG37" i="2" a="1"/>
  <c r="CG43" i="2" a="1"/>
  <c r="CG112" i="2" a="1"/>
  <c r="CG105" i="2" a="1"/>
  <c r="CG92" i="2" a="1"/>
  <c r="CG90" i="2" a="1"/>
  <c r="CG82" i="2" a="1"/>
  <c r="CG77" i="2" a="1"/>
  <c r="CG68" i="2" a="1"/>
  <c r="CG56" i="2" a="1"/>
  <c r="CG45" i="2" a="1"/>
  <c r="CG55" i="2" a="1"/>
  <c r="CG38" i="2" a="1"/>
  <c r="CG114" i="2" a="1"/>
  <c r="CG104" i="2" a="1"/>
  <c r="CG97" i="2" a="1"/>
  <c r="CG91" i="2" a="1"/>
  <c r="CG81" i="2" a="1"/>
  <c r="CG72" i="2" a="1"/>
  <c r="CG63" i="2" a="1"/>
  <c r="CG59" i="2" a="1"/>
  <c r="CG51" i="2" a="1"/>
  <c r="CG47" i="2" a="1"/>
  <c r="CG35" i="2" a="1"/>
  <c r="CG113" i="2" a="1"/>
  <c r="CG108" i="2" a="1"/>
  <c r="CG99" i="2" a="1"/>
  <c r="CG87" i="2" a="1"/>
  <c r="CG83" i="2" a="1"/>
  <c r="CG69" i="2" a="1"/>
  <c r="CG60" i="2" a="1"/>
  <c r="CG53" i="2" a="1"/>
  <c r="CG49" i="2" a="1"/>
  <c r="CG42" i="2" a="1"/>
  <c r="CG33" i="2" a="1"/>
  <c r="CG110" i="2" a="1"/>
  <c r="CG100" i="2" a="1"/>
  <c r="CG94" i="2" a="1"/>
  <c r="CG84" i="2" a="1"/>
  <c r="CG78" i="2" a="1"/>
  <c r="CG71" i="2" a="1"/>
  <c r="CG65" i="2" a="1"/>
  <c r="CG89" i="2" a="1"/>
  <c r="CG46" i="2" a="1"/>
  <c r="CG39" i="2" a="1"/>
  <c r="CG34" i="2" a="1"/>
  <c r="CG109" i="2" a="1"/>
  <c r="CG102" i="2" a="1"/>
  <c r="CG96" i="2" a="1"/>
  <c r="CG86" i="2" a="1"/>
  <c r="CG80" i="2" a="1"/>
  <c r="CG70" i="2" a="1"/>
  <c r="CG66" i="2" a="1"/>
  <c r="CG64" i="2" a="1"/>
  <c r="CG44" i="2" a="1"/>
  <c r="CG41" i="2" a="1"/>
  <c r="Y29" i="2" a="1"/>
  <c r="CG41" i="2" l="1"/>
  <c r="CG44" i="2"/>
  <c r="CG64" i="2"/>
  <c r="CG66" i="2"/>
  <c r="CG70" i="2"/>
  <c r="CG80" i="2"/>
  <c r="CG86" i="2"/>
  <c r="CG96" i="2"/>
  <c r="CG102" i="2"/>
  <c r="CG109" i="2"/>
  <c r="CG34" i="2"/>
  <c r="CG39" i="2"/>
  <c r="CG46" i="2"/>
  <c r="CG89" i="2"/>
  <c r="CG65" i="2"/>
  <c r="CG71" i="2"/>
  <c r="CG78" i="2"/>
  <c r="CG84" i="2"/>
  <c r="CG94" i="2"/>
  <c r="CG100" i="2"/>
  <c r="CG110" i="2"/>
  <c r="CG33" i="2"/>
  <c r="CG42" i="2"/>
  <c r="CG49" i="2"/>
  <c r="CG53" i="2"/>
  <c r="CG60" i="2"/>
  <c r="CG69" i="2"/>
  <c r="CG83" i="2"/>
  <c r="CG87" i="2"/>
  <c r="CG99" i="2"/>
  <c r="CG108" i="2"/>
  <c r="CG113" i="2"/>
  <c r="CG35" i="2"/>
  <c r="CG47" i="2"/>
  <c r="CG51" i="2"/>
  <c r="CG59" i="2"/>
  <c r="CG63" i="2"/>
  <c r="CG72" i="2"/>
  <c r="CG81" i="2"/>
  <c r="CG91" i="2"/>
  <c r="CG97" i="2"/>
  <c r="CG104" i="2"/>
  <c r="CG114" i="2"/>
  <c r="CG38" i="2"/>
  <c r="CG55" i="2"/>
  <c r="CG45" i="2"/>
  <c r="CG56" i="2"/>
  <c r="CG68" i="2"/>
  <c r="CG77" i="2"/>
  <c r="CG82" i="2"/>
  <c r="CG90" i="2"/>
  <c r="CG92" i="2"/>
  <c r="CG105" i="2"/>
  <c r="CG112" i="2"/>
  <c r="CG43" i="2"/>
  <c r="CG37" i="2"/>
  <c r="CG48" i="2"/>
  <c r="CG54" i="2"/>
  <c r="CG73" i="2"/>
  <c r="CG67" i="2"/>
  <c r="CG76" i="2"/>
  <c r="CG93" i="2"/>
  <c r="CG95" i="2"/>
  <c r="CG103" i="2"/>
  <c r="CG31" i="2"/>
  <c r="CG32" i="2"/>
  <c r="CG52" i="2"/>
  <c r="CG57" i="2"/>
  <c r="CG58" i="2"/>
  <c r="CG74" i="2"/>
  <c r="CG79" i="2"/>
  <c r="CG85" i="2"/>
  <c r="CG101" i="2"/>
  <c r="CG111" i="2"/>
  <c r="CG36" i="2"/>
  <c r="CG40" i="2"/>
  <c r="CG50" i="2"/>
  <c r="CG62" i="2"/>
  <c r="CG61" i="2"/>
  <c r="CG75" i="2"/>
  <c r="CG88" i="2"/>
  <c r="CG98" i="2"/>
  <c r="CG107" i="2"/>
  <c r="CG106" i="2"/>
  <c r="J118" i="2"/>
  <c r="CT118" i="2" s="1"/>
  <c r="BV116" i="2"/>
  <c r="BV1" i="2" s="1"/>
  <c r="F1" i="2"/>
  <c r="J124" i="2"/>
  <c r="CT124" i="2" s="1"/>
  <c r="BV126" i="2"/>
  <c r="BV128" i="2" s="1"/>
  <c r="J116" i="2"/>
  <c r="CT116" i="2" s="1"/>
  <c r="J126" i="2"/>
  <c r="BV122" i="2"/>
  <c r="G1" i="2"/>
  <c r="J128" i="2"/>
  <c r="CT128" i="2" s="1"/>
  <c r="BV124" i="2"/>
  <c r="J122" i="2"/>
  <c r="CT122" i="2" s="1"/>
  <c r="CR126" i="2"/>
  <c r="CT126" i="2"/>
  <c r="CR128" i="2"/>
  <c r="DB116" i="2"/>
  <c r="DB1" i="2" s="1"/>
  <c r="DA1" i="2"/>
  <c r="BV118" i="2"/>
  <c r="I126" i="2"/>
  <c r="I122" i="2"/>
  <c r="I1" i="2"/>
  <c r="CT1" i="2"/>
  <c r="J1" i="2"/>
  <c r="Y29" i="2"/>
  <c r="Z29" i="2" a="1"/>
  <c r="Z29" i="2" l="1"/>
  <c r="AA29" i="2" a="1"/>
  <c r="AA29" i="2" l="1"/>
  <c r="AB29" i="2" a="1"/>
  <c r="AB29" i="2" l="1"/>
  <c r="AC29" i="2" a="1"/>
  <c r="AC29" i="2" l="1"/>
  <c r="AD29" i="2" a="1"/>
  <c r="AD29" i="2" l="1"/>
  <c r="AE29" i="2" a="1"/>
  <c r="AE29" i="2" l="1"/>
  <c r="AF29" i="2" a="1"/>
  <c r="AF29" i="2" l="1"/>
  <c r="AG29" i="2" a="1"/>
  <c r="AG29" i="2" l="1"/>
  <c r="AH29" i="2" a="1"/>
  <c r="AH29" i="2"/>
  <c r="AI29" i="2" a="1"/>
  <c r="AI29" i="2"/>
  <c r="AJ29" i="2" a="1"/>
  <c r="AJ29" i="2"/>
  <c r="AK29" i="2" a="1"/>
  <c r="AK29" i="2"/>
  <c r="AL29" i="2" a="1"/>
  <c r="AL29" i="2"/>
  <c r="AM29" i="2" a="1"/>
  <c r="AM29" i="2"/>
  <c r="AN29" i="2" a="1"/>
  <c r="AN29" i="2"/>
  <c r="AO29" i="2" a="1"/>
  <c r="AO29" i="2"/>
  <c r="AP29" i="2" a="1"/>
  <c r="AP29" i="2"/>
  <c r="AQ29" i="2" a="1"/>
  <c r="AQ29" i="2"/>
  <c r="AR29" i="2" a="1"/>
  <c r="AR29" i="2"/>
  <c r="AS29" i="2" a="1"/>
  <c r="AS29" i="2"/>
  <c r="AT29" i="2" a="1"/>
  <c r="AT29" i="2"/>
  <c r="AU29" i="2" a="1"/>
  <c r="AU29" i="2"/>
  <c r="AV29" i="2" a="1"/>
  <c r="AV29" i="2"/>
  <c r="AW29" i="2" a="1"/>
  <c r="AW29" i="2"/>
  <c r="AX29" i="2" a="1"/>
  <c r="AX29" i="2"/>
  <c r="AY29" i="2" a="1"/>
  <c r="AY29" i="2"/>
  <c r="AZ29" i="2" a="1"/>
  <c r="AZ29" i="2"/>
  <c r="BA29" i="2" a="1"/>
  <c r="BA29" i="2"/>
  <c r="BB29" i="2"/>
  <c r="BT29" i="2"/>
  <c r="EJ30" i="2"/>
  <c r="EK30" i="2"/>
  <c r="EL30" i="2"/>
  <c r="EM30" i="2"/>
  <c r="EN30" i="2"/>
  <c r="EI115" i="2"/>
  <c r="ET115" i="2"/>
  <c r="EU115" i="2"/>
  <c r="EV115" i="2"/>
  <c r="FC115" i="2" s="1"/>
  <c r="EW115" i="2"/>
  <c r="EX115" i="2"/>
  <c r="EY115" i="2"/>
  <c r="EZ115" i="2"/>
  <c r="FA115" i="2"/>
  <c r="FB115" i="2"/>
  <c r="FL115" i="2"/>
  <c r="FX115" i="2"/>
  <c r="FX129" i="2"/>
  <c r="FX130" i="2"/>
  <c r="DL140" i="2"/>
  <c r="BZ142" i="2"/>
  <c r="CV112" i="2" l="1"/>
  <c r="BB112" i="2" s="1"/>
  <c r="CV89" i="2"/>
  <c r="BB89" i="2" s="1"/>
  <c r="CV68" i="2"/>
  <c r="BB68" i="2" s="1"/>
  <c r="CV58" i="2"/>
  <c r="BB58" i="2" s="1"/>
  <c r="CV92" i="2"/>
  <c r="BB92" i="2" s="1"/>
  <c r="CV114" i="2"/>
  <c r="BB114" i="2" s="1"/>
  <c r="CV76" i="2"/>
  <c r="BB76" i="2" s="1"/>
  <c r="CV57" i="2"/>
  <c r="BB57" i="2" s="1"/>
  <c r="CV110" i="2"/>
  <c r="BB110" i="2" s="1"/>
  <c r="CV104" i="2"/>
  <c r="BB104" i="2" s="1"/>
  <c r="CV45" i="2"/>
  <c r="BB45" i="2" s="1"/>
  <c r="CV75" i="2"/>
  <c r="BB75" i="2" s="1"/>
  <c r="CV64" i="2"/>
  <c r="BB64" i="2" s="1"/>
  <c r="CV40" i="2"/>
  <c r="BB40" i="2" s="1"/>
  <c r="CV102" i="2"/>
  <c r="BB102" i="2" s="1"/>
  <c r="CV86" i="2"/>
  <c r="BB86" i="2" s="1"/>
  <c r="CV61" i="2"/>
  <c r="BB61" i="2" s="1"/>
  <c r="CV55" i="2"/>
  <c r="BB55" i="2" s="1"/>
  <c r="CV79" i="2"/>
  <c r="BB79" i="2" s="1"/>
  <c r="CV74" i="2"/>
  <c r="BB74" i="2" s="1"/>
  <c r="CV91" i="2"/>
  <c r="BB91" i="2" s="1"/>
  <c r="CV65" i="2"/>
  <c r="BB65" i="2" s="1"/>
  <c r="CV80" i="2"/>
  <c r="BB80" i="2" s="1"/>
  <c r="CV106" i="2"/>
  <c r="BB106" i="2" s="1"/>
  <c r="CV34" i="2"/>
  <c r="BB34" i="2" s="1"/>
  <c r="CV108" i="2"/>
  <c r="BB108" i="2" s="1"/>
  <c r="CV109" i="2"/>
  <c r="BB109" i="2" s="1"/>
  <c r="CV113" i="2"/>
  <c r="BB113" i="2" s="1"/>
  <c r="CV93" i="2"/>
  <c r="BB93" i="2" s="1"/>
  <c r="CV98" i="2"/>
  <c r="BB98" i="2" s="1"/>
  <c r="CV62" i="2"/>
  <c r="BB62" i="2" s="1"/>
  <c r="CV56" i="2"/>
  <c r="BB56" i="2" s="1"/>
  <c r="CV31" i="2"/>
  <c r="BB31" i="2" s="1"/>
  <c r="CV96" i="2"/>
  <c r="BB96" i="2" s="1"/>
  <c r="CV73" i="2"/>
  <c r="BB73" i="2" s="1"/>
  <c r="CV97" i="2"/>
  <c r="BB97" i="2" s="1"/>
  <c r="CV39" i="2"/>
  <c r="BB39" i="2" s="1"/>
  <c r="CV90" i="2"/>
  <c r="BB90" i="2" s="1"/>
  <c r="CV70" i="2"/>
  <c r="BB70" i="2" s="1"/>
  <c r="CV60" i="2"/>
  <c r="BB60" i="2" s="1"/>
  <c r="CV95" i="2"/>
  <c r="BB95" i="2" s="1"/>
  <c r="CV33" i="2"/>
  <c r="BB33" i="2" s="1"/>
  <c r="CV78" i="2"/>
  <c r="BB78" i="2" s="1"/>
  <c r="CV107" i="2"/>
  <c r="BB107" i="2" s="1"/>
  <c r="CV69" i="2"/>
  <c r="BB69" i="2" s="1"/>
  <c r="CV52" i="2"/>
  <c r="BB52" i="2" s="1"/>
  <c r="CV59" i="2"/>
  <c r="BB59" i="2" s="1"/>
  <c r="CV111" i="2"/>
  <c r="BB111" i="2" s="1"/>
  <c r="CV35" i="2"/>
  <c r="BB35" i="2" s="1"/>
  <c r="CV43" i="2"/>
  <c r="BB43" i="2" s="1"/>
  <c r="CV66" i="2"/>
  <c r="BB66" i="2" s="1"/>
  <c r="CV72" i="2"/>
  <c r="BB72" i="2" s="1"/>
  <c r="CV32" i="2"/>
  <c r="BB32" i="2" s="1"/>
  <c r="CV50" i="2"/>
  <c r="BB50" i="2" s="1"/>
  <c r="CV82" i="2"/>
  <c r="BB82" i="2" s="1"/>
  <c r="CV46" i="2"/>
  <c r="BB46" i="2" s="1"/>
  <c r="CV41" i="2"/>
  <c r="BB41" i="2" s="1"/>
  <c r="CV51" i="2"/>
  <c r="BB51" i="2" s="1"/>
  <c r="CV44" i="2"/>
  <c r="BB44" i="2" s="1"/>
  <c r="CV83" i="2"/>
  <c r="BB83" i="2" s="1"/>
  <c r="CV47" i="2"/>
  <c r="BB47" i="2" s="1"/>
  <c r="CV49" i="2"/>
  <c r="BB49" i="2" s="1"/>
  <c r="CV36" i="2"/>
  <c r="BB36" i="2" s="1"/>
  <c r="CV42" i="2"/>
  <c r="BB42" i="2" s="1"/>
  <c r="CV53" i="2"/>
  <c r="BB53" i="2" s="1"/>
  <c r="CV37" i="2"/>
  <c r="BB37" i="2" s="1"/>
  <c r="CV88" i="2"/>
  <c r="BB88" i="2" s="1"/>
  <c r="CV63" i="2"/>
  <c r="BB63" i="2" s="1"/>
  <c r="CV99" i="2"/>
  <c r="BB99" i="2" s="1"/>
  <c r="CV105" i="2"/>
  <c r="BB105" i="2" s="1"/>
  <c r="CV101" i="2"/>
  <c r="BB101" i="2" s="1"/>
  <c r="CV54" i="2"/>
  <c r="BB54" i="2" s="1"/>
  <c r="CV84" i="2"/>
  <c r="BB84" i="2" s="1"/>
  <c r="CV85" i="2"/>
  <c r="BB85" i="2" s="1"/>
  <c r="CV71" i="2"/>
  <c r="BB71" i="2" s="1"/>
  <c r="CV103" i="2"/>
  <c r="BB103" i="2" s="1"/>
  <c r="CV81" i="2"/>
  <c r="BB81" i="2" s="1"/>
  <c r="CV48" i="2"/>
  <c r="BB48" i="2" s="1"/>
  <c r="CV100" i="2"/>
  <c r="BB100" i="2" s="1"/>
  <c r="CV94" i="2"/>
  <c r="BB94" i="2" s="1"/>
  <c r="CV77" i="2"/>
  <c r="BB77" i="2" s="1"/>
  <c r="CV87" i="2"/>
  <c r="BB87" i="2" s="1"/>
  <c r="CV67" i="2"/>
  <c r="BB67" i="2" s="1"/>
  <c r="CV38" i="2"/>
  <c r="BB38" i="2" s="1"/>
  <c r="DF112" i="2" a="1"/>
  <c r="CD112" i="2" a="1"/>
  <c r="CW112" i="2" a="1"/>
  <c r="DN112" i="2" a="1"/>
  <c r="DR112" i="2" a="1"/>
  <c r="FL112" i="2" a="1"/>
  <c r="CX112" i="2" a="1"/>
  <c r="DC112" i="2" a="1"/>
  <c r="DG112" i="2" a="1"/>
  <c r="DK112" i="2" a="1"/>
  <c r="DO112" i="2" a="1"/>
  <c r="DS112" i="2" a="1"/>
  <c r="EA112" i="2" a="1"/>
  <c r="CY112" i="2" a="1"/>
  <c r="DD112" i="2" a="1"/>
  <c r="DL112" i="2" a="1"/>
  <c r="DP112" i="2" a="1"/>
  <c r="DT112" i="2" a="1"/>
  <c r="CZ112" i="2" a="1"/>
  <c r="DQ112" i="2" a="1"/>
  <c r="CW110" i="2" a="1"/>
  <c r="DR110" i="2" a="1"/>
  <c r="DF110" i="2" a="1"/>
  <c r="DN110" i="2" a="1"/>
  <c r="CD110" i="2" a="1"/>
  <c r="FL110" i="2" a="1"/>
  <c r="CX110" i="2" a="1"/>
  <c r="DC110" i="2" a="1"/>
  <c r="DG110" i="2" a="1"/>
  <c r="DK110" i="2" a="1"/>
  <c r="DO110" i="2" a="1"/>
  <c r="DS110" i="2" a="1"/>
  <c r="EA110" i="2" a="1"/>
  <c r="CY110" i="2" a="1"/>
  <c r="DD110" i="2" a="1"/>
  <c r="DL110" i="2" a="1"/>
  <c r="DP110" i="2" a="1"/>
  <c r="DT110" i="2" a="1"/>
  <c r="CZ110" i="2" a="1"/>
  <c r="DQ110" i="2" a="1"/>
  <c r="CD61" i="2" a="1"/>
  <c r="CW61" i="2" a="1"/>
  <c r="DN61" i="2" a="1"/>
  <c r="DR61" i="2" a="1"/>
  <c r="DF61" i="2" a="1"/>
  <c r="FL61" i="2" a="1"/>
  <c r="CX61" i="2" a="1"/>
  <c r="DC61" i="2" a="1"/>
  <c r="DG61" i="2" a="1"/>
  <c r="DK61" i="2" a="1"/>
  <c r="DO61" i="2" a="1"/>
  <c r="DS61" i="2" a="1"/>
  <c r="EA61" i="2" a="1"/>
  <c r="CY61" i="2" a="1"/>
  <c r="DD61" i="2" a="1"/>
  <c r="DL61" i="2" a="1"/>
  <c r="DP61" i="2" a="1"/>
  <c r="DT61" i="2" a="1"/>
  <c r="CZ61" i="2" a="1"/>
  <c r="DQ61" i="2" a="1"/>
  <c r="DL34" i="2" a="1"/>
  <c r="DQ34" i="2" a="1"/>
  <c r="EA34" i="2" a="1"/>
  <c r="CY34" i="2" a="1"/>
  <c r="DK34" i="2" a="1"/>
  <c r="DP34" i="2" a="1"/>
  <c r="CZ34" i="2" a="1"/>
  <c r="DG34" i="2" a="1"/>
  <c r="FL34" i="2" a="1"/>
  <c r="DS34" i="2" a="1"/>
  <c r="CX34" i="2" a="1"/>
  <c r="DD34" i="2" a="1"/>
  <c r="DC34" i="2" a="1"/>
  <c r="DO34" i="2" a="1"/>
  <c r="DT34" i="2" a="1"/>
  <c r="CD34" i="2" a="1"/>
  <c r="CW34" i="2" a="1"/>
  <c r="DF34" i="2" a="1"/>
  <c r="DN34" i="2" a="1"/>
  <c r="DR34" i="2" a="1"/>
  <c r="DD31" i="2" a="1"/>
  <c r="DF31" i="2" a="1"/>
  <c r="CY31" i="2" a="1"/>
  <c r="DN31" i="2" a="1"/>
  <c r="DR31" i="2" a="1"/>
  <c r="CW31" i="2" a="1"/>
  <c r="CX31" i="2" a="1"/>
  <c r="DC31" i="2" a="1"/>
  <c r="DG31" i="2" a="1"/>
  <c r="DK31" i="2" a="1"/>
  <c r="DO31" i="2" a="1"/>
  <c r="DS31" i="2" a="1"/>
  <c r="EA31" i="2" a="1"/>
  <c r="DP31" i="2" a="1"/>
  <c r="DT31" i="2" a="1"/>
  <c r="CZ31" i="2" a="1"/>
  <c r="DQ31" i="2" a="1"/>
  <c r="DL31" i="2" a="1"/>
  <c r="CD31" i="2" a="1"/>
  <c r="FL31" i="2" a="1"/>
  <c r="DC95" i="2" a="1"/>
  <c r="DR95" i="2" a="1"/>
  <c r="DN95" i="2" a="1"/>
  <c r="DF95" i="2" a="1"/>
  <c r="DG95" i="2" a="1"/>
  <c r="CW95" i="2" a="1"/>
  <c r="CX95" i="2" a="1"/>
  <c r="DK95" i="2" a="1"/>
  <c r="CD95" i="2" a="1"/>
  <c r="FL95" i="2" a="1"/>
  <c r="DO95" i="2" a="1"/>
  <c r="DS95" i="2" a="1"/>
  <c r="EA95" i="2" a="1"/>
  <c r="CY95" i="2" a="1"/>
  <c r="DD95" i="2" a="1"/>
  <c r="DL95" i="2" a="1"/>
  <c r="DP95" i="2" a="1"/>
  <c r="DT95" i="2" a="1"/>
  <c r="CZ95" i="2" a="1"/>
  <c r="DQ95" i="2" a="1"/>
  <c r="CX35" i="2" a="1"/>
  <c r="CW35" i="2" a="1"/>
  <c r="FL35" i="2" a="1"/>
  <c r="CD35" i="2" a="1"/>
  <c r="CZ35" i="2" a="1"/>
  <c r="DQ35" i="2" a="1"/>
  <c r="DF35" i="2" a="1"/>
  <c r="DN35" i="2" a="1"/>
  <c r="DR35" i="2" a="1"/>
  <c r="DC35" i="2" a="1"/>
  <c r="DG35" i="2" a="1"/>
  <c r="DK35" i="2" a="1"/>
  <c r="DO35" i="2" a="1"/>
  <c r="DS35" i="2" a="1"/>
  <c r="EA35" i="2" a="1"/>
  <c r="CY35" i="2" a="1"/>
  <c r="DD35" i="2" a="1"/>
  <c r="DL35" i="2" a="1"/>
  <c r="DP35" i="2" a="1"/>
  <c r="DT35" i="2" a="1"/>
  <c r="DD41" i="2" a="1"/>
  <c r="DL41" i="2" a="1"/>
  <c r="CY41" i="2" a="1"/>
  <c r="DP41" i="2" a="1"/>
  <c r="DT41" i="2" a="1"/>
  <c r="CZ41" i="2" a="1"/>
  <c r="DQ41" i="2" a="1"/>
  <c r="CD41" i="2" a="1"/>
  <c r="CW41" i="2" a="1"/>
  <c r="DF41" i="2" a="1"/>
  <c r="DN41" i="2" a="1"/>
  <c r="DR41" i="2" a="1"/>
  <c r="FL41" i="2" a="1"/>
  <c r="CX41" i="2" a="1"/>
  <c r="DC41" i="2" a="1"/>
  <c r="DG41" i="2" a="1"/>
  <c r="DK41" i="2" a="1"/>
  <c r="DO41" i="2" a="1"/>
  <c r="DS41" i="2" a="1"/>
  <c r="EA41" i="2" a="1"/>
  <c r="DD53" i="2" a="1"/>
  <c r="DL53" i="2" a="1"/>
  <c r="DP53" i="2" a="1"/>
  <c r="DT53" i="2" a="1"/>
  <c r="CY53" i="2" a="1"/>
  <c r="CZ53" i="2" a="1"/>
  <c r="DQ53" i="2" a="1"/>
  <c r="CD53" i="2" a="1"/>
  <c r="CW53" i="2" a="1"/>
  <c r="DF53" i="2" a="1"/>
  <c r="DN53" i="2" a="1"/>
  <c r="DR53" i="2" a="1"/>
  <c r="FL53" i="2" a="1"/>
  <c r="CX53" i="2" a="1"/>
  <c r="DC53" i="2" a="1"/>
  <c r="DG53" i="2" a="1"/>
  <c r="DK53" i="2" a="1"/>
  <c r="DO53" i="2" a="1"/>
  <c r="DS53" i="2" a="1"/>
  <c r="EA53" i="2" a="1"/>
  <c r="CW84" i="2" a="1"/>
  <c r="CD84" i="2" a="1"/>
  <c r="CX84" i="2" a="1"/>
  <c r="DC84" i="2" a="1"/>
  <c r="DG84" i="2" a="1"/>
  <c r="DK84" i="2" a="1"/>
  <c r="DO84" i="2" a="1"/>
  <c r="DS84" i="2" a="1"/>
  <c r="EA84" i="2" a="1"/>
  <c r="CY84" i="2" a="1"/>
  <c r="DD84" i="2" a="1"/>
  <c r="DL84" i="2" a="1"/>
  <c r="DP84" i="2" a="1"/>
  <c r="DT84" i="2" a="1"/>
  <c r="CZ84" i="2" a="1"/>
  <c r="DQ84" i="2" a="1"/>
  <c r="DF84" i="2" a="1"/>
  <c r="DN84" i="2" a="1"/>
  <c r="DR84" i="2" a="1"/>
  <c r="FL84" i="2" a="1"/>
  <c r="CZ77" i="2" a="1"/>
  <c r="DQ77" i="2" a="1"/>
  <c r="CD77" i="2" a="1"/>
  <c r="CW77" i="2" a="1"/>
  <c r="DF77" i="2" a="1"/>
  <c r="DN77" i="2" a="1"/>
  <c r="DR77" i="2" a="1"/>
  <c r="FL77" i="2" a="1"/>
  <c r="CX77" i="2" a="1"/>
  <c r="DC77" i="2" a="1"/>
  <c r="DG77" i="2" a="1"/>
  <c r="DK77" i="2" a="1"/>
  <c r="DO77" i="2" a="1"/>
  <c r="DS77" i="2" a="1"/>
  <c r="EA77" i="2" a="1"/>
  <c r="CY77" i="2" a="1"/>
  <c r="DD77" i="2" a="1"/>
  <c r="DL77" i="2" a="1"/>
  <c r="DP77" i="2" a="1"/>
  <c r="DT77" i="2" a="1"/>
  <c r="DL89" i="2" a="1"/>
  <c r="CY89" i="2" a="1"/>
  <c r="DP89" i="2" a="1"/>
  <c r="CZ89" i="2" a="1"/>
  <c r="DT89" i="2" a="1"/>
  <c r="DD89" i="2" a="1"/>
  <c r="DQ89" i="2" a="1"/>
  <c r="CD89" i="2" a="1"/>
  <c r="CW89" i="2" a="1"/>
  <c r="DF89" i="2" a="1"/>
  <c r="DN89" i="2" a="1"/>
  <c r="DR89" i="2" a="1"/>
  <c r="FL89" i="2" a="1"/>
  <c r="CX89" i="2" a="1"/>
  <c r="DC89" i="2" a="1"/>
  <c r="DG89" i="2" a="1"/>
  <c r="DK89" i="2" a="1"/>
  <c r="DO89" i="2" a="1"/>
  <c r="DS89" i="2" a="1"/>
  <c r="EA89" i="2" a="1"/>
  <c r="CD104" i="2" a="1"/>
  <c r="CZ104" i="2" a="1"/>
  <c r="DQ104" i="2" a="1"/>
  <c r="CW104" i="2" a="1"/>
  <c r="DF104" i="2" a="1"/>
  <c r="DN104" i="2" a="1"/>
  <c r="DR104" i="2" a="1"/>
  <c r="FL104" i="2" a="1"/>
  <c r="CX104" i="2" a="1"/>
  <c r="DC104" i="2" a="1"/>
  <c r="DG104" i="2" a="1"/>
  <c r="DK104" i="2" a="1"/>
  <c r="DO104" i="2" a="1"/>
  <c r="DS104" i="2" a="1"/>
  <c r="EA104" i="2" a="1"/>
  <c r="CY104" i="2" a="1"/>
  <c r="DD104" i="2" a="1"/>
  <c r="DL104" i="2" a="1"/>
  <c r="DP104" i="2" a="1"/>
  <c r="DT104" i="2" a="1"/>
  <c r="DQ55" i="2" a="1"/>
  <c r="CZ55" i="2" a="1"/>
  <c r="CD55" i="2" a="1"/>
  <c r="CW55" i="2" a="1"/>
  <c r="DF55" i="2" a="1"/>
  <c r="DN55" i="2" a="1"/>
  <c r="DR55" i="2" a="1"/>
  <c r="FL55" i="2" a="1"/>
  <c r="CX55" i="2" a="1"/>
  <c r="DC55" i="2" a="1"/>
  <c r="DG55" i="2" a="1"/>
  <c r="DK55" i="2" a="1"/>
  <c r="DO55" i="2" a="1"/>
  <c r="DS55" i="2" a="1"/>
  <c r="EA55" i="2" a="1"/>
  <c r="CY55" i="2" a="1"/>
  <c r="DD55" i="2" a="1"/>
  <c r="DL55" i="2" a="1"/>
  <c r="DP55" i="2" a="1"/>
  <c r="DT55" i="2" a="1"/>
  <c r="CZ108" i="2" a="1"/>
  <c r="DQ108" i="2" a="1"/>
  <c r="CD108" i="2" a="1"/>
  <c r="CW108" i="2" a="1"/>
  <c r="DF108" i="2" a="1"/>
  <c r="DN108" i="2" a="1"/>
  <c r="DR108" i="2" a="1"/>
  <c r="FL108" i="2" a="1"/>
  <c r="CX108" i="2" a="1"/>
  <c r="DC108" i="2" a="1"/>
  <c r="DG108" i="2" a="1"/>
  <c r="DK108" i="2" a="1"/>
  <c r="DO108" i="2" a="1"/>
  <c r="DS108" i="2" a="1"/>
  <c r="EA108" i="2" a="1"/>
  <c r="CY108" i="2" a="1"/>
  <c r="DD108" i="2" a="1"/>
  <c r="DL108" i="2" a="1"/>
  <c r="DP108" i="2" a="1"/>
  <c r="DT108" i="2" a="1"/>
  <c r="CY96" i="2" a="1"/>
  <c r="DD96" i="2" a="1"/>
  <c r="DL96" i="2" a="1"/>
  <c r="DP96" i="2" a="1"/>
  <c r="DT96" i="2" a="1"/>
  <c r="CZ96" i="2" a="1"/>
  <c r="DQ96" i="2" a="1"/>
  <c r="CD96" i="2" a="1"/>
  <c r="CW96" i="2" a="1"/>
  <c r="DF96" i="2" a="1"/>
  <c r="DN96" i="2" a="1"/>
  <c r="DR96" i="2" a="1"/>
  <c r="FL96" i="2" a="1"/>
  <c r="CX96" i="2" a="1"/>
  <c r="DC96" i="2" a="1"/>
  <c r="DG96" i="2" a="1"/>
  <c r="DK96" i="2" a="1"/>
  <c r="DO96" i="2" a="1"/>
  <c r="DS96" i="2" a="1"/>
  <c r="EA96" i="2" a="1"/>
  <c r="DL33" i="2" a="1"/>
  <c r="FL33" i="2" a="1"/>
  <c r="DQ33" i="2" a="1"/>
  <c r="CZ33" i="2" a="1"/>
  <c r="DF33" i="2" a="1"/>
  <c r="CD33" i="2" a="1"/>
  <c r="CY33" i="2" a="1"/>
  <c r="DP33" i="2" a="1"/>
  <c r="DR33" i="2" a="1"/>
  <c r="CW33" i="2" a="1"/>
  <c r="DD33" i="2" a="1"/>
  <c r="DN33" i="2" a="1"/>
  <c r="DT33" i="2" a="1"/>
  <c r="CX33" i="2" a="1"/>
  <c r="DC33" i="2" a="1"/>
  <c r="DG33" i="2" a="1"/>
  <c r="DK33" i="2" a="1"/>
  <c r="DO33" i="2" a="1"/>
  <c r="DS33" i="2" a="1"/>
  <c r="EA33" i="2" a="1"/>
  <c r="FL43" i="2" a="1"/>
  <c r="CY43" i="2" a="1"/>
  <c r="DN43" i="2" a="1"/>
  <c r="DD43" i="2" a="1"/>
  <c r="DS43" i="2" a="1"/>
  <c r="CZ43" i="2" a="1"/>
  <c r="DF43" i="2" a="1"/>
  <c r="DO43" i="2" a="1"/>
  <c r="DK43" i="2" a="1"/>
  <c r="CW43" i="2" a="1"/>
  <c r="DG43" i="2" a="1"/>
  <c r="DQ43" i="2" a="1"/>
  <c r="CD43" i="2" a="1"/>
  <c r="DC43" i="2" a="1"/>
  <c r="DL43" i="2" a="1"/>
  <c r="CX43" i="2" a="1"/>
  <c r="DR43" i="2" a="1"/>
  <c r="EA43" i="2" a="1"/>
  <c r="DP43" i="2" a="1"/>
  <c r="DT43" i="2" a="1"/>
  <c r="DG51" i="2" a="1"/>
  <c r="CX51" i="2" a="1"/>
  <c r="DS51" i="2" a="1"/>
  <c r="DC51" i="2" a="1"/>
  <c r="DK51" i="2" a="1"/>
  <c r="EA51" i="2" a="1"/>
  <c r="CW51" i="2" a="1"/>
  <c r="DO51" i="2" a="1"/>
  <c r="FL51" i="2" a="1"/>
  <c r="CY51" i="2" a="1"/>
  <c r="DD51" i="2" a="1"/>
  <c r="DL51" i="2" a="1"/>
  <c r="DP51" i="2" a="1"/>
  <c r="DT51" i="2" a="1"/>
  <c r="CZ51" i="2" a="1"/>
  <c r="DQ51" i="2" a="1"/>
  <c r="CD51" i="2" a="1"/>
  <c r="DF51" i="2" a="1"/>
  <c r="DN51" i="2" a="1"/>
  <c r="DR51" i="2" a="1"/>
  <c r="CW37" i="2" a="1"/>
  <c r="DF37" i="2" a="1"/>
  <c r="DN37" i="2" a="1"/>
  <c r="DR37" i="2" a="1"/>
  <c r="FL37" i="2" a="1"/>
  <c r="CX37" i="2" a="1"/>
  <c r="DC37" i="2" a="1"/>
  <c r="DG37" i="2" a="1"/>
  <c r="DK37" i="2" a="1"/>
  <c r="DO37" i="2" a="1"/>
  <c r="DS37" i="2" a="1"/>
  <c r="EA37" i="2" a="1"/>
  <c r="CY37" i="2" a="1"/>
  <c r="DD37" i="2" a="1"/>
  <c r="DL37" i="2" a="1"/>
  <c r="DP37" i="2" a="1"/>
  <c r="DT37" i="2" a="1"/>
  <c r="CZ37" i="2" a="1"/>
  <c r="DQ37" i="2" a="1"/>
  <c r="CD37" i="2" a="1"/>
  <c r="DG85" i="2" a="1"/>
  <c r="CW85" i="2" a="1"/>
  <c r="DK85" i="2" a="1"/>
  <c r="CX85" i="2" a="1"/>
  <c r="DN85" i="2" a="1"/>
  <c r="DO85" i="2" a="1"/>
  <c r="DC85" i="2" a="1"/>
  <c r="DR85" i="2" a="1"/>
  <c r="EA85" i="2" a="1"/>
  <c r="DF85" i="2" a="1"/>
  <c r="DS85" i="2" a="1"/>
  <c r="CD85" i="2" a="1"/>
  <c r="FL85" i="2" a="1"/>
  <c r="CY85" i="2" a="1"/>
  <c r="DD85" i="2" a="1"/>
  <c r="DL85" i="2" a="1"/>
  <c r="DP85" i="2" a="1"/>
  <c r="DT85" i="2" a="1"/>
  <c r="CZ85" i="2" a="1"/>
  <c r="DQ85" i="2" a="1"/>
  <c r="CX87" i="2" a="1"/>
  <c r="DK87" i="2" a="1"/>
  <c r="CY87" i="2" a="1"/>
  <c r="DL87" i="2" a="1"/>
  <c r="DC87" i="2" a="1"/>
  <c r="DO87" i="2" a="1"/>
  <c r="DD87" i="2" a="1"/>
  <c r="DP87" i="2" a="1"/>
  <c r="EA87" i="2" a="1"/>
  <c r="DG87" i="2" a="1"/>
  <c r="DS87" i="2" a="1"/>
  <c r="DT87" i="2" a="1"/>
  <c r="FL87" i="2" a="1"/>
  <c r="CZ87" i="2" a="1"/>
  <c r="DQ87" i="2" a="1"/>
  <c r="CD87" i="2" a="1"/>
  <c r="CW87" i="2" a="1"/>
  <c r="DF87" i="2" a="1"/>
  <c r="DN87" i="2" a="1"/>
  <c r="DR87" i="2" a="1"/>
  <c r="DQ68" i="2" a="1"/>
  <c r="CZ68" i="2" a="1"/>
  <c r="CY68" i="2" a="1"/>
  <c r="DD68" i="2" a="1"/>
  <c r="DL68" i="2" a="1"/>
  <c r="DP68" i="2" a="1"/>
  <c r="DT68" i="2" a="1"/>
  <c r="CD68" i="2" a="1"/>
  <c r="CW68" i="2" a="1"/>
  <c r="DF68" i="2" a="1"/>
  <c r="DN68" i="2" a="1"/>
  <c r="DR68" i="2" a="1"/>
  <c r="FL68" i="2" a="1"/>
  <c r="CX68" i="2" a="1"/>
  <c r="DC68" i="2" a="1"/>
  <c r="DG68" i="2" a="1"/>
  <c r="DK68" i="2" a="1"/>
  <c r="DO68" i="2" a="1"/>
  <c r="DS68" i="2" a="1"/>
  <c r="EA68" i="2" a="1"/>
  <c r="CY45" i="2" a="1"/>
  <c r="DO45" i="2" a="1"/>
  <c r="DN45" i="2" a="1"/>
  <c r="DG45" i="2" a="1"/>
  <c r="DP45" i="2" a="1"/>
  <c r="DC45" i="2" a="1"/>
  <c r="DR45" i="2" a="1"/>
  <c r="CW45" i="2" a="1"/>
  <c r="DK45" i="2" a="1"/>
  <c r="DS45" i="2" a="1"/>
  <c r="DD45" i="2" a="1"/>
  <c r="EA45" i="2" a="1"/>
  <c r="CX45" i="2" a="1"/>
  <c r="DF45" i="2" a="1"/>
  <c r="DL45" i="2" a="1"/>
  <c r="DT45" i="2" a="1"/>
  <c r="FL45" i="2" a="1"/>
  <c r="CZ45" i="2" a="1"/>
  <c r="DQ45" i="2" a="1"/>
  <c r="CD45" i="2" a="1"/>
  <c r="DF79" i="2" a="1"/>
  <c r="DN79" i="2" a="1"/>
  <c r="DR79" i="2" a="1"/>
  <c r="CW79" i="2" a="1"/>
  <c r="CD79" i="2" a="1"/>
  <c r="FL79" i="2" a="1"/>
  <c r="CX79" i="2" a="1"/>
  <c r="DC79" i="2" a="1"/>
  <c r="DG79" i="2" a="1"/>
  <c r="DK79" i="2" a="1"/>
  <c r="DO79" i="2" a="1"/>
  <c r="DS79" i="2" a="1"/>
  <c r="EA79" i="2" a="1"/>
  <c r="CY79" i="2" a="1"/>
  <c r="DD79" i="2" a="1"/>
  <c r="DL79" i="2" a="1"/>
  <c r="DP79" i="2" a="1"/>
  <c r="DT79" i="2" a="1"/>
  <c r="CZ79" i="2" a="1"/>
  <c r="DQ79" i="2" a="1"/>
  <c r="CX109" i="2" a="1"/>
  <c r="DK109" i="2" a="1"/>
  <c r="DC109" i="2" a="1"/>
  <c r="DO109" i="2" a="1"/>
  <c r="DG109" i="2" a="1"/>
  <c r="DS109" i="2" a="1"/>
  <c r="EA109" i="2" a="1"/>
  <c r="CY109" i="2" a="1"/>
  <c r="DD109" i="2" a="1"/>
  <c r="DL109" i="2" a="1"/>
  <c r="DP109" i="2" a="1"/>
  <c r="DT109" i="2" a="1"/>
  <c r="CZ109" i="2" a="1"/>
  <c r="DQ109" i="2" a="1"/>
  <c r="CD109" i="2" a="1"/>
  <c r="CW109" i="2" a="1"/>
  <c r="DF109" i="2" a="1"/>
  <c r="DN109" i="2" a="1"/>
  <c r="DR109" i="2" a="1"/>
  <c r="FL109" i="2" a="1"/>
  <c r="DQ73" i="2" a="1"/>
  <c r="CD73" i="2" a="1"/>
  <c r="CZ73" i="2" a="1"/>
  <c r="CW73" i="2" a="1"/>
  <c r="DF73" i="2" a="1"/>
  <c r="DN73" i="2" a="1"/>
  <c r="DR73" i="2" a="1"/>
  <c r="EA73" i="2" a="1"/>
  <c r="CX73" i="2" a="1"/>
  <c r="DC73" i="2" a="1"/>
  <c r="DG73" i="2" a="1"/>
  <c r="DK73" i="2" a="1"/>
  <c r="DO73" i="2" a="1"/>
  <c r="DS73" i="2" a="1"/>
  <c r="CY73" i="2" a="1"/>
  <c r="DD73" i="2" a="1"/>
  <c r="DL73" i="2" a="1"/>
  <c r="DP73" i="2" a="1"/>
  <c r="DT73" i="2" a="1"/>
  <c r="FL73" i="2" a="1"/>
  <c r="CX78" i="2" a="1"/>
  <c r="DC78" i="2" a="1"/>
  <c r="DG78" i="2" a="1"/>
  <c r="DK78" i="2" a="1"/>
  <c r="DO78" i="2" a="1"/>
  <c r="DS78" i="2" a="1"/>
  <c r="EA78" i="2" a="1"/>
  <c r="CY78" i="2" a="1"/>
  <c r="DD78" i="2" a="1"/>
  <c r="DL78" i="2" a="1"/>
  <c r="DP78" i="2" a="1"/>
  <c r="DT78" i="2" a="1"/>
  <c r="CZ78" i="2" a="1"/>
  <c r="DQ78" i="2" a="1"/>
  <c r="CD78" i="2" a="1"/>
  <c r="CW78" i="2" a="1"/>
  <c r="DF78" i="2" a="1"/>
  <c r="DN78" i="2" a="1"/>
  <c r="DR78" i="2" a="1"/>
  <c r="FL78" i="2" a="1"/>
  <c r="DN66" i="2" a="1"/>
  <c r="CW66" i="2" a="1"/>
  <c r="DF66" i="2" a="1"/>
  <c r="CY66" i="2" a="1"/>
  <c r="DP66" i="2" a="1"/>
  <c r="DR66" i="2" a="1"/>
  <c r="DD66" i="2" a="1"/>
  <c r="CD66" i="2" a="1"/>
  <c r="DL66" i="2" a="1"/>
  <c r="DT66" i="2" a="1"/>
  <c r="CX66" i="2" a="1"/>
  <c r="DC66" i="2" a="1"/>
  <c r="DG66" i="2" a="1"/>
  <c r="DK66" i="2" a="1"/>
  <c r="DO66" i="2" a="1"/>
  <c r="DS66" i="2" a="1"/>
  <c r="EA66" i="2" a="1"/>
  <c r="CZ66" i="2" a="1"/>
  <c r="DQ66" i="2" a="1"/>
  <c r="FL66" i="2" a="1"/>
  <c r="CD44" i="2" a="1"/>
  <c r="DD44" i="2" a="1"/>
  <c r="DP44" i="2" a="1"/>
  <c r="CW44" i="2" a="1"/>
  <c r="DQ44" i="2" a="1"/>
  <c r="CY44" i="2" a="1"/>
  <c r="DL44" i="2" a="1"/>
  <c r="CZ44" i="2" a="1"/>
  <c r="DT44" i="2" a="1"/>
  <c r="DF44" i="2" a="1"/>
  <c r="DN44" i="2" a="1"/>
  <c r="DR44" i="2" a="1"/>
  <c r="FL44" i="2" a="1"/>
  <c r="CX44" i="2" a="1"/>
  <c r="DC44" i="2" a="1"/>
  <c r="DG44" i="2" a="1"/>
  <c r="DK44" i="2" a="1"/>
  <c r="DO44" i="2" a="1"/>
  <c r="DS44" i="2" a="1"/>
  <c r="EA44" i="2" a="1"/>
  <c r="FL88" i="2" a="1"/>
  <c r="CD88" i="2" a="1"/>
  <c r="CZ88" i="2" a="1"/>
  <c r="DQ88" i="2" a="1"/>
  <c r="CW88" i="2" a="1"/>
  <c r="DF88" i="2" a="1"/>
  <c r="DN88" i="2" a="1"/>
  <c r="DR88" i="2" a="1"/>
  <c r="CX88" i="2" a="1"/>
  <c r="DC88" i="2" a="1"/>
  <c r="DG88" i="2" a="1"/>
  <c r="DK88" i="2" a="1"/>
  <c r="DO88" i="2" a="1"/>
  <c r="DS88" i="2" a="1"/>
  <c r="EA88" i="2" a="1"/>
  <c r="CY88" i="2" a="1"/>
  <c r="DD88" i="2" a="1"/>
  <c r="DL88" i="2" a="1"/>
  <c r="DP88" i="2" a="1"/>
  <c r="DT88" i="2" a="1"/>
  <c r="DT71" i="2" a="1"/>
  <c r="CY71" i="2" a="1"/>
  <c r="DL71" i="2" a="1"/>
  <c r="DD71" i="2" a="1"/>
  <c r="DP71" i="2" a="1"/>
  <c r="CZ71" i="2" a="1"/>
  <c r="DQ71" i="2" a="1"/>
  <c r="CD71" i="2" a="1"/>
  <c r="CW71" i="2" a="1"/>
  <c r="DF71" i="2" a="1"/>
  <c r="DN71" i="2" a="1"/>
  <c r="DR71" i="2" a="1"/>
  <c r="FL71" i="2" a="1"/>
  <c r="CX71" i="2" a="1"/>
  <c r="DC71" i="2" a="1"/>
  <c r="DG71" i="2" a="1"/>
  <c r="DK71" i="2" a="1"/>
  <c r="DO71" i="2" a="1"/>
  <c r="DS71" i="2" a="1"/>
  <c r="EA71" i="2" a="1"/>
  <c r="DN67" i="2" a="1"/>
  <c r="FL67" i="2" a="1"/>
  <c r="DR67" i="2" a="1"/>
  <c r="DF67" i="2" a="1"/>
  <c r="CW67" i="2" a="1"/>
  <c r="CD67" i="2" a="1"/>
  <c r="CX67" i="2" a="1"/>
  <c r="DC67" i="2" a="1"/>
  <c r="DG67" i="2" a="1"/>
  <c r="DK67" i="2" a="1"/>
  <c r="DO67" i="2" a="1"/>
  <c r="DS67" i="2" a="1"/>
  <c r="EA67" i="2" a="1"/>
  <c r="CY67" i="2" a="1"/>
  <c r="DD67" i="2" a="1"/>
  <c r="DL67" i="2" a="1"/>
  <c r="DP67" i="2" a="1"/>
  <c r="DT67" i="2" a="1"/>
  <c r="CZ67" i="2" a="1"/>
  <c r="DQ67" i="2" a="1"/>
  <c r="DF58" i="2" a="1"/>
  <c r="DR58" i="2" a="1"/>
  <c r="DC58" i="2" a="1"/>
  <c r="CW58" i="2" a="1"/>
  <c r="DG58" i="2" a="1"/>
  <c r="CX58" i="2" a="1"/>
  <c r="FL58" i="2" a="1"/>
  <c r="DN58" i="2" a="1"/>
  <c r="DK58" i="2" a="1"/>
  <c r="DO58" i="2" a="1"/>
  <c r="DS58" i="2" a="1"/>
  <c r="EA58" i="2" a="1"/>
  <c r="CY58" i="2" a="1"/>
  <c r="DD58" i="2" a="1"/>
  <c r="DL58" i="2" a="1"/>
  <c r="DP58" i="2" a="1"/>
  <c r="DT58" i="2" a="1"/>
  <c r="CZ58" i="2" a="1"/>
  <c r="DQ58" i="2" a="1"/>
  <c r="CD58" i="2" a="1"/>
  <c r="DL75" i="2" a="1"/>
  <c r="CY75" i="2" a="1"/>
  <c r="CZ75" i="2" a="1"/>
  <c r="CW75" i="2" a="1"/>
  <c r="DN75" i="2" a="1"/>
  <c r="DD75" i="2" a="1"/>
  <c r="DP75" i="2" a="1"/>
  <c r="DR75" i="2" a="1"/>
  <c r="DF75" i="2" a="1"/>
  <c r="DT75" i="2" a="1"/>
  <c r="DQ75" i="2" a="1"/>
  <c r="CD75" i="2" a="1"/>
  <c r="FL75" i="2" a="1"/>
  <c r="CX75" i="2" a="1"/>
  <c r="DC75" i="2" a="1"/>
  <c r="DG75" i="2" a="1"/>
  <c r="DK75" i="2" a="1"/>
  <c r="DO75" i="2" a="1"/>
  <c r="DS75" i="2" a="1"/>
  <c r="EA75" i="2" a="1"/>
  <c r="CZ74" i="2" a="1"/>
  <c r="FL74" i="2" a="1"/>
  <c r="CD74" i="2" a="1"/>
  <c r="CW74" i="2" a="1"/>
  <c r="DQ74" i="2" a="1"/>
  <c r="DF74" i="2" a="1"/>
  <c r="DN74" i="2" a="1"/>
  <c r="DR74" i="2" a="1"/>
  <c r="CX74" i="2" a="1"/>
  <c r="DC74" i="2" a="1"/>
  <c r="DG74" i="2" a="1"/>
  <c r="DK74" i="2" a="1"/>
  <c r="DO74" i="2" a="1"/>
  <c r="DS74" i="2" a="1"/>
  <c r="EA74" i="2" a="1"/>
  <c r="CY74" i="2" a="1"/>
  <c r="DD74" i="2" a="1"/>
  <c r="DL74" i="2" a="1"/>
  <c r="DP74" i="2" a="1"/>
  <c r="DT74" i="2" a="1"/>
  <c r="CY113" i="2" a="1"/>
  <c r="DL113" i="2" a="1"/>
  <c r="DD113" i="2" a="1"/>
  <c r="DP113" i="2" a="1"/>
  <c r="DT113" i="2" a="1"/>
  <c r="CZ113" i="2" a="1"/>
  <c r="DQ113" i="2" a="1"/>
  <c r="CD113" i="2" a="1"/>
  <c r="CW113" i="2" a="1"/>
  <c r="DF113" i="2" a="1"/>
  <c r="DN113" i="2" a="1"/>
  <c r="DR113" i="2" a="1"/>
  <c r="FL113" i="2" a="1"/>
  <c r="CX113" i="2" a="1"/>
  <c r="DC113" i="2" a="1"/>
  <c r="DG113" i="2" a="1"/>
  <c r="DK113" i="2" a="1"/>
  <c r="DO113" i="2" a="1"/>
  <c r="DS113" i="2" a="1"/>
  <c r="EA113" i="2" a="1"/>
  <c r="DO97" i="2" a="1"/>
  <c r="DK97" i="2" a="1"/>
  <c r="DS97" i="2" a="1"/>
  <c r="EA97" i="2" a="1"/>
  <c r="CX97" i="2" a="1"/>
  <c r="DC97" i="2" a="1"/>
  <c r="DG97" i="2" a="1"/>
  <c r="FL97" i="2" a="1"/>
  <c r="CY97" i="2" a="1"/>
  <c r="DD97" i="2" a="1"/>
  <c r="DL97" i="2" a="1"/>
  <c r="DP97" i="2" a="1"/>
  <c r="DT97" i="2" a="1"/>
  <c r="CZ97" i="2" a="1"/>
  <c r="DQ97" i="2" a="1"/>
  <c r="CD97" i="2" a="1"/>
  <c r="CW97" i="2" a="1"/>
  <c r="DF97" i="2" a="1"/>
  <c r="DN97" i="2" a="1"/>
  <c r="DR97" i="2" a="1"/>
  <c r="DF107" i="2" a="1"/>
  <c r="CW107" i="2" a="1"/>
  <c r="CZ107" i="2" a="1"/>
  <c r="FL107" i="2" a="1"/>
  <c r="DN107" i="2" a="1"/>
  <c r="DR107" i="2" a="1"/>
  <c r="CX107" i="2" a="1"/>
  <c r="DC107" i="2" a="1"/>
  <c r="DG107" i="2" a="1"/>
  <c r="DK107" i="2" a="1"/>
  <c r="DO107" i="2" a="1"/>
  <c r="DS107" i="2" a="1"/>
  <c r="EA107" i="2" a="1"/>
  <c r="CY107" i="2" a="1"/>
  <c r="DD107" i="2" a="1"/>
  <c r="DL107" i="2" a="1"/>
  <c r="DP107" i="2" a="1"/>
  <c r="DT107" i="2" a="1"/>
  <c r="DQ107" i="2" a="1"/>
  <c r="CD107" i="2" a="1"/>
  <c r="DC72" i="2" a="1"/>
  <c r="DO72" i="2" a="1"/>
  <c r="DG72" i="2" a="1"/>
  <c r="DS72" i="2" a="1"/>
  <c r="EA72" i="2" a="1"/>
  <c r="CX72" i="2" a="1"/>
  <c r="DK72" i="2" a="1"/>
  <c r="FL72" i="2" a="1"/>
  <c r="CW72" i="2" a="1"/>
  <c r="DF72" i="2" a="1"/>
  <c r="DN72" i="2" a="1"/>
  <c r="DR72" i="2" a="1"/>
  <c r="CY72" i="2" a="1"/>
  <c r="DD72" i="2" a="1"/>
  <c r="DL72" i="2" a="1"/>
  <c r="DP72" i="2" a="1"/>
  <c r="DT72" i="2" a="1"/>
  <c r="CZ72" i="2" a="1"/>
  <c r="DQ72" i="2" a="1"/>
  <c r="CD72" i="2" a="1"/>
  <c r="DC83" i="2" a="1"/>
  <c r="DK83" i="2" a="1"/>
  <c r="DS83" i="2" a="1"/>
  <c r="EA83" i="2" a="1"/>
  <c r="CW83" i="2" a="1"/>
  <c r="DF83" i="2" a="1"/>
  <c r="DN83" i="2" a="1"/>
  <c r="CX83" i="2" a="1"/>
  <c r="DG83" i="2" a="1"/>
  <c r="DO83" i="2" a="1"/>
  <c r="CZ83" i="2" a="1"/>
  <c r="DQ83" i="2" a="1"/>
  <c r="DR83" i="2" a="1"/>
  <c r="CD83" i="2" a="1"/>
  <c r="FL83" i="2" a="1"/>
  <c r="CY83" i="2" a="1"/>
  <c r="DD83" i="2" a="1"/>
  <c r="DL83" i="2" a="1"/>
  <c r="DP83" i="2" a="1"/>
  <c r="DT83" i="2" a="1"/>
  <c r="CX63" i="2" a="1"/>
  <c r="EA63" i="2" a="1"/>
  <c r="DK63" i="2" a="1"/>
  <c r="DC63" i="2" a="1"/>
  <c r="DO63" i="2" a="1"/>
  <c r="FL63" i="2" a="1"/>
  <c r="DG63" i="2" a="1"/>
  <c r="DS63" i="2" a="1"/>
  <c r="CY63" i="2" a="1"/>
  <c r="DD63" i="2" a="1"/>
  <c r="DL63" i="2" a="1"/>
  <c r="DP63" i="2" a="1"/>
  <c r="DT63" i="2" a="1"/>
  <c r="CZ63" i="2" a="1"/>
  <c r="DQ63" i="2" a="1"/>
  <c r="CD63" i="2" a="1"/>
  <c r="CW63" i="2" a="1"/>
  <c r="DF63" i="2" a="1"/>
  <c r="DN63" i="2" a="1"/>
  <c r="DR63" i="2" a="1"/>
  <c r="DG103" i="2" a="1"/>
  <c r="CX103" i="2" a="1"/>
  <c r="DK103" i="2" a="1"/>
  <c r="CY103" i="2" a="1"/>
  <c r="DO103" i="2" a="1"/>
  <c r="DC103" i="2" a="1"/>
  <c r="DS103" i="2" a="1"/>
  <c r="DD103" i="2" a="1"/>
  <c r="EA103" i="2" a="1"/>
  <c r="FL103" i="2" a="1"/>
  <c r="DL103" i="2" a="1"/>
  <c r="DP103" i="2" a="1"/>
  <c r="DT103" i="2" a="1"/>
  <c r="CZ103" i="2" a="1"/>
  <c r="DQ103" i="2" a="1"/>
  <c r="CD103" i="2" a="1"/>
  <c r="CW103" i="2" a="1"/>
  <c r="DF103" i="2" a="1"/>
  <c r="DN103" i="2" a="1"/>
  <c r="DR103" i="2" a="1"/>
  <c r="CW38" i="2" a="1"/>
  <c r="DF38" i="2" a="1"/>
  <c r="DN38" i="2" a="1"/>
  <c r="DC38" i="2" a="1"/>
  <c r="EA38" i="2" a="1"/>
  <c r="DK38" i="2" a="1"/>
  <c r="DS38" i="2" a="1"/>
  <c r="DG38" i="2" a="1"/>
  <c r="CX38" i="2" a="1"/>
  <c r="DO38" i="2" a="1"/>
  <c r="CZ38" i="2" a="1"/>
  <c r="DQ38" i="2" a="1"/>
  <c r="DR38" i="2" a="1"/>
  <c r="CD38" i="2" a="1"/>
  <c r="FL38" i="2" a="1"/>
  <c r="CY38" i="2" a="1"/>
  <c r="DD38" i="2" a="1"/>
  <c r="DL38" i="2" a="1"/>
  <c r="DP38" i="2" a="1"/>
  <c r="DT38" i="2" a="1"/>
  <c r="FL92" i="2" a="1"/>
  <c r="DN92" i="2" a="1"/>
  <c r="DF92" i="2" a="1"/>
  <c r="CW92" i="2" a="1"/>
  <c r="DR92" i="2" a="1"/>
  <c r="CX92" i="2" a="1"/>
  <c r="DC92" i="2" a="1"/>
  <c r="DG92" i="2" a="1"/>
  <c r="DK92" i="2" a="1"/>
  <c r="DO92" i="2" a="1"/>
  <c r="DS92" i="2" a="1"/>
  <c r="EA92" i="2" a="1"/>
  <c r="CY92" i="2" a="1"/>
  <c r="DD92" i="2" a="1"/>
  <c r="DL92" i="2" a="1"/>
  <c r="DP92" i="2" a="1"/>
  <c r="DT92" i="2" a="1"/>
  <c r="CZ92" i="2" a="1"/>
  <c r="DQ92" i="2" a="1"/>
  <c r="CD92" i="2" a="1"/>
  <c r="CD64" i="2" a="1"/>
  <c r="CZ64" i="2" a="1"/>
  <c r="DQ64" i="2" a="1"/>
  <c r="CW64" i="2" a="1"/>
  <c r="DF64" i="2" a="1"/>
  <c r="DN64" i="2" a="1"/>
  <c r="DR64" i="2" a="1"/>
  <c r="FL64" i="2" a="1"/>
  <c r="CX64" i="2" a="1"/>
  <c r="DC64" i="2" a="1"/>
  <c r="DG64" i="2" a="1"/>
  <c r="DK64" i="2" a="1"/>
  <c r="DO64" i="2" a="1"/>
  <c r="DS64" i="2" a="1"/>
  <c r="EA64" i="2" a="1"/>
  <c r="CY64" i="2" a="1"/>
  <c r="DD64" i="2" a="1"/>
  <c r="DL64" i="2" a="1"/>
  <c r="DP64" i="2" a="1"/>
  <c r="DT64" i="2" a="1"/>
  <c r="DD91" i="2" a="1"/>
  <c r="DL91" i="2" a="1"/>
  <c r="DT91" i="2" a="1"/>
  <c r="CW91" i="2" a="1"/>
  <c r="DF91" i="2" a="1"/>
  <c r="DN91" i="2" a="1"/>
  <c r="CY91" i="2" a="1"/>
  <c r="DP91" i="2" a="1"/>
  <c r="CZ91" i="2" a="1"/>
  <c r="DQ91" i="2" a="1"/>
  <c r="DR91" i="2" a="1"/>
  <c r="CD91" i="2" a="1"/>
  <c r="FL91" i="2" a="1"/>
  <c r="CX91" i="2" a="1"/>
  <c r="DC91" i="2" a="1"/>
  <c r="DG91" i="2" a="1"/>
  <c r="DK91" i="2" a="1"/>
  <c r="DO91" i="2" a="1"/>
  <c r="DS91" i="2" a="1"/>
  <c r="EA91" i="2" a="1"/>
  <c r="DN93" i="2" a="1"/>
  <c r="CZ93" i="2" a="1"/>
  <c r="DQ93" i="2" a="1"/>
  <c r="DR93" i="2" a="1"/>
  <c r="DF93" i="2" a="1"/>
  <c r="CW93" i="2" a="1"/>
  <c r="CD93" i="2" a="1"/>
  <c r="FL93" i="2" a="1"/>
  <c r="CX93" i="2" a="1"/>
  <c r="DC93" i="2" a="1"/>
  <c r="DG93" i="2" a="1"/>
  <c r="DK93" i="2" a="1"/>
  <c r="DO93" i="2" a="1"/>
  <c r="DS93" i="2" a="1"/>
  <c r="EA93" i="2" a="1"/>
  <c r="CY93" i="2" a="1"/>
  <c r="DD93" i="2" a="1"/>
  <c r="DL93" i="2" a="1"/>
  <c r="DP93" i="2" a="1"/>
  <c r="DT93" i="2" a="1"/>
  <c r="DO39" i="2" a="1"/>
  <c r="CX39" i="2" a="1"/>
  <c r="DG39" i="2" a="1"/>
  <c r="CD39" i="2" a="1"/>
  <c r="EA39" i="2" a="1"/>
  <c r="DC39" i="2" a="1"/>
  <c r="DK39" i="2" a="1"/>
  <c r="DS39" i="2" a="1"/>
  <c r="CY39" i="2" a="1"/>
  <c r="DD39" i="2" a="1"/>
  <c r="DL39" i="2" a="1"/>
  <c r="DP39" i="2" a="1"/>
  <c r="DT39" i="2" a="1"/>
  <c r="CZ39" i="2" a="1"/>
  <c r="DQ39" i="2" a="1"/>
  <c r="CW39" i="2" a="1"/>
  <c r="DF39" i="2" a="1"/>
  <c r="DN39" i="2" a="1"/>
  <c r="DR39" i="2" a="1"/>
  <c r="FL39" i="2" a="1"/>
  <c r="DG69" i="2" a="1"/>
  <c r="DS69" i="2" a="1"/>
  <c r="EA69" i="2" a="1"/>
  <c r="CX69" i="2" a="1"/>
  <c r="DK69" i="2" a="1"/>
  <c r="DC69" i="2" a="1"/>
  <c r="DO69" i="2" a="1"/>
  <c r="FL69" i="2" a="1"/>
  <c r="CY69" i="2" a="1"/>
  <c r="DD69" i="2" a="1"/>
  <c r="DL69" i="2" a="1"/>
  <c r="DP69" i="2" a="1"/>
  <c r="DT69" i="2" a="1"/>
  <c r="CZ69" i="2" a="1"/>
  <c r="DQ69" i="2" a="1"/>
  <c r="CD69" i="2" a="1"/>
  <c r="CW69" i="2" a="1"/>
  <c r="DF69" i="2" a="1"/>
  <c r="DN69" i="2" a="1"/>
  <c r="DR69" i="2" a="1"/>
  <c r="DR32" i="2" a="1"/>
  <c r="CW32" i="2" a="1"/>
  <c r="DL32" i="2" a="1"/>
  <c r="DF32" i="2" a="1"/>
  <c r="DK32" i="2" a="1"/>
  <c r="DP32" i="2" a="1"/>
  <c r="DG32" i="2" a="1"/>
  <c r="EA32" i="2" a="1"/>
  <c r="FL32" i="2" a="1"/>
  <c r="CD32" i="2" a="1"/>
  <c r="CX32" i="2" a="1"/>
  <c r="DN32" i="2" a="1"/>
  <c r="DS32" i="2" a="1"/>
  <c r="DD32" i="2" a="1"/>
  <c r="DC32" i="2" a="1"/>
  <c r="CY32" i="2" a="1"/>
  <c r="DO32" i="2" a="1"/>
  <c r="DT32" i="2" a="1"/>
  <c r="CZ32" i="2" a="1"/>
  <c r="DQ32" i="2" a="1"/>
  <c r="DC47" i="2" a="1"/>
  <c r="DO47" i="2" a="1"/>
  <c r="DG47" i="2" a="1"/>
  <c r="DQ47" i="2" a="1"/>
  <c r="CX47" i="2" a="1"/>
  <c r="DS47" i="2" a="1"/>
  <c r="EA47" i="2" a="1"/>
  <c r="CZ47" i="2" a="1"/>
  <c r="DK47" i="2" a="1"/>
  <c r="CY47" i="2" a="1"/>
  <c r="DD47" i="2" a="1"/>
  <c r="DL47" i="2" a="1"/>
  <c r="DP47" i="2" a="1"/>
  <c r="DT47" i="2" a="1"/>
  <c r="CD47" i="2" a="1"/>
  <c r="CW47" i="2" a="1"/>
  <c r="DF47" i="2" a="1"/>
  <c r="DN47" i="2" a="1"/>
  <c r="DR47" i="2" a="1"/>
  <c r="FL47" i="2" a="1"/>
  <c r="CX99" i="2" a="1"/>
  <c r="DC99" i="2" a="1"/>
  <c r="DG99" i="2" a="1"/>
  <c r="DK99" i="2" a="1"/>
  <c r="DO99" i="2" a="1"/>
  <c r="DS99" i="2" a="1"/>
  <c r="EA99" i="2" a="1"/>
  <c r="CY99" i="2" a="1"/>
  <c r="DD99" i="2" a="1"/>
  <c r="DL99" i="2" a="1"/>
  <c r="DP99" i="2" a="1"/>
  <c r="DT99" i="2" a="1"/>
  <c r="CZ99" i="2" a="1"/>
  <c r="DQ99" i="2" a="1"/>
  <c r="CD99" i="2" a="1"/>
  <c r="CW99" i="2" a="1"/>
  <c r="DF99" i="2" a="1"/>
  <c r="DN99" i="2" a="1"/>
  <c r="DR99" i="2" a="1"/>
  <c r="FL99" i="2" a="1"/>
  <c r="DS81" i="2" a="1"/>
  <c r="EA81" i="2" a="1"/>
  <c r="DC81" i="2" a="1"/>
  <c r="DG81" i="2" a="1"/>
  <c r="CX81" i="2" a="1"/>
  <c r="DO81" i="2" a="1"/>
  <c r="DK81" i="2" a="1"/>
  <c r="CY81" i="2" a="1"/>
  <c r="DD81" i="2" a="1"/>
  <c r="DL81" i="2" a="1"/>
  <c r="DP81" i="2" a="1"/>
  <c r="DT81" i="2" a="1"/>
  <c r="CZ81" i="2" a="1"/>
  <c r="DQ81" i="2" a="1"/>
  <c r="CD81" i="2" a="1"/>
  <c r="CW81" i="2" a="1"/>
  <c r="DF81" i="2" a="1"/>
  <c r="DN81" i="2" a="1"/>
  <c r="DR81" i="2" a="1"/>
  <c r="FL81" i="2" a="1"/>
  <c r="DG114" i="2" a="1"/>
  <c r="DC114" i="2" a="1"/>
  <c r="DP114" i="2" a="1"/>
  <c r="CX114" i="2" a="1"/>
  <c r="DK114" i="2" a="1"/>
  <c r="DT114" i="2" a="1"/>
  <c r="FL114" i="2" a="1"/>
  <c r="DL114" i="2" a="1"/>
  <c r="CY114" i="2" a="1"/>
  <c r="DD114" i="2" a="1"/>
  <c r="DQ114" i="2" a="1"/>
  <c r="DR114" i="2" a="1"/>
  <c r="CZ114" i="2" a="1"/>
  <c r="DN114" i="2" a="1"/>
  <c r="CD114" i="2" a="1"/>
  <c r="DS114" i="2" a="1"/>
  <c r="CW114" i="2" a="1"/>
  <c r="DF114" i="2" a="1"/>
  <c r="DO114" i="2" a="1"/>
  <c r="EA114" i="2" a="1"/>
  <c r="CX40" i="2" a="1"/>
  <c r="CY40" i="2" a="1"/>
  <c r="DR40" i="2" a="1"/>
  <c r="DG40" i="2" a="1"/>
  <c r="DD40" i="2" a="1"/>
  <c r="DL40" i="2" a="1"/>
  <c r="DC40" i="2" a="1"/>
  <c r="CD40" i="2" a="1"/>
  <c r="CW40" i="2" a="1"/>
  <c r="DF40" i="2" a="1"/>
  <c r="DN40" i="2" a="1"/>
  <c r="FL40" i="2" a="1"/>
  <c r="DK40" i="2" a="1"/>
  <c r="DO40" i="2" a="1"/>
  <c r="DS40" i="2" a="1"/>
  <c r="EA40" i="2" a="1"/>
  <c r="DP40" i="2" a="1"/>
  <c r="DT40" i="2" a="1"/>
  <c r="CZ40" i="2" a="1"/>
  <c r="DQ40" i="2" a="1"/>
  <c r="CD65" i="2" a="1"/>
  <c r="DS65" i="2" a="1"/>
  <c r="CX65" i="2" a="1"/>
  <c r="DC65" i="2" a="1"/>
  <c r="DD65" i="2" a="1"/>
  <c r="CY65" i="2" a="1"/>
  <c r="DO65" i="2" a="1"/>
  <c r="FL65" i="2" a="1"/>
  <c r="CZ65" i="2" a="1"/>
  <c r="DK65" i="2" a="1"/>
  <c r="DP65" i="2" a="1"/>
  <c r="DG65" i="2" a="1"/>
  <c r="DQ65" i="2" a="1"/>
  <c r="EA65" i="2" a="1"/>
  <c r="CW65" i="2" a="1"/>
  <c r="DL65" i="2" a="1"/>
  <c r="DF65" i="2" a="1"/>
  <c r="DN65" i="2" a="1"/>
  <c r="DR65" i="2" a="1"/>
  <c r="DT65" i="2" a="1"/>
  <c r="DG98" i="2" a="1"/>
  <c r="DN98" i="2" a="1"/>
  <c r="CZ98" i="2" a="1"/>
  <c r="CD98" i="2" a="1"/>
  <c r="DO98" i="2" a="1"/>
  <c r="DC98" i="2" a="1"/>
  <c r="DQ98" i="2" a="1"/>
  <c r="CW98" i="2" a="1"/>
  <c r="DK98" i="2" a="1"/>
  <c r="CX98" i="2" a="1"/>
  <c r="DF98" i="2" a="1"/>
  <c r="DS98" i="2" a="1"/>
  <c r="FL98" i="2" a="1"/>
  <c r="DR98" i="2" a="1"/>
  <c r="EA98" i="2" a="1"/>
  <c r="CY98" i="2" a="1"/>
  <c r="DD98" i="2" a="1"/>
  <c r="DL98" i="2" a="1"/>
  <c r="DP98" i="2" a="1"/>
  <c r="DT98" i="2" a="1"/>
  <c r="CZ90" i="2" a="1"/>
  <c r="DF90" i="2" a="1"/>
  <c r="DK90" i="2" a="1"/>
  <c r="DQ90" i="2" a="1"/>
  <c r="DG90" i="2" a="1"/>
  <c r="DR90" i="2" a="1"/>
  <c r="CW90" i="2" a="1"/>
  <c r="DC90" i="2" a="1"/>
  <c r="DN90" i="2" a="1"/>
  <c r="CD90" i="2" a="1"/>
  <c r="CX90" i="2" a="1"/>
  <c r="DO90" i="2" a="1"/>
  <c r="FL90" i="2" a="1"/>
  <c r="DS90" i="2" a="1"/>
  <c r="EA90" i="2" a="1"/>
  <c r="CY90" i="2" a="1"/>
  <c r="DD90" i="2" a="1"/>
  <c r="DL90" i="2" a="1"/>
  <c r="DP90" i="2" a="1"/>
  <c r="DT90" i="2" a="1"/>
  <c r="CD52" i="2" a="1"/>
  <c r="CZ52" i="2" a="1"/>
  <c r="DQ52" i="2" a="1"/>
  <c r="CW52" i="2" a="1"/>
  <c r="DF52" i="2" a="1"/>
  <c r="DN52" i="2" a="1"/>
  <c r="DR52" i="2" a="1"/>
  <c r="FL52" i="2" a="1"/>
  <c r="CX52" i="2" a="1"/>
  <c r="DC52" i="2" a="1"/>
  <c r="DG52" i="2" a="1"/>
  <c r="DK52" i="2" a="1"/>
  <c r="DO52" i="2" a="1"/>
  <c r="DS52" i="2" a="1"/>
  <c r="EA52" i="2" a="1"/>
  <c r="CY52" i="2" a="1"/>
  <c r="DD52" i="2" a="1"/>
  <c r="DL52" i="2" a="1"/>
  <c r="DP52" i="2" a="1"/>
  <c r="DT52" i="2" a="1"/>
  <c r="CY50" i="2" a="1"/>
  <c r="DD50" i="2" a="1"/>
  <c r="FL50" i="2" a="1"/>
  <c r="CD50" i="2" a="1"/>
  <c r="DL50" i="2" a="1"/>
  <c r="DP50" i="2" a="1"/>
  <c r="DT50" i="2" a="1"/>
  <c r="CZ50" i="2" a="1"/>
  <c r="DQ50" i="2" a="1"/>
  <c r="CW50" i="2" a="1"/>
  <c r="DF50" i="2" a="1"/>
  <c r="DN50" i="2" a="1"/>
  <c r="DR50" i="2" a="1"/>
  <c r="CX50" i="2" a="1"/>
  <c r="DC50" i="2" a="1"/>
  <c r="DG50" i="2" a="1"/>
  <c r="DK50" i="2" a="1"/>
  <c r="DO50" i="2" a="1"/>
  <c r="DS50" i="2" a="1"/>
  <c r="EA50" i="2" a="1"/>
  <c r="DN49" i="2" a="1"/>
  <c r="DQ49" i="2" a="1"/>
  <c r="EA49" i="2" a="1"/>
  <c r="DD49" i="2" a="1"/>
  <c r="DO49" i="2" a="1"/>
  <c r="CW49" i="2" a="1"/>
  <c r="DC49" i="2" a="1"/>
  <c r="DP49" i="2" a="1"/>
  <c r="CX49" i="2" a="1"/>
  <c r="DK49" i="2" a="1"/>
  <c r="CD49" i="2" a="1"/>
  <c r="CY49" i="2" a="1"/>
  <c r="DL49" i="2" a="1"/>
  <c r="DR49" i="2" a="1"/>
  <c r="CZ49" i="2" a="1"/>
  <c r="DF49" i="2" a="1"/>
  <c r="DS49" i="2" a="1"/>
  <c r="DG49" i="2" a="1"/>
  <c r="DT49" i="2" a="1"/>
  <c r="FL49" i="2" a="1"/>
  <c r="DL105" i="2" a="1"/>
  <c r="DP105" i="2" a="1"/>
  <c r="DT105" i="2" a="1"/>
  <c r="CY105" i="2" a="1"/>
  <c r="DD105" i="2" a="1"/>
  <c r="CZ105" i="2" a="1"/>
  <c r="DQ105" i="2" a="1"/>
  <c r="CD105" i="2" a="1"/>
  <c r="CW105" i="2" a="1"/>
  <c r="DF105" i="2" a="1"/>
  <c r="DN105" i="2" a="1"/>
  <c r="DR105" i="2" a="1"/>
  <c r="FL105" i="2" a="1"/>
  <c r="CX105" i="2" a="1"/>
  <c r="DC105" i="2" a="1"/>
  <c r="DG105" i="2" a="1"/>
  <c r="DK105" i="2" a="1"/>
  <c r="DO105" i="2" a="1"/>
  <c r="DS105" i="2" a="1"/>
  <c r="EA105" i="2" a="1"/>
  <c r="CX48" i="2" a="1"/>
  <c r="EA48" i="2" a="1"/>
  <c r="DK48" i="2" a="1"/>
  <c r="DC48" i="2" a="1"/>
  <c r="DO48" i="2" a="1"/>
  <c r="DG48" i="2" a="1"/>
  <c r="DS48" i="2" a="1"/>
  <c r="CD48" i="2" a="1"/>
  <c r="CW48" i="2" a="1"/>
  <c r="DF48" i="2" a="1"/>
  <c r="DN48" i="2" a="1"/>
  <c r="DR48" i="2" a="1"/>
  <c r="FL48" i="2" a="1"/>
  <c r="CY48" i="2" a="1"/>
  <c r="DD48" i="2" a="1"/>
  <c r="DL48" i="2" a="1"/>
  <c r="DP48" i="2" a="1"/>
  <c r="DT48" i="2" a="1"/>
  <c r="CZ48" i="2" a="1"/>
  <c r="DQ48" i="2" a="1"/>
  <c r="FL76" i="2" a="1"/>
  <c r="CW76" i="2" a="1"/>
  <c r="DF76" i="2" a="1"/>
  <c r="DN76" i="2" a="1"/>
  <c r="DR76" i="2" a="1"/>
  <c r="CX76" i="2" a="1"/>
  <c r="DC76" i="2" a="1"/>
  <c r="DG76" i="2" a="1"/>
  <c r="DK76" i="2" a="1"/>
  <c r="DO76" i="2" a="1"/>
  <c r="DS76" i="2" a="1"/>
  <c r="EA76" i="2" a="1"/>
  <c r="CY76" i="2" a="1"/>
  <c r="DD76" i="2" a="1"/>
  <c r="DL76" i="2" a="1"/>
  <c r="DP76" i="2" a="1"/>
  <c r="DT76" i="2" a="1"/>
  <c r="CZ76" i="2" a="1"/>
  <c r="DQ76" i="2" a="1"/>
  <c r="CD76" i="2" a="1"/>
  <c r="DP102" i="2" a="1"/>
  <c r="CY102" i="2" a="1"/>
  <c r="CZ102" i="2" a="1"/>
  <c r="DF102" i="2" a="1"/>
  <c r="DL102" i="2" a="1"/>
  <c r="DQ102" i="2" a="1"/>
  <c r="CW102" i="2" a="1"/>
  <c r="DC102" i="2" a="1"/>
  <c r="DR102" i="2" a="1"/>
  <c r="CD102" i="2" a="1"/>
  <c r="CX102" i="2" a="1"/>
  <c r="DD102" i="2" a="1"/>
  <c r="DN102" i="2" a="1"/>
  <c r="DT102" i="2" a="1"/>
  <c r="FL102" i="2" a="1"/>
  <c r="DG102" i="2" a="1"/>
  <c r="DK102" i="2" a="1"/>
  <c r="DO102" i="2" a="1"/>
  <c r="DS102" i="2" a="1"/>
  <c r="EA102" i="2" a="1"/>
  <c r="CY80" i="2" a="1"/>
  <c r="DD80" i="2" a="1"/>
  <c r="DL80" i="2" a="1"/>
  <c r="DP80" i="2" a="1"/>
  <c r="DT80" i="2" a="1"/>
  <c r="CZ80" i="2" a="1"/>
  <c r="DQ80" i="2" a="1"/>
  <c r="CD80" i="2" a="1"/>
  <c r="CW80" i="2" a="1"/>
  <c r="DF80" i="2" a="1"/>
  <c r="DN80" i="2" a="1"/>
  <c r="DR80" i="2" a="1"/>
  <c r="FL80" i="2" a="1"/>
  <c r="CX80" i="2" a="1"/>
  <c r="DC80" i="2" a="1"/>
  <c r="DG80" i="2" a="1"/>
  <c r="DK80" i="2" a="1"/>
  <c r="DO80" i="2" a="1"/>
  <c r="DS80" i="2" a="1"/>
  <c r="EA80" i="2" a="1"/>
  <c r="CY62" i="2" a="1"/>
  <c r="DL62" i="2" a="1"/>
  <c r="DD62" i="2" a="1"/>
  <c r="DP62" i="2" a="1"/>
  <c r="DT62" i="2" a="1"/>
  <c r="CZ62" i="2" a="1"/>
  <c r="DQ62" i="2" a="1"/>
  <c r="CD62" i="2" a="1"/>
  <c r="CW62" i="2" a="1"/>
  <c r="DF62" i="2" a="1"/>
  <c r="DN62" i="2" a="1"/>
  <c r="DR62" i="2" a="1"/>
  <c r="FL62" i="2" a="1"/>
  <c r="CX62" i="2" a="1"/>
  <c r="DC62" i="2" a="1"/>
  <c r="DG62" i="2" a="1"/>
  <c r="DK62" i="2" a="1"/>
  <c r="DO62" i="2" a="1"/>
  <c r="DS62" i="2" a="1"/>
  <c r="EA62" i="2" a="1"/>
  <c r="DN70" i="2" a="1"/>
  <c r="CW70" i="2" a="1"/>
  <c r="DR70" i="2" a="1"/>
  <c r="DF70" i="2" a="1"/>
  <c r="CD70" i="2" a="1"/>
  <c r="CZ70" i="2" a="1"/>
  <c r="DQ70" i="2" a="1"/>
  <c r="FL70" i="2" a="1"/>
  <c r="CX70" i="2" a="1"/>
  <c r="DC70" i="2" a="1"/>
  <c r="DG70" i="2" a="1"/>
  <c r="DK70" i="2" a="1"/>
  <c r="DO70" i="2" a="1"/>
  <c r="DS70" i="2" a="1"/>
  <c r="EA70" i="2" a="1"/>
  <c r="CY70" i="2" a="1"/>
  <c r="DD70" i="2" a="1"/>
  <c r="DL70" i="2" a="1"/>
  <c r="DP70" i="2" a="1"/>
  <c r="DT70" i="2" a="1"/>
  <c r="CZ59" i="2" a="1"/>
  <c r="DQ59" i="2" a="1"/>
  <c r="CD59" i="2" a="1"/>
  <c r="CW59" i="2" a="1"/>
  <c r="DF59" i="2" a="1"/>
  <c r="DN59" i="2" a="1"/>
  <c r="DR59" i="2" a="1"/>
  <c r="FL59" i="2" a="1"/>
  <c r="CX59" i="2" a="1"/>
  <c r="DC59" i="2" a="1"/>
  <c r="DG59" i="2" a="1"/>
  <c r="DK59" i="2" a="1"/>
  <c r="DO59" i="2" a="1"/>
  <c r="DS59" i="2" a="1"/>
  <c r="EA59" i="2" a="1"/>
  <c r="CY59" i="2" a="1"/>
  <c r="DD59" i="2" a="1"/>
  <c r="DL59" i="2" a="1"/>
  <c r="DP59" i="2" a="1"/>
  <c r="DT59" i="2" a="1"/>
  <c r="CZ82" i="2" a="1"/>
  <c r="DQ82" i="2" a="1"/>
  <c r="FL82" i="2" a="1"/>
  <c r="CW82" i="2" a="1"/>
  <c r="DF82" i="2" a="1"/>
  <c r="DN82" i="2" a="1"/>
  <c r="DR82" i="2" a="1"/>
  <c r="CX82" i="2" a="1"/>
  <c r="DC82" i="2" a="1"/>
  <c r="DG82" i="2" a="1"/>
  <c r="DK82" i="2" a="1"/>
  <c r="DO82" i="2" a="1"/>
  <c r="DS82" i="2" a="1"/>
  <c r="EA82" i="2" a="1"/>
  <c r="CY82" i="2" a="1"/>
  <c r="DD82" i="2" a="1"/>
  <c r="DL82" i="2" a="1"/>
  <c r="DP82" i="2" a="1"/>
  <c r="DT82" i="2" a="1"/>
  <c r="CD82" i="2" a="1"/>
  <c r="DT36" i="2" a="1"/>
  <c r="DD36" i="2" a="1"/>
  <c r="DL36" i="2" a="1"/>
  <c r="DQ36" i="2" a="1"/>
  <c r="DR36" i="2" a="1"/>
  <c r="CZ36" i="2" a="1"/>
  <c r="CW36" i="2" a="1"/>
  <c r="DF36" i="2" a="1"/>
  <c r="DN36" i="2" a="1"/>
  <c r="CY36" i="2" a="1"/>
  <c r="DP36" i="2" a="1"/>
  <c r="CD36" i="2" a="1"/>
  <c r="FL36" i="2" a="1"/>
  <c r="CX36" i="2" a="1"/>
  <c r="DC36" i="2" a="1"/>
  <c r="DG36" i="2" a="1"/>
  <c r="DK36" i="2" a="1"/>
  <c r="DO36" i="2" a="1"/>
  <c r="DS36" i="2" a="1"/>
  <c r="EA36" i="2" a="1"/>
  <c r="CY101" i="2" a="1"/>
  <c r="DD101" i="2" a="1"/>
  <c r="DL101" i="2" a="1"/>
  <c r="DP101" i="2" a="1"/>
  <c r="DT101" i="2" a="1"/>
  <c r="CZ101" i="2" a="1"/>
  <c r="DQ101" i="2" a="1"/>
  <c r="CD101" i="2" a="1"/>
  <c r="CW101" i="2" a="1"/>
  <c r="DF101" i="2" a="1"/>
  <c r="DN101" i="2" a="1"/>
  <c r="DR101" i="2" a="1"/>
  <c r="FL101" i="2" a="1"/>
  <c r="CX101" i="2" a="1"/>
  <c r="DC101" i="2" a="1"/>
  <c r="DG101" i="2" a="1"/>
  <c r="DK101" i="2" a="1"/>
  <c r="DO101" i="2" a="1"/>
  <c r="DS101" i="2" a="1"/>
  <c r="EA101" i="2" a="1"/>
  <c r="DF100" i="2" a="1"/>
  <c r="DN100" i="2" a="1"/>
  <c r="DR100" i="2" a="1"/>
  <c r="CW100" i="2" a="1"/>
  <c r="CD100" i="2" a="1"/>
  <c r="FL100" i="2" a="1"/>
  <c r="CX100" i="2" a="1"/>
  <c r="DC100" i="2" a="1"/>
  <c r="DG100" i="2" a="1"/>
  <c r="DK100" i="2" a="1"/>
  <c r="DO100" i="2" a="1"/>
  <c r="DS100" i="2" a="1"/>
  <c r="EA100" i="2" a="1"/>
  <c r="CY100" i="2" a="1"/>
  <c r="DD100" i="2" a="1"/>
  <c r="DL100" i="2" a="1"/>
  <c r="DP100" i="2" a="1"/>
  <c r="DT100" i="2" a="1"/>
  <c r="CZ100" i="2" a="1"/>
  <c r="DQ100" i="2" a="1"/>
  <c r="DC57" i="2" a="1"/>
  <c r="DL57" i="2" a="1"/>
  <c r="DR57" i="2" a="1"/>
  <c r="CW57" i="2" a="1"/>
  <c r="DT57" i="2" a="1"/>
  <c r="CX57" i="2" a="1"/>
  <c r="DD57" i="2" a="1"/>
  <c r="DN57" i="2" a="1"/>
  <c r="CY57" i="2" a="1"/>
  <c r="DP57" i="2" a="1"/>
  <c r="CD57" i="2" a="1"/>
  <c r="DF57" i="2" a="1"/>
  <c r="DK57" i="2" a="1"/>
  <c r="DG57" i="2" a="1"/>
  <c r="CZ57" i="2" a="1"/>
  <c r="DQ57" i="2" a="1"/>
  <c r="FL57" i="2" a="1"/>
  <c r="DO57" i="2" a="1"/>
  <c r="DS57" i="2" a="1"/>
  <c r="EA57" i="2" a="1"/>
  <c r="CD86" i="2" a="1"/>
  <c r="CY86" i="2" a="1"/>
  <c r="DD86" i="2" a="1"/>
  <c r="DL86" i="2" a="1"/>
  <c r="DP86" i="2" a="1"/>
  <c r="DT86" i="2" a="1"/>
  <c r="CZ86" i="2" a="1"/>
  <c r="DQ86" i="2" a="1"/>
  <c r="CW86" i="2" a="1"/>
  <c r="DF86" i="2" a="1"/>
  <c r="DN86" i="2" a="1"/>
  <c r="DR86" i="2" a="1"/>
  <c r="FL86" i="2" a="1"/>
  <c r="CX86" i="2" a="1"/>
  <c r="DC86" i="2" a="1"/>
  <c r="DG86" i="2" a="1"/>
  <c r="DK86" i="2" a="1"/>
  <c r="DO86" i="2" a="1"/>
  <c r="DS86" i="2" a="1"/>
  <c r="EA86" i="2" a="1"/>
  <c r="DP106" i="2" a="1"/>
  <c r="CW106" i="2" a="1"/>
  <c r="DF106" i="2" a="1"/>
  <c r="CX106" i="2" a="1"/>
  <c r="DC106" i="2" a="1"/>
  <c r="DL106" i="2" a="1"/>
  <c r="FL106" i="2" a="1"/>
  <c r="CY106" i="2" a="1"/>
  <c r="DD106" i="2" a="1"/>
  <c r="DR106" i="2" a="1"/>
  <c r="CZ106" i="2" a="1"/>
  <c r="DN106" i="2" a="1"/>
  <c r="CD106" i="2" a="1"/>
  <c r="DT106" i="2" a="1"/>
  <c r="DQ106" i="2" a="1"/>
  <c r="DG106" i="2" a="1"/>
  <c r="DK106" i="2" a="1"/>
  <c r="DO106" i="2" a="1"/>
  <c r="DS106" i="2" a="1"/>
  <c r="EA106" i="2" a="1"/>
  <c r="CX56" i="2" a="1"/>
  <c r="DC56" i="2" a="1"/>
  <c r="DG56" i="2" a="1"/>
  <c r="DK56" i="2" a="1"/>
  <c r="DO56" i="2" a="1"/>
  <c r="DS56" i="2" a="1"/>
  <c r="EA56" i="2" a="1"/>
  <c r="CY56" i="2" a="1"/>
  <c r="DD56" i="2" a="1"/>
  <c r="DL56" i="2" a="1"/>
  <c r="DP56" i="2" a="1"/>
  <c r="DT56" i="2" a="1"/>
  <c r="CZ56" i="2" a="1"/>
  <c r="DQ56" i="2" a="1"/>
  <c r="CD56" i="2" a="1"/>
  <c r="CW56" i="2" a="1"/>
  <c r="DF56" i="2" a="1"/>
  <c r="DN56" i="2" a="1"/>
  <c r="DR56" i="2" a="1"/>
  <c r="FL56" i="2" a="1"/>
  <c r="DK60" i="2" a="1"/>
  <c r="CX60" i="2" a="1"/>
  <c r="DC60" i="2" a="1"/>
  <c r="DO60" i="2" a="1"/>
  <c r="DG60" i="2" a="1"/>
  <c r="DS60" i="2" a="1"/>
  <c r="EA60" i="2" a="1"/>
  <c r="CY60" i="2" a="1"/>
  <c r="DD60" i="2" a="1"/>
  <c r="DL60" i="2" a="1"/>
  <c r="DP60" i="2" a="1"/>
  <c r="DT60" i="2" a="1"/>
  <c r="CZ60" i="2" a="1"/>
  <c r="DQ60" i="2" a="1"/>
  <c r="CD60" i="2" a="1"/>
  <c r="CW60" i="2" a="1"/>
  <c r="DF60" i="2" a="1"/>
  <c r="DN60" i="2" a="1"/>
  <c r="DR60" i="2" a="1"/>
  <c r="FL60" i="2" a="1"/>
  <c r="DC111" i="2" a="1"/>
  <c r="DO111" i="2" a="1"/>
  <c r="DP111" i="2" a="1"/>
  <c r="CW111" i="2" a="1"/>
  <c r="DD111" i="2" a="1"/>
  <c r="CX111" i="2" a="1"/>
  <c r="DK111" i="2" a="1"/>
  <c r="DS111" i="2" a="1"/>
  <c r="DF111" i="2" a="1"/>
  <c r="CD111" i="2" a="1"/>
  <c r="CY111" i="2" a="1"/>
  <c r="DG111" i="2" a="1"/>
  <c r="DL111" i="2" a="1"/>
  <c r="EA111" i="2" a="1"/>
  <c r="DT111" i="2" a="1"/>
  <c r="CZ111" i="2" a="1"/>
  <c r="DQ111" i="2" a="1"/>
  <c r="DN111" i="2" a="1"/>
  <c r="DR111" i="2" a="1"/>
  <c r="FL111" i="2" a="1"/>
  <c r="CD46" i="2" a="1"/>
  <c r="FL46" i="2" a="1"/>
  <c r="DN46" i="2" a="1"/>
  <c r="DR46" i="2" a="1"/>
  <c r="CW46" i="2" a="1"/>
  <c r="DF46" i="2" a="1"/>
  <c r="CZ46" i="2" a="1"/>
  <c r="DQ46" i="2" a="1"/>
  <c r="CX46" i="2" a="1"/>
  <c r="DC46" i="2" a="1"/>
  <c r="DG46" i="2" a="1"/>
  <c r="DK46" i="2" a="1"/>
  <c r="DO46" i="2" a="1"/>
  <c r="DS46" i="2" a="1"/>
  <c r="EA46" i="2" a="1"/>
  <c r="CY46" i="2" a="1"/>
  <c r="DD46" i="2" a="1"/>
  <c r="DL46" i="2" a="1"/>
  <c r="DP46" i="2" a="1"/>
  <c r="DT46" i="2" a="1"/>
  <c r="DS42" i="2" a="1"/>
  <c r="EA42" i="2" a="1"/>
  <c r="DG42" i="2" a="1"/>
  <c r="DC42" i="2" a="1"/>
  <c r="DO42" i="2" a="1"/>
  <c r="FL42" i="2" a="1"/>
  <c r="CX42" i="2" a="1"/>
  <c r="DK42" i="2" a="1"/>
  <c r="CY42" i="2" a="1"/>
  <c r="DD42" i="2" a="1"/>
  <c r="DL42" i="2" a="1"/>
  <c r="DP42" i="2" a="1"/>
  <c r="DT42" i="2" a="1"/>
  <c r="CZ42" i="2" a="1"/>
  <c r="DQ42" i="2" a="1"/>
  <c r="CD42" i="2" a="1"/>
  <c r="CW42" i="2" a="1"/>
  <c r="DF42" i="2" a="1"/>
  <c r="DN42" i="2" a="1"/>
  <c r="DR42" i="2" a="1"/>
  <c r="FL54" i="2" a="1"/>
  <c r="CW54" i="2" a="1"/>
  <c r="DF54" i="2" a="1"/>
  <c r="DN54" i="2" a="1"/>
  <c r="DR54" i="2" a="1"/>
  <c r="CX54" i="2" a="1"/>
  <c r="DC54" i="2" a="1"/>
  <c r="DG54" i="2" a="1"/>
  <c r="DK54" i="2" a="1"/>
  <c r="DO54" i="2" a="1"/>
  <c r="DS54" i="2" a="1"/>
  <c r="EA54" i="2" a="1"/>
  <c r="CY54" i="2" a="1"/>
  <c r="DD54" i="2" a="1"/>
  <c r="DL54" i="2" a="1"/>
  <c r="DP54" i="2" a="1"/>
  <c r="DT54" i="2" a="1"/>
  <c r="CZ54" i="2" a="1"/>
  <c r="DQ54" i="2" a="1"/>
  <c r="CD54" i="2" a="1"/>
  <c r="CX94" i="2" a="1"/>
  <c r="DC94" i="2" a="1"/>
  <c r="DG94" i="2" a="1"/>
  <c r="DK94" i="2" a="1"/>
  <c r="DO94" i="2" a="1"/>
  <c r="DS94" i="2" a="1"/>
  <c r="EA94" i="2" a="1"/>
  <c r="CY94" i="2" a="1"/>
  <c r="DD94" i="2" a="1"/>
  <c r="DL94" i="2" a="1"/>
  <c r="DP94" i="2" a="1"/>
  <c r="DT94" i="2" a="1"/>
  <c r="CZ94" i="2" a="1"/>
  <c r="DQ94" i="2" a="1"/>
  <c r="CD94" i="2" a="1"/>
  <c r="CW94" i="2" a="1"/>
  <c r="DF94" i="2" a="1"/>
  <c r="DN94" i="2" a="1"/>
  <c r="DR94" i="2" a="1"/>
  <c r="FL94" i="2" a="1"/>
  <c r="FL94" i="2" l="1"/>
  <c r="EQ94" i="2" s="1"/>
  <c r="DR94" i="2"/>
  <c r="DN94" i="2"/>
  <c r="BX94" i="2" s="1"/>
  <c r="DF94" i="2"/>
  <c r="CW94" i="2"/>
  <c r="BU94" i="2" s="1"/>
  <c r="CD94" i="2"/>
  <c r="DQ94" i="2"/>
  <c r="CZ94" i="2"/>
  <c r="DT94" i="2"/>
  <c r="DP94" i="2"/>
  <c r="DL94" i="2"/>
  <c r="DD94" i="2"/>
  <c r="CY94" i="2"/>
  <c r="EA94" i="2"/>
  <c r="DS94" i="2"/>
  <c r="DO94" i="2"/>
  <c r="DK94" i="2"/>
  <c r="DG94" i="2"/>
  <c r="DC94" i="2"/>
  <c r="CX94" i="2"/>
  <c r="BW94" i="2" s="1"/>
  <c r="CD54" i="2"/>
  <c r="DQ54" i="2"/>
  <c r="CZ54" i="2"/>
  <c r="DT54" i="2"/>
  <c r="DP54" i="2"/>
  <c r="DL54" i="2"/>
  <c r="DD54" i="2"/>
  <c r="CY54" i="2"/>
  <c r="EA54" i="2"/>
  <c r="DS54" i="2"/>
  <c r="DO54" i="2"/>
  <c r="DK54" i="2"/>
  <c r="DG54" i="2"/>
  <c r="DC54" i="2"/>
  <c r="CX54" i="2"/>
  <c r="BW54" i="2" s="1"/>
  <c r="DR54" i="2"/>
  <c r="DN54" i="2"/>
  <c r="BX54" i="2" s="1"/>
  <c r="DF54" i="2"/>
  <c r="CW54" i="2"/>
  <c r="BU54" i="2" s="1"/>
  <c r="FL54" i="2"/>
  <c r="EQ54" i="2" s="1"/>
  <c r="DR42" i="2"/>
  <c r="DN42" i="2"/>
  <c r="BX42" i="2" s="1"/>
  <c r="DF42" i="2"/>
  <c r="CW42" i="2"/>
  <c r="BU42" i="2" s="1"/>
  <c r="CD42" i="2"/>
  <c r="DQ42" i="2"/>
  <c r="CZ42" i="2"/>
  <c r="DT42" i="2"/>
  <c r="DP42" i="2"/>
  <c r="DL42" i="2"/>
  <c r="DD42" i="2"/>
  <c r="CY42" i="2"/>
  <c r="DK42" i="2"/>
  <c r="CX42" i="2"/>
  <c r="BW42" i="2" s="1"/>
  <c r="FL42" i="2"/>
  <c r="EQ42" i="2" s="1"/>
  <c r="DO42" i="2"/>
  <c r="DC42" i="2"/>
  <c r="DG42" i="2"/>
  <c r="EA42" i="2"/>
  <c r="DS42" i="2"/>
  <c r="DT46" i="2"/>
  <c r="DP46" i="2"/>
  <c r="DL46" i="2"/>
  <c r="DD46" i="2"/>
  <c r="CY46" i="2"/>
  <c r="EA46" i="2"/>
  <c r="DS46" i="2"/>
  <c r="DO46" i="2"/>
  <c r="DK46" i="2"/>
  <c r="DG46" i="2"/>
  <c r="DC46" i="2"/>
  <c r="CX46" i="2"/>
  <c r="BW46" i="2" s="1"/>
  <c r="DQ46" i="2"/>
  <c r="CZ46" i="2"/>
  <c r="DF46" i="2"/>
  <c r="CW46" i="2"/>
  <c r="BU46" i="2" s="1"/>
  <c r="DR46" i="2"/>
  <c r="DN46" i="2"/>
  <c r="BX46" i="2" s="1"/>
  <c r="FL46" i="2"/>
  <c r="EQ46" i="2" s="1"/>
  <c r="CD46" i="2"/>
  <c r="FL111" i="2"/>
  <c r="EQ111" i="2" s="1"/>
  <c r="DR111" i="2"/>
  <c r="DN111" i="2"/>
  <c r="BX111" i="2" s="1"/>
  <c r="DQ111" i="2"/>
  <c r="CZ111" i="2"/>
  <c r="DT111" i="2"/>
  <c r="EA111" i="2"/>
  <c r="DL111" i="2"/>
  <c r="DG111" i="2"/>
  <c r="CY111" i="2"/>
  <c r="CD111" i="2"/>
  <c r="DF111" i="2"/>
  <c r="DS111" i="2"/>
  <c r="DK111" i="2"/>
  <c r="CX111" i="2"/>
  <c r="BW111" i="2" s="1"/>
  <c r="DD111" i="2"/>
  <c r="CW111" i="2"/>
  <c r="BU111" i="2" s="1"/>
  <c r="DP111" i="2"/>
  <c r="DO111" i="2"/>
  <c r="DC111" i="2"/>
  <c r="FL60" i="2"/>
  <c r="EQ60" i="2" s="1"/>
  <c r="DR60" i="2"/>
  <c r="DN60" i="2"/>
  <c r="BX60" i="2" s="1"/>
  <c r="DF60" i="2"/>
  <c r="CW60" i="2"/>
  <c r="BU60" i="2" s="1"/>
  <c r="CD60" i="2"/>
  <c r="DQ60" i="2"/>
  <c r="CZ60" i="2"/>
  <c r="DT60" i="2"/>
  <c r="DP60" i="2"/>
  <c r="DL60" i="2"/>
  <c r="DD60" i="2"/>
  <c r="CY60" i="2"/>
  <c r="EA60" i="2"/>
  <c r="DS60" i="2"/>
  <c r="DG60" i="2"/>
  <c r="DO60" i="2"/>
  <c r="DC60" i="2"/>
  <c r="CX60" i="2"/>
  <c r="BW60" i="2" s="1"/>
  <c r="DK60" i="2"/>
  <c r="FL56" i="2"/>
  <c r="EQ56" i="2" s="1"/>
  <c r="DR56" i="2"/>
  <c r="DN56" i="2"/>
  <c r="BX56" i="2" s="1"/>
  <c r="DF56" i="2"/>
  <c r="CW56" i="2"/>
  <c r="BU56" i="2" s="1"/>
  <c r="CD56" i="2"/>
  <c r="DQ56" i="2"/>
  <c r="CZ56" i="2"/>
  <c r="DT56" i="2"/>
  <c r="DP56" i="2"/>
  <c r="DL56" i="2"/>
  <c r="DD56" i="2"/>
  <c r="CY56" i="2"/>
  <c r="EA56" i="2"/>
  <c r="DS56" i="2"/>
  <c r="DO56" i="2"/>
  <c r="DK56" i="2"/>
  <c r="DG56" i="2"/>
  <c r="DC56" i="2"/>
  <c r="CX56" i="2"/>
  <c r="BW56" i="2" s="1"/>
  <c r="EA106" i="2"/>
  <c r="DS106" i="2"/>
  <c r="DO106" i="2"/>
  <c r="DK106" i="2"/>
  <c r="DG106" i="2"/>
  <c r="DQ106" i="2"/>
  <c r="DT106" i="2"/>
  <c r="CD106" i="2"/>
  <c r="DN106" i="2"/>
  <c r="BX106" i="2" s="1"/>
  <c r="CZ106" i="2"/>
  <c r="DR106" i="2"/>
  <c r="DD106" i="2"/>
  <c r="CY106" i="2"/>
  <c r="FL106" i="2"/>
  <c r="EQ106" i="2" s="1"/>
  <c r="DL106" i="2"/>
  <c r="DC106" i="2"/>
  <c r="CX106" i="2"/>
  <c r="BW106" i="2" s="1"/>
  <c r="DF106" i="2"/>
  <c r="CW106" i="2"/>
  <c r="BU106" i="2" s="1"/>
  <c r="DP106" i="2"/>
  <c r="EA86" i="2"/>
  <c r="DS86" i="2"/>
  <c r="DO86" i="2"/>
  <c r="DK86" i="2"/>
  <c r="DG86" i="2"/>
  <c r="DC86" i="2"/>
  <c r="CX86" i="2"/>
  <c r="BW86" i="2" s="1"/>
  <c r="FL86" i="2"/>
  <c r="EQ86" i="2" s="1"/>
  <c r="DR86" i="2"/>
  <c r="DN86" i="2"/>
  <c r="BX86" i="2" s="1"/>
  <c r="DF86" i="2"/>
  <c r="CW86" i="2"/>
  <c r="BU86" i="2" s="1"/>
  <c r="DQ86" i="2"/>
  <c r="CZ86" i="2"/>
  <c r="DT86" i="2"/>
  <c r="DP86" i="2"/>
  <c r="DL86" i="2"/>
  <c r="DD86" i="2"/>
  <c r="CY86" i="2"/>
  <c r="CD86" i="2"/>
  <c r="EA57" i="2"/>
  <c r="DS57" i="2"/>
  <c r="DO57" i="2"/>
  <c r="FL57" i="2"/>
  <c r="EQ57" i="2" s="1"/>
  <c r="DQ57" i="2"/>
  <c r="CZ57" i="2"/>
  <c r="DG57" i="2"/>
  <c r="DK57" i="2"/>
  <c r="DF57" i="2"/>
  <c r="CD57" i="2"/>
  <c r="DP57" i="2"/>
  <c r="CY57" i="2"/>
  <c r="DN57" i="2"/>
  <c r="BX57" i="2" s="1"/>
  <c r="DD57" i="2"/>
  <c r="CX57" i="2"/>
  <c r="BW57" i="2" s="1"/>
  <c r="DT57" i="2"/>
  <c r="CW57" i="2"/>
  <c r="BU57" i="2" s="1"/>
  <c r="DR57" i="2"/>
  <c r="DL57" i="2"/>
  <c r="DC57" i="2"/>
  <c r="DQ100" i="2"/>
  <c r="CZ100" i="2"/>
  <c r="DT100" i="2"/>
  <c r="DP100" i="2"/>
  <c r="DL100" i="2"/>
  <c r="DD100" i="2"/>
  <c r="CY100" i="2"/>
  <c r="EA100" i="2"/>
  <c r="DS100" i="2"/>
  <c r="DO100" i="2"/>
  <c r="DK100" i="2"/>
  <c r="DG100" i="2"/>
  <c r="DC100" i="2"/>
  <c r="CX100" i="2"/>
  <c r="BW100" i="2" s="1"/>
  <c r="FL100" i="2"/>
  <c r="EQ100" i="2" s="1"/>
  <c r="CD100" i="2"/>
  <c r="CW100" i="2"/>
  <c r="BU100" i="2" s="1"/>
  <c r="DR100" i="2"/>
  <c r="DN100" i="2"/>
  <c r="BX100" i="2" s="1"/>
  <c r="DF100" i="2"/>
  <c r="EA101" i="2"/>
  <c r="DS101" i="2"/>
  <c r="DO101" i="2"/>
  <c r="DK101" i="2"/>
  <c r="DG101" i="2"/>
  <c r="DC101" i="2"/>
  <c r="CX101" i="2"/>
  <c r="BW101" i="2" s="1"/>
  <c r="FL101" i="2"/>
  <c r="EQ101" i="2" s="1"/>
  <c r="DR101" i="2"/>
  <c r="DN101" i="2"/>
  <c r="BX101" i="2" s="1"/>
  <c r="DF101" i="2"/>
  <c r="CW101" i="2"/>
  <c r="BU101" i="2" s="1"/>
  <c r="CD101" i="2"/>
  <c r="DQ101" i="2"/>
  <c r="CZ101" i="2"/>
  <c r="DT101" i="2"/>
  <c r="DP101" i="2"/>
  <c r="DL101" i="2"/>
  <c r="DD101" i="2"/>
  <c r="CY101" i="2"/>
  <c r="EA36" i="2"/>
  <c r="DS36" i="2"/>
  <c r="DO36" i="2"/>
  <c r="DK36" i="2"/>
  <c r="DG36" i="2"/>
  <c r="DC36" i="2"/>
  <c r="CX36" i="2"/>
  <c r="BW36" i="2" s="1"/>
  <c r="FL36" i="2"/>
  <c r="EQ36" i="2" s="1"/>
  <c r="CD36" i="2"/>
  <c r="DP36" i="2"/>
  <c r="CY36" i="2"/>
  <c r="DN36" i="2"/>
  <c r="BX36" i="2" s="1"/>
  <c r="DF36" i="2"/>
  <c r="CW36" i="2"/>
  <c r="BU36" i="2" s="1"/>
  <c r="CZ36" i="2"/>
  <c r="DR36" i="2"/>
  <c r="DQ36" i="2"/>
  <c r="DL36" i="2"/>
  <c r="DD36" i="2"/>
  <c r="DT36" i="2"/>
  <c r="CD82" i="2"/>
  <c r="DT82" i="2"/>
  <c r="DP82" i="2"/>
  <c r="DL82" i="2"/>
  <c r="DD82" i="2"/>
  <c r="CY82" i="2"/>
  <c r="EA82" i="2"/>
  <c r="DS82" i="2"/>
  <c r="DO82" i="2"/>
  <c r="DK82" i="2"/>
  <c r="DG82" i="2"/>
  <c r="DC82" i="2"/>
  <c r="CX82" i="2"/>
  <c r="BW82" i="2" s="1"/>
  <c r="DR82" i="2"/>
  <c r="DN82" i="2"/>
  <c r="BX82" i="2" s="1"/>
  <c r="DF82" i="2"/>
  <c r="CW82" i="2"/>
  <c r="BU82" i="2" s="1"/>
  <c r="FL82" i="2"/>
  <c r="EQ82" i="2" s="1"/>
  <c r="DQ82" i="2"/>
  <c r="CZ82" i="2"/>
  <c r="DT59" i="2"/>
  <c r="DP59" i="2"/>
  <c r="DL59" i="2"/>
  <c r="DD59" i="2"/>
  <c r="CY59" i="2"/>
  <c r="EA59" i="2"/>
  <c r="DS59" i="2"/>
  <c r="DO59" i="2"/>
  <c r="DK59" i="2"/>
  <c r="DG59" i="2"/>
  <c r="DC59" i="2"/>
  <c r="CX59" i="2"/>
  <c r="BW59" i="2" s="1"/>
  <c r="FL59" i="2"/>
  <c r="EQ59" i="2" s="1"/>
  <c r="DR59" i="2"/>
  <c r="DN59" i="2"/>
  <c r="BX59" i="2" s="1"/>
  <c r="DF59" i="2"/>
  <c r="CW59" i="2"/>
  <c r="BU59" i="2" s="1"/>
  <c r="CD59" i="2"/>
  <c r="DQ59" i="2"/>
  <c r="CZ59" i="2"/>
  <c r="DT70" i="2"/>
  <c r="DP70" i="2"/>
  <c r="DL70" i="2"/>
  <c r="DD70" i="2"/>
  <c r="CY70" i="2"/>
  <c r="EA70" i="2"/>
  <c r="DS70" i="2"/>
  <c r="DO70" i="2"/>
  <c r="DK70" i="2"/>
  <c r="DG70" i="2"/>
  <c r="DC70" i="2"/>
  <c r="CX70" i="2"/>
  <c r="BW70" i="2" s="1"/>
  <c r="FL70" i="2"/>
  <c r="EQ70" i="2" s="1"/>
  <c r="DQ70" i="2"/>
  <c r="CZ70" i="2"/>
  <c r="CD70" i="2"/>
  <c r="DF70" i="2"/>
  <c r="DR70" i="2"/>
  <c r="CW70" i="2"/>
  <c r="BU70" i="2" s="1"/>
  <c r="DN70" i="2"/>
  <c r="BX70" i="2" s="1"/>
  <c r="EA62" i="2"/>
  <c r="DS62" i="2"/>
  <c r="DO62" i="2"/>
  <c r="DK62" i="2"/>
  <c r="DG62" i="2"/>
  <c r="DC62" i="2"/>
  <c r="CX62" i="2"/>
  <c r="BW62" i="2" s="1"/>
  <c r="FL62" i="2"/>
  <c r="EQ62" i="2" s="1"/>
  <c r="DR62" i="2"/>
  <c r="DN62" i="2"/>
  <c r="BX62" i="2" s="1"/>
  <c r="DF62" i="2"/>
  <c r="CW62" i="2"/>
  <c r="BU62" i="2" s="1"/>
  <c r="CD62" i="2"/>
  <c r="DQ62" i="2"/>
  <c r="CZ62" i="2"/>
  <c r="DT62" i="2"/>
  <c r="DP62" i="2"/>
  <c r="DD62" i="2"/>
  <c r="DL62" i="2"/>
  <c r="CY62" i="2"/>
  <c r="EA80" i="2"/>
  <c r="DS80" i="2"/>
  <c r="DO80" i="2"/>
  <c r="DK80" i="2"/>
  <c r="DG80" i="2"/>
  <c r="DC80" i="2"/>
  <c r="CX80" i="2"/>
  <c r="BW80" i="2" s="1"/>
  <c r="FL80" i="2"/>
  <c r="EQ80" i="2" s="1"/>
  <c r="DR80" i="2"/>
  <c r="DN80" i="2"/>
  <c r="BX80" i="2" s="1"/>
  <c r="DF80" i="2"/>
  <c r="CW80" i="2"/>
  <c r="BU80" i="2" s="1"/>
  <c r="CD80" i="2"/>
  <c r="DQ80" i="2"/>
  <c r="CZ80" i="2"/>
  <c r="DT80" i="2"/>
  <c r="DP80" i="2"/>
  <c r="DL80" i="2"/>
  <c r="DD80" i="2"/>
  <c r="CY80" i="2"/>
  <c r="EA102" i="2"/>
  <c r="DS102" i="2"/>
  <c r="DO102" i="2"/>
  <c r="DK102" i="2"/>
  <c r="DG102" i="2"/>
  <c r="FL102" i="2"/>
  <c r="EQ102" i="2" s="1"/>
  <c r="DT102" i="2"/>
  <c r="DN102" i="2"/>
  <c r="BX102" i="2" s="1"/>
  <c r="DD102" i="2"/>
  <c r="CX102" i="2"/>
  <c r="BW102" i="2" s="1"/>
  <c r="CD102" i="2"/>
  <c r="DR102" i="2"/>
  <c r="DC102" i="2"/>
  <c r="CW102" i="2"/>
  <c r="BU102" i="2" s="1"/>
  <c r="DQ102" i="2"/>
  <c r="DL102" i="2"/>
  <c r="DF102" i="2"/>
  <c r="CZ102" i="2"/>
  <c r="CY102" i="2"/>
  <c r="DP102" i="2"/>
  <c r="CD76" i="2"/>
  <c r="DQ76" i="2"/>
  <c r="CZ76" i="2"/>
  <c r="DT76" i="2"/>
  <c r="DP76" i="2"/>
  <c r="DL76" i="2"/>
  <c r="DD76" i="2"/>
  <c r="CY76" i="2"/>
  <c r="EA76" i="2"/>
  <c r="DS76" i="2"/>
  <c r="DO76" i="2"/>
  <c r="DK76" i="2"/>
  <c r="DG76" i="2"/>
  <c r="DC76" i="2"/>
  <c r="CX76" i="2"/>
  <c r="BW76" i="2" s="1"/>
  <c r="DR76" i="2"/>
  <c r="DN76" i="2"/>
  <c r="BX76" i="2" s="1"/>
  <c r="DF76" i="2"/>
  <c r="CW76" i="2"/>
  <c r="BU76" i="2" s="1"/>
  <c r="FL76" i="2"/>
  <c r="EQ76" i="2" s="1"/>
  <c r="DQ48" i="2"/>
  <c r="CZ48" i="2"/>
  <c r="DT48" i="2"/>
  <c r="DP48" i="2"/>
  <c r="DL48" i="2"/>
  <c r="DD48" i="2"/>
  <c r="CY48" i="2"/>
  <c r="FL48" i="2"/>
  <c r="EQ48" i="2" s="1"/>
  <c r="DR48" i="2"/>
  <c r="DN48" i="2"/>
  <c r="BX48" i="2" s="1"/>
  <c r="DF48" i="2"/>
  <c r="CW48" i="2"/>
  <c r="BU48" i="2" s="1"/>
  <c r="CD48" i="2"/>
  <c r="DS48" i="2"/>
  <c r="DG48" i="2"/>
  <c r="DO48" i="2"/>
  <c r="DC48" i="2"/>
  <c r="DK48" i="2"/>
  <c r="EA48" i="2"/>
  <c r="CX48" i="2"/>
  <c r="BW48" i="2" s="1"/>
  <c r="EA105" i="2"/>
  <c r="DS105" i="2"/>
  <c r="DO105" i="2"/>
  <c r="DK105" i="2"/>
  <c r="DG105" i="2"/>
  <c r="DC105" i="2"/>
  <c r="CX105" i="2"/>
  <c r="BW105" i="2" s="1"/>
  <c r="FL105" i="2"/>
  <c r="EQ105" i="2" s="1"/>
  <c r="DR105" i="2"/>
  <c r="DN105" i="2"/>
  <c r="BX105" i="2" s="1"/>
  <c r="DF105" i="2"/>
  <c r="CW105" i="2"/>
  <c r="BU105" i="2" s="1"/>
  <c r="CD105" i="2"/>
  <c r="DQ105" i="2"/>
  <c r="CZ105" i="2"/>
  <c r="DD105" i="2"/>
  <c r="CY105" i="2"/>
  <c r="DT105" i="2"/>
  <c r="DP105" i="2"/>
  <c r="DL105" i="2"/>
  <c r="FL49" i="2"/>
  <c r="EQ49" i="2" s="1"/>
  <c r="DT49" i="2"/>
  <c r="DG49" i="2"/>
  <c r="DS49" i="2"/>
  <c r="DF49" i="2"/>
  <c r="CZ49" i="2"/>
  <c r="DR49" i="2"/>
  <c r="DL49" i="2"/>
  <c r="CY49" i="2"/>
  <c r="CD49" i="2"/>
  <c r="DK49" i="2"/>
  <c r="CX49" i="2"/>
  <c r="BW49" i="2" s="1"/>
  <c r="DP49" i="2"/>
  <c r="DC49" i="2"/>
  <c r="CW49" i="2"/>
  <c r="BU49" i="2" s="1"/>
  <c r="DO49" i="2"/>
  <c r="DD49" i="2"/>
  <c r="EA49" i="2"/>
  <c r="DQ49" i="2"/>
  <c r="DN49" i="2"/>
  <c r="BX49" i="2" s="1"/>
  <c r="EA50" i="2"/>
  <c r="DS50" i="2"/>
  <c r="DO50" i="2"/>
  <c r="DK50" i="2"/>
  <c r="DG50" i="2"/>
  <c r="DC50" i="2"/>
  <c r="CX50" i="2"/>
  <c r="BW50" i="2" s="1"/>
  <c r="DR50" i="2"/>
  <c r="DN50" i="2"/>
  <c r="BX50" i="2" s="1"/>
  <c r="DF50" i="2"/>
  <c r="CW50" i="2"/>
  <c r="BU50" i="2" s="1"/>
  <c r="DQ50" i="2"/>
  <c r="CZ50" i="2"/>
  <c r="DT50" i="2"/>
  <c r="DP50" i="2"/>
  <c r="DL50" i="2"/>
  <c r="CD50" i="2"/>
  <c r="FL50" i="2"/>
  <c r="EQ50" i="2" s="1"/>
  <c r="DD50" i="2"/>
  <c r="CY50" i="2"/>
  <c r="DT52" i="2"/>
  <c r="DP52" i="2"/>
  <c r="DL52" i="2"/>
  <c r="DD52" i="2"/>
  <c r="CY52" i="2"/>
  <c r="EA52" i="2"/>
  <c r="DS52" i="2"/>
  <c r="DO52" i="2"/>
  <c r="DK52" i="2"/>
  <c r="DG52" i="2"/>
  <c r="DC52" i="2"/>
  <c r="CX52" i="2"/>
  <c r="BW52" i="2" s="1"/>
  <c r="FL52" i="2"/>
  <c r="EQ52" i="2" s="1"/>
  <c r="DR52" i="2"/>
  <c r="DN52" i="2"/>
  <c r="BX52" i="2" s="1"/>
  <c r="DF52" i="2"/>
  <c r="CW52" i="2"/>
  <c r="BU52" i="2" s="1"/>
  <c r="DQ52" i="2"/>
  <c r="CZ52" i="2"/>
  <c r="CD52" i="2"/>
  <c r="DT90" i="2"/>
  <c r="DP90" i="2"/>
  <c r="DL90" i="2"/>
  <c r="DD90" i="2"/>
  <c r="CY90" i="2"/>
  <c r="EA90" i="2"/>
  <c r="DS90" i="2"/>
  <c r="FL90" i="2"/>
  <c r="EQ90" i="2" s="1"/>
  <c r="DO90" i="2"/>
  <c r="CX90" i="2"/>
  <c r="BW90" i="2" s="1"/>
  <c r="CD90" i="2"/>
  <c r="DN90" i="2"/>
  <c r="BX90" i="2" s="1"/>
  <c r="DC90" i="2"/>
  <c r="CW90" i="2"/>
  <c r="BU90" i="2" s="1"/>
  <c r="DR90" i="2"/>
  <c r="DG90" i="2"/>
  <c r="DQ90" i="2"/>
  <c r="DK90" i="2"/>
  <c r="DF90" i="2"/>
  <c r="CZ90" i="2"/>
  <c r="DT98" i="2"/>
  <c r="DP98" i="2"/>
  <c r="DL98" i="2"/>
  <c r="DD98" i="2"/>
  <c r="CY98" i="2"/>
  <c r="EA98" i="2"/>
  <c r="DR98" i="2"/>
  <c r="FL98" i="2"/>
  <c r="EQ98" i="2" s="1"/>
  <c r="DS98" i="2"/>
  <c r="DF98" i="2"/>
  <c r="CX98" i="2"/>
  <c r="BW98" i="2" s="1"/>
  <c r="DK98" i="2"/>
  <c r="CW98" i="2"/>
  <c r="BU98" i="2" s="1"/>
  <c r="DQ98" i="2"/>
  <c r="DC98" i="2"/>
  <c r="DO98" i="2"/>
  <c r="CD98" i="2"/>
  <c r="CZ98" i="2"/>
  <c r="DN98" i="2"/>
  <c r="BX98" i="2" s="1"/>
  <c r="DG98" i="2"/>
  <c r="DT65" i="2"/>
  <c r="DR65" i="2"/>
  <c r="DN65" i="2"/>
  <c r="BX65" i="2" s="1"/>
  <c r="DF65" i="2"/>
  <c r="DL65" i="2"/>
  <c r="CW65" i="2"/>
  <c r="BU65" i="2" s="1"/>
  <c r="EA65" i="2"/>
  <c r="DQ65" i="2"/>
  <c r="DG65" i="2"/>
  <c r="DP65" i="2"/>
  <c r="DK65" i="2"/>
  <c r="CZ65" i="2"/>
  <c r="FL65" i="2"/>
  <c r="EQ65" i="2" s="1"/>
  <c r="DO65" i="2"/>
  <c r="CY65" i="2"/>
  <c r="DD65" i="2"/>
  <c r="DC65" i="2"/>
  <c r="CX65" i="2"/>
  <c r="BW65" i="2" s="1"/>
  <c r="DS65" i="2"/>
  <c r="CD65" i="2"/>
  <c r="DQ40" i="2"/>
  <c r="CZ40" i="2"/>
  <c r="DT40" i="2"/>
  <c r="DP40" i="2"/>
  <c r="EA40" i="2"/>
  <c r="DS40" i="2"/>
  <c r="DO40" i="2"/>
  <c r="DK40" i="2"/>
  <c r="FL40" i="2"/>
  <c r="EQ40" i="2" s="1"/>
  <c r="DN40" i="2"/>
  <c r="BX40" i="2" s="1"/>
  <c r="DF40" i="2"/>
  <c r="CW40" i="2"/>
  <c r="BU40" i="2" s="1"/>
  <c r="CD40" i="2"/>
  <c r="DC40" i="2"/>
  <c r="DL40" i="2"/>
  <c r="DD40" i="2"/>
  <c r="DG40" i="2"/>
  <c r="DR40" i="2"/>
  <c r="CY40" i="2"/>
  <c r="CX40" i="2"/>
  <c r="BW40" i="2" s="1"/>
  <c r="EA114" i="2"/>
  <c r="DO114" i="2"/>
  <c r="DF114" i="2"/>
  <c r="CW114" i="2"/>
  <c r="BU114" i="2" s="1"/>
  <c r="DS114" i="2"/>
  <c r="CD114" i="2"/>
  <c r="DN114" i="2"/>
  <c r="BX114" i="2" s="1"/>
  <c r="CZ114" i="2"/>
  <c r="DR114" i="2"/>
  <c r="DQ114" i="2"/>
  <c r="DD114" i="2"/>
  <c r="CY114" i="2"/>
  <c r="DL114" i="2"/>
  <c r="FL114" i="2"/>
  <c r="EQ114" i="2" s="1"/>
  <c r="DT114" i="2"/>
  <c r="DK114" i="2"/>
  <c r="CX114" i="2"/>
  <c r="BW114" i="2" s="1"/>
  <c r="DP114" i="2"/>
  <c r="DC114" i="2"/>
  <c r="DG114" i="2"/>
  <c r="FL81" i="2"/>
  <c r="EQ81" i="2" s="1"/>
  <c r="DR81" i="2"/>
  <c r="DN81" i="2"/>
  <c r="BX81" i="2" s="1"/>
  <c r="DF81" i="2"/>
  <c r="CW81" i="2"/>
  <c r="BU81" i="2" s="1"/>
  <c r="CD81" i="2"/>
  <c r="DQ81" i="2"/>
  <c r="CZ81" i="2"/>
  <c r="DT81" i="2"/>
  <c r="DP81" i="2"/>
  <c r="DL81" i="2"/>
  <c r="DD81" i="2"/>
  <c r="CY81" i="2"/>
  <c r="DK81" i="2"/>
  <c r="DO81" i="2"/>
  <c r="CX81" i="2"/>
  <c r="BW81" i="2" s="1"/>
  <c r="DG81" i="2"/>
  <c r="DC81" i="2"/>
  <c r="EA81" i="2"/>
  <c r="DS81" i="2"/>
  <c r="FL99" i="2"/>
  <c r="EQ99" i="2" s="1"/>
  <c r="DR99" i="2"/>
  <c r="DN99" i="2"/>
  <c r="BX99" i="2" s="1"/>
  <c r="DF99" i="2"/>
  <c r="CW99" i="2"/>
  <c r="BU99" i="2" s="1"/>
  <c r="CD99" i="2"/>
  <c r="DQ99" i="2"/>
  <c r="CZ99" i="2"/>
  <c r="DT99" i="2"/>
  <c r="DP99" i="2"/>
  <c r="DL99" i="2"/>
  <c r="DD99" i="2"/>
  <c r="CY99" i="2"/>
  <c r="EA99" i="2"/>
  <c r="DS99" i="2"/>
  <c r="DO99" i="2"/>
  <c r="DK99" i="2"/>
  <c r="DG99" i="2"/>
  <c r="DC99" i="2"/>
  <c r="CX99" i="2"/>
  <c r="BW99" i="2" s="1"/>
  <c r="FL47" i="2"/>
  <c r="EQ47" i="2" s="1"/>
  <c r="DR47" i="2"/>
  <c r="DN47" i="2"/>
  <c r="BX47" i="2" s="1"/>
  <c r="DF47" i="2"/>
  <c r="CW47" i="2"/>
  <c r="BU47" i="2" s="1"/>
  <c r="CD47" i="2"/>
  <c r="DT47" i="2"/>
  <c r="DP47" i="2"/>
  <c r="DL47" i="2"/>
  <c r="DD47" i="2"/>
  <c r="CY47" i="2"/>
  <c r="DK47" i="2"/>
  <c r="CZ47" i="2"/>
  <c r="EA47" i="2"/>
  <c r="DS47" i="2"/>
  <c r="CX47" i="2"/>
  <c r="BW47" i="2" s="1"/>
  <c r="DQ47" i="2"/>
  <c r="DG47" i="2"/>
  <c r="DO47" i="2"/>
  <c r="DC47" i="2"/>
  <c r="DQ32" i="2"/>
  <c r="CZ32" i="2"/>
  <c r="DT32" i="2"/>
  <c r="DO32" i="2"/>
  <c r="CY32" i="2"/>
  <c r="DC32" i="2"/>
  <c r="DD32" i="2"/>
  <c r="DS32" i="2"/>
  <c r="DN32" i="2"/>
  <c r="BX32" i="2" s="1"/>
  <c r="CX32" i="2"/>
  <c r="BW32" i="2" s="1"/>
  <c r="CD32" i="2"/>
  <c r="FL32" i="2"/>
  <c r="EQ32" i="2" s="1"/>
  <c r="EA32" i="2"/>
  <c r="DG32" i="2"/>
  <c r="DP32" i="2"/>
  <c r="DK32" i="2"/>
  <c r="DF32" i="2"/>
  <c r="DL32" i="2"/>
  <c r="CW32" i="2"/>
  <c r="BU32" i="2" s="1"/>
  <c r="DR32" i="2"/>
  <c r="DR69" i="2"/>
  <c r="DN69" i="2"/>
  <c r="BX69" i="2" s="1"/>
  <c r="DF69" i="2"/>
  <c r="CW69" i="2"/>
  <c r="BU69" i="2" s="1"/>
  <c r="CD69" i="2"/>
  <c r="DQ69" i="2"/>
  <c r="CZ69" i="2"/>
  <c r="DT69" i="2"/>
  <c r="DP69" i="2"/>
  <c r="DL69" i="2"/>
  <c r="DD69" i="2"/>
  <c r="CY69" i="2"/>
  <c r="FL69" i="2"/>
  <c r="EQ69" i="2" s="1"/>
  <c r="DO69" i="2"/>
  <c r="DC69" i="2"/>
  <c r="DK69" i="2"/>
  <c r="CX69" i="2"/>
  <c r="BW69" i="2" s="1"/>
  <c r="EA69" i="2"/>
  <c r="DS69" i="2"/>
  <c r="DG69" i="2"/>
  <c r="FL39" i="2"/>
  <c r="EQ39" i="2" s="1"/>
  <c r="DR39" i="2"/>
  <c r="DN39" i="2"/>
  <c r="BX39" i="2" s="1"/>
  <c r="DF39" i="2"/>
  <c r="CW39" i="2"/>
  <c r="BU39" i="2" s="1"/>
  <c r="DQ39" i="2"/>
  <c r="CZ39" i="2"/>
  <c r="DT39" i="2"/>
  <c r="DP39" i="2"/>
  <c r="DL39" i="2"/>
  <c r="DD39" i="2"/>
  <c r="CY39" i="2"/>
  <c r="DS39" i="2"/>
  <c r="DK39" i="2"/>
  <c r="DC39" i="2"/>
  <c r="EA39" i="2"/>
  <c r="CD39" i="2"/>
  <c r="DG39" i="2"/>
  <c r="CX39" i="2"/>
  <c r="BW39" i="2" s="1"/>
  <c r="DO39" i="2"/>
  <c r="DT93" i="2"/>
  <c r="DP93" i="2"/>
  <c r="DL93" i="2"/>
  <c r="DD93" i="2"/>
  <c r="CY93" i="2"/>
  <c r="EA93" i="2"/>
  <c r="DS93" i="2"/>
  <c r="DO93" i="2"/>
  <c r="DK93" i="2"/>
  <c r="DG93" i="2"/>
  <c r="DC93" i="2"/>
  <c r="CX93" i="2"/>
  <c r="BW93" i="2" s="1"/>
  <c r="FL93" i="2"/>
  <c r="EQ93" i="2" s="1"/>
  <c r="CD93" i="2"/>
  <c r="CW93" i="2"/>
  <c r="BU93" i="2" s="1"/>
  <c r="DF93" i="2"/>
  <c r="DR93" i="2"/>
  <c r="DQ93" i="2"/>
  <c r="CZ93" i="2"/>
  <c r="DN93" i="2"/>
  <c r="BX93" i="2" s="1"/>
  <c r="EA91" i="2"/>
  <c r="DS91" i="2"/>
  <c r="DO91" i="2"/>
  <c r="DK91" i="2"/>
  <c r="DG91" i="2"/>
  <c r="DC91" i="2"/>
  <c r="CX91" i="2"/>
  <c r="BW91" i="2" s="1"/>
  <c r="FL91" i="2"/>
  <c r="EQ91" i="2" s="1"/>
  <c r="CD91" i="2"/>
  <c r="DR91" i="2"/>
  <c r="DQ91" i="2"/>
  <c r="CZ91" i="2"/>
  <c r="DP91" i="2"/>
  <c r="CY91" i="2"/>
  <c r="DN91" i="2"/>
  <c r="BX91" i="2" s="1"/>
  <c r="DF91" i="2"/>
  <c r="CW91" i="2"/>
  <c r="BU91" i="2" s="1"/>
  <c r="DT91" i="2"/>
  <c r="DL91" i="2"/>
  <c r="DD91" i="2"/>
  <c r="DT64" i="2"/>
  <c r="DP64" i="2"/>
  <c r="DL64" i="2"/>
  <c r="DD64" i="2"/>
  <c r="CY64" i="2"/>
  <c r="EA64" i="2"/>
  <c r="DS64" i="2"/>
  <c r="DO64" i="2"/>
  <c r="DK64" i="2"/>
  <c r="DG64" i="2"/>
  <c r="DC64" i="2"/>
  <c r="CX64" i="2"/>
  <c r="BW64" i="2" s="1"/>
  <c r="FL64" i="2"/>
  <c r="EQ64" i="2" s="1"/>
  <c r="DR64" i="2"/>
  <c r="DN64" i="2"/>
  <c r="BX64" i="2" s="1"/>
  <c r="DF64" i="2"/>
  <c r="CW64" i="2"/>
  <c r="BU64" i="2" s="1"/>
  <c r="DQ64" i="2"/>
  <c r="CZ64" i="2"/>
  <c r="CD64" i="2"/>
  <c r="CD92" i="2"/>
  <c r="DQ92" i="2"/>
  <c r="CZ92" i="2"/>
  <c r="DT92" i="2"/>
  <c r="DP92" i="2"/>
  <c r="DL92" i="2"/>
  <c r="DD92" i="2"/>
  <c r="CY92" i="2"/>
  <c r="EA92" i="2"/>
  <c r="DS92" i="2"/>
  <c r="DO92" i="2"/>
  <c r="DK92" i="2"/>
  <c r="DG92" i="2"/>
  <c r="DC92" i="2"/>
  <c r="CX92" i="2"/>
  <c r="BW92" i="2" s="1"/>
  <c r="DR92" i="2"/>
  <c r="CW92" i="2"/>
  <c r="BU92" i="2" s="1"/>
  <c r="DF92" i="2"/>
  <c r="DN92" i="2"/>
  <c r="BX92" i="2" s="1"/>
  <c r="FL92" i="2"/>
  <c r="EQ92" i="2" s="1"/>
  <c r="DT38" i="2"/>
  <c r="DP38" i="2"/>
  <c r="DL38" i="2"/>
  <c r="DD38" i="2"/>
  <c r="CY38" i="2"/>
  <c r="FL38" i="2"/>
  <c r="EQ38" i="2" s="1"/>
  <c r="CD38" i="2"/>
  <c r="DR38" i="2"/>
  <c r="DQ38" i="2"/>
  <c r="CZ38" i="2"/>
  <c r="DO38" i="2"/>
  <c r="CX38" i="2"/>
  <c r="BW38" i="2" s="1"/>
  <c r="DG38" i="2"/>
  <c r="DS38" i="2"/>
  <c r="DK38" i="2"/>
  <c r="EA38" i="2"/>
  <c r="DC38" i="2"/>
  <c r="DN38" i="2"/>
  <c r="BX38" i="2" s="1"/>
  <c r="DF38" i="2"/>
  <c r="CW38" i="2"/>
  <c r="BU38" i="2" s="1"/>
  <c r="DR103" i="2"/>
  <c r="DN103" i="2"/>
  <c r="BX103" i="2" s="1"/>
  <c r="DF103" i="2"/>
  <c r="CW103" i="2"/>
  <c r="BU103" i="2" s="1"/>
  <c r="CD103" i="2"/>
  <c r="DQ103" i="2"/>
  <c r="CZ103" i="2"/>
  <c r="DT103" i="2"/>
  <c r="DP103" i="2"/>
  <c r="DL103" i="2"/>
  <c r="FL103" i="2"/>
  <c r="EQ103" i="2" s="1"/>
  <c r="EA103" i="2"/>
  <c r="DD103" i="2"/>
  <c r="DS103" i="2"/>
  <c r="DC103" i="2"/>
  <c r="DO103" i="2"/>
  <c r="CY103" i="2"/>
  <c r="DK103" i="2"/>
  <c r="CX103" i="2"/>
  <c r="BW103" i="2" s="1"/>
  <c r="DG103" i="2"/>
  <c r="DR63" i="2"/>
  <c r="DN63" i="2"/>
  <c r="BX63" i="2" s="1"/>
  <c r="DF63" i="2"/>
  <c r="CW63" i="2"/>
  <c r="BU63" i="2" s="1"/>
  <c r="CD63" i="2"/>
  <c r="DQ63" i="2"/>
  <c r="CZ63" i="2"/>
  <c r="DT63" i="2"/>
  <c r="DP63" i="2"/>
  <c r="DL63" i="2"/>
  <c r="DD63" i="2"/>
  <c r="CY63" i="2"/>
  <c r="DS63" i="2"/>
  <c r="DG63" i="2"/>
  <c r="FL63" i="2"/>
  <c r="EQ63" i="2" s="1"/>
  <c r="DO63" i="2"/>
  <c r="DC63" i="2"/>
  <c r="DK63" i="2"/>
  <c r="EA63" i="2"/>
  <c r="CX63" i="2"/>
  <c r="BW63" i="2" s="1"/>
  <c r="DT83" i="2"/>
  <c r="DP83" i="2"/>
  <c r="DL83" i="2"/>
  <c r="DD83" i="2"/>
  <c r="CY83" i="2"/>
  <c r="FL83" i="2"/>
  <c r="EQ83" i="2" s="1"/>
  <c r="CD83" i="2"/>
  <c r="DR83" i="2"/>
  <c r="DQ83" i="2"/>
  <c r="CZ83" i="2"/>
  <c r="DO83" i="2"/>
  <c r="DG83" i="2"/>
  <c r="CX83" i="2"/>
  <c r="BW83" i="2" s="1"/>
  <c r="DN83" i="2"/>
  <c r="BX83" i="2" s="1"/>
  <c r="DF83" i="2"/>
  <c r="CW83" i="2"/>
  <c r="BU83" i="2" s="1"/>
  <c r="EA83" i="2"/>
  <c r="DS83" i="2"/>
  <c r="DK83" i="2"/>
  <c r="DC83" i="2"/>
  <c r="CD72" i="2"/>
  <c r="DQ72" i="2"/>
  <c r="CZ72" i="2"/>
  <c r="DT72" i="2"/>
  <c r="DP72" i="2"/>
  <c r="DL72" i="2"/>
  <c r="DD72" i="2"/>
  <c r="CY72" i="2"/>
  <c r="DR72" i="2"/>
  <c r="DN72" i="2"/>
  <c r="BX72" i="2" s="1"/>
  <c r="DF72" i="2"/>
  <c r="CW72" i="2"/>
  <c r="BU72" i="2" s="1"/>
  <c r="FL72" i="2"/>
  <c r="EQ72" i="2" s="1"/>
  <c r="DK72" i="2"/>
  <c r="CX72" i="2"/>
  <c r="BW72" i="2" s="1"/>
  <c r="EA72" i="2"/>
  <c r="DS72" i="2"/>
  <c r="DG72" i="2"/>
  <c r="DO72" i="2"/>
  <c r="DC72" i="2"/>
  <c r="CD107" i="2"/>
  <c r="DQ107" i="2"/>
  <c r="DT107" i="2"/>
  <c r="DP107" i="2"/>
  <c r="DL107" i="2"/>
  <c r="DD107" i="2"/>
  <c r="CY107" i="2"/>
  <c r="EA107" i="2"/>
  <c r="DS107" i="2"/>
  <c r="DO107" i="2"/>
  <c r="DK107" i="2"/>
  <c r="DG107" i="2"/>
  <c r="DC107" i="2"/>
  <c r="CX107" i="2"/>
  <c r="BW107" i="2" s="1"/>
  <c r="DR107" i="2"/>
  <c r="DN107" i="2"/>
  <c r="BX107" i="2" s="1"/>
  <c r="FL107" i="2"/>
  <c r="EQ107" i="2" s="1"/>
  <c r="CZ107" i="2"/>
  <c r="CW107" i="2"/>
  <c r="BU107" i="2" s="1"/>
  <c r="DF107" i="2"/>
  <c r="DR97" i="2"/>
  <c r="DN97" i="2"/>
  <c r="BX97" i="2" s="1"/>
  <c r="DF97" i="2"/>
  <c r="CW97" i="2"/>
  <c r="BU97" i="2" s="1"/>
  <c r="CD97" i="2"/>
  <c r="DQ97" i="2"/>
  <c r="CZ97" i="2"/>
  <c r="DT97" i="2"/>
  <c r="DP97" i="2"/>
  <c r="DL97" i="2"/>
  <c r="DD97" i="2"/>
  <c r="CY97" i="2"/>
  <c r="FL97" i="2"/>
  <c r="EQ97" i="2" s="1"/>
  <c r="DG97" i="2"/>
  <c r="DC97" i="2"/>
  <c r="CX97" i="2"/>
  <c r="BW97" i="2" s="1"/>
  <c r="EA97" i="2"/>
  <c r="DS97" i="2"/>
  <c r="DK97" i="2"/>
  <c r="DO97" i="2"/>
  <c r="EA113" i="2"/>
  <c r="DS113" i="2"/>
  <c r="DO113" i="2"/>
  <c r="DK113" i="2"/>
  <c r="DG113" i="2"/>
  <c r="DC113" i="2"/>
  <c r="CX113" i="2"/>
  <c r="BW113" i="2" s="1"/>
  <c r="FL113" i="2"/>
  <c r="EQ113" i="2" s="1"/>
  <c r="DR113" i="2"/>
  <c r="DN113" i="2"/>
  <c r="BX113" i="2" s="1"/>
  <c r="DF113" i="2"/>
  <c r="CW113" i="2"/>
  <c r="BU113" i="2" s="1"/>
  <c r="CD113" i="2"/>
  <c r="DQ113" i="2"/>
  <c r="CZ113" i="2"/>
  <c r="DT113" i="2"/>
  <c r="DP113" i="2"/>
  <c r="DD113" i="2"/>
  <c r="DL113" i="2"/>
  <c r="CY113" i="2"/>
  <c r="DT74" i="2"/>
  <c r="DP74" i="2"/>
  <c r="DL74" i="2"/>
  <c r="DD74" i="2"/>
  <c r="CY74" i="2"/>
  <c r="EA74" i="2"/>
  <c r="DS74" i="2"/>
  <c r="DO74" i="2"/>
  <c r="DK74" i="2"/>
  <c r="DG74" i="2"/>
  <c r="DC74" i="2"/>
  <c r="CX74" i="2"/>
  <c r="BW74" i="2" s="1"/>
  <c r="DR74" i="2"/>
  <c r="DN74" i="2"/>
  <c r="BX74" i="2" s="1"/>
  <c r="DF74" i="2"/>
  <c r="DQ74" i="2"/>
  <c r="CW74" i="2"/>
  <c r="BU74" i="2" s="1"/>
  <c r="CD74" i="2"/>
  <c r="FL74" i="2"/>
  <c r="EQ74" i="2" s="1"/>
  <c r="CZ74" i="2"/>
  <c r="EA75" i="2"/>
  <c r="DS75" i="2"/>
  <c r="DO75" i="2"/>
  <c r="DK75" i="2"/>
  <c r="DG75" i="2"/>
  <c r="DC75" i="2"/>
  <c r="CX75" i="2"/>
  <c r="BW75" i="2" s="1"/>
  <c r="FL75" i="2"/>
  <c r="EQ75" i="2" s="1"/>
  <c r="CD75" i="2"/>
  <c r="DQ75" i="2"/>
  <c r="DT75" i="2"/>
  <c r="DF75" i="2"/>
  <c r="DR75" i="2"/>
  <c r="DP75" i="2"/>
  <c r="DD75" i="2"/>
  <c r="DN75" i="2"/>
  <c r="BX75" i="2" s="1"/>
  <c r="CW75" i="2"/>
  <c r="BU75" i="2" s="1"/>
  <c r="CZ75" i="2"/>
  <c r="CY75" i="2"/>
  <c r="DL75" i="2"/>
  <c r="CD58" i="2"/>
  <c r="DQ58" i="2"/>
  <c r="CZ58" i="2"/>
  <c r="DT58" i="2"/>
  <c r="DP58" i="2"/>
  <c r="DL58" i="2"/>
  <c r="DD58" i="2"/>
  <c r="CY58" i="2"/>
  <c r="EA58" i="2"/>
  <c r="DS58" i="2"/>
  <c r="DO58" i="2"/>
  <c r="DK58" i="2"/>
  <c r="DN58" i="2"/>
  <c r="BX58" i="2" s="1"/>
  <c r="FL58" i="2"/>
  <c r="EQ58" i="2" s="1"/>
  <c r="CX58" i="2"/>
  <c r="BW58" i="2" s="1"/>
  <c r="DG58" i="2"/>
  <c r="CW58" i="2"/>
  <c r="BU58" i="2" s="1"/>
  <c r="DC58" i="2"/>
  <c r="DR58" i="2"/>
  <c r="DF58" i="2"/>
  <c r="DQ67" i="2"/>
  <c r="CZ67" i="2"/>
  <c r="DT67" i="2"/>
  <c r="DP67" i="2"/>
  <c r="DL67" i="2"/>
  <c r="DD67" i="2"/>
  <c r="CY67" i="2"/>
  <c r="EA67" i="2"/>
  <c r="DS67" i="2"/>
  <c r="DO67" i="2"/>
  <c r="DK67" i="2"/>
  <c r="DG67" i="2"/>
  <c r="DC67" i="2"/>
  <c r="CX67" i="2"/>
  <c r="BW67" i="2" s="1"/>
  <c r="CD67" i="2"/>
  <c r="CW67" i="2"/>
  <c r="BU67" i="2" s="1"/>
  <c r="DF67" i="2"/>
  <c r="DR67" i="2"/>
  <c r="FL67" i="2"/>
  <c r="EQ67" i="2" s="1"/>
  <c r="DN67" i="2"/>
  <c r="BX67" i="2" s="1"/>
  <c r="EA71" i="2"/>
  <c r="DS71" i="2"/>
  <c r="DO71" i="2"/>
  <c r="DK71" i="2"/>
  <c r="DG71" i="2"/>
  <c r="DC71" i="2"/>
  <c r="CX71" i="2"/>
  <c r="BW71" i="2" s="1"/>
  <c r="FL71" i="2"/>
  <c r="EQ71" i="2" s="1"/>
  <c r="DR71" i="2"/>
  <c r="DN71" i="2"/>
  <c r="BX71" i="2" s="1"/>
  <c r="DF71" i="2"/>
  <c r="CW71" i="2"/>
  <c r="BU71" i="2" s="1"/>
  <c r="CD71" i="2"/>
  <c r="DQ71" i="2"/>
  <c r="CZ71" i="2"/>
  <c r="DP71" i="2"/>
  <c r="DD71" i="2"/>
  <c r="DL71" i="2"/>
  <c r="CY71" i="2"/>
  <c r="DT71" i="2"/>
  <c r="DT88" i="2"/>
  <c r="DP88" i="2"/>
  <c r="DL88" i="2"/>
  <c r="DD88" i="2"/>
  <c r="CY88" i="2"/>
  <c r="EA88" i="2"/>
  <c r="DS88" i="2"/>
  <c r="DO88" i="2"/>
  <c r="DK88" i="2"/>
  <c r="DG88" i="2"/>
  <c r="DC88" i="2"/>
  <c r="CX88" i="2"/>
  <c r="BW88" i="2" s="1"/>
  <c r="DR88" i="2"/>
  <c r="DN88" i="2"/>
  <c r="BX88" i="2" s="1"/>
  <c r="DF88" i="2"/>
  <c r="CW88" i="2"/>
  <c r="BU88" i="2" s="1"/>
  <c r="DQ88" i="2"/>
  <c r="CZ88" i="2"/>
  <c r="CD88" i="2"/>
  <c r="FL88" i="2"/>
  <c r="EQ88" i="2" s="1"/>
  <c r="EA44" i="2"/>
  <c r="DS44" i="2"/>
  <c r="DO44" i="2"/>
  <c r="DK44" i="2"/>
  <c r="DG44" i="2"/>
  <c r="DC44" i="2"/>
  <c r="CX44" i="2"/>
  <c r="BW44" i="2" s="1"/>
  <c r="FL44" i="2"/>
  <c r="EQ44" i="2" s="1"/>
  <c r="DR44" i="2"/>
  <c r="DN44" i="2"/>
  <c r="BX44" i="2" s="1"/>
  <c r="DF44" i="2"/>
  <c r="DT44" i="2"/>
  <c r="CZ44" i="2"/>
  <c r="DL44" i="2"/>
  <c r="CY44" i="2"/>
  <c r="DQ44" i="2"/>
  <c r="CW44" i="2"/>
  <c r="BU44" i="2" s="1"/>
  <c r="DP44" i="2"/>
  <c r="DD44" i="2"/>
  <c r="CD44" i="2"/>
  <c r="FL66" i="2"/>
  <c r="EQ66" i="2" s="1"/>
  <c r="DQ66" i="2"/>
  <c r="CZ66" i="2"/>
  <c r="EA66" i="2"/>
  <c r="DS66" i="2"/>
  <c r="DO66" i="2"/>
  <c r="DK66" i="2"/>
  <c r="DG66" i="2"/>
  <c r="DC66" i="2"/>
  <c r="CX66" i="2"/>
  <c r="BW66" i="2" s="1"/>
  <c r="DT66" i="2"/>
  <c r="DL66" i="2"/>
  <c r="CD66" i="2"/>
  <c r="DD66" i="2"/>
  <c r="DR66" i="2"/>
  <c r="DP66" i="2"/>
  <c r="CY66" i="2"/>
  <c r="DF66" i="2"/>
  <c r="CW66" i="2"/>
  <c r="BU66" i="2" s="1"/>
  <c r="DN66" i="2"/>
  <c r="BX66" i="2" s="1"/>
  <c r="FL78" i="2"/>
  <c r="EQ78" i="2" s="1"/>
  <c r="DR78" i="2"/>
  <c r="DN78" i="2"/>
  <c r="BX78" i="2" s="1"/>
  <c r="DF78" i="2"/>
  <c r="CW78" i="2"/>
  <c r="BU78" i="2" s="1"/>
  <c r="CD78" i="2"/>
  <c r="DQ78" i="2"/>
  <c r="CZ78" i="2"/>
  <c r="DT78" i="2"/>
  <c r="DP78" i="2"/>
  <c r="DL78" i="2"/>
  <c r="DD78" i="2"/>
  <c r="CY78" i="2"/>
  <c r="EA78" i="2"/>
  <c r="DS78" i="2"/>
  <c r="DO78" i="2"/>
  <c r="DK78" i="2"/>
  <c r="DG78" i="2"/>
  <c r="DC78" i="2"/>
  <c r="CX78" i="2"/>
  <c r="BW78" i="2" s="1"/>
  <c r="FL73" i="2"/>
  <c r="EQ73" i="2" s="1"/>
  <c r="DT73" i="2"/>
  <c r="DP73" i="2"/>
  <c r="DL73" i="2"/>
  <c r="DD73" i="2"/>
  <c r="CY73" i="2"/>
  <c r="DS73" i="2"/>
  <c r="DO73" i="2"/>
  <c r="DK73" i="2"/>
  <c r="DG73" i="2"/>
  <c r="DC73" i="2"/>
  <c r="CX73" i="2"/>
  <c r="BW73" i="2" s="1"/>
  <c r="EA73" i="2"/>
  <c r="DR73" i="2"/>
  <c r="DN73" i="2"/>
  <c r="BX73" i="2" s="1"/>
  <c r="DF73" i="2"/>
  <c r="CW73" i="2"/>
  <c r="BU73" i="2" s="1"/>
  <c r="CZ73" i="2"/>
  <c r="CD73" i="2"/>
  <c r="DQ73" i="2"/>
  <c r="FL109" i="2"/>
  <c r="EQ109" i="2" s="1"/>
  <c r="DR109" i="2"/>
  <c r="DN109" i="2"/>
  <c r="BX109" i="2" s="1"/>
  <c r="DF109" i="2"/>
  <c r="CW109" i="2"/>
  <c r="BU109" i="2" s="1"/>
  <c r="CD109" i="2"/>
  <c r="DQ109" i="2"/>
  <c r="CZ109" i="2"/>
  <c r="DT109" i="2"/>
  <c r="DP109" i="2"/>
  <c r="DL109" i="2"/>
  <c r="DD109" i="2"/>
  <c r="CY109" i="2"/>
  <c r="EA109" i="2"/>
  <c r="DS109" i="2"/>
  <c r="DG109" i="2"/>
  <c r="DO109" i="2"/>
  <c r="DC109" i="2"/>
  <c r="DK109" i="2"/>
  <c r="CX109" i="2"/>
  <c r="BW109" i="2" s="1"/>
  <c r="DQ79" i="2"/>
  <c r="CZ79" i="2"/>
  <c r="DT79" i="2"/>
  <c r="DP79" i="2"/>
  <c r="DL79" i="2"/>
  <c r="DD79" i="2"/>
  <c r="CY79" i="2"/>
  <c r="EA79" i="2"/>
  <c r="DS79" i="2"/>
  <c r="DO79" i="2"/>
  <c r="DK79" i="2"/>
  <c r="DG79" i="2"/>
  <c r="DC79" i="2"/>
  <c r="CX79" i="2"/>
  <c r="BW79" i="2" s="1"/>
  <c r="FL79" i="2"/>
  <c r="EQ79" i="2" s="1"/>
  <c r="CD79" i="2"/>
  <c r="CW79" i="2"/>
  <c r="BU79" i="2" s="1"/>
  <c r="DR79" i="2"/>
  <c r="DN79" i="2"/>
  <c r="BX79" i="2" s="1"/>
  <c r="DF79" i="2"/>
  <c r="CD45" i="2"/>
  <c r="DQ45" i="2"/>
  <c r="CZ45" i="2"/>
  <c r="FL45" i="2"/>
  <c r="EQ45" i="2" s="1"/>
  <c r="DT45" i="2"/>
  <c r="DL45" i="2"/>
  <c r="DF45" i="2"/>
  <c r="CX45" i="2"/>
  <c r="BW45" i="2" s="1"/>
  <c r="EA45" i="2"/>
  <c r="DD45" i="2"/>
  <c r="DS45" i="2"/>
  <c r="DK45" i="2"/>
  <c r="CW45" i="2"/>
  <c r="BU45" i="2" s="1"/>
  <c r="DR45" i="2"/>
  <c r="DC45" i="2"/>
  <c r="DP45" i="2"/>
  <c r="DG45" i="2"/>
  <c r="DN45" i="2"/>
  <c r="BX45" i="2" s="1"/>
  <c r="DO45" i="2"/>
  <c r="CY45" i="2"/>
  <c r="EA68" i="2"/>
  <c r="DS68" i="2"/>
  <c r="DO68" i="2"/>
  <c r="DK68" i="2"/>
  <c r="DG68" i="2"/>
  <c r="DC68" i="2"/>
  <c r="CX68" i="2"/>
  <c r="BW68" i="2" s="1"/>
  <c r="FL68" i="2"/>
  <c r="EQ68" i="2" s="1"/>
  <c r="DR68" i="2"/>
  <c r="DN68" i="2"/>
  <c r="BX68" i="2" s="1"/>
  <c r="DF68" i="2"/>
  <c r="CW68" i="2"/>
  <c r="BU68" i="2" s="1"/>
  <c r="CD68" i="2"/>
  <c r="DT68" i="2"/>
  <c r="DP68" i="2"/>
  <c r="DL68" i="2"/>
  <c r="DD68" i="2"/>
  <c r="CY68" i="2"/>
  <c r="CZ68" i="2"/>
  <c r="DQ68" i="2"/>
  <c r="DR87" i="2"/>
  <c r="DN87" i="2"/>
  <c r="BX87" i="2" s="1"/>
  <c r="DF87" i="2"/>
  <c r="CW87" i="2"/>
  <c r="BU87" i="2" s="1"/>
  <c r="CD87" i="2"/>
  <c r="DQ87" i="2"/>
  <c r="CZ87" i="2"/>
  <c r="FL87" i="2"/>
  <c r="EQ87" i="2" s="1"/>
  <c r="DT87" i="2"/>
  <c r="DS87" i="2"/>
  <c r="DG87" i="2"/>
  <c r="EA87" i="2"/>
  <c r="DP87" i="2"/>
  <c r="DD87" i="2"/>
  <c r="DO87" i="2"/>
  <c r="DC87" i="2"/>
  <c r="DL87" i="2"/>
  <c r="CY87" i="2"/>
  <c r="DK87" i="2"/>
  <c r="CX87" i="2"/>
  <c r="BW87" i="2" s="1"/>
  <c r="DQ85" i="2"/>
  <c r="CZ85" i="2"/>
  <c r="DT85" i="2"/>
  <c r="DP85" i="2"/>
  <c r="DL85" i="2"/>
  <c r="DD85" i="2"/>
  <c r="CY85" i="2"/>
  <c r="FL85" i="2"/>
  <c r="EQ85" i="2" s="1"/>
  <c r="CD85" i="2"/>
  <c r="DS85" i="2"/>
  <c r="DF85" i="2"/>
  <c r="EA85" i="2"/>
  <c r="DR85" i="2"/>
  <c r="DC85" i="2"/>
  <c r="DO85" i="2"/>
  <c r="DN85" i="2"/>
  <c r="BX85" i="2" s="1"/>
  <c r="CX85" i="2"/>
  <c r="BW85" i="2" s="1"/>
  <c r="DK85" i="2"/>
  <c r="CW85" i="2"/>
  <c r="BU85" i="2" s="1"/>
  <c r="DG85" i="2"/>
  <c r="CD37" i="2"/>
  <c r="DQ37" i="2"/>
  <c r="CZ37" i="2"/>
  <c r="DT37" i="2"/>
  <c r="DP37" i="2"/>
  <c r="DL37" i="2"/>
  <c r="DD37" i="2"/>
  <c r="CY37" i="2"/>
  <c r="EA37" i="2"/>
  <c r="DS37" i="2"/>
  <c r="DO37" i="2"/>
  <c r="DK37" i="2"/>
  <c r="DG37" i="2"/>
  <c r="DC37" i="2"/>
  <c r="CX37" i="2"/>
  <c r="BW37" i="2" s="1"/>
  <c r="FL37" i="2"/>
  <c r="EQ37" i="2" s="1"/>
  <c r="DR37" i="2"/>
  <c r="DN37" i="2"/>
  <c r="BX37" i="2" s="1"/>
  <c r="DF37" i="2"/>
  <c r="CW37" i="2"/>
  <c r="BU37" i="2" s="1"/>
  <c r="DR51" i="2"/>
  <c r="DN51" i="2"/>
  <c r="BX51" i="2" s="1"/>
  <c r="DF51" i="2"/>
  <c r="CD51" i="2"/>
  <c r="DQ51" i="2"/>
  <c r="CZ51" i="2"/>
  <c r="DT51" i="2"/>
  <c r="DP51" i="2"/>
  <c r="DL51" i="2"/>
  <c r="DD51" i="2"/>
  <c r="CY51" i="2"/>
  <c r="FL51" i="2"/>
  <c r="EQ51" i="2" s="1"/>
  <c r="DO51" i="2"/>
  <c r="CW51" i="2"/>
  <c r="BU51" i="2" s="1"/>
  <c r="EA51" i="2"/>
  <c r="DK51" i="2"/>
  <c r="DC51" i="2"/>
  <c r="DS51" i="2"/>
  <c r="CX51" i="2"/>
  <c r="BW51" i="2" s="1"/>
  <c r="DG51" i="2"/>
  <c r="DT43" i="2"/>
  <c r="DP43" i="2"/>
  <c r="EA43" i="2"/>
  <c r="DR43" i="2"/>
  <c r="CX43" i="2"/>
  <c r="BW43" i="2" s="1"/>
  <c r="DL43" i="2"/>
  <c r="DC43" i="2"/>
  <c r="CD43" i="2"/>
  <c r="DQ43" i="2"/>
  <c r="DG43" i="2"/>
  <c r="CW43" i="2"/>
  <c r="BU43" i="2" s="1"/>
  <c r="DK43" i="2"/>
  <c r="DO43" i="2"/>
  <c r="DF43" i="2"/>
  <c r="CZ43" i="2"/>
  <c r="DS43" i="2"/>
  <c r="DD43" i="2"/>
  <c r="DN43" i="2"/>
  <c r="BX43" i="2" s="1"/>
  <c r="CY43" i="2"/>
  <c r="FL43" i="2"/>
  <c r="EQ43" i="2" s="1"/>
  <c r="EA33" i="2"/>
  <c r="DS33" i="2"/>
  <c r="DO33" i="2"/>
  <c r="DK33" i="2"/>
  <c r="DG33" i="2"/>
  <c r="DC33" i="2"/>
  <c r="CX33" i="2"/>
  <c r="BW33" i="2" s="1"/>
  <c r="DT33" i="2"/>
  <c r="DN33" i="2"/>
  <c r="BX33" i="2" s="1"/>
  <c r="DD33" i="2"/>
  <c r="CW33" i="2"/>
  <c r="BU33" i="2" s="1"/>
  <c r="DR33" i="2"/>
  <c r="DP33" i="2"/>
  <c r="CY33" i="2"/>
  <c r="CD33" i="2"/>
  <c r="DF33" i="2"/>
  <c r="CZ33" i="2"/>
  <c r="DQ33" i="2"/>
  <c r="FL33" i="2"/>
  <c r="EQ33" i="2" s="1"/>
  <c r="DL33" i="2"/>
  <c r="EA96" i="2"/>
  <c r="DS96" i="2"/>
  <c r="DO96" i="2"/>
  <c r="DK96" i="2"/>
  <c r="DG96" i="2"/>
  <c r="DC96" i="2"/>
  <c r="CX96" i="2"/>
  <c r="BW96" i="2" s="1"/>
  <c r="FL96" i="2"/>
  <c r="EQ96" i="2" s="1"/>
  <c r="DR96" i="2"/>
  <c r="DN96" i="2"/>
  <c r="BX96" i="2" s="1"/>
  <c r="DF96" i="2"/>
  <c r="CW96" i="2"/>
  <c r="BU96" i="2" s="1"/>
  <c r="CD96" i="2"/>
  <c r="DQ96" i="2"/>
  <c r="CZ96" i="2"/>
  <c r="DT96" i="2"/>
  <c r="DP96" i="2"/>
  <c r="DL96" i="2"/>
  <c r="DD96" i="2"/>
  <c r="CY96" i="2"/>
  <c r="DT108" i="2"/>
  <c r="DP108" i="2"/>
  <c r="DL108" i="2"/>
  <c r="DD108" i="2"/>
  <c r="CY108" i="2"/>
  <c r="EA108" i="2"/>
  <c r="DS108" i="2"/>
  <c r="DO108" i="2"/>
  <c r="DK108" i="2"/>
  <c r="DG108" i="2"/>
  <c r="DC108" i="2"/>
  <c r="CX108" i="2"/>
  <c r="BW108" i="2" s="1"/>
  <c r="FL108" i="2"/>
  <c r="EQ108" i="2" s="1"/>
  <c r="DR108" i="2"/>
  <c r="DN108" i="2"/>
  <c r="BX108" i="2" s="1"/>
  <c r="DF108" i="2"/>
  <c r="CW108" i="2"/>
  <c r="BU108" i="2" s="1"/>
  <c r="CD108" i="2"/>
  <c r="DQ108" i="2"/>
  <c r="CZ108" i="2"/>
  <c r="DT55" i="2"/>
  <c r="DP55" i="2"/>
  <c r="DL55" i="2"/>
  <c r="DD55" i="2"/>
  <c r="CY55" i="2"/>
  <c r="EA55" i="2"/>
  <c r="DS55" i="2"/>
  <c r="DO55" i="2"/>
  <c r="DK55" i="2"/>
  <c r="DG55" i="2"/>
  <c r="DC55" i="2"/>
  <c r="CX55" i="2"/>
  <c r="BW55" i="2" s="1"/>
  <c r="FL55" i="2"/>
  <c r="EQ55" i="2" s="1"/>
  <c r="DR55" i="2"/>
  <c r="DN55" i="2"/>
  <c r="BX55" i="2" s="1"/>
  <c r="DF55" i="2"/>
  <c r="CW55" i="2"/>
  <c r="BU55" i="2" s="1"/>
  <c r="CD55" i="2"/>
  <c r="CZ55" i="2"/>
  <c r="DQ55" i="2"/>
  <c r="DT104" i="2"/>
  <c r="DP104" i="2"/>
  <c r="DL104" i="2"/>
  <c r="DD104" i="2"/>
  <c r="CY104" i="2"/>
  <c r="EA104" i="2"/>
  <c r="DS104" i="2"/>
  <c r="DO104" i="2"/>
  <c r="DK104" i="2"/>
  <c r="DG104" i="2"/>
  <c r="DC104" i="2"/>
  <c r="CX104" i="2"/>
  <c r="BW104" i="2" s="1"/>
  <c r="FL104" i="2"/>
  <c r="EQ104" i="2" s="1"/>
  <c r="DR104" i="2"/>
  <c r="DN104" i="2"/>
  <c r="BX104" i="2" s="1"/>
  <c r="DF104" i="2"/>
  <c r="CW104" i="2"/>
  <c r="BU104" i="2" s="1"/>
  <c r="DQ104" i="2"/>
  <c r="CZ104" i="2"/>
  <c r="CD104" i="2"/>
  <c r="EA89" i="2"/>
  <c r="DS89" i="2"/>
  <c r="DO89" i="2"/>
  <c r="DK89" i="2"/>
  <c r="DG89" i="2"/>
  <c r="DC89" i="2"/>
  <c r="CX89" i="2"/>
  <c r="BW89" i="2" s="1"/>
  <c r="FL89" i="2"/>
  <c r="EQ89" i="2" s="1"/>
  <c r="DR89" i="2"/>
  <c r="DN89" i="2"/>
  <c r="BX89" i="2" s="1"/>
  <c r="DF89" i="2"/>
  <c r="CW89" i="2"/>
  <c r="BU89" i="2" s="1"/>
  <c r="CD89" i="2"/>
  <c r="DQ89" i="2"/>
  <c r="DD89" i="2"/>
  <c r="DT89" i="2"/>
  <c r="CZ89" i="2"/>
  <c r="DP89" i="2"/>
  <c r="CY89" i="2"/>
  <c r="DL89" i="2"/>
  <c r="DT77" i="2"/>
  <c r="DP77" i="2"/>
  <c r="DL77" i="2"/>
  <c r="DD77" i="2"/>
  <c r="CY77" i="2"/>
  <c r="EA77" i="2"/>
  <c r="DS77" i="2"/>
  <c r="DO77" i="2"/>
  <c r="DK77" i="2"/>
  <c r="DG77" i="2"/>
  <c r="DC77" i="2"/>
  <c r="CX77" i="2"/>
  <c r="BW77" i="2" s="1"/>
  <c r="FL77" i="2"/>
  <c r="EQ77" i="2" s="1"/>
  <c r="DR77" i="2"/>
  <c r="DN77" i="2"/>
  <c r="BX77" i="2" s="1"/>
  <c r="DF77" i="2"/>
  <c r="CW77" i="2"/>
  <c r="BU77" i="2" s="1"/>
  <c r="CD77" i="2"/>
  <c r="DQ77" i="2"/>
  <c r="CZ77" i="2"/>
  <c r="FL84" i="2"/>
  <c r="EQ84" i="2" s="1"/>
  <c r="DR84" i="2"/>
  <c r="DN84" i="2"/>
  <c r="BX84" i="2" s="1"/>
  <c r="DF84" i="2"/>
  <c r="DQ84" i="2"/>
  <c r="CZ84" i="2"/>
  <c r="DT84" i="2"/>
  <c r="DP84" i="2"/>
  <c r="DL84" i="2"/>
  <c r="DD84" i="2"/>
  <c r="CY84" i="2"/>
  <c r="EA84" i="2"/>
  <c r="DS84" i="2"/>
  <c r="DO84" i="2"/>
  <c r="DK84" i="2"/>
  <c r="DG84" i="2"/>
  <c r="DC84" i="2"/>
  <c r="CX84" i="2"/>
  <c r="BW84" i="2" s="1"/>
  <c r="CD84" i="2"/>
  <c r="CW84" i="2"/>
  <c r="BU84" i="2" s="1"/>
  <c r="EA53" i="2"/>
  <c r="DS53" i="2"/>
  <c r="DO53" i="2"/>
  <c r="DK53" i="2"/>
  <c r="DG53" i="2"/>
  <c r="DC53" i="2"/>
  <c r="CX53" i="2"/>
  <c r="BW53" i="2" s="1"/>
  <c r="FL53" i="2"/>
  <c r="EQ53" i="2" s="1"/>
  <c r="DR53" i="2"/>
  <c r="DN53" i="2"/>
  <c r="BX53" i="2" s="1"/>
  <c r="DF53" i="2"/>
  <c r="CW53" i="2"/>
  <c r="BU53" i="2" s="1"/>
  <c r="CD53" i="2"/>
  <c r="DQ53" i="2"/>
  <c r="CZ53" i="2"/>
  <c r="CY53" i="2"/>
  <c r="DT53" i="2"/>
  <c r="DP53" i="2"/>
  <c r="DL53" i="2"/>
  <c r="DD53" i="2"/>
  <c r="EA41" i="2"/>
  <c r="DS41" i="2"/>
  <c r="DO41" i="2"/>
  <c r="DK41" i="2"/>
  <c r="DG41" i="2"/>
  <c r="DC41" i="2"/>
  <c r="CX41" i="2"/>
  <c r="BW41" i="2" s="1"/>
  <c r="FL41" i="2"/>
  <c r="EQ41" i="2" s="1"/>
  <c r="DR41" i="2"/>
  <c r="DN41" i="2"/>
  <c r="BX41" i="2" s="1"/>
  <c r="DF41" i="2"/>
  <c r="CW41" i="2"/>
  <c r="BU41" i="2" s="1"/>
  <c r="CD41" i="2"/>
  <c r="DQ41" i="2"/>
  <c r="CZ41" i="2"/>
  <c r="DT41" i="2"/>
  <c r="DP41" i="2"/>
  <c r="CY41" i="2"/>
  <c r="DL41" i="2"/>
  <c r="DD41" i="2"/>
  <c r="DT35" i="2"/>
  <c r="DP35" i="2"/>
  <c r="DL35" i="2"/>
  <c r="DD35" i="2"/>
  <c r="CY35" i="2"/>
  <c r="EA35" i="2"/>
  <c r="DS35" i="2"/>
  <c r="DO35" i="2"/>
  <c r="DK35" i="2"/>
  <c r="DG35" i="2"/>
  <c r="DC35" i="2"/>
  <c r="DR35" i="2"/>
  <c r="DN35" i="2"/>
  <c r="BX35" i="2" s="1"/>
  <c r="DF35" i="2"/>
  <c r="DQ35" i="2"/>
  <c r="CZ35" i="2"/>
  <c r="CD35" i="2"/>
  <c r="FL35" i="2"/>
  <c r="EQ35" i="2" s="1"/>
  <c r="CW35" i="2"/>
  <c r="BU35" i="2" s="1"/>
  <c r="CX35" i="2"/>
  <c r="BW35" i="2" s="1"/>
  <c r="DQ95" i="2"/>
  <c r="CZ95" i="2"/>
  <c r="DT95" i="2"/>
  <c r="DP95" i="2"/>
  <c r="DL95" i="2"/>
  <c r="DD95" i="2"/>
  <c r="CY95" i="2"/>
  <c r="EA95" i="2"/>
  <c r="DS95" i="2"/>
  <c r="DO95" i="2"/>
  <c r="FL95" i="2"/>
  <c r="EQ95" i="2" s="1"/>
  <c r="CD95" i="2"/>
  <c r="DK95" i="2"/>
  <c r="CX95" i="2"/>
  <c r="BW95" i="2" s="1"/>
  <c r="CW95" i="2"/>
  <c r="BU95" i="2" s="1"/>
  <c r="DG95" i="2"/>
  <c r="DF95" i="2"/>
  <c r="DN95" i="2"/>
  <c r="BX95" i="2" s="1"/>
  <c r="DR95" i="2"/>
  <c r="DC95" i="2"/>
  <c r="FL31" i="2"/>
  <c r="EQ31" i="2" s="1"/>
  <c r="CD31" i="2"/>
  <c r="DL31" i="2"/>
  <c r="DQ31" i="2"/>
  <c r="CZ31" i="2"/>
  <c r="DT31" i="2"/>
  <c r="DP31" i="2"/>
  <c r="EA31" i="2"/>
  <c r="DS31" i="2"/>
  <c r="DO31" i="2"/>
  <c r="DK31" i="2"/>
  <c r="DG31" i="2"/>
  <c r="DC31" i="2"/>
  <c r="CX31" i="2"/>
  <c r="BW31" i="2" s="1"/>
  <c r="CW31" i="2"/>
  <c r="BU31" i="2" s="1"/>
  <c r="DR31" i="2"/>
  <c r="DN31" i="2"/>
  <c r="BX31" i="2" s="1"/>
  <c r="CY31" i="2"/>
  <c r="DF31" i="2"/>
  <c r="DD31" i="2"/>
  <c r="DR34" i="2"/>
  <c r="DN34" i="2"/>
  <c r="BX34" i="2" s="1"/>
  <c r="DF34" i="2"/>
  <c r="CW34" i="2"/>
  <c r="BU34" i="2" s="1"/>
  <c r="CD34" i="2"/>
  <c r="DT34" i="2"/>
  <c r="DO34" i="2"/>
  <c r="DC34" i="2"/>
  <c r="DD34" i="2"/>
  <c r="CX34" i="2"/>
  <c r="BW34" i="2" s="1"/>
  <c r="DS34" i="2"/>
  <c r="FL34" i="2"/>
  <c r="EQ34" i="2" s="1"/>
  <c r="DG34" i="2"/>
  <c r="CZ34" i="2"/>
  <c r="DP34" i="2"/>
  <c r="DK34" i="2"/>
  <c r="CY34" i="2"/>
  <c r="EA34" i="2"/>
  <c r="DQ34" i="2"/>
  <c r="DL34" i="2"/>
  <c r="DQ61" i="2"/>
  <c r="CZ61" i="2"/>
  <c r="DT61" i="2"/>
  <c r="DP61" i="2"/>
  <c r="DL61" i="2"/>
  <c r="DD61" i="2"/>
  <c r="CY61" i="2"/>
  <c r="EA61" i="2"/>
  <c r="DS61" i="2"/>
  <c r="DO61" i="2"/>
  <c r="DK61" i="2"/>
  <c r="DG61" i="2"/>
  <c r="DC61" i="2"/>
  <c r="CX61" i="2"/>
  <c r="BW61" i="2" s="1"/>
  <c r="FL61" i="2"/>
  <c r="EQ61" i="2" s="1"/>
  <c r="DF61" i="2"/>
  <c r="DR61" i="2"/>
  <c r="DN61" i="2"/>
  <c r="BX61" i="2" s="1"/>
  <c r="CW61" i="2"/>
  <c r="BU61" i="2" s="1"/>
  <c r="CD61" i="2"/>
  <c r="DQ110" i="2"/>
  <c r="CZ110" i="2"/>
  <c r="DT110" i="2"/>
  <c r="DP110" i="2"/>
  <c r="DL110" i="2"/>
  <c r="DD110" i="2"/>
  <c r="CY110" i="2"/>
  <c r="EA110" i="2"/>
  <c r="DS110" i="2"/>
  <c r="DO110" i="2"/>
  <c r="DK110" i="2"/>
  <c r="DG110" i="2"/>
  <c r="DC110" i="2"/>
  <c r="CX110" i="2"/>
  <c r="BW110" i="2" s="1"/>
  <c r="FL110" i="2"/>
  <c r="EQ110" i="2" s="1"/>
  <c r="CD110" i="2"/>
  <c r="DN110" i="2"/>
  <c r="BX110" i="2" s="1"/>
  <c r="DF110" i="2"/>
  <c r="DR110" i="2"/>
  <c r="CW110" i="2"/>
  <c r="BU110" i="2" s="1"/>
  <c r="DQ112" i="2"/>
  <c r="CZ112" i="2"/>
  <c r="DT112" i="2"/>
  <c r="DP112" i="2"/>
  <c r="DL112" i="2"/>
  <c r="DD112" i="2"/>
  <c r="CY112" i="2"/>
  <c r="EA112" i="2"/>
  <c r="DS112" i="2"/>
  <c r="DO112" i="2"/>
  <c r="DK112" i="2"/>
  <c r="DG112" i="2"/>
  <c r="DC112" i="2"/>
  <c r="CX112" i="2"/>
  <c r="BW112" i="2" s="1"/>
  <c r="FL112" i="2"/>
  <c r="EQ112" i="2" s="1"/>
  <c r="DR112" i="2"/>
  <c r="DN112" i="2"/>
  <c r="BX112" i="2" s="1"/>
  <c r="CW112" i="2"/>
  <c r="BU112" i="2" s="1"/>
  <c r="CD112" i="2"/>
  <c r="DF112" i="2"/>
  <c r="CE94" i="2"/>
  <c r="BS94" i="2"/>
  <c r="BK94" i="2"/>
  <c r="BC94" i="2"/>
  <c r="FK94" i="2"/>
  <c r="ED94" i="2"/>
  <c r="BJ94" i="2"/>
  <c r="BQ94" i="2"/>
  <c r="BR94" i="2" s="1"/>
  <c r="BI94" i="2"/>
  <c r="BP94" i="2"/>
  <c r="BH94" i="2"/>
  <c r="FN94" i="2"/>
  <c r="BN94" i="2"/>
  <c r="BF94" i="2"/>
  <c r="EF94" i="2"/>
  <c r="CL94" i="2"/>
  <c r="CI94" i="2" s="1"/>
  <c r="BT94" i="2"/>
  <c r="BL94" i="2"/>
  <c r="BD94" i="2"/>
  <c r="BO94" i="2"/>
  <c r="CM94" i="2"/>
  <c r="CJ94" i="2" s="1"/>
  <c r="BM94" i="2"/>
  <c r="BG94" i="2"/>
  <c r="BE94" i="2"/>
  <c r="CN94" i="2"/>
  <c r="CK94" i="2" s="1"/>
  <c r="BQ54" i="2"/>
  <c r="BR54" i="2" s="1"/>
  <c r="BI54" i="2"/>
  <c r="BP54" i="2"/>
  <c r="BH54" i="2"/>
  <c r="BO54" i="2"/>
  <c r="BG54" i="2"/>
  <c r="FN54" i="2"/>
  <c r="BN54" i="2"/>
  <c r="BF54" i="2"/>
  <c r="BM54" i="2"/>
  <c r="BE54" i="2"/>
  <c r="EF54" i="2"/>
  <c r="BT54" i="2"/>
  <c r="BL54" i="2"/>
  <c r="BD54" i="2"/>
  <c r="FK54" i="2"/>
  <c r="ED54" i="2"/>
  <c r="BJ54" i="2"/>
  <c r="CE54" i="2"/>
  <c r="BS54" i="2"/>
  <c r="BK54" i="2"/>
  <c r="BC54" i="2"/>
  <c r="CN54" i="2"/>
  <c r="CK54" i="2" s="1"/>
  <c r="CL54" i="2"/>
  <c r="CI54" i="2" s="1"/>
  <c r="CM54" i="2"/>
  <c r="CJ54" i="2" s="1"/>
  <c r="FK42" i="2"/>
  <c r="ED42" i="2"/>
  <c r="BJ42" i="2"/>
  <c r="BQ42" i="2"/>
  <c r="BR42" i="2" s="1"/>
  <c r="BI42" i="2"/>
  <c r="BP42" i="2"/>
  <c r="BH42" i="2"/>
  <c r="BO42" i="2"/>
  <c r="BG42" i="2"/>
  <c r="FN42" i="2"/>
  <c r="CN42" i="2"/>
  <c r="CK42" i="2" s="1"/>
  <c r="BN42" i="2"/>
  <c r="BF42" i="2"/>
  <c r="CM42" i="2"/>
  <c r="CJ42" i="2" s="1"/>
  <c r="BM42" i="2"/>
  <c r="BE42" i="2"/>
  <c r="BK42" i="2"/>
  <c r="EF42" i="2"/>
  <c r="BD42" i="2"/>
  <c r="CE42" i="2"/>
  <c r="BT42" i="2"/>
  <c r="BS42" i="2"/>
  <c r="CL42" i="2"/>
  <c r="CI42" i="2" s="1"/>
  <c r="BL42" i="2"/>
  <c r="FN46" i="2"/>
  <c r="BN46" i="2"/>
  <c r="BF46" i="2"/>
  <c r="BM46" i="2"/>
  <c r="BE46" i="2"/>
  <c r="EF46" i="2"/>
  <c r="BT46" i="2"/>
  <c r="BL46" i="2"/>
  <c r="BD46" i="2"/>
  <c r="BP46" i="2"/>
  <c r="BH46" i="2"/>
  <c r="FK46" i="2"/>
  <c r="BO46" i="2"/>
  <c r="BK46" i="2"/>
  <c r="BJ46" i="2"/>
  <c r="ED46" i="2"/>
  <c r="BI46" i="2"/>
  <c r="BG46" i="2"/>
  <c r="CE46" i="2"/>
  <c r="BS46" i="2"/>
  <c r="BC46" i="2"/>
  <c r="EH46" i="2" s="1"/>
  <c r="BQ46" i="2"/>
  <c r="BR46" i="2" s="1"/>
  <c r="CN46" i="2"/>
  <c r="CK46" i="2" s="1"/>
  <c r="CM46" i="2"/>
  <c r="CJ46" i="2" s="1"/>
  <c r="CL46" i="2"/>
  <c r="CI46" i="2" s="1"/>
  <c r="CE111" i="2"/>
  <c r="BS111" i="2"/>
  <c r="BK111" i="2"/>
  <c r="BC111" i="2"/>
  <c r="FK111" i="2"/>
  <c r="ED111" i="2"/>
  <c r="FN111" i="2"/>
  <c r="BP111" i="2"/>
  <c r="BG111" i="2"/>
  <c r="BO111" i="2"/>
  <c r="BF111" i="2"/>
  <c r="BN111" i="2"/>
  <c r="BE111" i="2"/>
  <c r="BM111" i="2"/>
  <c r="BD111" i="2"/>
  <c r="BL111" i="2"/>
  <c r="EF111" i="2"/>
  <c r="BT111" i="2"/>
  <c r="BJ111" i="2"/>
  <c r="CM111" i="2"/>
  <c r="CJ111" i="2" s="1"/>
  <c r="BQ111" i="2"/>
  <c r="BR111" i="2" s="1"/>
  <c r="BH111" i="2"/>
  <c r="BI111" i="2"/>
  <c r="CN111" i="2"/>
  <c r="CK111" i="2" s="1"/>
  <c r="CL111" i="2"/>
  <c r="CI111" i="2" s="1"/>
  <c r="CE60" i="2"/>
  <c r="BS60" i="2"/>
  <c r="BK60" i="2"/>
  <c r="FK60" i="2"/>
  <c r="ED60" i="2"/>
  <c r="BJ60" i="2"/>
  <c r="BQ60" i="2"/>
  <c r="BR60" i="2" s="1"/>
  <c r="BI60" i="2"/>
  <c r="BP60" i="2"/>
  <c r="BH60" i="2"/>
  <c r="BO60" i="2"/>
  <c r="BG60" i="2"/>
  <c r="FN60" i="2"/>
  <c r="CN60" i="2"/>
  <c r="CK60" i="2" s="1"/>
  <c r="BN60" i="2"/>
  <c r="BF60" i="2"/>
  <c r="BT60" i="2"/>
  <c r="CM60" i="2"/>
  <c r="CJ60" i="2" s="1"/>
  <c r="BM60" i="2"/>
  <c r="CL60" i="2"/>
  <c r="CI60" i="2" s="1"/>
  <c r="BL60" i="2"/>
  <c r="BE60" i="2"/>
  <c r="BD60" i="2"/>
  <c r="EF60" i="2"/>
  <c r="CE56" i="2"/>
  <c r="BS56" i="2"/>
  <c r="BK56" i="2"/>
  <c r="BC56" i="2"/>
  <c r="FK56" i="2"/>
  <c r="ED56" i="2"/>
  <c r="BJ56" i="2"/>
  <c r="BQ56" i="2"/>
  <c r="BR56" i="2" s="1"/>
  <c r="BI56" i="2"/>
  <c r="BP56" i="2"/>
  <c r="BH56" i="2"/>
  <c r="BO56" i="2"/>
  <c r="BG56" i="2"/>
  <c r="FN56" i="2"/>
  <c r="BN56" i="2"/>
  <c r="BF56" i="2"/>
  <c r="EF56" i="2"/>
  <c r="CL56" i="2"/>
  <c r="CI56" i="2" s="1"/>
  <c r="BT56" i="2"/>
  <c r="BL56" i="2"/>
  <c r="BD56" i="2"/>
  <c r="CM56" i="2"/>
  <c r="CJ56" i="2" s="1"/>
  <c r="BM56" i="2"/>
  <c r="BE56" i="2"/>
  <c r="CN56" i="2"/>
  <c r="CK56" i="2" s="1"/>
  <c r="EF106" i="2"/>
  <c r="FK106" i="2"/>
  <c r="ED106" i="2"/>
  <c r="BQ106" i="2"/>
  <c r="BR106" i="2" s="1"/>
  <c r="BI106" i="2"/>
  <c r="BP106" i="2"/>
  <c r="BH106" i="2"/>
  <c r="BO106" i="2"/>
  <c r="BG106" i="2"/>
  <c r="FN106" i="2"/>
  <c r="CN106" i="2"/>
  <c r="CK106" i="2" s="1"/>
  <c r="BN106" i="2"/>
  <c r="BF106" i="2"/>
  <c r="CM106" i="2"/>
  <c r="CJ106" i="2" s="1"/>
  <c r="BM106" i="2"/>
  <c r="BE106" i="2"/>
  <c r="BT106" i="2"/>
  <c r="BL106" i="2"/>
  <c r="BD106" i="2"/>
  <c r="BJ106" i="2"/>
  <c r="CE106" i="2"/>
  <c r="BK106" i="2"/>
  <c r="BS106" i="2"/>
  <c r="CL106" i="2"/>
  <c r="CI106" i="2" s="1"/>
  <c r="BM86" i="2"/>
  <c r="BE86" i="2"/>
  <c r="EF86" i="2"/>
  <c r="BT86" i="2"/>
  <c r="BL86" i="2"/>
  <c r="BD86" i="2"/>
  <c r="CE86" i="2"/>
  <c r="BS86" i="2"/>
  <c r="BK86" i="2"/>
  <c r="BC86" i="2"/>
  <c r="FK86" i="2"/>
  <c r="ED86" i="2"/>
  <c r="BJ86" i="2"/>
  <c r="BP86" i="2"/>
  <c r="BH86" i="2"/>
  <c r="FN86" i="2"/>
  <c r="BN86" i="2"/>
  <c r="BF86" i="2"/>
  <c r="BQ86" i="2"/>
  <c r="BR86" i="2" s="1"/>
  <c r="BO86" i="2"/>
  <c r="BG86" i="2"/>
  <c r="BI86" i="2"/>
  <c r="CM86" i="2"/>
  <c r="CJ86" i="2" s="1"/>
  <c r="CN86" i="2"/>
  <c r="CK86" i="2" s="1"/>
  <c r="CL86" i="2"/>
  <c r="CI86" i="2" s="1"/>
  <c r="EF57" i="2"/>
  <c r="CE57" i="2"/>
  <c r="FK57" i="2"/>
  <c r="BP57" i="2"/>
  <c r="BH57" i="2"/>
  <c r="BO57" i="2"/>
  <c r="BG57" i="2"/>
  <c r="BN57" i="2"/>
  <c r="BF57" i="2"/>
  <c r="BM57" i="2"/>
  <c r="BE57" i="2"/>
  <c r="BT57" i="2"/>
  <c r="BL57" i="2"/>
  <c r="BD57" i="2"/>
  <c r="FN57" i="2"/>
  <c r="BS57" i="2"/>
  <c r="BK57" i="2"/>
  <c r="BC57" i="2"/>
  <c r="BQ57" i="2"/>
  <c r="BR57" i="2" s="1"/>
  <c r="BI57" i="2"/>
  <c r="ED57" i="2"/>
  <c r="BJ57" i="2"/>
  <c r="CL57" i="2"/>
  <c r="CI57" i="2" s="1"/>
  <c r="CN57" i="2"/>
  <c r="CK57" i="2" s="1"/>
  <c r="CM57" i="2"/>
  <c r="CJ57" i="2" s="1"/>
  <c r="BP100" i="2"/>
  <c r="BH100" i="2"/>
  <c r="BO100" i="2"/>
  <c r="BG100" i="2"/>
  <c r="FN100" i="2"/>
  <c r="CN100" i="2"/>
  <c r="CK100" i="2" s="1"/>
  <c r="BN100" i="2"/>
  <c r="BF100" i="2"/>
  <c r="CM100" i="2"/>
  <c r="CJ100" i="2" s="1"/>
  <c r="BM100" i="2"/>
  <c r="BE100" i="2"/>
  <c r="EF100" i="2"/>
  <c r="CL100" i="2"/>
  <c r="CI100" i="2" s="1"/>
  <c r="BT100" i="2"/>
  <c r="BL100" i="2"/>
  <c r="BD100" i="2"/>
  <c r="CE100" i="2"/>
  <c r="BS100" i="2"/>
  <c r="BK100" i="2"/>
  <c r="BQ100" i="2"/>
  <c r="BR100" i="2" s="1"/>
  <c r="BI100" i="2"/>
  <c r="FK100" i="2"/>
  <c r="BJ100" i="2"/>
  <c r="ED100" i="2"/>
  <c r="BM101" i="2"/>
  <c r="BE101" i="2"/>
  <c r="EF101" i="2"/>
  <c r="BT101" i="2"/>
  <c r="BL101" i="2"/>
  <c r="BD101" i="2"/>
  <c r="CE101" i="2"/>
  <c r="BS101" i="2"/>
  <c r="BK101" i="2"/>
  <c r="FK101" i="2"/>
  <c r="ED101" i="2"/>
  <c r="BJ101" i="2"/>
  <c r="BQ101" i="2"/>
  <c r="BR101" i="2" s="1"/>
  <c r="BI101" i="2"/>
  <c r="BP101" i="2"/>
  <c r="BH101" i="2"/>
  <c r="FN101" i="2"/>
  <c r="BN101" i="2"/>
  <c r="BF101" i="2"/>
  <c r="BO101" i="2"/>
  <c r="BG101" i="2"/>
  <c r="CN101" i="2"/>
  <c r="CK101" i="2" s="1"/>
  <c r="CM101" i="2"/>
  <c r="CJ101" i="2" s="1"/>
  <c r="CL101" i="2"/>
  <c r="CI101" i="2" s="1"/>
  <c r="EF36" i="2"/>
  <c r="BT36" i="2"/>
  <c r="BL36" i="2"/>
  <c r="BD36" i="2"/>
  <c r="CE36" i="2"/>
  <c r="BS36" i="2"/>
  <c r="BK36" i="2"/>
  <c r="BC36" i="2"/>
  <c r="BQ36" i="2"/>
  <c r="BR36" i="2" s="1"/>
  <c r="BI36" i="2"/>
  <c r="BO36" i="2"/>
  <c r="BG36" i="2"/>
  <c r="BP36" i="2"/>
  <c r="FN36" i="2"/>
  <c r="ED36" i="2"/>
  <c r="CN36" i="2"/>
  <c r="CK36" i="2" s="1"/>
  <c r="BN36" i="2"/>
  <c r="FK36" i="2"/>
  <c r="BJ36" i="2"/>
  <c r="CM36" i="2"/>
  <c r="CJ36" i="2" s="1"/>
  <c r="BM36" i="2"/>
  <c r="BF36" i="2"/>
  <c r="BE36" i="2"/>
  <c r="BH36" i="2"/>
  <c r="CL36" i="2"/>
  <c r="CI36" i="2" s="1"/>
  <c r="BQ82" i="2"/>
  <c r="BR82" i="2" s="1"/>
  <c r="BI82" i="2"/>
  <c r="FN82" i="2"/>
  <c r="EF82" i="2"/>
  <c r="FK82" i="2"/>
  <c r="ED82" i="2"/>
  <c r="BJ82" i="2"/>
  <c r="BM82" i="2"/>
  <c r="CE82" i="2"/>
  <c r="BL82" i="2"/>
  <c r="BK82" i="2"/>
  <c r="BT82" i="2"/>
  <c r="BC82" i="2" s="1"/>
  <c r="EH82" i="2" s="1"/>
  <c r="BH82" i="2"/>
  <c r="CM82" i="2"/>
  <c r="CJ82" i="2" s="1"/>
  <c r="BS82" i="2"/>
  <c r="BG82" i="2"/>
  <c r="BP82" i="2"/>
  <c r="BF82" i="2"/>
  <c r="BN82" i="2"/>
  <c r="BD82" i="2"/>
  <c r="BE82" i="2"/>
  <c r="BO82" i="2"/>
  <c r="CL82" i="2"/>
  <c r="CI82" i="2" s="1"/>
  <c r="CN82" i="2"/>
  <c r="CK82" i="2" s="1"/>
  <c r="FN59" i="2"/>
  <c r="BN59" i="2"/>
  <c r="BF59" i="2"/>
  <c r="BM59" i="2"/>
  <c r="BE59" i="2"/>
  <c r="EF59" i="2"/>
  <c r="BT59" i="2"/>
  <c r="BL59" i="2"/>
  <c r="BD59" i="2"/>
  <c r="CE59" i="2"/>
  <c r="BS59" i="2"/>
  <c r="BK59" i="2"/>
  <c r="BC59" i="2"/>
  <c r="FK59" i="2"/>
  <c r="ED59" i="2"/>
  <c r="BJ59" i="2"/>
  <c r="BQ59" i="2"/>
  <c r="BR59" i="2" s="1"/>
  <c r="BI59" i="2"/>
  <c r="BO59" i="2"/>
  <c r="BH59" i="2"/>
  <c r="BG59" i="2"/>
  <c r="BP59" i="2"/>
  <c r="CM59" i="2"/>
  <c r="CJ59" i="2" s="1"/>
  <c r="CL59" i="2"/>
  <c r="CI59" i="2" s="1"/>
  <c r="CN59" i="2"/>
  <c r="CK59" i="2" s="1"/>
  <c r="BO70" i="2"/>
  <c r="BG70" i="2"/>
  <c r="FN70" i="2"/>
  <c r="BN70" i="2"/>
  <c r="BF70" i="2"/>
  <c r="BM70" i="2"/>
  <c r="BE70" i="2"/>
  <c r="EF70" i="2"/>
  <c r="BT70" i="2"/>
  <c r="BL70" i="2"/>
  <c r="BD70" i="2"/>
  <c r="CE70" i="2"/>
  <c r="BS70" i="2"/>
  <c r="BK70" i="2"/>
  <c r="BP70" i="2"/>
  <c r="BH70" i="2"/>
  <c r="FK70" i="2"/>
  <c r="ED70" i="2"/>
  <c r="BQ70" i="2"/>
  <c r="BR70" i="2" s="1"/>
  <c r="BI70" i="2"/>
  <c r="BJ70" i="2"/>
  <c r="CM70" i="2"/>
  <c r="CJ70" i="2" s="1"/>
  <c r="CL70" i="2"/>
  <c r="CI70" i="2" s="1"/>
  <c r="CN70" i="2"/>
  <c r="CK70" i="2" s="1"/>
  <c r="BM62" i="2"/>
  <c r="BE62" i="2"/>
  <c r="EF62" i="2"/>
  <c r="CL62" i="2"/>
  <c r="CI62" i="2" s="1"/>
  <c r="BT62" i="2"/>
  <c r="BL62" i="2"/>
  <c r="BD62" i="2"/>
  <c r="CE62" i="2"/>
  <c r="BS62" i="2"/>
  <c r="BK62" i="2"/>
  <c r="BC62" i="2"/>
  <c r="FK62" i="2"/>
  <c r="ED62" i="2"/>
  <c r="BJ62" i="2"/>
  <c r="BQ62" i="2"/>
  <c r="BR62" i="2" s="1"/>
  <c r="BI62" i="2"/>
  <c r="BP62" i="2"/>
  <c r="BH62" i="2"/>
  <c r="BO62" i="2"/>
  <c r="CN62" i="2"/>
  <c r="CK62" i="2" s="1"/>
  <c r="BN62" i="2"/>
  <c r="BF62" i="2"/>
  <c r="FN62" i="2"/>
  <c r="BG62" i="2"/>
  <c r="CM62" i="2"/>
  <c r="CJ62" i="2" s="1"/>
  <c r="BM80" i="2"/>
  <c r="BE80" i="2"/>
  <c r="EF80" i="2"/>
  <c r="CL80" i="2"/>
  <c r="CI80" i="2" s="1"/>
  <c r="BT80" i="2"/>
  <c r="BL80" i="2"/>
  <c r="BD80" i="2"/>
  <c r="CE80" i="2"/>
  <c r="BS80" i="2"/>
  <c r="BK80" i="2"/>
  <c r="BC80" i="2"/>
  <c r="FK80" i="2"/>
  <c r="ED80" i="2"/>
  <c r="BJ80" i="2"/>
  <c r="BQ80" i="2"/>
  <c r="BR80" i="2" s="1"/>
  <c r="BI80" i="2"/>
  <c r="BP80" i="2"/>
  <c r="BH80" i="2"/>
  <c r="FN80" i="2"/>
  <c r="BN80" i="2"/>
  <c r="BF80" i="2"/>
  <c r="BO80" i="2"/>
  <c r="BG80" i="2"/>
  <c r="CN80" i="2"/>
  <c r="CK80" i="2" s="1"/>
  <c r="CM80" i="2"/>
  <c r="CJ80" i="2" s="1"/>
  <c r="EF102" i="2"/>
  <c r="FK102" i="2"/>
  <c r="BJ102" i="2"/>
  <c r="ED102" i="2"/>
  <c r="BQ102" i="2"/>
  <c r="BR102" i="2" s="1"/>
  <c r="BI102" i="2"/>
  <c r="BP102" i="2"/>
  <c r="BH102" i="2"/>
  <c r="BO102" i="2"/>
  <c r="BG102" i="2"/>
  <c r="BN102" i="2"/>
  <c r="BF102" i="2"/>
  <c r="BM102" i="2"/>
  <c r="BE102" i="2"/>
  <c r="CE102" i="2"/>
  <c r="BS102" i="2"/>
  <c r="BK102" i="2"/>
  <c r="BC102" i="2"/>
  <c r="BD102" i="2"/>
  <c r="CM102" i="2"/>
  <c r="CJ102" i="2" s="1"/>
  <c r="FN102" i="2"/>
  <c r="BL102" i="2"/>
  <c r="BT102" i="2"/>
  <c r="CL102" i="2"/>
  <c r="CI102" i="2" s="1"/>
  <c r="CN102" i="2"/>
  <c r="CK102" i="2" s="1"/>
  <c r="BQ76" i="2"/>
  <c r="BR76" i="2" s="1"/>
  <c r="BI76" i="2"/>
  <c r="BP76" i="2"/>
  <c r="BH76" i="2"/>
  <c r="FN76" i="2"/>
  <c r="BN76" i="2"/>
  <c r="BF76" i="2"/>
  <c r="CM76" i="2"/>
  <c r="CJ76" i="2" s="1"/>
  <c r="BM76" i="2"/>
  <c r="BE76" i="2"/>
  <c r="EF76" i="2"/>
  <c r="CL76" i="2"/>
  <c r="CI76" i="2" s="1"/>
  <c r="BT76" i="2"/>
  <c r="BL76" i="2"/>
  <c r="BD76" i="2"/>
  <c r="FK76" i="2"/>
  <c r="ED76" i="2"/>
  <c r="BJ76" i="2"/>
  <c r="BG76" i="2"/>
  <c r="CE76" i="2"/>
  <c r="BC76" i="2"/>
  <c r="EH76" i="2" s="1"/>
  <c r="BK76" i="2"/>
  <c r="BS76" i="2"/>
  <c r="BO76" i="2"/>
  <c r="CN76" i="2"/>
  <c r="CK76" i="2" s="1"/>
  <c r="BP48" i="2"/>
  <c r="BH48" i="2"/>
  <c r="BO48" i="2"/>
  <c r="BG48" i="2"/>
  <c r="FN48" i="2"/>
  <c r="BN48" i="2"/>
  <c r="BF48" i="2"/>
  <c r="BM48" i="2"/>
  <c r="BE48" i="2"/>
  <c r="CE48" i="2"/>
  <c r="BS48" i="2"/>
  <c r="BK48" i="2"/>
  <c r="FK48" i="2"/>
  <c r="ED48" i="2"/>
  <c r="BJ48" i="2"/>
  <c r="EF48" i="2"/>
  <c r="BT48" i="2"/>
  <c r="BQ48" i="2"/>
  <c r="BR48" i="2" s="1"/>
  <c r="CL48" i="2"/>
  <c r="CI48" i="2" s="1"/>
  <c r="BL48" i="2"/>
  <c r="BI48" i="2"/>
  <c r="BD48" i="2"/>
  <c r="CN48" i="2"/>
  <c r="CK48" i="2" s="1"/>
  <c r="CM48" i="2"/>
  <c r="CJ48" i="2" s="1"/>
  <c r="EF105" i="2"/>
  <c r="BT105" i="2"/>
  <c r="BL105" i="2"/>
  <c r="BD105" i="2"/>
  <c r="CE105" i="2"/>
  <c r="BS105" i="2"/>
  <c r="BK105" i="2"/>
  <c r="FK105" i="2"/>
  <c r="ED105" i="2"/>
  <c r="BJ105" i="2"/>
  <c r="BQ105" i="2"/>
  <c r="BR105" i="2" s="1"/>
  <c r="BI105" i="2"/>
  <c r="BP105" i="2"/>
  <c r="BH105" i="2"/>
  <c r="BO105" i="2"/>
  <c r="BG105" i="2"/>
  <c r="BM105" i="2"/>
  <c r="BE105" i="2"/>
  <c r="CN105" i="2"/>
  <c r="CK105" i="2" s="1"/>
  <c r="BN105" i="2"/>
  <c r="BF105" i="2"/>
  <c r="FN105" i="2"/>
  <c r="CM105" i="2"/>
  <c r="CJ105" i="2" s="1"/>
  <c r="CL105" i="2"/>
  <c r="CI105" i="2" s="1"/>
  <c r="BO49" i="2"/>
  <c r="BG49" i="2"/>
  <c r="CE49" i="2"/>
  <c r="BN49" i="2"/>
  <c r="BE49" i="2"/>
  <c r="FN49" i="2"/>
  <c r="BM49" i="2"/>
  <c r="BD49" i="2"/>
  <c r="EF49" i="2"/>
  <c r="BL49" i="2"/>
  <c r="BC49" i="2"/>
  <c r="FK49" i="2"/>
  <c r="ED49" i="2"/>
  <c r="BT49" i="2"/>
  <c r="BK49" i="2"/>
  <c r="BI49" i="2"/>
  <c r="BQ49" i="2"/>
  <c r="BR49" i="2" s="1"/>
  <c r="BH49" i="2"/>
  <c r="BS49" i="2"/>
  <c r="BP49" i="2"/>
  <c r="BJ49" i="2"/>
  <c r="BF49" i="2"/>
  <c r="CM49" i="2"/>
  <c r="CJ49" i="2" s="1"/>
  <c r="CL49" i="2"/>
  <c r="CI49" i="2" s="1"/>
  <c r="CN49" i="2"/>
  <c r="CK49" i="2" s="1"/>
  <c r="EF50" i="2"/>
  <c r="BT50" i="2"/>
  <c r="BL50" i="2"/>
  <c r="BD50" i="2"/>
  <c r="FK50" i="2"/>
  <c r="ED50" i="2"/>
  <c r="BJ50" i="2"/>
  <c r="BP50" i="2"/>
  <c r="BH50" i="2"/>
  <c r="FN50" i="2"/>
  <c r="BG50" i="2"/>
  <c r="BS50" i="2"/>
  <c r="BF50" i="2"/>
  <c r="BQ50" i="2"/>
  <c r="BR50" i="2" s="1"/>
  <c r="BE50" i="2"/>
  <c r="BO50" i="2"/>
  <c r="BC50" i="2"/>
  <c r="EH50" i="2" s="1"/>
  <c r="BM50" i="2"/>
  <c r="BK50" i="2"/>
  <c r="CE50" i="2"/>
  <c r="BN50" i="2"/>
  <c r="BI50" i="2"/>
  <c r="CM50" i="2"/>
  <c r="CJ50" i="2" s="1"/>
  <c r="CL50" i="2"/>
  <c r="CI50" i="2" s="1"/>
  <c r="CN50" i="2"/>
  <c r="CK50" i="2" s="1"/>
  <c r="BO52" i="2"/>
  <c r="BG52" i="2"/>
  <c r="FN52" i="2"/>
  <c r="BN52" i="2"/>
  <c r="BF52" i="2"/>
  <c r="BM52" i="2"/>
  <c r="BE52" i="2"/>
  <c r="EF52" i="2"/>
  <c r="BT52" i="2"/>
  <c r="BL52" i="2"/>
  <c r="BD52" i="2"/>
  <c r="CE52" i="2"/>
  <c r="BS52" i="2"/>
  <c r="BK52" i="2"/>
  <c r="BC52" i="2"/>
  <c r="EH52" i="2" s="1"/>
  <c r="FK52" i="2"/>
  <c r="ED52" i="2"/>
  <c r="BJ52" i="2"/>
  <c r="BP52" i="2"/>
  <c r="BH52" i="2"/>
  <c r="BQ52" i="2"/>
  <c r="BR52" i="2" s="1"/>
  <c r="BI52" i="2"/>
  <c r="CN52" i="2"/>
  <c r="CK52" i="2" s="1"/>
  <c r="CM52" i="2"/>
  <c r="CJ52" i="2" s="1"/>
  <c r="CL52" i="2"/>
  <c r="CI52" i="2" s="1"/>
  <c r="FN90" i="2"/>
  <c r="EF90" i="2"/>
  <c r="ED90" i="2"/>
  <c r="BQ90" i="2"/>
  <c r="BR90" i="2" s="1"/>
  <c r="BI90" i="2"/>
  <c r="FK90" i="2"/>
  <c r="BP90" i="2"/>
  <c r="BH90" i="2"/>
  <c r="BO90" i="2"/>
  <c r="BG90" i="2"/>
  <c r="BN90" i="2"/>
  <c r="BF90" i="2"/>
  <c r="BM90" i="2"/>
  <c r="BE90" i="2"/>
  <c r="CM90" i="2"/>
  <c r="CJ90" i="2" s="1"/>
  <c r="BT90" i="2"/>
  <c r="BL90" i="2"/>
  <c r="BD90" i="2"/>
  <c r="BJ90" i="2"/>
  <c r="CL90" i="2"/>
  <c r="CI90" i="2" s="1"/>
  <c r="CE90" i="2"/>
  <c r="BS90" i="2"/>
  <c r="BC90" i="2"/>
  <c r="EH90" i="2" s="1"/>
  <c r="BK90" i="2"/>
  <c r="CN90" i="2"/>
  <c r="CK90" i="2" s="1"/>
  <c r="FN98" i="2"/>
  <c r="EF98" i="2"/>
  <c r="FK98" i="2"/>
  <c r="ED98" i="2"/>
  <c r="BO98" i="2"/>
  <c r="BG98" i="2"/>
  <c r="BQ98" i="2"/>
  <c r="BR98" i="2" s="1"/>
  <c r="BH98" i="2"/>
  <c r="BP98" i="2"/>
  <c r="BF98" i="2"/>
  <c r="CE98" i="2"/>
  <c r="BN98" i="2"/>
  <c r="BE98" i="2"/>
  <c r="BM98" i="2"/>
  <c r="BD98" i="2"/>
  <c r="BL98" i="2"/>
  <c r="BT98" i="2"/>
  <c r="BK98" i="2"/>
  <c r="BI98" i="2"/>
  <c r="BS98" i="2"/>
  <c r="BJ98" i="2"/>
  <c r="CN98" i="2"/>
  <c r="CK98" i="2" s="1"/>
  <c r="CM98" i="2"/>
  <c r="CJ98" i="2" s="1"/>
  <c r="CL98" i="2"/>
  <c r="CI98" i="2" s="1"/>
  <c r="FN65" i="2"/>
  <c r="FK65" i="2"/>
  <c r="ED65" i="2"/>
  <c r="BO65" i="2"/>
  <c r="BG65" i="2"/>
  <c r="BM65" i="2"/>
  <c r="BD65" i="2"/>
  <c r="BL65" i="2"/>
  <c r="BT65" i="2"/>
  <c r="BK65" i="2"/>
  <c r="EF65" i="2"/>
  <c r="BS65" i="2"/>
  <c r="BJ65" i="2"/>
  <c r="CM65" i="2"/>
  <c r="CJ65" i="2" s="1"/>
  <c r="BI65" i="2"/>
  <c r="CL65" i="2"/>
  <c r="CI65" i="2" s="1"/>
  <c r="CE65" i="2"/>
  <c r="BQ65" i="2"/>
  <c r="BR65" i="2" s="1"/>
  <c r="BH65" i="2"/>
  <c r="BE65" i="2"/>
  <c r="BP65" i="2"/>
  <c r="BF65" i="2"/>
  <c r="BN65" i="2"/>
  <c r="CN65" i="2"/>
  <c r="CK65" i="2" s="1"/>
  <c r="BP40" i="2"/>
  <c r="BH40" i="2"/>
  <c r="BO40" i="2"/>
  <c r="BG40" i="2"/>
  <c r="FN40" i="2"/>
  <c r="BM40" i="2"/>
  <c r="BE40" i="2"/>
  <c r="EF40" i="2"/>
  <c r="CE40" i="2"/>
  <c r="BS40" i="2"/>
  <c r="BK40" i="2"/>
  <c r="BC40" i="2"/>
  <c r="BQ40" i="2"/>
  <c r="BR40" i="2" s="1"/>
  <c r="BN40" i="2"/>
  <c r="BJ40" i="2"/>
  <c r="BL40" i="2"/>
  <c r="BF40" i="2"/>
  <c r="BT40" i="2"/>
  <c r="BD40" i="2"/>
  <c r="BI40" i="2"/>
  <c r="FK40" i="2"/>
  <c r="ED40" i="2"/>
  <c r="CN40" i="2"/>
  <c r="CK40" i="2" s="1"/>
  <c r="CM40" i="2"/>
  <c r="CJ40" i="2" s="1"/>
  <c r="CL40" i="2"/>
  <c r="CI40" i="2" s="1"/>
  <c r="EF114" i="2"/>
  <c r="FK114" i="2"/>
  <c r="ED114" i="2"/>
  <c r="BJ114" i="2"/>
  <c r="BQ114" i="2"/>
  <c r="BR114" i="2" s="1"/>
  <c r="BI114" i="2"/>
  <c r="BP114" i="2"/>
  <c r="BH114" i="2"/>
  <c r="BO114" i="2"/>
  <c r="BG114" i="2"/>
  <c r="BN114" i="2"/>
  <c r="BF114" i="2"/>
  <c r="CM114" i="2"/>
  <c r="CJ114" i="2" s="1"/>
  <c r="BM114" i="2"/>
  <c r="BE114" i="2"/>
  <c r="CE114" i="2"/>
  <c r="BS114" i="2"/>
  <c r="BK114" i="2"/>
  <c r="BC114" i="2"/>
  <c r="EH114" i="2" s="1"/>
  <c r="BT114" i="2"/>
  <c r="FN114" i="2"/>
  <c r="BL114" i="2"/>
  <c r="BD114" i="2"/>
  <c r="CL114" i="2"/>
  <c r="CI114" i="2" s="1"/>
  <c r="CN114" i="2"/>
  <c r="CK114" i="2" s="1"/>
  <c r="ED81" i="2"/>
  <c r="BJ81" i="2"/>
  <c r="FK81" i="2"/>
  <c r="BQ81" i="2"/>
  <c r="BR81" i="2" s="1"/>
  <c r="BI81" i="2"/>
  <c r="BP81" i="2"/>
  <c r="BH81" i="2"/>
  <c r="BO81" i="2"/>
  <c r="BG81" i="2"/>
  <c r="BN81" i="2"/>
  <c r="BF81" i="2"/>
  <c r="BM81" i="2"/>
  <c r="BE81" i="2"/>
  <c r="FN81" i="2"/>
  <c r="CE81" i="2"/>
  <c r="BS81" i="2"/>
  <c r="BK81" i="2"/>
  <c r="BC81" i="2"/>
  <c r="EH81" i="2" s="1"/>
  <c r="BL81" i="2"/>
  <c r="BD81" i="2"/>
  <c r="EF81" i="2"/>
  <c r="CL81" i="2"/>
  <c r="CI81" i="2" s="1"/>
  <c r="BT81" i="2"/>
  <c r="CN81" i="2"/>
  <c r="CK81" i="2" s="1"/>
  <c r="CM81" i="2"/>
  <c r="CJ81" i="2" s="1"/>
  <c r="CE99" i="2"/>
  <c r="BS99" i="2"/>
  <c r="BK99" i="2"/>
  <c r="FK99" i="2"/>
  <c r="ED99" i="2"/>
  <c r="BJ99" i="2"/>
  <c r="BQ99" i="2"/>
  <c r="BR99" i="2" s="1"/>
  <c r="BI99" i="2"/>
  <c r="BO99" i="2"/>
  <c r="BG99" i="2"/>
  <c r="FN99" i="2"/>
  <c r="BN99" i="2"/>
  <c r="BF99" i="2"/>
  <c r="EF99" i="2"/>
  <c r="BT99" i="2"/>
  <c r="BL99" i="2"/>
  <c r="BD99" i="2"/>
  <c r="BH99" i="2"/>
  <c r="BE99" i="2"/>
  <c r="CM99" i="2"/>
  <c r="CJ99" i="2" s="1"/>
  <c r="BM99" i="2"/>
  <c r="BP99" i="2"/>
  <c r="CN99" i="2"/>
  <c r="CK99" i="2" s="1"/>
  <c r="CL99" i="2"/>
  <c r="CI99" i="2" s="1"/>
  <c r="CE47" i="2"/>
  <c r="BS47" i="2"/>
  <c r="BK47" i="2"/>
  <c r="FK47" i="2"/>
  <c r="ED47" i="2"/>
  <c r="BJ47" i="2"/>
  <c r="BQ47" i="2"/>
  <c r="BR47" i="2" s="1"/>
  <c r="BI47" i="2"/>
  <c r="FN47" i="2"/>
  <c r="CN47" i="2"/>
  <c r="CK47" i="2" s="1"/>
  <c r="BN47" i="2"/>
  <c r="BF47" i="2"/>
  <c r="CM47" i="2"/>
  <c r="CJ47" i="2" s="1"/>
  <c r="BM47" i="2"/>
  <c r="BE47" i="2"/>
  <c r="BD47" i="2"/>
  <c r="CL47" i="2"/>
  <c r="CI47" i="2" s="1"/>
  <c r="BT47" i="2"/>
  <c r="BC47" i="2" s="1"/>
  <c r="EH47" i="2" s="1"/>
  <c r="BP47" i="2"/>
  <c r="BO47" i="2"/>
  <c r="BL47" i="2"/>
  <c r="BH47" i="2"/>
  <c r="EF47" i="2"/>
  <c r="BG47" i="2"/>
  <c r="BP32" i="2"/>
  <c r="BH32" i="2"/>
  <c r="BI32" i="2"/>
  <c r="BE32" i="2"/>
  <c r="ED32" i="2"/>
  <c r="CE32" i="2"/>
  <c r="BQ32" i="2"/>
  <c r="BR32" i="2" s="1"/>
  <c r="BG32" i="2"/>
  <c r="BN32" i="2"/>
  <c r="FN32" i="2"/>
  <c r="BO32" i="2"/>
  <c r="BF32" i="2"/>
  <c r="BL32" i="2"/>
  <c r="BC32" i="2"/>
  <c r="EF32" i="2"/>
  <c r="FK32" i="2"/>
  <c r="BT32" i="2"/>
  <c r="BK32" i="2"/>
  <c r="BS32" i="2"/>
  <c r="BJ32" i="2"/>
  <c r="BD32" i="2"/>
  <c r="BM32" i="2"/>
  <c r="CM32" i="2"/>
  <c r="CJ32" i="2" s="1"/>
  <c r="CL32" i="2"/>
  <c r="CI32" i="2" s="1"/>
  <c r="CN32" i="2"/>
  <c r="CK32" i="2" s="1"/>
  <c r="FK69" i="2"/>
  <c r="ED69" i="2"/>
  <c r="BJ69" i="2"/>
  <c r="BQ69" i="2"/>
  <c r="BR69" i="2" s="1"/>
  <c r="BI69" i="2"/>
  <c r="BP69" i="2"/>
  <c r="BH69" i="2"/>
  <c r="BO69" i="2"/>
  <c r="BG69" i="2"/>
  <c r="FN69" i="2"/>
  <c r="BN69" i="2"/>
  <c r="BF69" i="2"/>
  <c r="CE69" i="2"/>
  <c r="BS69" i="2"/>
  <c r="BK69" i="2"/>
  <c r="CL69" i="2"/>
  <c r="CI69" i="2" s="1"/>
  <c r="BL69" i="2"/>
  <c r="EF69" i="2"/>
  <c r="BE69" i="2"/>
  <c r="BD69" i="2"/>
  <c r="CM69" i="2"/>
  <c r="CJ69" i="2" s="1"/>
  <c r="BM69" i="2"/>
  <c r="BT69" i="2"/>
  <c r="CN69" i="2"/>
  <c r="CK69" i="2" s="1"/>
  <c r="CE39" i="2"/>
  <c r="BS39" i="2"/>
  <c r="BK39" i="2"/>
  <c r="BC39" i="2"/>
  <c r="FK39" i="2"/>
  <c r="ED39" i="2"/>
  <c r="BJ39" i="2"/>
  <c r="BP39" i="2"/>
  <c r="BH39" i="2"/>
  <c r="FN39" i="2"/>
  <c r="BN39" i="2"/>
  <c r="BF39" i="2"/>
  <c r="CL39" i="2"/>
  <c r="CI39" i="2" s="1"/>
  <c r="BM39" i="2"/>
  <c r="BL39" i="2"/>
  <c r="BG39" i="2"/>
  <c r="BI39" i="2"/>
  <c r="EF39" i="2"/>
  <c r="BT39" i="2"/>
  <c r="BD39" i="2"/>
  <c r="CM39" i="2"/>
  <c r="CJ39" i="2" s="1"/>
  <c r="BQ39" i="2"/>
  <c r="BR39" i="2" s="1"/>
  <c r="BO39" i="2"/>
  <c r="BE39" i="2"/>
  <c r="CN39" i="2"/>
  <c r="CK39" i="2" s="1"/>
  <c r="FN93" i="2"/>
  <c r="BN93" i="2"/>
  <c r="BF93" i="2"/>
  <c r="BM93" i="2"/>
  <c r="BE93" i="2"/>
  <c r="EF93" i="2"/>
  <c r="CL93" i="2"/>
  <c r="CI93" i="2" s="1"/>
  <c r="BT93" i="2"/>
  <c r="BL93" i="2"/>
  <c r="BD93" i="2"/>
  <c r="CE93" i="2"/>
  <c r="BS93" i="2"/>
  <c r="BK93" i="2"/>
  <c r="BC93" i="2"/>
  <c r="BQ93" i="2"/>
  <c r="BR93" i="2" s="1"/>
  <c r="BI93" i="2"/>
  <c r="FK93" i="2"/>
  <c r="ED93" i="2"/>
  <c r="BP93" i="2"/>
  <c r="BO93" i="2"/>
  <c r="BJ93" i="2"/>
  <c r="BH93" i="2"/>
  <c r="BG93" i="2"/>
  <c r="CN93" i="2"/>
  <c r="CK93" i="2" s="1"/>
  <c r="CM93" i="2"/>
  <c r="CJ93" i="2" s="1"/>
  <c r="EF91" i="2"/>
  <c r="BT91" i="2"/>
  <c r="BL91" i="2"/>
  <c r="BD91" i="2"/>
  <c r="CE91" i="2"/>
  <c r="BS91" i="2"/>
  <c r="BK91" i="2"/>
  <c r="BQ91" i="2"/>
  <c r="BR91" i="2" s="1"/>
  <c r="BI91" i="2"/>
  <c r="BO91" i="2"/>
  <c r="BN91" i="2"/>
  <c r="BM91" i="2"/>
  <c r="BJ91" i="2"/>
  <c r="FN91" i="2"/>
  <c r="ED91" i="2"/>
  <c r="BH91" i="2"/>
  <c r="CN91" i="2"/>
  <c r="CK91" i="2" s="1"/>
  <c r="BG91" i="2"/>
  <c r="BP91" i="2"/>
  <c r="BE91" i="2"/>
  <c r="FK91" i="2"/>
  <c r="BF91" i="2"/>
  <c r="CM91" i="2"/>
  <c r="CJ91" i="2" s="1"/>
  <c r="CL91" i="2"/>
  <c r="CI91" i="2" s="1"/>
  <c r="BO64" i="2"/>
  <c r="BG64" i="2"/>
  <c r="FN64" i="2"/>
  <c r="BN64" i="2"/>
  <c r="BF64" i="2"/>
  <c r="BM64" i="2"/>
  <c r="BE64" i="2"/>
  <c r="EF64" i="2"/>
  <c r="BT64" i="2"/>
  <c r="BL64" i="2"/>
  <c r="BD64" i="2"/>
  <c r="CE64" i="2"/>
  <c r="BS64" i="2"/>
  <c r="BK64" i="2"/>
  <c r="FK64" i="2"/>
  <c r="ED64" i="2"/>
  <c r="BJ64" i="2"/>
  <c r="BQ64" i="2"/>
  <c r="BR64" i="2" s="1"/>
  <c r="BP64" i="2"/>
  <c r="BI64" i="2"/>
  <c r="BH64" i="2"/>
  <c r="CN64" i="2"/>
  <c r="CK64" i="2" s="1"/>
  <c r="CM64" i="2"/>
  <c r="CJ64" i="2" s="1"/>
  <c r="CL64" i="2"/>
  <c r="CI64" i="2" s="1"/>
  <c r="BQ92" i="2"/>
  <c r="BR92" i="2" s="1"/>
  <c r="BI92" i="2"/>
  <c r="BP92" i="2"/>
  <c r="BH92" i="2"/>
  <c r="FN92" i="2"/>
  <c r="CN92" i="2"/>
  <c r="CK92" i="2" s="1"/>
  <c r="BN92" i="2"/>
  <c r="BF92" i="2"/>
  <c r="EF92" i="2"/>
  <c r="CL92" i="2"/>
  <c r="CI92" i="2" s="1"/>
  <c r="BT92" i="2"/>
  <c r="BL92" i="2"/>
  <c r="BD92" i="2"/>
  <c r="FK92" i="2"/>
  <c r="CM92" i="2"/>
  <c r="CJ92" i="2" s="1"/>
  <c r="BM92" i="2"/>
  <c r="BK92" i="2"/>
  <c r="BJ92" i="2"/>
  <c r="ED92" i="2"/>
  <c r="BG92" i="2"/>
  <c r="BE92" i="2"/>
  <c r="CE92" i="2"/>
  <c r="BS92" i="2"/>
  <c r="BC92" i="2"/>
  <c r="BO92" i="2"/>
  <c r="FN38" i="2"/>
  <c r="BN38" i="2"/>
  <c r="BF38" i="2"/>
  <c r="BM38" i="2"/>
  <c r="BE38" i="2"/>
  <c r="CE38" i="2"/>
  <c r="BS38" i="2"/>
  <c r="BK38" i="2"/>
  <c r="BQ38" i="2"/>
  <c r="BR38" i="2" s="1"/>
  <c r="BI38" i="2"/>
  <c r="BT38" i="2"/>
  <c r="BD38" i="2"/>
  <c r="EF38" i="2"/>
  <c r="ED38" i="2"/>
  <c r="BP38" i="2"/>
  <c r="BO38" i="2"/>
  <c r="BJ38" i="2"/>
  <c r="BH38" i="2"/>
  <c r="BG38" i="2"/>
  <c r="CL38" i="2"/>
  <c r="CI38" i="2" s="1"/>
  <c r="BL38" i="2"/>
  <c r="FK38" i="2"/>
  <c r="CN38" i="2"/>
  <c r="CK38" i="2" s="1"/>
  <c r="CM38" i="2"/>
  <c r="CJ38" i="2" s="1"/>
  <c r="FK103" i="2"/>
  <c r="ED103" i="2"/>
  <c r="BQ103" i="2"/>
  <c r="BR103" i="2" s="1"/>
  <c r="BI103" i="2"/>
  <c r="BP103" i="2"/>
  <c r="BH103" i="2"/>
  <c r="FN103" i="2"/>
  <c r="CM103" i="2"/>
  <c r="CJ103" i="2" s="1"/>
  <c r="BM103" i="2"/>
  <c r="BE103" i="2"/>
  <c r="BN103" i="2"/>
  <c r="BL103" i="2"/>
  <c r="BK103" i="2"/>
  <c r="CE103" i="2"/>
  <c r="BJ103" i="2"/>
  <c r="CN103" i="2"/>
  <c r="CK103" i="2" s="1"/>
  <c r="BT103" i="2"/>
  <c r="BG103" i="2"/>
  <c r="EF103" i="2"/>
  <c r="CL103" i="2"/>
  <c r="CI103" i="2" s="1"/>
  <c r="BS103" i="2"/>
  <c r="BF103" i="2"/>
  <c r="BO103" i="2"/>
  <c r="BD103" i="2"/>
  <c r="FK63" i="2"/>
  <c r="ED63" i="2"/>
  <c r="BJ63" i="2"/>
  <c r="BQ63" i="2"/>
  <c r="BR63" i="2" s="1"/>
  <c r="BI63" i="2"/>
  <c r="BP63" i="2"/>
  <c r="BH63" i="2"/>
  <c r="BO63" i="2"/>
  <c r="BG63" i="2"/>
  <c r="FN63" i="2"/>
  <c r="BN63" i="2"/>
  <c r="BF63" i="2"/>
  <c r="BM63" i="2"/>
  <c r="BE63" i="2"/>
  <c r="CE63" i="2"/>
  <c r="BC63" i="2"/>
  <c r="EF63" i="2"/>
  <c r="BT63" i="2"/>
  <c r="BS63" i="2"/>
  <c r="CL63" i="2"/>
  <c r="CI63" i="2" s="1"/>
  <c r="BL63" i="2"/>
  <c r="BD63" i="2"/>
  <c r="BK63" i="2"/>
  <c r="CN63" i="2"/>
  <c r="CK63" i="2" s="1"/>
  <c r="CM63" i="2"/>
  <c r="CJ63" i="2" s="1"/>
  <c r="FN83" i="2"/>
  <c r="BN83" i="2"/>
  <c r="BF83" i="2"/>
  <c r="CE83" i="2"/>
  <c r="BS83" i="2"/>
  <c r="BK83" i="2"/>
  <c r="BQ83" i="2"/>
  <c r="BR83" i="2" s="1"/>
  <c r="BI83" i="2"/>
  <c r="BO83" i="2"/>
  <c r="BG83" i="2"/>
  <c r="ED83" i="2"/>
  <c r="BT83" i="2"/>
  <c r="BD83" i="2"/>
  <c r="FK83" i="2"/>
  <c r="BP83" i="2"/>
  <c r="CM83" i="2"/>
  <c r="CJ83" i="2" s="1"/>
  <c r="BM83" i="2"/>
  <c r="CL83" i="2"/>
  <c r="CI83" i="2" s="1"/>
  <c r="BL83" i="2"/>
  <c r="BJ83" i="2"/>
  <c r="EF83" i="2"/>
  <c r="BE83" i="2"/>
  <c r="BH83" i="2"/>
  <c r="CN83" i="2"/>
  <c r="CK83" i="2" s="1"/>
  <c r="BQ72" i="2"/>
  <c r="BR72" i="2" s="1"/>
  <c r="BI72" i="2"/>
  <c r="BP72" i="2"/>
  <c r="BH72" i="2"/>
  <c r="BO72" i="2"/>
  <c r="BG72" i="2"/>
  <c r="FN72" i="2"/>
  <c r="CN72" i="2"/>
  <c r="CK72" i="2" s="1"/>
  <c r="BN72" i="2"/>
  <c r="BF72" i="2"/>
  <c r="BM72" i="2"/>
  <c r="BE72" i="2"/>
  <c r="FK72" i="2"/>
  <c r="ED72" i="2"/>
  <c r="BJ72" i="2"/>
  <c r="EF72" i="2"/>
  <c r="CL72" i="2"/>
  <c r="CI72" i="2" s="1"/>
  <c r="BL72" i="2"/>
  <c r="BK72" i="2"/>
  <c r="BD72" i="2"/>
  <c r="CE72" i="2"/>
  <c r="BC72" i="2"/>
  <c r="BS72" i="2"/>
  <c r="BT72" i="2"/>
  <c r="CM72" i="2"/>
  <c r="CJ72" i="2" s="1"/>
  <c r="BQ107" i="2"/>
  <c r="BR107" i="2" s="1"/>
  <c r="BI107" i="2"/>
  <c r="BO107" i="2"/>
  <c r="BG107" i="2"/>
  <c r="FN107" i="2"/>
  <c r="CN107" i="2"/>
  <c r="CK107" i="2" s="1"/>
  <c r="BN107" i="2"/>
  <c r="BF107" i="2"/>
  <c r="CM107" i="2"/>
  <c r="CJ107" i="2" s="1"/>
  <c r="BM107" i="2"/>
  <c r="BE107" i="2"/>
  <c r="EF107" i="2"/>
  <c r="CL107" i="2"/>
  <c r="CI107" i="2" s="1"/>
  <c r="BT107" i="2"/>
  <c r="BL107" i="2"/>
  <c r="BD107" i="2"/>
  <c r="BK107" i="2"/>
  <c r="BJ107" i="2"/>
  <c r="BH107" i="2"/>
  <c r="BC107" i="2"/>
  <c r="FK107" i="2"/>
  <c r="ED107" i="2"/>
  <c r="BS107" i="2"/>
  <c r="CE107" i="2"/>
  <c r="BP107" i="2"/>
  <c r="FK97" i="2"/>
  <c r="ED97" i="2"/>
  <c r="BJ97" i="2"/>
  <c r="BQ97" i="2"/>
  <c r="BR97" i="2" s="1"/>
  <c r="BI97" i="2"/>
  <c r="BP97" i="2"/>
  <c r="BH97" i="2"/>
  <c r="BO97" i="2"/>
  <c r="BG97" i="2"/>
  <c r="FN97" i="2"/>
  <c r="CN97" i="2"/>
  <c r="CK97" i="2" s="1"/>
  <c r="BN97" i="2"/>
  <c r="BF97" i="2"/>
  <c r="CM97" i="2"/>
  <c r="CJ97" i="2" s="1"/>
  <c r="BM97" i="2"/>
  <c r="BE97" i="2"/>
  <c r="CE97" i="2"/>
  <c r="BS97" i="2"/>
  <c r="BK97" i="2"/>
  <c r="BC97" i="2"/>
  <c r="CL97" i="2"/>
  <c r="CI97" i="2" s="1"/>
  <c r="EF97" i="2"/>
  <c r="BT97" i="2"/>
  <c r="BD97" i="2"/>
  <c r="BL97" i="2"/>
  <c r="BM113" i="2"/>
  <c r="BE113" i="2"/>
  <c r="EF113" i="2"/>
  <c r="CL113" i="2"/>
  <c r="CI113" i="2" s="1"/>
  <c r="BT113" i="2"/>
  <c r="BL113" i="2"/>
  <c r="BD113" i="2"/>
  <c r="CE113" i="2"/>
  <c r="BS113" i="2"/>
  <c r="BK113" i="2"/>
  <c r="BC113" i="2"/>
  <c r="FK113" i="2"/>
  <c r="ED113" i="2"/>
  <c r="BJ113" i="2"/>
  <c r="BQ113" i="2"/>
  <c r="BR113" i="2" s="1"/>
  <c r="BI113" i="2"/>
  <c r="BP113" i="2"/>
  <c r="BH113" i="2"/>
  <c r="FN113" i="2"/>
  <c r="CN113" i="2"/>
  <c r="CK113" i="2" s="1"/>
  <c r="BO113" i="2"/>
  <c r="BN113" i="2"/>
  <c r="BG113" i="2"/>
  <c r="BF113" i="2"/>
  <c r="CM113" i="2"/>
  <c r="CJ113" i="2" s="1"/>
  <c r="FN74" i="2"/>
  <c r="BN74" i="2"/>
  <c r="BF74" i="2"/>
  <c r="EF74" i="2"/>
  <c r="FK74" i="2"/>
  <c r="ED74" i="2"/>
  <c r="BI74" i="2"/>
  <c r="BQ74" i="2"/>
  <c r="BR74" i="2" s="1"/>
  <c r="BH74" i="2"/>
  <c r="CE74" i="2"/>
  <c r="BP74" i="2"/>
  <c r="BG74" i="2"/>
  <c r="CM74" i="2"/>
  <c r="CJ74" i="2" s="1"/>
  <c r="BO74" i="2"/>
  <c r="BE74" i="2"/>
  <c r="BM74" i="2"/>
  <c r="BD74" i="2"/>
  <c r="BS74" i="2"/>
  <c r="BJ74" i="2"/>
  <c r="BT74" i="2"/>
  <c r="BL74" i="2"/>
  <c r="BK74" i="2"/>
  <c r="BC74" i="2"/>
  <c r="CN74" i="2"/>
  <c r="CK74" i="2" s="1"/>
  <c r="CL74" i="2"/>
  <c r="CI74" i="2" s="1"/>
  <c r="EF75" i="2"/>
  <c r="CL75" i="2"/>
  <c r="CI75" i="2" s="1"/>
  <c r="BT75" i="2"/>
  <c r="BL75" i="2"/>
  <c r="BD75" i="2"/>
  <c r="CE75" i="2"/>
  <c r="BS75" i="2"/>
  <c r="BK75" i="2"/>
  <c r="BC75" i="2"/>
  <c r="BQ75" i="2"/>
  <c r="BR75" i="2" s="1"/>
  <c r="BI75" i="2"/>
  <c r="BO75" i="2"/>
  <c r="BG75" i="2"/>
  <c r="CM75" i="2"/>
  <c r="CJ75" i="2" s="1"/>
  <c r="BM75" i="2"/>
  <c r="BE75" i="2"/>
  <c r="FK75" i="2"/>
  <c r="ED75" i="2"/>
  <c r="BP75" i="2"/>
  <c r="BN75" i="2"/>
  <c r="BJ75" i="2"/>
  <c r="BH75" i="2"/>
  <c r="FN75" i="2"/>
  <c r="BF75" i="2"/>
  <c r="CN75" i="2"/>
  <c r="CK75" i="2" s="1"/>
  <c r="BQ58" i="2"/>
  <c r="BR58" i="2" s="1"/>
  <c r="BI58" i="2"/>
  <c r="BP58" i="2"/>
  <c r="BH58" i="2"/>
  <c r="BO58" i="2"/>
  <c r="BG58" i="2"/>
  <c r="FN58" i="2"/>
  <c r="CN58" i="2"/>
  <c r="CK58" i="2" s="1"/>
  <c r="BM58" i="2"/>
  <c r="BE58" i="2"/>
  <c r="EF58" i="2"/>
  <c r="BN58" i="2"/>
  <c r="BL58" i="2"/>
  <c r="FK58" i="2"/>
  <c r="ED58" i="2"/>
  <c r="BK58" i="2"/>
  <c r="CL58" i="2"/>
  <c r="CI58" i="2" s="1"/>
  <c r="BJ58" i="2"/>
  <c r="BF58" i="2"/>
  <c r="BT58" i="2"/>
  <c r="BD58" i="2"/>
  <c r="CE58" i="2"/>
  <c r="BS58" i="2"/>
  <c r="BC58" i="2"/>
  <c r="CM58" i="2"/>
  <c r="CJ58" i="2" s="1"/>
  <c r="BP67" i="2"/>
  <c r="BH67" i="2"/>
  <c r="BO67" i="2"/>
  <c r="BG67" i="2"/>
  <c r="FN67" i="2"/>
  <c r="CN67" i="2"/>
  <c r="CK67" i="2" s="1"/>
  <c r="CM67" i="2"/>
  <c r="CJ67" i="2" s="1"/>
  <c r="BM67" i="2"/>
  <c r="BE67" i="2"/>
  <c r="EF67" i="2"/>
  <c r="CL67" i="2"/>
  <c r="CI67" i="2" s="1"/>
  <c r="BT67" i="2"/>
  <c r="BL67" i="2"/>
  <c r="BD67" i="2"/>
  <c r="BQ67" i="2"/>
  <c r="BR67" i="2" s="1"/>
  <c r="BI67" i="2"/>
  <c r="FK67" i="2"/>
  <c r="ED67" i="2"/>
  <c r="CE67" i="2"/>
  <c r="BN67" i="2"/>
  <c r="BK67" i="2"/>
  <c r="BJ67" i="2"/>
  <c r="BF67" i="2"/>
  <c r="BS67" i="2"/>
  <c r="EF71" i="2"/>
  <c r="BT71" i="2"/>
  <c r="BL71" i="2"/>
  <c r="BD71" i="2"/>
  <c r="CE71" i="2"/>
  <c r="BS71" i="2"/>
  <c r="BK71" i="2"/>
  <c r="FK71" i="2"/>
  <c r="ED71" i="2"/>
  <c r="BJ71" i="2"/>
  <c r="BQ71" i="2"/>
  <c r="BR71" i="2" s="1"/>
  <c r="BI71" i="2"/>
  <c r="BP71" i="2"/>
  <c r="BH71" i="2"/>
  <c r="BM71" i="2"/>
  <c r="BE71" i="2"/>
  <c r="BO71" i="2"/>
  <c r="FN71" i="2"/>
  <c r="CN71" i="2"/>
  <c r="CK71" i="2" s="1"/>
  <c r="BN71" i="2"/>
  <c r="BG71" i="2"/>
  <c r="BF71" i="2"/>
  <c r="CM71" i="2"/>
  <c r="CJ71" i="2" s="1"/>
  <c r="CL71" i="2"/>
  <c r="CI71" i="2" s="1"/>
  <c r="BO88" i="2"/>
  <c r="BG88" i="2"/>
  <c r="FN88" i="2"/>
  <c r="BN88" i="2"/>
  <c r="BF88" i="2"/>
  <c r="BM88" i="2"/>
  <c r="BE88" i="2"/>
  <c r="EF88" i="2"/>
  <c r="BT88" i="2"/>
  <c r="BL88" i="2"/>
  <c r="BD88" i="2"/>
  <c r="FK88" i="2"/>
  <c r="ED88" i="2"/>
  <c r="BJ88" i="2"/>
  <c r="BP88" i="2"/>
  <c r="BH88" i="2"/>
  <c r="BS88" i="2"/>
  <c r="BQ88" i="2"/>
  <c r="BR88" i="2" s="1"/>
  <c r="BK88" i="2"/>
  <c r="CE88" i="2"/>
  <c r="BC88" i="2"/>
  <c r="BI88" i="2"/>
  <c r="CN88" i="2"/>
  <c r="CK88" i="2" s="1"/>
  <c r="CM88" i="2"/>
  <c r="CJ88" i="2" s="1"/>
  <c r="CL88" i="2"/>
  <c r="CI88" i="2" s="1"/>
  <c r="EF44" i="2"/>
  <c r="BT44" i="2"/>
  <c r="BL44" i="2"/>
  <c r="BD44" i="2"/>
  <c r="CE44" i="2"/>
  <c r="BS44" i="2"/>
  <c r="BK44" i="2"/>
  <c r="FK44" i="2"/>
  <c r="ED44" i="2"/>
  <c r="BJ44" i="2"/>
  <c r="BI44" i="2"/>
  <c r="BH44" i="2"/>
  <c r="BQ44" i="2"/>
  <c r="BR44" i="2" s="1"/>
  <c r="BG44" i="2"/>
  <c r="BP44" i="2"/>
  <c r="BF44" i="2"/>
  <c r="FN44" i="2"/>
  <c r="BO44" i="2"/>
  <c r="BE44" i="2"/>
  <c r="BN44" i="2"/>
  <c r="CN44" i="2"/>
  <c r="CK44" i="2" s="1"/>
  <c r="BM44" i="2"/>
  <c r="CL44" i="2"/>
  <c r="CI44" i="2" s="1"/>
  <c r="CM44" i="2"/>
  <c r="CJ44" i="2" s="1"/>
  <c r="CE66" i="2"/>
  <c r="BS66" i="2"/>
  <c r="BK66" i="2"/>
  <c r="BO66" i="2"/>
  <c r="BG66" i="2"/>
  <c r="EF66" i="2"/>
  <c r="BT66" i="2"/>
  <c r="BL66" i="2"/>
  <c r="BD66" i="2"/>
  <c r="BH66" i="2"/>
  <c r="BF66" i="2"/>
  <c r="BQ66" i="2"/>
  <c r="BR66" i="2" s="1"/>
  <c r="BE66" i="2"/>
  <c r="BP66" i="2"/>
  <c r="FN66" i="2"/>
  <c r="ED66" i="2"/>
  <c r="BN66" i="2"/>
  <c r="BM66" i="2"/>
  <c r="BI66" i="2"/>
  <c r="FK66" i="2"/>
  <c r="BJ66" i="2"/>
  <c r="CL66" i="2"/>
  <c r="CI66" i="2" s="1"/>
  <c r="CM66" i="2"/>
  <c r="CJ66" i="2" s="1"/>
  <c r="CN66" i="2"/>
  <c r="CK66" i="2" s="1"/>
  <c r="CE78" i="2"/>
  <c r="BS78" i="2"/>
  <c r="BK78" i="2"/>
  <c r="FK78" i="2"/>
  <c r="ED78" i="2"/>
  <c r="BJ78" i="2"/>
  <c r="BQ78" i="2"/>
  <c r="BR78" i="2" s="1"/>
  <c r="BI78" i="2"/>
  <c r="BP78" i="2"/>
  <c r="BH78" i="2"/>
  <c r="BO78" i="2"/>
  <c r="BG78" i="2"/>
  <c r="FN78" i="2"/>
  <c r="BN78" i="2"/>
  <c r="BF78" i="2"/>
  <c r="EF78" i="2"/>
  <c r="CL78" i="2"/>
  <c r="CI78" i="2" s="1"/>
  <c r="BT78" i="2"/>
  <c r="BC78" i="2" s="1"/>
  <c r="EH78" i="2" s="1"/>
  <c r="BL78" i="2"/>
  <c r="BD78" i="2"/>
  <c r="BM78" i="2"/>
  <c r="BE78" i="2"/>
  <c r="CM78" i="2"/>
  <c r="CJ78" i="2" s="1"/>
  <c r="CN78" i="2"/>
  <c r="CK78" i="2" s="1"/>
  <c r="BN73" i="2"/>
  <c r="BF73" i="2"/>
  <c r="FK73" i="2"/>
  <c r="BM73" i="2"/>
  <c r="BE73" i="2"/>
  <c r="BT73" i="2"/>
  <c r="BL73" i="2"/>
  <c r="BD73" i="2"/>
  <c r="CE73" i="2"/>
  <c r="BS73" i="2"/>
  <c r="BK73" i="2"/>
  <c r="BJ73" i="2"/>
  <c r="ED73" i="2"/>
  <c r="BO73" i="2"/>
  <c r="BG73" i="2"/>
  <c r="BH73" i="2"/>
  <c r="FN73" i="2"/>
  <c r="EF73" i="2"/>
  <c r="BQ73" i="2"/>
  <c r="BR73" i="2" s="1"/>
  <c r="BI73" i="2"/>
  <c r="BP73" i="2"/>
  <c r="CM73" i="2"/>
  <c r="CJ73" i="2" s="1"/>
  <c r="CN73" i="2"/>
  <c r="CK73" i="2" s="1"/>
  <c r="CL73" i="2"/>
  <c r="CI73" i="2" s="1"/>
  <c r="CE109" i="2"/>
  <c r="BS109" i="2"/>
  <c r="BK109" i="2"/>
  <c r="FK109" i="2"/>
  <c r="ED109" i="2"/>
  <c r="BJ109" i="2"/>
  <c r="BQ109" i="2"/>
  <c r="BR109" i="2" s="1"/>
  <c r="BI109" i="2"/>
  <c r="BP109" i="2"/>
  <c r="BH109" i="2"/>
  <c r="BO109" i="2"/>
  <c r="BG109" i="2"/>
  <c r="FN109" i="2"/>
  <c r="BN109" i="2"/>
  <c r="BF109" i="2"/>
  <c r="BT109" i="2"/>
  <c r="BC109" i="2" s="1"/>
  <c r="EH109" i="2" s="1"/>
  <c r="CM109" i="2"/>
  <c r="CJ109" i="2" s="1"/>
  <c r="BM109" i="2"/>
  <c r="EF109" i="2"/>
  <c r="CL109" i="2"/>
  <c r="CI109" i="2" s="1"/>
  <c r="BL109" i="2"/>
  <c r="BE109" i="2"/>
  <c r="BD109" i="2"/>
  <c r="CN109" i="2"/>
  <c r="CK109" i="2" s="1"/>
  <c r="BP79" i="2"/>
  <c r="BH79" i="2"/>
  <c r="BO79" i="2"/>
  <c r="BG79" i="2"/>
  <c r="FN79" i="2"/>
  <c r="BN79" i="2"/>
  <c r="BF79" i="2"/>
  <c r="BM79" i="2"/>
  <c r="BE79" i="2"/>
  <c r="EF79" i="2"/>
  <c r="CL79" i="2"/>
  <c r="CI79" i="2" s="1"/>
  <c r="BT79" i="2"/>
  <c r="BL79" i="2"/>
  <c r="BD79" i="2"/>
  <c r="CE79" i="2"/>
  <c r="BS79" i="2"/>
  <c r="BK79" i="2"/>
  <c r="BQ79" i="2"/>
  <c r="BR79" i="2" s="1"/>
  <c r="BI79" i="2"/>
  <c r="FK79" i="2"/>
  <c r="BJ79" i="2"/>
  <c r="ED79" i="2"/>
  <c r="CN79" i="2"/>
  <c r="CK79" i="2" s="1"/>
  <c r="CM79" i="2"/>
  <c r="CJ79" i="2" s="1"/>
  <c r="BQ45" i="2"/>
  <c r="BR45" i="2" s="1"/>
  <c r="BI45" i="2"/>
  <c r="BP45" i="2"/>
  <c r="BH45" i="2"/>
  <c r="BO45" i="2"/>
  <c r="BG45" i="2"/>
  <c r="BL45" i="2"/>
  <c r="BK45" i="2"/>
  <c r="CN45" i="2"/>
  <c r="CK45" i="2" s="1"/>
  <c r="CE45" i="2"/>
  <c r="BJ45" i="2"/>
  <c r="CM45" i="2"/>
  <c r="CJ45" i="2" s="1"/>
  <c r="BT45" i="2"/>
  <c r="BF45" i="2"/>
  <c r="FN45" i="2"/>
  <c r="CL45" i="2"/>
  <c r="CI45" i="2" s="1"/>
  <c r="BS45" i="2"/>
  <c r="BE45" i="2"/>
  <c r="EF45" i="2"/>
  <c r="BD45" i="2"/>
  <c r="BC45" i="2"/>
  <c r="FK45" i="2"/>
  <c r="BN45" i="2"/>
  <c r="ED45" i="2"/>
  <c r="BM45" i="2"/>
  <c r="BM68" i="2"/>
  <c r="BE68" i="2"/>
  <c r="EF68" i="2"/>
  <c r="CL68" i="2"/>
  <c r="CI68" i="2" s="1"/>
  <c r="BT68" i="2"/>
  <c r="BL68" i="2"/>
  <c r="BD68" i="2"/>
  <c r="CE68" i="2"/>
  <c r="BS68" i="2"/>
  <c r="BK68" i="2"/>
  <c r="BC68" i="2"/>
  <c r="FK68" i="2"/>
  <c r="ED68" i="2"/>
  <c r="BJ68" i="2"/>
  <c r="BQ68" i="2"/>
  <c r="BR68" i="2" s="1"/>
  <c r="BI68" i="2"/>
  <c r="FN68" i="2"/>
  <c r="BN68" i="2"/>
  <c r="BF68" i="2"/>
  <c r="BG68" i="2"/>
  <c r="BP68" i="2"/>
  <c r="BH68" i="2"/>
  <c r="BO68" i="2"/>
  <c r="CM68" i="2"/>
  <c r="CJ68" i="2" s="1"/>
  <c r="CN68" i="2"/>
  <c r="CK68" i="2" s="1"/>
  <c r="FK87" i="2"/>
  <c r="ED87" i="2"/>
  <c r="BJ87" i="2"/>
  <c r="BQ87" i="2"/>
  <c r="BR87" i="2" s="1"/>
  <c r="BI87" i="2"/>
  <c r="BP87" i="2"/>
  <c r="BH87" i="2"/>
  <c r="BO87" i="2"/>
  <c r="BG87" i="2"/>
  <c r="BM87" i="2"/>
  <c r="BE87" i="2"/>
  <c r="CE87" i="2"/>
  <c r="BS87" i="2"/>
  <c r="BK87" i="2"/>
  <c r="EF87" i="2"/>
  <c r="BT87" i="2"/>
  <c r="CN87" i="2"/>
  <c r="CK87" i="2" s="1"/>
  <c r="BN87" i="2"/>
  <c r="CL87" i="2"/>
  <c r="CI87" i="2" s="1"/>
  <c r="BL87" i="2"/>
  <c r="FN87" i="2"/>
  <c r="BF87" i="2"/>
  <c r="BD87" i="2"/>
  <c r="CM87" i="2"/>
  <c r="CJ87" i="2" s="1"/>
  <c r="BP85" i="2"/>
  <c r="BH85" i="2"/>
  <c r="BO85" i="2"/>
  <c r="BG85" i="2"/>
  <c r="FN85" i="2"/>
  <c r="CN85" i="2"/>
  <c r="CK85" i="2" s="1"/>
  <c r="BM85" i="2"/>
  <c r="BE85" i="2"/>
  <c r="CE85" i="2"/>
  <c r="BS85" i="2"/>
  <c r="BK85" i="2"/>
  <c r="BQ85" i="2"/>
  <c r="BR85" i="2" s="1"/>
  <c r="BI85" i="2"/>
  <c r="BD85" i="2"/>
  <c r="CL85" i="2"/>
  <c r="CI85" i="2" s="1"/>
  <c r="BT85" i="2"/>
  <c r="BN85" i="2"/>
  <c r="BL85" i="2"/>
  <c r="ED85" i="2"/>
  <c r="BF85" i="2"/>
  <c r="FK85" i="2"/>
  <c r="BJ85" i="2"/>
  <c r="EF85" i="2"/>
  <c r="CM85" i="2"/>
  <c r="CJ85" i="2" s="1"/>
  <c r="BQ37" i="2"/>
  <c r="BR37" i="2" s="1"/>
  <c r="BI37" i="2"/>
  <c r="BP37" i="2"/>
  <c r="BH37" i="2"/>
  <c r="FN37" i="2"/>
  <c r="CN37" i="2"/>
  <c r="CK37" i="2" s="1"/>
  <c r="BN37" i="2"/>
  <c r="BF37" i="2"/>
  <c r="EF37" i="2"/>
  <c r="CL37" i="2"/>
  <c r="CI37" i="2" s="1"/>
  <c r="BT37" i="2"/>
  <c r="BL37" i="2"/>
  <c r="BD37" i="2"/>
  <c r="ED37" i="2"/>
  <c r="BG37" i="2"/>
  <c r="BE37" i="2"/>
  <c r="FK37" i="2"/>
  <c r="CE37" i="2"/>
  <c r="BS37" i="2"/>
  <c r="BC37" i="2"/>
  <c r="CM37" i="2"/>
  <c r="CJ37" i="2" s="1"/>
  <c r="BM37" i="2"/>
  <c r="BK37" i="2"/>
  <c r="BJ37" i="2"/>
  <c r="BO37" i="2"/>
  <c r="FK51" i="2"/>
  <c r="ED51" i="2"/>
  <c r="BQ51" i="2"/>
  <c r="BR51" i="2" s="1"/>
  <c r="BI51" i="2"/>
  <c r="BP51" i="2"/>
  <c r="BH51" i="2"/>
  <c r="BO51" i="2"/>
  <c r="BG51" i="2"/>
  <c r="FN51" i="2"/>
  <c r="CN51" i="2"/>
  <c r="CK51" i="2" s="1"/>
  <c r="BN51" i="2"/>
  <c r="BF51" i="2"/>
  <c r="CM51" i="2"/>
  <c r="CJ51" i="2" s="1"/>
  <c r="BM51" i="2"/>
  <c r="BE51" i="2"/>
  <c r="CE51" i="2"/>
  <c r="BS51" i="2"/>
  <c r="BK51" i="2"/>
  <c r="BD51" i="2"/>
  <c r="CL51" i="2"/>
  <c r="CI51" i="2" s="1"/>
  <c r="BL51" i="2"/>
  <c r="EF51" i="2"/>
  <c r="BJ51" i="2"/>
  <c r="BT51" i="2"/>
  <c r="BC51" i="2" s="1"/>
  <c r="EH51" i="2" s="1"/>
  <c r="BO43" i="2"/>
  <c r="FN43" i="2"/>
  <c r="FK43" i="2"/>
  <c r="EF43" i="2"/>
  <c r="BP43" i="2"/>
  <c r="BG43" i="2"/>
  <c r="BN43" i="2"/>
  <c r="BF43" i="2"/>
  <c r="ED43" i="2"/>
  <c r="BM43" i="2"/>
  <c r="BE43" i="2"/>
  <c r="BL43" i="2"/>
  <c r="BD43" i="2"/>
  <c r="BT43" i="2"/>
  <c r="BK43" i="2"/>
  <c r="BS43" i="2"/>
  <c r="BJ43" i="2"/>
  <c r="CM43" i="2"/>
  <c r="CJ43" i="2" s="1"/>
  <c r="BI43" i="2"/>
  <c r="BH43" i="2"/>
  <c r="CE43" i="2"/>
  <c r="BQ43" i="2"/>
  <c r="BR43" i="2" s="1"/>
  <c r="CL43" i="2"/>
  <c r="CI43" i="2" s="1"/>
  <c r="CN43" i="2"/>
  <c r="CK43" i="2" s="1"/>
  <c r="BM33" i="2"/>
  <c r="BE33" i="2"/>
  <c r="EF33" i="2"/>
  <c r="BT33" i="2"/>
  <c r="BL33" i="2"/>
  <c r="BD33" i="2"/>
  <c r="BQ33" i="2"/>
  <c r="BR33" i="2" s="1"/>
  <c r="BG33" i="2"/>
  <c r="BP33" i="2"/>
  <c r="BF33" i="2"/>
  <c r="FN33" i="2"/>
  <c r="BN33" i="2"/>
  <c r="CE33" i="2"/>
  <c r="BO33" i="2"/>
  <c r="FK33" i="2"/>
  <c r="BJ33" i="2"/>
  <c r="ED33" i="2"/>
  <c r="BS33" i="2"/>
  <c r="BI33" i="2"/>
  <c r="BH33" i="2"/>
  <c r="BK33" i="2"/>
  <c r="CM33" i="2"/>
  <c r="CJ33" i="2" s="1"/>
  <c r="CL33" i="2"/>
  <c r="CI33" i="2" s="1"/>
  <c r="CN33" i="2"/>
  <c r="CK33" i="2" s="1"/>
  <c r="BM96" i="2"/>
  <c r="BE96" i="2"/>
  <c r="EF96" i="2"/>
  <c r="BT96" i="2"/>
  <c r="BL96" i="2"/>
  <c r="BD96" i="2"/>
  <c r="CE96" i="2"/>
  <c r="BS96" i="2"/>
  <c r="BK96" i="2"/>
  <c r="FK96" i="2"/>
  <c r="ED96" i="2"/>
  <c r="BJ96" i="2"/>
  <c r="BQ96" i="2"/>
  <c r="BR96" i="2" s="1"/>
  <c r="BI96" i="2"/>
  <c r="BP96" i="2"/>
  <c r="BH96" i="2"/>
  <c r="FN96" i="2"/>
  <c r="CN96" i="2"/>
  <c r="CK96" i="2" s="1"/>
  <c r="BN96" i="2"/>
  <c r="BF96" i="2"/>
  <c r="BO96" i="2"/>
  <c r="BG96" i="2"/>
  <c r="CM96" i="2"/>
  <c r="CJ96" i="2" s="1"/>
  <c r="CL96" i="2"/>
  <c r="CI96" i="2" s="1"/>
  <c r="FN108" i="2"/>
  <c r="BN108" i="2"/>
  <c r="BF108" i="2"/>
  <c r="CM108" i="2"/>
  <c r="CJ108" i="2" s="1"/>
  <c r="BM108" i="2"/>
  <c r="BE108" i="2"/>
  <c r="EF108" i="2"/>
  <c r="CL108" i="2"/>
  <c r="CI108" i="2" s="1"/>
  <c r="BT108" i="2"/>
  <c r="BL108" i="2"/>
  <c r="BD108" i="2"/>
  <c r="CE108" i="2"/>
  <c r="BS108" i="2"/>
  <c r="BK108" i="2"/>
  <c r="BC108" i="2"/>
  <c r="FK108" i="2"/>
  <c r="ED108" i="2"/>
  <c r="BJ108" i="2"/>
  <c r="BQ108" i="2"/>
  <c r="BR108" i="2" s="1"/>
  <c r="BI108" i="2"/>
  <c r="BP108" i="2"/>
  <c r="BO108" i="2"/>
  <c r="BH108" i="2"/>
  <c r="BG108" i="2"/>
  <c r="CN108" i="2"/>
  <c r="CK108" i="2" s="1"/>
  <c r="FN55" i="2"/>
  <c r="BN55" i="2"/>
  <c r="BF55" i="2"/>
  <c r="BM55" i="2"/>
  <c r="BE55" i="2"/>
  <c r="EF55" i="2"/>
  <c r="CL55" i="2"/>
  <c r="CI55" i="2" s="1"/>
  <c r="BT55" i="2"/>
  <c r="BL55" i="2"/>
  <c r="BD55" i="2"/>
  <c r="CE55" i="2"/>
  <c r="BS55" i="2"/>
  <c r="BK55" i="2"/>
  <c r="BC55" i="2"/>
  <c r="FK55" i="2"/>
  <c r="ED55" i="2"/>
  <c r="BJ55" i="2"/>
  <c r="BQ55" i="2"/>
  <c r="BR55" i="2" s="1"/>
  <c r="BI55" i="2"/>
  <c r="BO55" i="2"/>
  <c r="BG55" i="2"/>
  <c r="BP55" i="2"/>
  <c r="BH55" i="2"/>
  <c r="CM55" i="2"/>
  <c r="CJ55" i="2" s="1"/>
  <c r="CN55" i="2"/>
  <c r="CK55" i="2" s="1"/>
  <c r="BO104" i="2"/>
  <c r="BO25" i="2" s="1"/>
  <c r="BO27" i="2" s="1"/>
  <c r="BG104" i="2"/>
  <c r="FN104" i="2"/>
  <c r="BN104" i="2"/>
  <c r="BF104" i="2"/>
  <c r="BM104" i="2"/>
  <c r="BE104" i="2"/>
  <c r="EF104" i="2"/>
  <c r="BT104" i="2"/>
  <c r="BL104" i="2"/>
  <c r="BD104" i="2"/>
  <c r="CE104" i="2"/>
  <c r="BS104" i="2"/>
  <c r="BK104" i="2"/>
  <c r="FK104" i="2"/>
  <c r="ED104" i="2"/>
  <c r="BJ104" i="2"/>
  <c r="BP104" i="2"/>
  <c r="BH104" i="2"/>
  <c r="BI104" i="2"/>
  <c r="BQ104" i="2"/>
  <c r="BR104" i="2" s="1"/>
  <c r="CL104" i="2"/>
  <c r="CI104" i="2" s="1"/>
  <c r="CN104" i="2"/>
  <c r="CK104" i="2" s="1"/>
  <c r="CM104" i="2"/>
  <c r="CJ104" i="2" s="1"/>
  <c r="EF89" i="2"/>
  <c r="CL89" i="2"/>
  <c r="CI89" i="2" s="1"/>
  <c r="BT89" i="2"/>
  <c r="BL89" i="2"/>
  <c r="BD89" i="2"/>
  <c r="CE89" i="2"/>
  <c r="BS89" i="2"/>
  <c r="BK89" i="2"/>
  <c r="BK25" i="2" s="1"/>
  <c r="BK27" i="2" s="1"/>
  <c r="FK89" i="2"/>
  <c r="ED89" i="2"/>
  <c r="BJ89" i="2"/>
  <c r="BQ89" i="2"/>
  <c r="BR89" i="2" s="1"/>
  <c r="BI89" i="2"/>
  <c r="BO89" i="2"/>
  <c r="BG89" i="2"/>
  <c r="BM89" i="2"/>
  <c r="BE89" i="2"/>
  <c r="BP89" i="2"/>
  <c r="CN89" i="2"/>
  <c r="CK89" i="2" s="1"/>
  <c r="BN89" i="2"/>
  <c r="BH89" i="2"/>
  <c r="BF89" i="2"/>
  <c r="FN89" i="2"/>
  <c r="CM89" i="2"/>
  <c r="CJ89" i="2" s="1"/>
  <c r="FN77" i="2"/>
  <c r="CN77" i="2"/>
  <c r="CK77" i="2" s="1"/>
  <c r="BN77" i="2"/>
  <c r="BF77" i="2"/>
  <c r="CM77" i="2"/>
  <c r="CJ77" i="2" s="1"/>
  <c r="BM77" i="2"/>
  <c r="BE77" i="2"/>
  <c r="EF77" i="2"/>
  <c r="CE77" i="2"/>
  <c r="BS77" i="2"/>
  <c r="BK77" i="2"/>
  <c r="FK77" i="2"/>
  <c r="ED77" i="2"/>
  <c r="BJ77" i="2"/>
  <c r="BQ77" i="2"/>
  <c r="BR77" i="2" s="1"/>
  <c r="BI77" i="2"/>
  <c r="BO77" i="2"/>
  <c r="BG77" i="2"/>
  <c r="BT77" i="2"/>
  <c r="BP77" i="2"/>
  <c r="BD77" i="2"/>
  <c r="BH77" i="2"/>
  <c r="CL77" i="2"/>
  <c r="CI77" i="2" s="1"/>
  <c r="BL77" i="2"/>
  <c r="CE84" i="2"/>
  <c r="BS84" i="2"/>
  <c r="BK84" i="2"/>
  <c r="FK84" i="2"/>
  <c r="ED84" i="2"/>
  <c r="BP84" i="2"/>
  <c r="BH84" i="2"/>
  <c r="FN84" i="2"/>
  <c r="BN84" i="2"/>
  <c r="BF84" i="2"/>
  <c r="EF84" i="2"/>
  <c r="BT84" i="2"/>
  <c r="BL84" i="2"/>
  <c r="BD84" i="2"/>
  <c r="BG84" i="2"/>
  <c r="BE84" i="2"/>
  <c r="BQ84" i="2"/>
  <c r="BR84" i="2" s="1"/>
  <c r="BO84" i="2"/>
  <c r="BM84" i="2"/>
  <c r="BI84" i="2"/>
  <c r="BJ84" i="2"/>
  <c r="CM84" i="2"/>
  <c r="CJ84" i="2" s="1"/>
  <c r="CN84" i="2"/>
  <c r="CK84" i="2" s="1"/>
  <c r="CL84" i="2"/>
  <c r="CI84" i="2" s="1"/>
  <c r="EF53" i="2"/>
  <c r="CL53" i="2"/>
  <c r="CI53" i="2" s="1"/>
  <c r="BT53" i="2"/>
  <c r="BL53" i="2"/>
  <c r="BD53" i="2"/>
  <c r="CE53" i="2"/>
  <c r="BS53" i="2"/>
  <c r="BK53" i="2"/>
  <c r="BC53" i="2"/>
  <c r="FK53" i="2"/>
  <c r="ED53" i="2"/>
  <c r="BJ53" i="2"/>
  <c r="BQ53" i="2"/>
  <c r="BR53" i="2" s="1"/>
  <c r="BI53" i="2"/>
  <c r="BP53" i="2"/>
  <c r="BH53" i="2"/>
  <c r="BO53" i="2"/>
  <c r="BG53" i="2"/>
  <c r="CM53" i="2"/>
  <c r="CJ53" i="2" s="1"/>
  <c r="BM53" i="2"/>
  <c r="BE53" i="2"/>
  <c r="BN53" i="2"/>
  <c r="FN53" i="2"/>
  <c r="BF53" i="2"/>
  <c r="CN53" i="2"/>
  <c r="CK53" i="2" s="1"/>
  <c r="BM41" i="2"/>
  <c r="BE41" i="2"/>
  <c r="EF41" i="2"/>
  <c r="BT41" i="2"/>
  <c r="BC41" i="2" s="1"/>
  <c r="EH41" i="2" s="1"/>
  <c r="BL41" i="2"/>
  <c r="BD41" i="2"/>
  <c r="CE41" i="2"/>
  <c r="BS41" i="2"/>
  <c r="BK41" i="2"/>
  <c r="FK41" i="2"/>
  <c r="ED41" i="2"/>
  <c r="BJ41" i="2"/>
  <c r="BQ41" i="2"/>
  <c r="BR41" i="2" s="1"/>
  <c r="BI41" i="2"/>
  <c r="BP41" i="2"/>
  <c r="BH41" i="2"/>
  <c r="FN41" i="2"/>
  <c r="BO41" i="2"/>
  <c r="BG41" i="2"/>
  <c r="BF41" i="2"/>
  <c r="CN41" i="2"/>
  <c r="CK41" i="2" s="1"/>
  <c r="BN41" i="2"/>
  <c r="CM41" i="2"/>
  <c r="CJ41" i="2" s="1"/>
  <c r="CL41" i="2"/>
  <c r="CI41" i="2" s="1"/>
  <c r="BO35" i="2"/>
  <c r="BG35" i="2"/>
  <c r="FN35" i="2"/>
  <c r="BN35" i="2"/>
  <c r="BF35" i="2"/>
  <c r="EF35" i="2"/>
  <c r="FK35" i="2"/>
  <c r="ED35" i="2"/>
  <c r="CM35" i="2"/>
  <c r="CJ35" i="2" s="1"/>
  <c r="CE35" i="2"/>
  <c r="BM35" i="2"/>
  <c r="BT35" i="2"/>
  <c r="BL35" i="2"/>
  <c r="BK35" i="2"/>
  <c r="BJ35" i="2"/>
  <c r="BH35" i="2"/>
  <c r="BP35" i="2"/>
  <c r="BQ35" i="2"/>
  <c r="BR35" i="2" s="1"/>
  <c r="BE35" i="2"/>
  <c r="BD35" i="2"/>
  <c r="BS35" i="2"/>
  <c r="BI35" i="2"/>
  <c r="CL35" i="2"/>
  <c r="CI35" i="2" s="1"/>
  <c r="CN35" i="2"/>
  <c r="CK35" i="2" s="1"/>
  <c r="BP95" i="2"/>
  <c r="BH95" i="2"/>
  <c r="BO95" i="2"/>
  <c r="BG95" i="2"/>
  <c r="FN95" i="2"/>
  <c r="BN95" i="2"/>
  <c r="BF95" i="2"/>
  <c r="BM95" i="2"/>
  <c r="BE95" i="2"/>
  <c r="EF95" i="2"/>
  <c r="CE95" i="2"/>
  <c r="BS95" i="2"/>
  <c r="BK95" i="2"/>
  <c r="BQ95" i="2"/>
  <c r="BR95" i="2" s="1"/>
  <c r="BI95" i="2"/>
  <c r="FK95" i="2"/>
  <c r="BJ95" i="2"/>
  <c r="BD95" i="2"/>
  <c r="BT95" i="2"/>
  <c r="BC95" i="2" s="1"/>
  <c r="EH95" i="2" s="1"/>
  <c r="CL95" i="2"/>
  <c r="CI95" i="2" s="1"/>
  <c r="BL95" i="2"/>
  <c r="ED95" i="2"/>
  <c r="CN95" i="2"/>
  <c r="CK95" i="2" s="1"/>
  <c r="CM95" i="2"/>
  <c r="CJ95" i="2" s="1"/>
  <c r="BQ31" i="2"/>
  <c r="BI31" i="2"/>
  <c r="BP31" i="2"/>
  <c r="BH31" i="2"/>
  <c r="BO31" i="2"/>
  <c r="BG31" i="2"/>
  <c r="EF31" i="2"/>
  <c r="BT31" i="2"/>
  <c r="BL31" i="2"/>
  <c r="BL116" i="2" s="1"/>
  <c r="BL118" i="2" s="1"/>
  <c r="BL120" i="2" s="1"/>
  <c r="BL122" i="2" s="1"/>
  <c r="BL124" i="2" s="1"/>
  <c r="BL126" i="2" s="1"/>
  <c r="BL128" i="2" s="1"/>
  <c r="BD31" i="2"/>
  <c r="CE31" i="2"/>
  <c r="BS31" i="2"/>
  <c r="BK31" i="2"/>
  <c r="BK116" i="2" s="1"/>
  <c r="BK118" i="2" s="1"/>
  <c r="BK120" i="2" s="1"/>
  <c r="BK122" i="2" s="1"/>
  <c r="BK124" i="2" s="1"/>
  <c r="BK126" i="2" s="1"/>
  <c r="BK128" i="2" s="1"/>
  <c r="CM31" i="2"/>
  <c r="CJ31" i="2" s="1"/>
  <c r="CN31" i="2"/>
  <c r="CK31" i="2" s="1"/>
  <c r="FK31" i="2"/>
  <c r="ED31" i="2"/>
  <c r="BN31" i="2"/>
  <c r="BM31" i="2"/>
  <c r="BF31" i="2"/>
  <c r="FN31" i="2"/>
  <c r="BJ31" i="2"/>
  <c r="BE31" i="2"/>
  <c r="CL31" i="2"/>
  <c r="CI31" i="2" s="1"/>
  <c r="FK34" i="2"/>
  <c r="ED34" i="2"/>
  <c r="BJ34" i="2"/>
  <c r="BQ34" i="2"/>
  <c r="BR34" i="2" s="1"/>
  <c r="BI34" i="2"/>
  <c r="FN34" i="2"/>
  <c r="BS34" i="2"/>
  <c r="BG34" i="2"/>
  <c r="BG25" i="2" s="1"/>
  <c r="BG27" i="2" s="1"/>
  <c r="BP34" i="2"/>
  <c r="BF34" i="2"/>
  <c r="CN34" i="2"/>
  <c r="CK34" i="2" s="1"/>
  <c r="BD34" i="2"/>
  <c r="BD25" i="2" s="1"/>
  <c r="BD27" i="2" s="1"/>
  <c r="BO34" i="2"/>
  <c r="BE34" i="2"/>
  <c r="BN34" i="2"/>
  <c r="CL34" i="2"/>
  <c r="CI34" i="2" s="1"/>
  <c r="BL34" i="2"/>
  <c r="BT34" i="2"/>
  <c r="BC34" i="2" s="1"/>
  <c r="EH34" i="2" s="1"/>
  <c r="BH34" i="2"/>
  <c r="EF34" i="2"/>
  <c r="BK34" i="2"/>
  <c r="BM34" i="2"/>
  <c r="BM25" i="2" s="1"/>
  <c r="BM27" i="2" s="1"/>
  <c r="CM34" i="2"/>
  <c r="CJ34" i="2" s="1"/>
  <c r="CE34" i="2"/>
  <c r="BP61" i="2"/>
  <c r="BH61" i="2"/>
  <c r="BO61" i="2"/>
  <c r="BG61" i="2"/>
  <c r="FN61" i="2"/>
  <c r="BN61" i="2"/>
  <c r="BF61" i="2"/>
  <c r="BM61" i="2"/>
  <c r="BE61" i="2"/>
  <c r="EF61" i="2"/>
  <c r="BT61" i="2"/>
  <c r="BL61" i="2"/>
  <c r="BD61" i="2"/>
  <c r="CE61" i="2"/>
  <c r="BS61" i="2"/>
  <c r="BK61" i="2"/>
  <c r="BC61" i="2"/>
  <c r="BQ61" i="2"/>
  <c r="BR61" i="2" s="1"/>
  <c r="BJ61" i="2"/>
  <c r="BI61" i="2"/>
  <c r="FK61" i="2"/>
  <c r="ED61" i="2"/>
  <c r="CN61" i="2"/>
  <c r="CK61" i="2" s="1"/>
  <c r="CM61" i="2"/>
  <c r="CJ61" i="2" s="1"/>
  <c r="CL61" i="2"/>
  <c r="CI61" i="2" s="1"/>
  <c r="FN110" i="2"/>
  <c r="BP110" i="2"/>
  <c r="BH110" i="2"/>
  <c r="BO110" i="2"/>
  <c r="BG110" i="2"/>
  <c r="BN110" i="2"/>
  <c r="BF110" i="2"/>
  <c r="BM110" i="2"/>
  <c r="BE110" i="2"/>
  <c r="EF110" i="2"/>
  <c r="BT110" i="2"/>
  <c r="BL110" i="2"/>
  <c r="BD110" i="2"/>
  <c r="CE110" i="2"/>
  <c r="BS110" i="2"/>
  <c r="BK110" i="2"/>
  <c r="BC110" i="2"/>
  <c r="BQ110" i="2"/>
  <c r="BR110" i="2" s="1"/>
  <c r="BJ110" i="2"/>
  <c r="BI110" i="2"/>
  <c r="ED110" i="2"/>
  <c r="FK110" i="2"/>
  <c r="CN110" i="2"/>
  <c r="CK110" i="2" s="1"/>
  <c r="CL110" i="2"/>
  <c r="CI110" i="2" s="1"/>
  <c r="CM110" i="2"/>
  <c r="CJ110" i="2" s="1"/>
  <c r="BP112" i="2"/>
  <c r="BH112" i="2"/>
  <c r="BO112" i="2"/>
  <c r="BG112" i="2"/>
  <c r="FN112" i="2"/>
  <c r="BN112" i="2"/>
  <c r="BF112" i="2"/>
  <c r="BM112" i="2"/>
  <c r="BE112" i="2"/>
  <c r="EF112" i="2"/>
  <c r="BT112" i="2"/>
  <c r="BL112" i="2"/>
  <c r="BD112" i="2"/>
  <c r="CE112" i="2"/>
  <c r="BS112" i="2"/>
  <c r="BK112" i="2"/>
  <c r="BC112" i="2"/>
  <c r="BQ112" i="2"/>
  <c r="BR112" i="2" s="1"/>
  <c r="BJ112" i="2"/>
  <c r="BI112" i="2"/>
  <c r="BI25" i="2" s="1"/>
  <c r="BI27" i="2" s="1"/>
  <c r="FK112" i="2"/>
  <c r="ED112" i="2"/>
  <c r="CN112" i="2"/>
  <c r="CK112" i="2" s="1"/>
  <c r="CM112" i="2"/>
  <c r="CJ112" i="2" s="1"/>
  <c r="CL112" i="2"/>
  <c r="CI112" i="2" s="1"/>
  <c r="BH25" i="2"/>
  <c r="BH27" i="2" s="1"/>
  <c r="BN25" i="2"/>
  <c r="BN27" i="2" s="1"/>
  <c r="BP25" i="2"/>
  <c r="BP27" i="2" s="1"/>
  <c r="BJ25" i="2"/>
  <c r="BJ27" i="2" s="1"/>
  <c r="DH54" i="2" a="1"/>
  <c r="DE42" i="2" a="1"/>
  <c r="DH111" i="2" a="1"/>
  <c r="DH106" i="2" a="1"/>
  <c r="BY57" i="2" a="1"/>
  <c r="DH101" i="2" a="1"/>
  <c r="CF82" i="2" a="1"/>
  <c r="DH80" i="2" a="1"/>
  <c r="DH76" i="2" a="1"/>
  <c r="DE48" i="2" a="1"/>
  <c r="DH105" i="2" a="1"/>
  <c r="DH50" i="2" a="1"/>
  <c r="DE90" i="2" a="1"/>
  <c r="DH40" i="2" a="1"/>
  <c r="DH81" i="2" a="1"/>
  <c r="CF69" i="2" a="1"/>
  <c r="DH91" i="2" a="1"/>
  <c r="DH92" i="2" a="1"/>
  <c r="DE38" i="2" a="1"/>
  <c r="DE63" i="2" a="1"/>
  <c r="CF83" i="2" a="1"/>
  <c r="DE107" i="2" a="1"/>
  <c r="DH113" i="2" a="1"/>
  <c r="DH75" i="2" a="1"/>
  <c r="DE67" i="2" a="1"/>
  <c r="DE79" i="2" a="1"/>
  <c r="DH45" i="2" a="1"/>
  <c r="DH68" i="2" a="1"/>
  <c r="DH33" i="2" a="1"/>
  <c r="DE84" i="2" a="1"/>
  <c r="DH53" i="2" a="1"/>
  <c r="BY35" i="2" a="1"/>
  <c r="DE31" i="2" a="1"/>
  <c r="DE61" i="2" a="1"/>
  <c r="BY110" i="2" a="1"/>
  <c r="DE112" i="2" a="1"/>
  <c r="DM94" i="2" a="1"/>
  <c r="DM56" i="2" a="1"/>
  <c r="DM102" i="2" a="1"/>
  <c r="DM50" i="2" a="1"/>
  <c r="DM52" i="2" a="1"/>
  <c r="DM90" i="2" a="1"/>
  <c r="DM114" i="2" a="1"/>
  <c r="DM45" i="2" a="1"/>
  <c r="DH94" i="2" a="1"/>
  <c r="DE54" i="2" a="1"/>
  <c r="BY42" i="2" a="1"/>
  <c r="DH42" i="2" a="1"/>
  <c r="DH56" i="2" a="1"/>
  <c r="BY86" i="2" a="1"/>
  <c r="DE101" i="2" a="1"/>
  <c r="DH59" i="2" a="1"/>
  <c r="BY62" i="2" a="1"/>
  <c r="DE80" i="2" a="1"/>
  <c r="CF102" i="2" a="1"/>
  <c r="DE76" i="2" a="1"/>
  <c r="BY48" i="2" a="1"/>
  <c r="DE105" i="2" a="1"/>
  <c r="DE50" i="2" a="1"/>
  <c r="DH52" i="2" a="1"/>
  <c r="BY40" i="2" a="1"/>
  <c r="DE81" i="2" a="1"/>
  <c r="DH47" i="2" a="1"/>
  <c r="DE32" i="2" a="1"/>
  <c r="DH32" i="2" a="1"/>
  <c r="BY69" i="2" a="1"/>
  <c r="DH93" i="2" a="1"/>
  <c r="DE91" i="2" a="1"/>
  <c r="DH64" i="2" a="1"/>
  <c r="DE92" i="2" a="1"/>
  <c r="BY38" i="2" a="1"/>
  <c r="BY63" i="2" a="1"/>
  <c r="BY83" i="2" a="1"/>
  <c r="BY72" i="2" a="1"/>
  <c r="DH72" i="2" a="1"/>
  <c r="CF107" i="2" a="1"/>
  <c r="BY97" i="2" a="1"/>
  <c r="DE113" i="2" a="1"/>
  <c r="DH74" i="2" a="1"/>
  <c r="DE75" i="2" a="1"/>
  <c r="DE58" i="2" a="1"/>
  <c r="CF67" i="2" a="1"/>
  <c r="BY71" i="2" a="1"/>
  <c r="BY88" i="2" a="1"/>
  <c r="BY44" i="2" a="1"/>
  <c r="DH78" i="2" a="1"/>
  <c r="DE109" i="2" a="1"/>
  <c r="CF79" i="2" a="1"/>
  <c r="BY45" i="2" a="1"/>
  <c r="DE68" i="2" a="1"/>
  <c r="BY87" i="2" a="1"/>
  <c r="DE85" i="2" a="1"/>
  <c r="BY37" i="2" a="1"/>
  <c r="DH43" i="2" a="1"/>
  <c r="BY43" i="2" a="1"/>
  <c r="DE33" i="2" a="1"/>
  <c r="BY96" i="2" a="1"/>
  <c r="DH55" i="2" a="1"/>
  <c r="BY89" i="2" a="1"/>
  <c r="CF84" i="2" a="1"/>
  <c r="DE53" i="2" a="1"/>
  <c r="BY41" i="2" a="1"/>
  <c r="BY95" i="2" a="1"/>
  <c r="CF31" i="2" a="1"/>
  <c r="BY34" i="2" a="1"/>
  <c r="CF34" i="2" a="1"/>
  <c r="CF61" i="2" a="1"/>
  <c r="CF112" i="2" a="1"/>
  <c r="DM46" i="2" a="1"/>
  <c r="DM82" i="2" a="1"/>
  <c r="DM32" i="2" a="1"/>
  <c r="DM69" i="2" a="1"/>
  <c r="DM92" i="2" a="1"/>
  <c r="DM103" i="2" a="1"/>
  <c r="DM68" i="2" a="1"/>
  <c r="DM51" i="2" a="1"/>
  <c r="DM35" i="2" a="1"/>
  <c r="DM95" i="2" a="1"/>
  <c r="DM34" i="2" a="1"/>
  <c r="BY94" i="2" a="1"/>
  <c r="DE94" i="2" a="1"/>
  <c r="CF54" i="2" a="1"/>
  <c r="BY111" i="2" a="1"/>
  <c r="BY56" i="2" a="1"/>
  <c r="DE56" i="2" a="1"/>
  <c r="DH57" i="2" a="1"/>
  <c r="CF57" i="2" a="1"/>
  <c r="BY100" i="2" a="1"/>
  <c r="CF101" i="2" a="1"/>
  <c r="BY82" i="2" a="1"/>
  <c r="DE59" i="2" a="1"/>
  <c r="CF80" i="2" a="1"/>
  <c r="CF76" i="2" a="1"/>
  <c r="CF105" i="2" a="1"/>
  <c r="DH49" i="2" a="1"/>
  <c r="CF50" i="2" a="1"/>
  <c r="DE52" i="2" a="1"/>
  <c r="CF98" i="2" a="1"/>
  <c r="BY98" i="2" a="1"/>
  <c r="BY114" i="2" a="1"/>
  <c r="BY81" i="2" a="1"/>
  <c r="BY47" i="2" a="1"/>
  <c r="DE39" i="2" a="1"/>
  <c r="DE93" i="2" a="1"/>
  <c r="CF91" i="2" a="1"/>
  <c r="BY91" i="2" a="1"/>
  <c r="DE64" i="2" a="1"/>
  <c r="CF92" i="2" a="1"/>
  <c r="DE103" i="2" a="1"/>
  <c r="CF113" i="2" a="1"/>
  <c r="DE74" i="2" a="1"/>
  <c r="CF75" i="2" a="1"/>
  <c r="BY78" i="2" a="1"/>
  <c r="DE78" i="2" a="1"/>
  <c r="BY73" i="2" a="1"/>
  <c r="BY109" i="2" a="1"/>
  <c r="CF68" i="2" a="1"/>
  <c r="DH87" i="2" a="1"/>
  <c r="CF33" i="2" a="1"/>
  <c r="BY108" i="2" a="1"/>
  <c r="DE55" i="2" a="1"/>
  <c r="BY104" i="2" a="1"/>
  <c r="BY77" i="2" a="1"/>
  <c r="BY84" i="2" a="1"/>
  <c r="CF53" i="2" a="1"/>
  <c r="DM47" i="2" a="1"/>
  <c r="DM107" i="2" a="1"/>
  <c r="DM78" i="2" a="1"/>
  <c r="DM109" i="2" a="1"/>
  <c r="DM37" i="2" a="1"/>
  <c r="DM89" i="2" a="1"/>
  <c r="CF94" i="2" a="1"/>
  <c r="DE111" i="2" a="1"/>
  <c r="DH60" i="2" a="1"/>
  <c r="CF56" i="2" a="1"/>
  <c r="DE106" i="2" a="1"/>
  <c r="DH100" i="2" a="1"/>
  <c r="BY36" i="2" a="1"/>
  <c r="CF59" i="2" a="1"/>
  <c r="CF48" i="2" a="1"/>
  <c r="CF49" i="2" a="1"/>
  <c r="BY49" i="2" a="1"/>
  <c r="CF52" i="2" a="1"/>
  <c r="DH90" i="2" a="1"/>
  <c r="DH98" i="2" a="1"/>
  <c r="CF40" i="2" a="1"/>
  <c r="DE47" i="2" a="1"/>
  <c r="DH69" i="2" a="1"/>
  <c r="CF93" i="2" a="1"/>
  <c r="BY93" i="2" a="1"/>
  <c r="CF64" i="2" a="1"/>
  <c r="CF38" i="2" a="1"/>
  <c r="CF63" i="2" a="1"/>
  <c r="DE72" i="2" a="1"/>
  <c r="BY107" i="2" a="1"/>
  <c r="CF74" i="2" a="1"/>
  <c r="BY75" i="2" a="1"/>
  <c r="DH66" i="2" a="1"/>
  <c r="CF78" i="2" a="1"/>
  <c r="CF109" i="2" a="1"/>
  <c r="CF87" i="2" a="1"/>
  <c r="BY85" i="2" a="1"/>
  <c r="CF55" i="2" a="1"/>
  <c r="DE95" i="2" a="1"/>
  <c r="DH110" i="2" a="1"/>
  <c r="DM86" i="2" a="1"/>
  <c r="DM49" i="2" a="1"/>
  <c r="DM98" i="2" a="1"/>
  <c r="DM93" i="2" a="1"/>
  <c r="DM38" i="2" a="1"/>
  <c r="DM63" i="2" a="1"/>
  <c r="DM72" i="2" a="1"/>
  <c r="DM113" i="2" a="1"/>
  <c r="DM74" i="2" a="1"/>
  <c r="DM75" i="2" a="1"/>
  <c r="DM61" i="2" a="1"/>
  <c r="DM41" i="2" a="1"/>
  <c r="BY54" i="2" a="1"/>
  <c r="BY106" i="2" a="1"/>
  <c r="CF106" i="2" a="1"/>
  <c r="DH86" i="2" a="1"/>
  <c r="DE100" i="2" a="1"/>
  <c r="DH36" i="2" a="1"/>
  <c r="DH62" i="2" a="1"/>
  <c r="DH102" i="2" a="1"/>
  <c r="DE102" i="2" a="1"/>
  <c r="BY76" i="2" a="1"/>
  <c r="BY50" i="2" a="1"/>
  <c r="DH65" i="2" a="1"/>
  <c r="DE65" i="2" a="1"/>
  <c r="CF114" i="2" a="1"/>
  <c r="BY32" i="2" a="1"/>
  <c r="DH38" i="2" a="1"/>
  <c r="BY58" i="2" a="1"/>
  <c r="DH71" i="2" a="1"/>
  <c r="DH44" i="2" a="1"/>
  <c r="DE66" i="2" a="1"/>
  <c r="CF85" i="2" a="1"/>
  <c r="DH37" i="2" a="1"/>
  <c r="DE51" i="2" a="1"/>
  <c r="CF43" i="2" a="1"/>
  <c r="BY33" i="2" a="1"/>
  <c r="DH96" i="2" a="1"/>
  <c r="DH89" i="2" a="1"/>
  <c r="DH41" i="2" a="1"/>
  <c r="BY31" i="2" a="1"/>
  <c r="DH34" i="2" a="1"/>
  <c r="DE110" i="2" a="1"/>
  <c r="BY112" i="2" a="1"/>
  <c r="DM57" i="2" a="1"/>
  <c r="DM59" i="2" a="1"/>
  <c r="DM62" i="2" a="1"/>
  <c r="DM65" i="2" a="1"/>
  <c r="DM81" i="2" a="1"/>
  <c r="DM97" i="2" a="1"/>
  <c r="DM77" i="2" a="1"/>
  <c r="DM110" i="2" a="1"/>
  <c r="CF42" i="2" a="1"/>
  <c r="DH46" i="2" a="1"/>
  <c r="BY46" i="2" a="1"/>
  <c r="DE60" i="2" a="1"/>
  <c r="DE86" i="2" a="1"/>
  <c r="CF100" i="2" a="1"/>
  <c r="BY101" i="2" a="1"/>
  <c r="DE36" i="2" a="1"/>
  <c r="DH70" i="2" a="1"/>
  <c r="DE62" i="2" a="1"/>
  <c r="BY80" i="2" a="1"/>
  <c r="BY105" i="2" a="1"/>
  <c r="DE49" i="2" a="1"/>
  <c r="CF90" i="2" a="1"/>
  <c r="CF65" i="2" a="1"/>
  <c r="DE40" i="2" a="1"/>
  <c r="DH99" i="2" a="1"/>
  <c r="CF32" i="2" a="1"/>
  <c r="DH39" i="2" a="1"/>
  <c r="BY103" i="2" a="1"/>
  <c r="DH63" i="2" a="1"/>
  <c r="DH97" i="2" a="1"/>
  <c r="BY113" i="2" a="1"/>
  <c r="BY74" i="2" a="1"/>
  <c r="DE71" i="2" a="1"/>
  <c r="DH88" i="2" a="1"/>
  <c r="DE44" i="2" a="1"/>
  <c r="CF66" i="2" a="1"/>
  <c r="DH73" i="2" a="1"/>
  <c r="BY68" i="2" a="1"/>
  <c r="DE37" i="2" a="1"/>
  <c r="BY51" i="2" a="1"/>
  <c r="DE96" i="2" a="1"/>
  <c r="DH108" i="2" a="1"/>
  <c r="DH104" i="2" a="1"/>
  <c r="DE89" i="2" a="1"/>
  <c r="DH77" i="2" a="1"/>
  <c r="BY53" i="2" a="1"/>
  <c r="DE41" i="2" a="1"/>
  <c r="DH35" i="2" a="1"/>
  <c r="CF95" i="2" a="1"/>
  <c r="BY61" i="2" a="1"/>
  <c r="CF110" i="2" a="1"/>
  <c r="DM54" i="2" a="1"/>
  <c r="DM111" i="2" a="1"/>
  <c r="DM36" i="2" a="1"/>
  <c r="DM80" i="2" a="1"/>
  <c r="DM48" i="2" a="1"/>
  <c r="DM40" i="2" a="1"/>
  <c r="DM39" i="2" a="1"/>
  <c r="DM58" i="2" a="1"/>
  <c r="DM71" i="2" a="1"/>
  <c r="DM88" i="2" a="1"/>
  <c r="DM108" i="2" a="1"/>
  <c r="DM55" i="2" a="1"/>
  <c r="DM53" i="2" a="1"/>
  <c r="DM112" i="2" a="1"/>
  <c r="DM31" i="2" a="1"/>
  <c r="DM104" i="2" a="1"/>
  <c r="DE46" i="2" a="1"/>
  <c r="CF111" i="2" a="1"/>
  <c r="BY60" i="2" a="1"/>
  <c r="CF60" i="2" a="1"/>
  <c r="CF86" i="2" a="1"/>
  <c r="CF36" i="2" a="1"/>
  <c r="DH82" i="2" a="1"/>
  <c r="BY59" i="2" a="1"/>
  <c r="DE70" i="2" a="1"/>
  <c r="CF62" i="2" a="1"/>
  <c r="DH48" i="2" a="1"/>
  <c r="BY52" i="2" a="1"/>
  <c r="DE98" i="2" a="1"/>
  <c r="BY65" i="2" a="1"/>
  <c r="DE114" i="2" a="1"/>
  <c r="BY99" i="2" a="1"/>
  <c r="DE99" i="2" a="1"/>
  <c r="DE69" i="2" a="1"/>
  <c r="BY39" i="2" a="1"/>
  <c r="CF39" i="2" a="1"/>
  <c r="BY64" i="2" a="1"/>
  <c r="BY92" i="2" a="1"/>
  <c r="CF103" i="2" a="1"/>
  <c r="CF72" i="2" a="1"/>
  <c r="DE97" i="2" a="1"/>
  <c r="CF58" i="2" a="1"/>
  <c r="CF71" i="2" a="1"/>
  <c r="DE88" i="2" a="1"/>
  <c r="CF44" i="2" a="1"/>
  <c r="DE73" i="2" a="1"/>
  <c r="BY79" i="2" a="1"/>
  <c r="DE45" i="2" a="1"/>
  <c r="CF37" i="2" a="1"/>
  <c r="CF51" i="2" a="1"/>
  <c r="DE43" i="2" a="1"/>
  <c r="CF96" i="2" a="1"/>
  <c r="DE108" i="2" a="1"/>
  <c r="BY55" i="2" a="1"/>
  <c r="DE104" i="2" a="1"/>
  <c r="CF89" i="2" a="1"/>
  <c r="DE77" i="2" a="1"/>
  <c r="CF41" i="2" a="1"/>
  <c r="DE35" i="2" a="1"/>
  <c r="DM60" i="2" a="1"/>
  <c r="DM101" i="2" a="1"/>
  <c r="DM105" i="2" a="1"/>
  <c r="DM99" i="2" a="1"/>
  <c r="DM91" i="2" a="1"/>
  <c r="DM64" i="2" a="1"/>
  <c r="DM67" i="2" a="1"/>
  <c r="DM66" i="2" a="1"/>
  <c r="DM73" i="2" a="1"/>
  <c r="DM79" i="2" a="1"/>
  <c r="DM87" i="2" a="1"/>
  <c r="DM33" i="2" a="1"/>
  <c r="DM84" i="2" a="1"/>
  <c r="CF46" i="2" a="1"/>
  <c r="DE57" i="2" a="1"/>
  <c r="DE82" i="2" a="1"/>
  <c r="CF70" i="2" a="1"/>
  <c r="BY70" i="2" a="1"/>
  <c r="BY102" i="2" a="1"/>
  <c r="BY90" i="2" a="1"/>
  <c r="DH114" i="2" a="1"/>
  <c r="CF81" i="2" a="1"/>
  <c r="CF99" i="2" a="1"/>
  <c r="CF47" i="2" a="1"/>
  <c r="DH103" i="2" a="1"/>
  <c r="DH83" i="2" a="1"/>
  <c r="DE83" i="2" a="1"/>
  <c r="DH107" i="2" a="1"/>
  <c r="CF97" i="2" a="1"/>
  <c r="DH58" i="2" a="1"/>
  <c r="DH67" i="2" a="1"/>
  <c r="BY67" i="2" a="1"/>
  <c r="CF88" i="2" a="1"/>
  <c r="BY66" i="2" a="1"/>
  <c r="CF73" i="2" a="1"/>
  <c r="DH109" i="2" a="1"/>
  <c r="DH79" i="2" a="1"/>
  <c r="CF45" i="2" a="1"/>
  <c r="DE87" i="2" a="1"/>
  <c r="DH85" i="2" a="1"/>
  <c r="DH51" i="2" a="1"/>
  <c r="CF108" i="2" a="1"/>
  <c r="CF104" i="2" a="1"/>
  <c r="CF77" i="2" a="1"/>
  <c r="DH84" i="2" a="1"/>
  <c r="CF35" i="2" a="1"/>
  <c r="DH95" i="2" a="1"/>
  <c r="DH31" i="2" a="1"/>
  <c r="DE34" i="2" a="1"/>
  <c r="DH61" i="2" a="1"/>
  <c r="DH112" i="2" a="1"/>
  <c r="DM42" i="2" a="1"/>
  <c r="DM106" i="2" a="1"/>
  <c r="DM100" i="2" a="1"/>
  <c r="DM70" i="2" a="1"/>
  <c r="DM76" i="2" a="1"/>
  <c r="DM83" i="2" a="1"/>
  <c r="DM44" i="2" a="1"/>
  <c r="DM85" i="2" a="1"/>
  <c r="DM43" i="2" a="1"/>
  <c r="DM96" i="2" a="1"/>
  <c r="DM96" i="2" l="1"/>
  <c r="DM43" i="2"/>
  <c r="DM85" i="2"/>
  <c r="DM44" i="2"/>
  <c r="DM83" i="2"/>
  <c r="DM76" i="2"/>
  <c r="DM70" i="2"/>
  <c r="DM100" i="2"/>
  <c r="DM106" i="2"/>
  <c r="DM42" i="2"/>
  <c r="DH112" i="2"/>
  <c r="DH61" i="2"/>
  <c r="DE34" i="2"/>
  <c r="EG34" i="2" s="1"/>
  <c r="DH31" i="2"/>
  <c r="DH95" i="2"/>
  <c r="CF35" i="2"/>
  <c r="DH84" i="2"/>
  <c r="CF77" i="2"/>
  <c r="CF104" i="2"/>
  <c r="CF108" i="2"/>
  <c r="DH51" i="2"/>
  <c r="DH85" i="2"/>
  <c r="DE87" i="2"/>
  <c r="CF45" i="2"/>
  <c r="DH79" i="2"/>
  <c r="DH109" i="2"/>
  <c r="CF73" i="2"/>
  <c r="BY66" i="2"/>
  <c r="CF88" i="2"/>
  <c r="BY67" i="2"/>
  <c r="DH67" i="2"/>
  <c r="DH58" i="2"/>
  <c r="CF97" i="2"/>
  <c r="DH107" i="2"/>
  <c r="DE83" i="2"/>
  <c r="EG83" i="2" s="1"/>
  <c r="DH83" i="2"/>
  <c r="DH103" i="2"/>
  <c r="CF47" i="2"/>
  <c r="CF99" i="2"/>
  <c r="CF81" i="2"/>
  <c r="DH114" i="2"/>
  <c r="BY90" i="2"/>
  <c r="BY102" i="2"/>
  <c r="BY70" i="2"/>
  <c r="CF70" i="2"/>
  <c r="DE82" i="2"/>
  <c r="DE57" i="2"/>
  <c r="CF46" i="2"/>
  <c r="DM84" i="2"/>
  <c r="DM33" i="2"/>
  <c r="DM87" i="2"/>
  <c r="DM79" i="2"/>
  <c r="DM73" i="2"/>
  <c r="DM66" i="2"/>
  <c r="DM67" i="2"/>
  <c r="DM64" i="2"/>
  <c r="DM91" i="2"/>
  <c r="DM99" i="2"/>
  <c r="DM105" i="2"/>
  <c r="DM101" i="2"/>
  <c r="DM60" i="2"/>
  <c r="DE35" i="2"/>
  <c r="EG35" i="2" s="1"/>
  <c r="CF41" i="2"/>
  <c r="DE77" i="2"/>
  <c r="CF89" i="2"/>
  <c r="DE104" i="2"/>
  <c r="EG104" i="2" s="1"/>
  <c r="BY55" i="2"/>
  <c r="DE108" i="2"/>
  <c r="CF96" i="2"/>
  <c r="DE43" i="2"/>
  <c r="CF51" i="2"/>
  <c r="CF37" i="2"/>
  <c r="DE45" i="2"/>
  <c r="BY79" i="2"/>
  <c r="DE73" i="2"/>
  <c r="EG73" i="2" s="1"/>
  <c r="CF44" i="2"/>
  <c r="DE88" i="2"/>
  <c r="EG88" i="2" s="1"/>
  <c r="CF71" i="2"/>
  <c r="CF58" i="2"/>
  <c r="DE97" i="2"/>
  <c r="CF72" i="2"/>
  <c r="CF103" i="2"/>
  <c r="BY92" i="2"/>
  <c r="BY64" i="2"/>
  <c r="CF39" i="2"/>
  <c r="BY39" i="2"/>
  <c r="DE69" i="2"/>
  <c r="DE99" i="2"/>
  <c r="BY99" i="2"/>
  <c r="DE114" i="2"/>
  <c r="BY65" i="2"/>
  <c r="DE98" i="2"/>
  <c r="BY52" i="2"/>
  <c r="DH48" i="2"/>
  <c r="CF62" i="2"/>
  <c r="DE70" i="2"/>
  <c r="BY59" i="2"/>
  <c r="DH82" i="2"/>
  <c r="CF36" i="2"/>
  <c r="CF86" i="2"/>
  <c r="CF60" i="2"/>
  <c r="BY60" i="2"/>
  <c r="CF111" i="2"/>
  <c r="DE46" i="2"/>
  <c r="DM104" i="2"/>
  <c r="DM31" i="2"/>
  <c r="DM112" i="2"/>
  <c r="DM53" i="2"/>
  <c r="DM55" i="2"/>
  <c r="DM108" i="2"/>
  <c r="DM88" i="2"/>
  <c r="DM71" i="2"/>
  <c r="DM58" i="2"/>
  <c r="DM39" i="2"/>
  <c r="DM40" i="2"/>
  <c r="DM48" i="2"/>
  <c r="DM80" i="2"/>
  <c r="DM36" i="2"/>
  <c r="DM111" i="2"/>
  <c r="DM54" i="2"/>
  <c r="CF110" i="2"/>
  <c r="BY61" i="2"/>
  <c r="CF95" i="2"/>
  <c r="DH35" i="2"/>
  <c r="DE41" i="2"/>
  <c r="EG41" i="2" s="1"/>
  <c r="BY53" i="2"/>
  <c r="DH77" i="2"/>
  <c r="DE89" i="2"/>
  <c r="DH104" i="2"/>
  <c r="DH108" i="2"/>
  <c r="DE96" i="2"/>
  <c r="EG96" i="2" s="1"/>
  <c r="BY51" i="2"/>
  <c r="DE37" i="2"/>
  <c r="BY68" i="2"/>
  <c r="DH73" i="2"/>
  <c r="CF66" i="2"/>
  <c r="DE44" i="2"/>
  <c r="EG44" i="2" s="1"/>
  <c r="DH88" i="2"/>
  <c r="DE71" i="2"/>
  <c r="EG71" i="2" s="1"/>
  <c r="BY74" i="2"/>
  <c r="BY113" i="2"/>
  <c r="DH97" i="2"/>
  <c r="DH63" i="2"/>
  <c r="BY103" i="2"/>
  <c r="DH39" i="2"/>
  <c r="CF32" i="2"/>
  <c r="DH99" i="2"/>
  <c r="DE40" i="2"/>
  <c r="CF65" i="2"/>
  <c r="CF90" i="2"/>
  <c r="DE49" i="2"/>
  <c r="EG49" i="2" s="1"/>
  <c r="BY105" i="2"/>
  <c r="BY80" i="2"/>
  <c r="DE62" i="2"/>
  <c r="EG62" i="2" s="1"/>
  <c r="DH70" i="2"/>
  <c r="DE36" i="2"/>
  <c r="BY101" i="2"/>
  <c r="CF100" i="2"/>
  <c r="DE86" i="2"/>
  <c r="DE60" i="2"/>
  <c r="BY46" i="2"/>
  <c r="DH46" i="2"/>
  <c r="CF42" i="2"/>
  <c r="DM110" i="2"/>
  <c r="DM77" i="2"/>
  <c r="DM97" i="2"/>
  <c r="DM81" i="2"/>
  <c r="DM65" i="2"/>
  <c r="DM62" i="2"/>
  <c r="DM59" i="2"/>
  <c r="DM57" i="2"/>
  <c r="BY112" i="2"/>
  <c r="DE110" i="2"/>
  <c r="EG110" i="2" s="1"/>
  <c r="DH34" i="2"/>
  <c r="BY31" i="2"/>
  <c r="DH41" i="2"/>
  <c r="DH89" i="2"/>
  <c r="DH96" i="2"/>
  <c r="BY33" i="2"/>
  <c r="CF43" i="2"/>
  <c r="DE51" i="2"/>
  <c r="EG51" i="2" s="1"/>
  <c r="DH37" i="2"/>
  <c r="CF85" i="2"/>
  <c r="DE66" i="2"/>
  <c r="DH44" i="2"/>
  <c r="DH71" i="2"/>
  <c r="BY58" i="2"/>
  <c r="DH38" i="2"/>
  <c r="BY32" i="2"/>
  <c r="CF114" i="2"/>
  <c r="DE65" i="2"/>
  <c r="EG65" i="2" s="1"/>
  <c r="DH65" i="2"/>
  <c r="BY50" i="2"/>
  <c r="BY76" i="2"/>
  <c r="DE102" i="2"/>
  <c r="EG102" i="2" s="1"/>
  <c r="DH102" i="2"/>
  <c r="DH62" i="2"/>
  <c r="DH36" i="2"/>
  <c r="DE100" i="2"/>
  <c r="EG100" i="2" s="1"/>
  <c r="DH86" i="2"/>
  <c r="CF106" i="2"/>
  <c r="BY106" i="2"/>
  <c r="BY54" i="2"/>
  <c r="DM41" i="2"/>
  <c r="DM61" i="2"/>
  <c r="DM75" i="2"/>
  <c r="DM74" i="2"/>
  <c r="DM113" i="2"/>
  <c r="DM72" i="2"/>
  <c r="DM63" i="2"/>
  <c r="DM38" i="2"/>
  <c r="DM93" i="2"/>
  <c r="DM98" i="2"/>
  <c r="DM49" i="2"/>
  <c r="DM86" i="2"/>
  <c r="DH110" i="2"/>
  <c r="DE95" i="2"/>
  <c r="CF55" i="2"/>
  <c r="BY85" i="2"/>
  <c r="CF87" i="2"/>
  <c r="CF109" i="2"/>
  <c r="CF78" i="2"/>
  <c r="DH66" i="2"/>
  <c r="BY75" i="2"/>
  <c r="CF74" i="2"/>
  <c r="BY107" i="2"/>
  <c r="DE72" i="2"/>
  <c r="EG72" i="2" s="1"/>
  <c r="CF63" i="2"/>
  <c r="CF38" i="2"/>
  <c r="CF64" i="2"/>
  <c r="BY93" i="2"/>
  <c r="CF93" i="2"/>
  <c r="DH69" i="2"/>
  <c r="DE47" i="2"/>
  <c r="CF40" i="2"/>
  <c r="DH98" i="2"/>
  <c r="DH90" i="2"/>
  <c r="CF52" i="2"/>
  <c r="BY49" i="2"/>
  <c r="CF49" i="2"/>
  <c r="CF48" i="2"/>
  <c r="CF59" i="2"/>
  <c r="BY36" i="2"/>
  <c r="DH100" i="2"/>
  <c r="DE106" i="2"/>
  <c r="EG106" i="2" s="1"/>
  <c r="CF56" i="2"/>
  <c r="DH60" i="2"/>
  <c r="DE111" i="2"/>
  <c r="CF94" i="2"/>
  <c r="DM89" i="2"/>
  <c r="DM37" i="2"/>
  <c r="DM109" i="2"/>
  <c r="DM78" i="2"/>
  <c r="DM107" i="2"/>
  <c r="DM47" i="2"/>
  <c r="CF53" i="2"/>
  <c r="BY84" i="2"/>
  <c r="BY77" i="2"/>
  <c r="BY104" i="2"/>
  <c r="DE55" i="2"/>
  <c r="BY108" i="2"/>
  <c r="CF33" i="2"/>
  <c r="DH87" i="2"/>
  <c r="CF68" i="2"/>
  <c r="BY109" i="2"/>
  <c r="BY73" i="2"/>
  <c r="DE78" i="2"/>
  <c r="EG78" i="2" s="1"/>
  <c r="BY78" i="2"/>
  <c r="CF75" i="2"/>
  <c r="DE74" i="2"/>
  <c r="CF113" i="2"/>
  <c r="DE103" i="2"/>
  <c r="CF92" i="2"/>
  <c r="DE64" i="2"/>
  <c r="EG64" i="2" s="1"/>
  <c r="BY91" i="2"/>
  <c r="CF91" i="2"/>
  <c r="DE93" i="2"/>
  <c r="EG93" i="2" s="1"/>
  <c r="DE39" i="2"/>
  <c r="BY47" i="2"/>
  <c r="BY81" i="2"/>
  <c r="BY114" i="2"/>
  <c r="BY98" i="2"/>
  <c r="CF98" i="2"/>
  <c r="DE52" i="2"/>
  <c r="CF50" i="2"/>
  <c r="DH49" i="2"/>
  <c r="CF105" i="2"/>
  <c r="CF76" i="2"/>
  <c r="CF80" i="2"/>
  <c r="DE59" i="2"/>
  <c r="EG59" i="2" s="1"/>
  <c r="BY82" i="2"/>
  <c r="CF101" i="2"/>
  <c r="BY100" i="2"/>
  <c r="CF57" i="2"/>
  <c r="DH57" i="2"/>
  <c r="DE56" i="2"/>
  <c r="BY56" i="2"/>
  <c r="BY111" i="2"/>
  <c r="CF54" i="2"/>
  <c r="DE94" i="2"/>
  <c r="BY94" i="2"/>
  <c r="DM34" i="2"/>
  <c r="DM95" i="2"/>
  <c r="DM35" i="2"/>
  <c r="DM51" i="2"/>
  <c r="DM68" i="2"/>
  <c r="DM103" i="2"/>
  <c r="DM92" i="2"/>
  <c r="DM69" i="2"/>
  <c r="DM32" i="2"/>
  <c r="DM82" i="2"/>
  <c r="DM46" i="2"/>
  <c r="CF112" i="2"/>
  <c r="CF61" i="2"/>
  <c r="CF34" i="2"/>
  <c r="BY34" i="2"/>
  <c r="CF31" i="2"/>
  <c r="BY95" i="2"/>
  <c r="BY41" i="2"/>
  <c r="DE53" i="2"/>
  <c r="EG53" i="2" s="1"/>
  <c r="CF84" i="2"/>
  <c r="BY89" i="2"/>
  <c r="DH55" i="2"/>
  <c r="BY96" i="2"/>
  <c r="DE33" i="2"/>
  <c r="EG33" i="2" s="1"/>
  <c r="BY43" i="2"/>
  <c r="DH43" i="2"/>
  <c r="BY37" i="2"/>
  <c r="DE85" i="2"/>
  <c r="BY87" i="2"/>
  <c r="DE68" i="2"/>
  <c r="EG68" i="2" s="1"/>
  <c r="BY45" i="2"/>
  <c r="CF79" i="2"/>
  <c r="DE109" i="2"/>
  <c r="EG109" i="2" s="1"/>
  <c r="DH78" i="2"/>
  <c r="BY44" i="2"/>
  <c r="BY88" i="2"/>
  <c r="BY71" i="2"/>
  <c r="CF67" i="2"/>
  <c r="DE58" i="2"/>
  <c r="DE75" i="2"/>
  <c r="EG75" i="2" s="1"/>
  <c r="DH74" i="2"/>
  <c r="DE113" i="2"/>
  <c r="EG113" i="2" s="1"/>
  <c r="BY97" i="2"/>
  <c r="CF107" i="2"/>
  <c r="DH72" i="2"/>
  <c r="BY72" i="2"/>
  <c r="BY83" i="2"/>
  <c r="BY63" i="2"/>
  <c r="BY38" i="2"/>
  <c r="DE92" i="2"/>
  <c r="EG92" i="2" s="1"/>
  <c r="DH64" i="2"/>
  <c r="DE91" i="2"/>
  <c r="EG91" i="2" s="1"/>
  <c r="DH93" i="2"/>
  <c r="BY69" i="2"/>
  <c r="DH32" i="2"/>
  <c r="DE32" i="2"/>
  <c r="EG32" i="2" s="1"/>
  <c r="DH47" i="2"/>
  <c r="DE81" i="2"/>
  <c r="EG81" i="2" s="1"/>
  <c r="BY40" i="2"/>
  <c r="DH52" i="2"/>
  <c r="DE50" i="2"/>
  <c r="DE105" i="2"/>
  <c r="EG105" i="2" s="1"/>
  <c r="BY48" i="2"/>
  <c r="DE76" i="2"/>
  <c r="EG76" i="2" s="1"/>
  <c r="CF102" i="2"/>
  <c r="DE80" i="2"/>
  <c r="BY62" i="2"/>
  <c r="DH59" i="2"/>
  <c r="DE101" i="2"/>
  <c r="EG101" i="2" s="1"/>
  <c r="BY86" i="2"/>
  <c r="DH56" i="2"/>
  <c r="DH42" i="2"/>
  <c r="BY42" i="2"/>
  <c r="DE54" i="2"/>
  <c r="EG54" i="2" s="1"/>
  <c r="DH94" i="2"/>
  <c r="DM45" i="2"/>
  <c r="DM114" i="2"/>
  <c r="DM90" i="2"/>
  <c r="DM52" i="2"/>
  <c r="DM50" i="2"/>
  <c r="DM102" i="2"/>
  <c r="DM56" i="2"/>
  <c r="DM94" i="2"/>
  <c r="DE112" i="2"/>
  <c r="BY110" i="2"/>
  <c r="DE61" i="2"/>
  <c r="EG61" i="2" s="1"/>
  <c r="DE31" i="2"/>
  <c r="BY35" i="2"/>
  <c r="DH53" i="2"/>
  <c r="DE84" i="2"/>
  <c r="EG84" i="2" s="1"/>
  <c r="DH33" i="2"/>
  <c r="DH68" i="2"/>
  <c r="DH45" i="2"/>
  <c r="DE79" i="2"/>
  <c r="EG79" i="2" s="1"/>
  <c r="DE67" i="2"/>
  <c r="DH75" i="2"/>
  <c r="DH113" i="2"/>
  <c r="DE107" i="2"/>
  <c r="EG107" i="2" s="1"/>
  <c r="CF83" i="2"/>
  <c r="DE63" i="2"/>
  <c r="DE38" i="2"/>
  <c r="DH92" i="2"/>
  <c r="DH91" i="2"/>
  <c r="CF69" i="2"/>
  <c r="DH81" i="2"/>
  <c r="DH40" i="2"/>
  <c r="DE90" i="2"/>
  <c r="DH50" i="2"/>
  <c r="DH105" i="2"/>
  <c r="DE48" i="2"/>
  <c r="EG48" i="2" s="1"/>
  <c r="DH76" i="2"/>
  <c r="DH80" i="2"/>
  <c r="CF82" i="2"/>
  <c r="DH101" i="2"/>
  <c r="BY57" i="2"/>
  <c r="DH106" i="2"/>
  <c r="DH111" i="2"/>
  <c r="DE42" i="2"/>
  <c r="EG42" i="2" s="1"/>
  <c r="DH54" i="2"/>
  <c r="BZ96" i="2"/>
  <c r="CH43" i="2"/>
  <c r="BZ43" i="2"/>
  <c r="BZ85" i="2"/>
  <c r="CH85" i="2"/>
  <c r="EH68" i="2"/>
  <c r="BZ44" i="2"/>
  <c r="BZ83" i="2"/>
  <c r="EH40" i="2"/>
  <c r="BZ76" i="2"/>
  <c r="BZ70" i="2"/>
  <c r="CH59" i="2"/>
  <c r="BZ100" i="2"/>
  <c r="BZ106" i="2"/>
  <c r="EH111" i="2"/>
  <c r="BZ42" i="2"/>
  <c r="FA35" i="2"/>
  <c r="EZ35" i="2"/>
  <c r="EX35" i="2"/>
  <c r="EV35" i="2"/>
  <c r="FC35" i="2" s="1"/>
  <c r="FB35" i="2"/>
  <c r="EY35" i="2"/>
  <c r="EW35" i="2"/>
  <c r="ET35" i="2"/>
  <c r="EU35" i="2"/>
  <c r="EZ77" i="2"/>
  <c r="EY77" i="2"/>
  <c r="EX77" i="2"/>
  <c r="EW77" i="2"/>
  <c r="EV77" i="2"/>
  <c r="FC77" i="2" s="1"/>
  <c r="EU77" i="2"/>
  <c r="FA77" i="2"/>
  <c r="FB77" i="2"/>
  <c r="ET77" i="2"/>
  <c r="FA104" i="2"/>
  <c r="EZ104" i="2"/>
  <c r="EY104" i="2"/>
  <c r="EX104" i="2"/>
  <c r="EW104" i="2"/>
  <c r="EV104" i="2"/>
  <c r="FC104" i="2" s="1"/>
  <c r="FB104" i="2"/>
  <c r="ET104" i="2"/>
  <c r="EU104" i="2"/>
  <c r="EZ108" i="2"/>
  <c r="EY108" i="2"/>
  <c r="EX108" i="2"/>
  <c r="EW108" i="2"/>
  <c r="EV108" i="2"/>
  <c r="FC108" i="2" s="1"/>
  <c r="EU108" i="2"/>
  <c r="FB108" i="2"/>
  <c r="FA108" i="2"/>
  <c r="ET108" i="2"/>
  <c r="EU45" i="2"/>
  <c r="FB45" i="2"/>
  <c r="ET45" i="2"/>
  <c r="FA45" i="2"/>
  <c r="EW45" i="2"/>
  <c r="EZ45" i="2"/>
  <c r="EY45" i="2"/>
  <c r="EX45" i="2"/>
  <c r="EV45" i="2"/>
  <c r="FC45" i="2" s="1"/>
  <c r="EU73" i="2"/>
  <c r="EV73" i="2"/>
  <c r="FC73" i="2" s="1"/>
  <c r="ET73" i="2"/>
  <c r="FB73" i="2"/>
  <c r="FA73" i="2"/>
  <c r="EZ73" i="2"/>
  <c r="EW73" i="2"/>
  <c r="EY73" i="2"/>
  <c r="EX73" i="2"/>
  <c r="FA88" i="2"/>
  <c r="EZ88" i="2"/>
  <c r="EY88" i="2"/>
  <c r="EX88" i="2"/>
  <c r="EV88" i="2"/>
  <c r="FC88" i="2" s="1"/>
  <c r="FB88" i="2"/>
  <c r="ET88" i="2"/>
  <c r="EW88" i="2"/>
  <c r="EU88" i="2"/>
  <c r="EV97" i="2"/>
  <c r="FC97" i="2" s="1"/>
  <c r="EU97" i="2"/>
  <c r="FB97" i="2"/>
  <c r="ET97" i="2"/>
  <c r="FA97" i="2"/>
  <c r="EZ97" i="2"/>
  <c r="EY97" i="2"/>
  <c r="EW97" i="2"/>
  <c r="EX97" i="2"/>
  <c r="EW47" i="2"/>
  <c r="EV47" i="2"/>
  <c r="FC47" i="2" s="1"/>
  <c r="EU47" i="2"/>
  <c r="FB47" i="2"/>
  <c r="ET47" i="2"/>
  <c r="EZ47" i="2"/>
  <c r="EY47" i="2"/>
  <c r="EX47" i="2"/>
  <c r="FA47" i="2"/>
  <c r="EW99" i="2"/>
  <c r="EV99" i="2"/>
  <c r="FC99" i="2" s="1"/>
  <c r="EU99" i="2"/>
  <c r="FB99" i="2"/>
  <c r="ET99" i="2"/>
  <c r="FA99" i="2"/>
  <c r="EZ99" i="2"/>
  <c r="EX99" i="2"/>
  <c r="EY99" i="2"/>
  <c r="EX81" i="2"/>
  <c r="EV81" i="2"/>
  <c r="FC81" i="2" s="1"/>
  <c r="EU81" i="2"/>
  <c r="ET81" i="2"/>
  <c r="FB81" i="2"/>
  <c r="FA81" i="2"/>
  <c r="EZ81" i="2"/>
  <c r="EW81" i="2"/>
  <c r="EY81" i="2"/>
  <c r="FA70" i="2"/>
  <c r="EZ70" i="2"/>
  <c r="EY70" i="2"/>
  <c r="EX70" i="2"/>
  <c r="EW70" i="2"/>
  <c r="FB70" i="2"/>
  <c r="ET70" i="2"/>
  <c r="EV70" i="2"/>
  <c r="FC70" i="2" s="1"/>
  <c r="EU70" i="2"/>
  <c r="EZ46" i="2"/>
  <c r="EY46" i="2"/>
  <c r="EX46" i="2"/>
  <c r="EU46" i="2"/>
  <c r="FB46" i="2"/>
  <c r="ET46" i="2"/>
  <c r="FA46" i="2"/>
  <c r="EW46" i="2"/>
  <c r="EV46" i="2"/>
  <c r="FC46" i="2" s="1"/>
  <c r="CI116" i="2"/>
  <c r="CK116" i="2"/>
  <c r="BZ84" i="2"/>
  <c r="BZ33" i="2"/>
  <c r="CH33" i="2" s="1"/>
  <c r="BZ87" i="2"/>
  <c r="BZ79" i="2"/>
  <c r="BZ73" i="2"/>
  <c r="BZ66" i="2"/>
  <c r="BZ67" i="2"/>
  <c r="EH74" i="2"/>
  <c r="CH113" i="2"/>
  <c r="CH83" i="2"/>
  <c r="EH92" i="2"/>
  <c r="BZ64" i="2"/>
  <c r="BZ91" i="2"/>
  <c r="EH39" i="2"/>
  <c r="EH32" i="2"/>
  <c r="BZ99" i="2"/>
  <c r="CH99" i="2" s="1"/>
  <c r="BZ105" i="2"/>
  <c r="BZ101" i="2"/>
  <c r="BZ60" i="2"/>
  <c r="BC42" i="2"/>
  <c r="EH42" i="2" s="1"/>
  <c r="EH54" i="2"/>
  <c r="EY41" i="2"/>
  <c r="EX41" i="2"/>
  <c r="EW41" i="2"/>
  <c r="EV41" i="2"/>
  <c r="FC41" i="2" s="1"/>
  <c r="EU41" i="2"/>
  <c r="FB41" i="2"/>
  <c r="ET41" i="2"/>
  <c r="FA41" i="2"/>
  <c r="EZ41" i="2"/>
  <c r="EX89" i="2"/>
  <c r="EW89" i="2"/>
  <c r="EV89" i="2"/>
  <c r="FC89" i="2" s="1"/>
  <c r="EU89" i="2"/>
  <c r="FB89" i="2"/>
  <c r="ET89" i="2"/>
  <c r="FA89" i="2"/>
  <c r="EY89" i="2"/>
  <c r="EZ89" i="2"/>
  <c r="EY96" i="2"/>
  <c r="EX96" i="2"/>
  <c r="EW96" i="2"/>
  <c r="EV96" i="2"/>
  <c r="FC96" i="2" s="1"/>
  <c r="EU96" i="2"/>
  <c r="FB96" i="2"/>
  <c r="ET96" i="2"/>
  <c r="EZ96" i="2"/>
  <c r="FA96" i="2"/>
  <c r="EV51" i="2"/>
  <c r="FC51" i="2" s="1"/>
  <c r="EU51" i="2"/>
  <c r="FB51" i="2"/>
  <c r="ET51" i="2"/>
  <c r="FA51" i="2"/>
  <c r="EZ51" i="2"/>
  <c r="EY51" i="2"/>
  <c r="EW51" i="2"/>
  <c r="EX51" i="2"/>
  <c r="EU37" i="2"/>
  <c r="FB37" i="2"/>
  <c r="ET37" i="2"/>
  <c r="EZ37" i="2"/>
  <c r="EX37" i="2"/>
  <c r="FA37" i="2"/>
  <c r="EW37" i="2"/>
  <c r="EV37" i="2"/>
  <c r="FC37" i="2" s="1"/>
  <c r="EY37" i="2"/>
  <c r="EX44" i="2"/>
  <c r="EW44" i="2"/>
  <c r="EV44" i="2"/>
  <c r="FC44" i="2" s="1"/>
  <c r="FB44" i="2"/>
  <c r="FA44" i="2"/>
  <c r="EZ44" i="2"/>
  <c r="EY44" i="2"/>
  <c r="EU44" i="2"/>
  <c r="ET44" i="2"/>
  <c r="EX71" i="2"/>
  <c r="EW71" i="2"/>
  <c r="EV71" i="2"/>
  <c r="FC71" i="2" s="1"/>
  <c r="EU71" i="2"/>
  <c r="FB71" i="2"/>
  <c r="ET71" i="2"/>
  <c r="EY71" i="2"/>
  <c r="FA71" i="2"/>
  <c r="EZ71" i="2"/>
  <c r="EU58" i="2"/>
  <c r="FB58" i="2"/>
  <c r="ET58" i="2"/>
  <c r="FA58" i="2"/>
  <c r="EZ58" i="2"/>
  <c r="EY58" i="2"/>
  <c r="EX58" i="2"/>
  <c r="EW58" i="2"/>
  <c r="EV58" i="2"/>
  <c r="FC58" i="2" s="1"/>
  <c r="EU72" i="2"/>
  <c r="FB72" i="2"/>
  <c r="ET72" i="2"/>
  <c r="FA72" i="2"/>
  <c r="EZ72" i="2"/>
  <c r="EY72" i="2"/>
  <c r="EV72" i="2"/>
  <c r="FC72" i="2" s="1"/>
  <c r="EX72" i="2"/>
  <c r="EW72" i="2"/>
  <c r="EV103" i="2"/>
  <c r="FC103" i="2" s="1"/>
  <c r="EU103" i="2"/>
  <c r="FB103" i="2"/>
  <c r="ET103" i="2"/>
  <c r="FA103" i="2"/>
  <c r="EZ103" i="2"/>
  <c r="EY103" i="2"/>
  <c r="EW103" i="2"/>
  <c r="EX103" i="2"/>
  <c r="EW39" i="2"/>
  <c r="EV39" i="2"/>
  <c r="FC39" i="2" s="1"/>
  <c r="FB39" i="2"/>
  <c r="ET39" i="2"/>
  <c r="EZ39" i="2"/>
  <c r="FA39" i="2"/>
  <c r="EY39" i="2"/>
  <c r="EU39" i="2"/>
  <c r="EX39" i="2"/>
  <c r="EY62" i="2"/>
  <c r="EX62" i="2"/>
  <c r="EW62" i="2"/>
  <c r="EV62" i="2"/>
  <c r="FC62" i="2" s="1"/>
  <c r="EU62" i="2"/>
  <c r="FB62" i="2"/>
  <c r="ET62" i="2"/>
  <c r="EZ62" i="2"/>
  <c r="FA62" i="2"/>
  <c r="EX36" i="2"/>
  <c r="EW36" i="2"/>
  <c r="EU36" i="2"/>
  <c r="FA36" i="2"/>
  <c r="ET36" i="2"/>
  <c r="EZ36" i="2"/>
  <c r="EY36" i="2"/>
  <c r="EV36" i="2"/>
  <c r="FC36" i="2" s="1"/>
  <c r="FB36" i="2"/>
  <c r="EY86" i="2"/>
  <c r="EX86" i="2"/>
  <c r="EW86" i="2"/>
  <c r="EV86" i="2"/>
  <c r="FC86" i="2" s="1"/>
  <c r="FB86" i="2"/>
  <c r="ET86" i="2"/>
  <c r="EZ86" i="2"/>
  <c r="FA86" i="2"/>
  <c r="EU86" i="2"/>
  <c r="EW60" i="2"/>
  <c r="EV60" i="2"/>
  <c r="FC60" i="2" s="1"/>
  <c r="EU60" i="2"/>
  <c r="FB60" i="2"/>
  <c r="ET60" i="2"/>
  <c r="FA60" i="2"/>
  <c r="EZ60" i="2"/>
  <c r="EY60" i="2"/>
  <c r="EX60" i="2"/>
  <c r="EW111" i="2"/>
  <c r="EV111" i="2"/>
  <c r="FC111" i="2" s="1"/>
  <c r="EU111" i="2"/>
  <c r="FB111" i="2"/>
  <c r="ET111" i="2"/>
  <c r="FA111" i="2"/>
  <c r="EZ111" i="2"/>
  <c r="EY111" i="2"/>
  <c r="EX111" i="2"/>
  <c r="BZ104" i="2"/>
  <c r="BE116" i="2"/>
  <c r="BE118" i="2" s="1"/>
  <c r="BE120" i="2" s="1"/>
  <c r="BE122" i="2" s="1"/>
  <c r="BE124" i="2" s="1"/>
  <c r="BE126" i="2" s="1"/>
  <c r="BE128" i="2" s="1"/>
  <c r="BZ31" i="2"/>
  <c r="BZ112" i="2"/>
  <c r="BJ116" i="2"/>
  <c r="BJ118" i="2" s="1"/>
  <c r="BJ120" i="2" s="1"/>
  <c r="BJ122" i="2" s="1"/>
  <c r="BJ124" i="2" s="1"/>
  <c r="BJ126" i="2" s="1"/>
  <c r="BJ128" i="2" s="1"/>
  <c r="CJ116" i="2"/>
  <c r="BZ53" i="2"/>
  <c r="BC84" i="2"/>
  <c r="EH84" i="2" s="1"/>
  <c r="BC104" i="2"/>
  <c r="EH104" i="2" s="1"/>
  <c r="BZ55" i="2"/>
  <c r="BZ108" i="2"/>
  <c r="BC96" i="2"/>
  <c r="EH96" i="2" s="1"/>
  <c r="BC44" i="2"/>
  <c r="EH44" i="2" s="1"/>
  <c r="BZ88" i="2"/>
  <c r="BZ71" i="2"/>
  <c r="CH67" i="2"/>
  <c r="BZ58" i="2"/>
  <c r="CH58" i="2" s="1"/>
  <c r="CH38" i="2"/>
  <c r="BZ39" i="2"/>
  <c r="BZ40" i="2"/>
  <c r="BZ48" i="2"/>
  <c r="CH48" i="2" s="1"/>
  <c r="BZ80" i="2"/>
  <c r="BC70" i="2"/>
  <c r="EH70" i="2" s="1"/>
  <c r="BZ36" i="2"/>
  <c r="BC100" i="2"/>
  <c r="EH100" i="2" s="1"/>
  <c r="CH60" i="2"/>
  <c r="BZ111" i="2"/>
  <c r="CH42" i="2"/>
  <c r="BZ54" i="2"/>
  <c r="FB110" i="2"/>
  <c r="ET110" i="2"/>
  <c r="FA110" i="2"/>
  <c r="EZ110" i="2"/>
  <c r="EY110" i="2"/>
  <c r="EX110" i="2"/>
  <c r="EW110" i="2"/>
  <c r="EU110" i="2"/>
  <c r="EV110" i="2"/>
  <c r="FC110" i="2" s="1"/>
  <c r="FB95" i="2"/>
  <c r="ET95" i="2"/>
  <c r="FA95" i="2"/>
  <c r="EZ95" i="2"/>
  <c r="EY95" i="2"/>
  <c r="EX95" i="2"/>
  <c r="EW95" i="2"/>
  <c r="EU95" i="2"/>
  <c r="EV95" i="2"/>
  <c r="FC95" i="2" s="1"/>
  <c r="EW66" i="2"/>
  <c r="FB66" i="2"/>
  <c r="ET66" i="2"/>
  <c r="FA66" i="2"/>
  <c r="EX66" i="2"/>
  <c r="EZ66" i="2"/>
  <c r="EY66" i="2"/>
  <c r="EV66" i="2"/>
  <c r="FC66" i="2" s="1"/>
  <c r="EU66" i="2"/>
  <c r="FB32" i="2"/>
  <c r="ET32" i="2"/>
  <c r="FA32" i="2"/>
  <c r="EZ32" i="2"/>
  <c r="EY32" i="2"/>
  <c r="EX32" i="2"/>
  <c r="EW32" i="2"/>
  <c r="EU32" i="2"/>
  <c r="EV32" i="2"/>
  <c r="FC32" i="2" s="1"/>
  <c r="EZ65" i="2"/>
  <c r="EV65" i="2"/>
  <c r="FC65" i="2" s="1"/>
  <c r="FA65" i="2"/>
  <c r="EX65" i="2"/>
  <c r="EW65" i="2"/>
  <c r="EU65" i="2"/>
  <c r="ET65" i="2"/>
  <c r="EY65" i="2"/>
  <c r="FB65" i="2"/>
  <c r="FA90" i="2"/>
  <c r="EZ90" i="2"/>
  <c r="EX90" i="2"/>
  <c r="ET90" i="2"/>
  <c r="FB90" i="2"/>
  <c r="EY90" i="2"/>
  <c r="EW90" i="2"/>
  <c r="EU90" i="2"/>
  <c r="EV90" i="2"/>
  <c r="FC90" i="2" s="1"/>
  <c r="FB100" i="2"/>
  <c r="ET100" i="2"/>
  <c r="FA100" i="2"/>
  <c r="EZ100" i="2"/>
  <c r="EY100" i="2"/>
  <c r="EX100" i="2"/>
  <c r="EW100" i="2"/>
  <c r="EU100" i="2"/>
  <c r="EV100" i="2"/>
  <c r="FC100" i="2" s="1"/>
  <c r="EV42" i="2"/>
  <c r="FC42" i="2" s="1"/>
  <c r="EU42" i="2"/>
  <c r="FB42" i="2"/>
  <c r="ET42" i="2"/>
  <c r="FA42" i="2"/>
  <c r="EZ42" i="2"/>
  <c r="EY42" i="2"/>
  <c r="EW42" i="2"/>
  <c r="EX42" i="2"/>
  <c r="BR31" i="2"/>
  <c r="BR116" i="2" s="1"/>
  <c r="BQ116" i="2"/>
  <c r="CH61" i="2"/>
  <c r="BL25" i="2"/>
  <c r="BL27" i="2" s="1"/>
  <c r="BZ110" i="2"/>
  <c r="BC31" i="2"/>
  <c r="BG116" i="2"/>
  <c r="BG118" i="2" s="1"/>
  <c r="BG120" i="2" s="1"/>
  <c r="BG122" i="2" s="1"/>
  <c r="BG124" i="2" s="1"/>
  <c r="BG126" i="2" s="1"/>
  <c r="BG128" i="2" s="1"/>
  <c r="BZ77" i="2"/>
  <c r="BC77" i="2"/>
  <c r="EH77" i="2" s="1"/>
  <c r="BC87" i="2"/>
  <c r="EH87" i="2" s="1"/>
  <c r="BC79" i="2"/>
  <c r="EH79" i="2" s="1"/>
  <c r="BC73" i="2"/>
  <c r="EH73" i="2" s="1"/>
  <c r="BZ97" i="2"/>
  <c r="CH97" i="2" s="1"/>
  <c r="BC64" i="2"/>
  <c r="EH64" i="2" s="1"/>
  <c r="BC91" i="2"/>
  <c r="EH91" i="2" s="1"/>
  <c r="BZ81" i="2"/>
  <c r="CH81" i="2" s="1"/>
  <c r="CH65" i="2"/>
  <c r="BZ65" i="2"/>
  <c r="CH98" i="2"/>
  <c r="BC105" i="2"/>
  <c r="EH105" i="2" s="1"/>
  <c r="BZ62" i="2"/>
  <c r="BZ59" i="2"/>
  <c r="BC101" i="2"/>
  <c r="EH101" i="2" s="1"/>
  <c r="BZ57" i="2"/>
  <c r="CH106" i="2"/>
  <c r="CH111" i="2"/>
  <c r="FA43" i="2"/>
  <c r="EZ43" i="2"/>
  <c r="ET43" i="2"/>
  <c r="FB43" i="2"/>
  <c r="EY43" i="2"/>
  <c r="EX43" i="2"/>
  <c r="EW43" i="2"/>
  <c r="EU43" i="2"/>
  <c r="EV43" i="2"/>
  <c r="FC43" i="2" s="1"/>
  <c r="FB85" i="2"/>
  <c r="ET85" i="2"/>
  <c r="FA85" i="2"/>
  <c r="EZ85" i="2"/>
  <c r="EY85" i="2"/>
  <c r="EW85" i="2"/>
  <c r="EU85" i="2"/>
  <c r="EV85" i="2"/>
  <c r="FC85" i="2" s="1"/>
  <c r="EX85" i="2"/>
  <c r="EY114" i="2"/>
  <c r="EX114" i="2"/>
  <c r="EV114" i="2"/>
  <c r="FC114" i="2" s="1"/>
  <c r="EU114" i="2"/>
  <c r="FB114" i="2"/>
  <c r="FA114" i="2"/>
  <c r="EZ114" i="2"/>
  <c r="EW114" i="2"/>
  <c r="ET114" i="2"/>
  <c r="EX106" i="2"/>
  <c r="EV106" i="2"/>
  <c r="FC106" i="2" s="1"/>
  <c r="FB106" i="2"/>
  <c r="ET106" i="2"/>
  <c r="FA106" i="2"/>
  <c r="EW106" i="2"/>
  <c r="EU106" i="2"/>
  <c r="EY106" i="2"/>
  <c r="EZ106" i="2"/>
  <c r="FK116" i="2"/>
  <c r="BZ41" i="2"/>
  <c r="EH112" i="2"/>
  <c r="BZ61" i="2"/>
  <c r="BF116" i="2"/>
  <c r="BF118" i="2" s="1"/>
  <c r="BF120" i="2" s="1"/>
  <c r="BF122" i="2" s="1"/>
  <c r="BF124" i="2" s="1"/>
  <c r="BF126" i="2" s="1"/>
  <c r="BF128" i="2" s="1"/>
  <c r="BF25" i="2"/>
  <c r="BF27" i="2" s="1"/>
  <c r="BO116" i="2"/>
  <c r="BO118" i="2" s="1"/>
  <c r="BO120" i="2" s="1"/>
  <c r="BO122" i="2" s="1"/>
  <c r="BO124" i="2" s="1"/>
  <c r="BO126" i="2" s="1"/>
  <c r="BO128" i="2" s="1"/>
  <c r="EH53" i="2"/>
  <c r="EH55" i="2"/>
  <c r="EH108" i="2"/>
  <c r="EH37" i="2"/>
  <c r="BC71" i="2"/>
  <c r="EH71" i="2" s="1"/>
  <c r="BZ75" i="2"/>
  <c r="BZ74" i="2"/>
  <c r="BZ113" i="2"/>
  <c r="BZ72" i="2"/>
  <c r="BZ63" i="2"/>
  <c r="BZ38" i="2"/>
  <c r="BZ93" i="2"/>
  <c r="CH39" i="2"/>
  <c r="BC65" i="2"/>
  <c r="EH65" i="2" s="1"/>
  <c r="BZ98" i="2"/>
  <c r="BZ49" i="2"/>
  <c r="EH102" i="2"/>
  <c r="EH80" i="2"/>
  <c r="EH36" i="2"/>
  <c r="BZ86" i="2"/>
  <c r="BC106" i="2"/>
  <c r="EH106" i="2" s="1"/>
  <c r="CH54" i="2"/>
  <c r="EH94" i="2"/>
  <c r="EZ55" i="2"/>
  <c r="EY55" i="2"/>
  <c r="EX55" i="2"/>
  <c r="EW55" i="2"/>
  <c r="EV55" i="2"/>
  <c r="FC55" i="2" s="1"/>
  <c r="EU55" i="2"/>
  <c r="FA55" i="2"/>
  <c r="ET55" i="2"/>
  <c r="FB55" i="2"/>
  <c r="EV87" i="2"/>
  <c r="FC87" i="2" s="1"/>
  <c r="EU87" i="2"/>
  <c r="FB87" i="2"/>
  <c r="ET87" i="2"/>
  <c r="FA87" i="2"/>
  <c r="EY87" i="2"/>
  <c r="EW87" i="2"/>
  <c r="EX87" i="2"/>
  <c r="EZ87" i="2"/>
  <c r="EW109" i="2"/>
  <c r="EV109" i="2"/>
  <c r="FC109" i="2" s="1"/>
  <c r="EU109" i="2"/>
  <c r="FB109" i="2"/>
  <c r="ET109" i="2"/>
  <c r="FA109" i="2"/>
  <c r="EZ109" i="2"/>
  <c r="EY109" i="2"/>
  <c r="EX109" i="2"/>
  <c r="EW78" i="2"/>
  <c r="EV78" i="2"/>
  <c r="FC78" i="2" s="1"/>
  <c r="EU78" i="2"/>
  <c r="FB78" i="2"/>
  <c r="ET78" i="2"/>
  <c r="FA78" i="2"/>
  <c r="EZ78" i="2"/>
  <c r="EX78" i="2"/>
  <c r="EY78" i="2"/>
  <c r="FA74" i="2"/>
  <c r="EZ74" i="2"/>
  <c r="EX74" i="2"/>
  <c r="EV74" i="2"/>
  <c r="FC74" i="2" s="1"/>
  <c r="FB74" i="2"/>
  <c r="ET74" i="2"/>
  <c r="EY74" i="2"/>
  <c r="EW74" i="2"/>
  <c r="EU74" i="2"/>
  <c r="EV63" i="2"/>
  <c r="FC63" i="2" s="1"/>
  <c r="EU63" i="2"/>
  <c r="FB63" i="2"/>
  <c r="ET63" i="2"/>
  <c r="FA63" i="2"/>
  <c r="EZ63" i="2"/>
  <c r="EY63" i="2"/>
  <c r="EX63" i="2"/>
  <c r="EW63" i="2"/>
  <c r="EZ38" i="2"/>
  <c r="EY38" i="2"/>
  <c r="EW38" i="2"/>
  <c r="EU38" i="2"/>
  <c r="EV38" i="2"/>
  <c r="FC38" i="2" s="1"/>
  <c r="ET38" i="2"/>
  <c r="FB38" i="2"/>
  <c r="EX38" i="2"/>
  <c r="FA38" i="2"/>
  <c r="FA64" i="2"/>
  <c r="EZ64" i="2"/>
  <c r="EY64" i="2"/>
  <c r="EX64" i="2"/>
  <c r="EW64" i="2"/>
  <c r="EV64" i="2"/>
  <c r="FC64" i="2" s="1"/>
  <c r="EU64" i="2"/>
  <c r="ET64" i="2"/>
  <c r="FB64" i="2"/>
  <c r="EZ93" i="2"/>
  <c r="EY93" i="2"/>
  <c r="EX93" i="2"/>
  <c r="EW93" i="2"/>
  <c r="EU93" i="2"/>
  <c r="FA93" i="2"/>
  <c r="FB93" i="2"/>
  <c r="EV93" i="2"/>
  <c r="FC93" i="2" s="1"/>
  <c r="ET93" i="2"/>
  <c r="FB40" i="2"/>
  <c r="ET40" i="2"/>
  <c r="FA40" i="2"/>
  <c r="EZ40" i="2"/>
  <c r="EY40" i="2"/>
  <c r="EX40" i="2"/>
  <c r="EW40" i="2"/>
  <c r="EV40" i="2"/>
  <c r="FC40" i="2" s="1"/>
  <c r="EU40" i="2"/>
  <c r="FA52" i="2"/>
  <c r="EZ52" i="2"/>
  <c r="EY52" i="2"/>
  <c r="EX52" i="2"/>
  <c r="EW52" i="2"/>
  <c r="EV52" i="2"/>
  <c r="FC52" i="2" s="1"/>
  <c r="FB52" i="2"/>
  <c r="ET52" i="2"/>
  <c r="EU52" i="2"/>
  <c r="FA49" i="2"/>
  <c r="EY49" i="2"/>
  <c r="EW49" i="2"/>
  <c r="EV49" i="2"/>
  <c r="FC49" i="2" s="1"/>
  <c r="EU49" i="2"/>
  <c r="ET49" i="2"/>
  <c r="FB49" i="2"/>
  <c r="EZ49" i="2"/>
  <c r="EX49" i="2"/>
  <c r="FB48" i="2"/>
  <c r="ET48" i="2"/>
  <c r="FA48" i="2"/>
  <c r="EZ48" i="2"/>
  <c r="EY48" i="2"/>
  <c r="EW48" i="2"/>
  <c r="EV48" i="2"/>
  <c r="FC48" i="2" s="1"/>
  <c r="EX48" i="2"/>
  <c r="EU48" i="2"/>
  <c r="EZ59" i="2"/>
  <c r="EY59" i="2"/>
  <c r="EX59" i="2"/>
  <c r="EW59" i="2"/>
  <c r="EV59" i="2"/>
  <c r="FC59" i="2" s="1"/>
  <c r="EU59" i="2"/>
  <c r="FB59" i="2"/>
  <c r="FA59" i="2"/>
  <c r="ET59" i="2"/>
  <c r="EW56" i="2"/>
  <c r="EV56" i="2"/>
  <c r="FC56" i="2" s="1"/>
  <c r="EU56" i="2"/>
  <c r="FB56" i="2"/>
  <c r="ET56" i="2"/>
  <c r="FA56" i="2"/>
  <c r="EZ56" i="2"/>
  <c r="EX56" i="2"/>
  <c r="EY56" i="2"/>
  <c r="EW94" i="2"/>
  <c r="EV94" i="2"/>
  <c r="FC94" i="2" s="1"/>
  <c r="EU94" i="2"/>
  <c r="FB94" i="2"/>
  <c r="ET94" i="2"/>
  <c r="EZ94" i="2"/>
  <c r="EX94" i="2"/>
  <c r="FA94" i="2"/>
  <c r="EY94" i="2"/>
  <c r="CH110" i="2"/>
  <c r="EH110" i="2"/>
  <c r="BM116" i="2"/>
  <c r="BM118" i="2" s="1"/>
  <c r="BM120" i="2" s="1"/>
  <c r="BM122" i="2" s="1"/>
  <c r="BM124" i="2" s="1"/>
  <c r="BM126" i="2" s="1"/>
  <c r="BM128" i="2" s="1"/>
  <c r="BS116" i="2"/>
  <c r="BH116" i="2"/>
  <c r="BH118" i="2" s="1"/>
  <c r="BH120" i="2" s="1"/>
  <c r="BH122" i="2" s="1"/>
  <c r="BH124" i="2" s="1"/>
  <c r="BH126" i="2" s="1"/>
  <c r="BH128" i="2" s="1"/>
  <c r="CH41" i="2"/>
  <c r="CH84" i="2"/>
  <c r="BZ89" i="2"/>
  <c r="CH104" i="2"/>
  <c r="CH96" i="2"/>
  <c r="BZ37" i="2"/>
  <c r="BC85" i="2"/>
  <c r="EH85" i="2" s="1"/>
  <c r="BZ109" i="2"/>
  <c r="CH109" i="2" s="1"/>
  <c r="BZ78" i="2"/>
  <c r="CH78" i="2" s="1"/>
  <c r="BC66" i="2"/>
  <c r="EH66" i="2" s="1"/>
  <c r="CH44" i="2"/>
  <c r="BC67" i="2"/>
  <c r="EH67" i="2" s="1"/>
  <c r="BZ107" i="2"/>
  <c r="BZ47" i="2"/>
  <c r="BC99" i="2"/>
  <c r="EH99" i="2" s="1"/>
  <c r="BC98" i="2"/>
  <c r="EH98" i="2" s="1"/>
  <c r="CH50" i="2"/>
  <c r="EH62" i="2"/>
  <c r="CH70" i="2"/>
  <c r="EH59" i="2"/>
  <c r="CH100" i="2"/>
  <c r="EH57" i="2"/>
  <c r="CH57" i="2"/>
  <c r="EX53" i="2"/>
  <c r="EW53" i="2"/>
  <c r="EV53" i="2"/>
  <c r="FC53" i="2" s="1"/>
  <c r="EU53" i="2"/>
  <c r="FB53" i="2"/>
  <c r="ET53" i="2"/>
  <c r="FA53" i="2"/>
  <c r="EY53" i="2"/>
  <c r="EZ53" i="2"/>
  <c r="EY33" i="2"/>
  <c r="EX33" i="2"/>
  <c r="FA33" i="2"/>
  <c r="EV33" i="2"/>
  <c r="FC33" i="2" s="1"/>
  <c r="EZ33" i="2"/>
  <c r="EW33" i="2"/>
  <c r="ET33" i="2"/>
  <c r="FB33" i="2"/>
  <c r="EU33" i="2"/>
  <c r="EY68" i="2"/>
  <c r="EX68" i="2"/>
  <c r="EW68" i="2"/>
  <c r="EV68" i="2"/>
  <c r="FC68" i="2" s="1"/>
  <c r="EU68" i="2"/>
  <c r="EZ68" i="2"/>
  <c r="FB68" i="2"/>
  <c r="FA68" i="2"/>
  <c r="ET68" i="2"/>
  <c r="EX75" i="2"/>
  <c r="EW75" i="2"/>
  <c r="EU75" i="2"/>
  <c r="FB75" i="2"/>
  <c r="ET75" i="2"/>
  <c r="FA75" i="2"/>
  <c r="EY75" i="2"/>
  <c r="EZ75" i="2"/>
  <c r="EV75" i="2"/>
  <c r="FC75" i="2" s="1"/>
  <c r="EY113" i="2"/>
  <c r="EX113" i="2"/>
  <c r="EW113" i="2"/>
  <c r="EV113" i="2"/>
  <c r="FC113" i="2" s="1"/>
  <c r="EU113" i="2"/>
  <c r="FB113" i="2"/>
  <c r="ET113" i="2"/>
  <c r="EZ113" i="2"/>
  <c r="FA113" i="2"/>
  <c r="EU92" i="2"/>
  <c r="FB92" i="2"/>
  <c r="ET92" i="2"/>
  <c r="FA92" i="2"/>
  <c r="EZ92" i="2"/>
  <c r="EX92" i="2"/>
  <c r="EY92" i="2"/>
  <c r="EW92" i="2"/>
  <c r="EV92" i="2"/>
  <c r="FC92" i="2" s="1"/>
  <c r="EX91" i="2"/>
  <c r="EW91" i="2"/>
  <c r="EU91" i="2"/>
  <c r="FA91" i="2"/>
  <c r="EZ91" i="2"/>
  <c r="EY91" i="2"/>
  <c r="EV91" i="2"/>
  <c r="FC91" i="2" s="1"/>
  <c r="ET91" i="2"/>
  <c r="FB91" i="2"/>
  <c r="EZ98" i="2"/>
  <c r="EY98" i="2"/>
  <c r="EX98" i="2"/>
  <c r="EV98" i="2"/>
  <c r="FC98" i="2" s="1"/>
  <c r="EU98" i="2"/>
  <c r="FA98" i="2"/>
  <c r="FB98" i="2"/>
  <c r="EW98" i="2"/>
  <c r="ET98" i="2"/>
  <c r="EX50" i="2"/>
  <c r="EV50" i="2"/>
  <c r="FC50" i="2" s="1"/>
  <c r="EU50" i="2"/>
  <c r="FB50" i="2"/>
  <c r="ET50" i="2"/>
  <c r="EZ50" i="2"/>
  <c r="FA50" i="2"/>
  <c r="EY50" i="2"/>
  <c r="EW50" i="2"/>
  <c r="EX105" i="2"/>
  <c r="EW105" i="2"/>
  <c r="EV105" i="2"/>
  <c r="FC105" i="2" s="1"/>
  <c r="EU105" i="2"/>
  <c r="FB105" i="2"/>
  <c r="ET105" i="2"/>
  <c r="FA105" i="2"/>
  <c r="EY105" i="2"/>
  <c r="EZ105" i="2"/>
  <c r="EU76" i="2"/>
  <c r="FB76" i="2"/>
  <c r="ET76" i="2"/>
  <c r="EZ76" i="2"/>
  <c r="EY76" i="2"/>
  <c r="EX76" i="2"/>
  <c r="EV76" i="2"/>
  <c r="FC76" i="2" s="1"/>
  <c r="EW76" i="2"/>
  <c r="FA76" i="2"/>
  <c r="EY80" i="2"/>
  <c r="EX80" i="2"/>
  <c r="EW80" i="2"/>
  <c r="EV80" i="2"/>
  <c r="FC80" i="2" s="1"/>
  <c r="EU80" i="2"/>
  <c r="FB80" i="2"/>
  <c r="ET80" i="2"/>
  <c r="EZ80" i="2"/>
  <c r="FA80" i="2"/>
  <c r="EY101" i="2"/>
  <c r="EX101" i="2"/>
  <c r="EW101" i="2"/>
  <c r="EV101" i="2"/>
  <c r="FC101" i="2" s="1"/>
  <c r="EU101" i="2"/>
  <c r="FB101" i="2"/>
  <c r="ET101" i="2"/>
  <c r="EZ101" i="2"/>
  <c r="FA101" i="2"/>
  <c r="EX57" i="2"/>
  <c r="EW57" i="2"/>
  <c r="EV57" i="2"/>
  <c r="FC57" i="2" s="1"/>
  <c r="FB57" i="2"/>
  <c r="ET57" i="2"/>
  <c r="FA57" i="2"/>
  <c r="EZ57" i="2"/>
  <c r="EY57" i="2"/>
  <c r="EU57" i="2"/>
  <c r="EU54" i="2"/>
  <c r="FB54" i="2"/>
  <c r="ET54" i="2"/>
  <c r="FA54" i="2"/>
  <c r="EZ54" i="2"/>
  <c r="EY54" i="2"/>
  <c r="EX54" i="2"/>
  <c r="EV54" i="2"/>
  <c r="FC54" i="2" s="1"/>
  <c r="EW54" i="2"/>
  <c r="EH61" i="2"/>
  <c r="BZ34" i="2"/>
  <c r="BN116" i="2"/>
  <c r="BN118" i="2" s="1"/>
  <c r="BN120" i="2" s="1"/>
  <c r="BN122" i="2" s="1"/>
  <c r="BN124" i="2" s="1"/>
  <c r="BN126" i="2" s="1"/>
  <c r="BN128" i="2" s="1"/>
  <c r="CH31" i="2"/>
  <c r="BZ95" i="2"/>
  <c r="CH95" i="2" s="1"/>
  <c r="BZ35" i="2"/>
  <c r="CH77" i="2"/>
  <c r="BC33" i="2"/>
  <c r="EH33" i="2" s="1"/>
  <c r="BC43" i="2"/>
  <c r="EH43" i="2" s="1"/>
  <c r="BZ51" i="2"/>
  <c r="CH87" i="2"/>
  <c r="BZ68" i="2"/>
  <c r="CH68" i="2" s="1"/>
  <c r="CH79" i="2"/>
  <c r="CH73" i="2"/>
  <c r="EH88" i="2"/>
  <c r="EH58" i="2"/>
  <c r="EH75" i="2"/>
  <c r="CH74" i="2"/>
  <c r="EH113" i="2"/>
  <c r="EH97" i="2"/>
  <c r="EH72" i="2"/>
  <c r="BC83" i="2"/>
  <c r="EH83" i="2" s="1"/>
  <c r="EH63" i="2"/>
  <c r="BZ103" i="2"/>
  <c r="BZ92" i="2"/>
  <c r="CH64" i="2"/>
  <c r="CH91" i="2"/>
  <c r="EH93" i="2"/>
  <c r="BZ69" i="2"/>
  <c r="BC69" i="2"/>
  <c r="EH69" i="2" s="1"/>
  <c r="BZ32" i="2"/>
  <c r="CH105" i="2"/>
  <c r="BZ82" i="2"/>
  <c r="CH101" i="2"/>
  <c r="EH86" i="2"/>
  <c r="EH56" i="2"/>
  <c r="BZ46" i="2"/>
  <c r="CH46" i="2" s="1"/>
  <c r="FB112" i="2"/>
  <c r="ET112" i="2"/>
  <c r="FA112" i="2"/>
  <c r="EZ112" i="2"/>
  <c r="EY112" i="2"/>
  <c r="EX112" i="2"/>
  <c r="EW112" i="2"/>
  <c r="EU112" i="2"/>
  <c r="EV112" i="2"/>
  <c r="FC112" i="2" s="1"/>
  <c r="FB61" i="2"/>
  <c r="ET61" i="2"/>
  <c r="FA61" i="2"/>
  <c r="EZ61" i="2"/>
  <c r="EY61" i="2"/>
  <c r="EX61" i="2"/>
  <c r="EW61" i="2"/>
  <c r="EU61" i="2"/>
  <c r="EV61" i="2"/>
  <c r="FC61" i="2" s="1"/>
  <c r="EV34" i="2"/>
  <c r="FC34" i="2" s="1"/>
  <c r="EU34" i="2"/>
  <c r="EX34" i="2"/>
  <c r="EW34" i="2"/>
  <c r="ET34" i="2"/>
  <c r="FA34" i="2"/>
  <c r="EZ34" i="2"/>
  <c r="EY34" i="2"/>
  <c r="FB34" i="2"/>
  <c r="EU31" i="2"/>
  <c r="FB31" i="2"/>
  <c r="ET31" i="2"/>
  <c r="EZ31" i="2"/>
  <c r="FA31" i="2"/>
  <c r="EX31" i="2"/>
  <c r="EW31" i="2"/>
  <c r="EV31" i="2"/>
  <c r="FC31" i="2" s="1"/>
  <c r="EY31" i="2"/>
  <c r="EW84" i="2"/>
  <c r="EV84" i="2"/>
  <c r="FC84" i="2" s="1"/>
  <c r="FB84" i="2"/>
  <c r="ET84" i="2"/>
  <c r="EZ84" i="2"/>
  <c r="EX84" i="2"/>
  <c r="FA84" i="2"/>
  <c r="EY84" i="2"/>
  <c r="EU84" i="2"/>
  <c r="FB79" i="2"/>
  <c r="ET79" i="2"/>
  <c r="FA79" i="2"/>
  <c r="EZ79" i="2"/>
  <c r="EY79" i="2"/>
  <c r="EX79" i="2"/>
  <c r="EW79" i="2"/>
  <c r="EU79" i="2"/>
  <c r="EV79" i="2"/>
  <c r="FC79" i="2" s="1"/>
  <c r="FB67" i="2"/>
  <c r="ET67" i="2"/>
  <c r="FA67" i="2"/>
  <c r="EZ67" i="2"/>
  <c r="EY67" i="2"/>
  <c r="EX67" i="2"/>
  <c r="EU67" i="2"/>
  <c r="EW67" i="2"/>
  <c r="EV67" i="2"/>
  <c r="FC67" i="2" s="1"/>
  <c r="EU107" i="2"/>
  <c r="FB107" i="2"/>
  <c r="ET107" i="2"/>
  <c r="FA107" i="2"/>
  <c r="EZ107" i="2"/>
  <c r="EY107" i="2"/>
  <c r="EX107" i="2"/>
  <c r="EW107" i="2"/>
  <c r="EV107" i="2"/>
  <c r="FC107" i="2" s="1"/>
  <c r="EX102" i="2"/>
  <c r="EW102" i="2"/>
  <c r="FB102" i="2"/>
  <c r="ET102" i="2"/>
  <c r="FA102" i="2"/>
  <c r="EZ102" i="2"/>
  <c r="EY102" i="2"/>
  <c r="EV102" i="2"/>
  <c r="FC102" i="2" s="1"/>
  <c r="EU102" i="2"/>
  <c r="BP116" i="2"/>
  <c r="BP118" i="2" s="1"/>
  <c r="BP120" i="2" s="1"/>
  <c r="BP122" i="2" s="1"/>
  <c r="BP124" i="2" s="1"/>
  <c r="BP126" i="2" s="1"/>
  <c r="BP128" i="2" s="1"/>
  <c r="BE25" i="2"/>
  <c r="BE27" i="2" s="1"/>
  <c r="CH112" i="2"/>
  <c r="CH34" i="2"/>
  <c r="BD116" i="2"/>
  <c r="BD118" i="2" s="1"/>
  <c r="BD120" i="2" s="1"/>
  <c r="BD122" i="2" s="1"/>
  <c r="BD124" i="2" s="1"/>
  <c r="BD126" i="2" s="1"/>
  <c r="BD128" i="2" s="1"/>
  <c r="BI116" i="2"/>
  <c r="BI118" i="2" s="1"/>
  <c r="BI120" i="2" s="1"/>
  <c r="BI122" i="2" s="1"/>
  <c r="BI124" i="2" s="1"/>
  <c r="BI126" i="2" s="1"/>
  <c r="BI128" i="2" s="1"/>
  <c r="BC35" i="2"/>
  <c r="EH35" i="2" s="1"/>
  <c r="CH53" i="2"/>
  <c r="BC89" i="2"/>
  <c r="EH89" i="2" s="1"/>
  <c r="CH55" i="2"/>
  <c r="CH108" i="2"/>
  <c r="CH51" i="2"/>
  <c r="EH45" i="2"/>
  <c r="BZ45" i="2"/>
  <c r="CH88" i="2"/>
  <c r="CH71" i="2"/>
  <c r="EH107" i="2"/>
  <c r="CH72" i="2"/>
  <c r="CH63" i="2"/>
  <c r="BC103" i="2"/>
  <c r="EH103" i="2" s="1"/>
  <c r="BC38" i="2"/>
  <c r="EH38" i="2" s="1"/>
  <c r="CH47" i="2"/>
  <c r="BZ114" i="2"/>
  <c r="BZ90" i="2"/>
  <c r="CH90" i="2" s="1"/>
  <c r="BZ52" i="2"/>
  <c r="BZ50" i="2"/>
  <c r="EH49" i="2"/>
  <c r="CH49" i="2"/>
  <c r="BC48" i="2"/>
  <c r="EH48" i="2" s="1"/>
  <c r="BZ102" i="2"/>
  <c r="CH102" i="2"/>
  <c r="CH80" i="2"/>
  <c r="CH36" i="2"/>
  <c r="BZ56" i="2"/>
  <c r="CH56" i="2" s="1"/>
  <c r="BC60" i="2"/>
  <c r="EH60" i="2" s="1"/>
  <c r="BZ94" i="2"/>
  <c r="CH94" i="2"/>
  <c r="EZ83" i="2"/>
  <c r="EW83" i="2"/>
  <c r="EU83" i="2"/>
  <c r="FA83" i="2"/>
  <c r="FB83" i="2"/>
  <c r="EY83" i="2"/>
  <c r="EX83" i="2"/>
  <c r="ET83" i="2"/>
  <c r="EV83" i="2"/>
  <c r="FC83" i="2" s="1"/>
  <c r="EV69" i="2"/>
  <c r="FC69" i="2" s="1"/>
  <c r="EU69" i="2"/>
  <c r="FB69" i="2"/>
  <c r="ET69" i="2"/>
  <c r="FA69" i="2"/>
  <c r="EZ69" i="2"/>
  <c r="EW69" i="2"/>
  <c r="EY69" i="2"/>
  <c r="EX69" i="2"/>
  <c r="EU82" i="2"/>
  <c r="EZ82" i="2"/>
  <c r="EX82" i="2"/>
  <c r="EV82" i="2"/>
  <c r="FC82" i="2" s="1"/>
  <c r="FB82" i="2"/>
  <c r="FA82" i="2"/>
  <c r="EY82" i="2"/>
  <c r="EW82" i="2"/>
  <c r="ET82" i="2"/>
  <c r="BM29" i="2"/>
  <c r="CW133" i="2" s="1"/>
  <c r="BM28" i="2"/>
  <c r="CA85" i="2" a="1"/>
  <c r="DU85" i="2" a="1"/>
  <c r="CA42" i="2" a="1"/>
  <c r="DU42" i="2" a="1"/>
  <c r="CA91" i="2" a="1"/>
  <c r="DU91" i="2" a="1"/>
  <c r="CA80" i="2" a="1"/>
  <c r="DU80" i="2" a="1"/>
  <c r="CA54" i="2" a="1"/>
  <c r="DU54" i="2" a="1"/>
  <c r="CA110" i="2" a="1"/>
  <c r="DU110" i="2" a="1"/>
  <c r="CA113" i="2" a="1"/>
  <c r="DU113" i="2" a="1"/>
  <c r="CA114" i="2" a="1"/>
  <c r="DU114" i="2" a="1"/>
  <c r="CA90" i="2" a="1"/>
  <c r="DU90" i="2" a="1"/>
  <c r="CA95" i="2" a="1"/>
  <c r="DU95" i="2" a="1"/>
  <c r="CA76" i="2" a="1"/>
  <c r="DU76" i="2" a="1"/>
  <c r="CA84" i="2" a="1"/>
  <c r="DU84" i="2" a="1"/>
  <c r="CA31" i="2" a="1"/>
  <c r="DU31" i="2" a="1"/>
  <c r="CA55" i="2" a="1"/>
  <c r="DU55" i="2" a="1"/>
  <c r="CA58" i="2" a="1"/>
  <c r="DU58" i="2" a="1"/>
  <c r="CA97" i="2" a="1"/>
  <c r="DU97" i="2" a="1"/>
  <c r="CA57" i="2" a="1"/>
  <c r="DU57" i="2" a="1"/>
  <c r="CA72" i="2" a="1"/>
  <c r="DU72" i="2" a="1"/>
  <c r="CA49" i="2" a="1"/>
  <c r="DU49" i="2" a="1"/>
  <c r="CA33" i="2" a="1"/>
  <c r="DU33" i="2" a="1"/>
  <c r="CA101" i="2" a="1"/>
  <c r="DU101" i="2" a="1"/>
  <c r="CA112" i="2" a="1"/>
  <c r="DU112" i="2" a="1"/>
  <c r="CA108" i="2" a="1"/>
  <c r="DU108" i="2" a="1"/>
  <c r="CA36" i="2" a="1"/>
  <c r="DU36" i="2" a="1"/>
  <c r="CA63" i="2" a="1"/>
  <c r="DU63" i="2" a="1"/>
  <c r="CA37" i="2" a="1"/>
  <c r="DU37" i="2" a="1"/>
  <c r="CA107" i="2" a="1"/>
  <c r="DU107" i="2" a="1"/>
  <c r="CA70" i="2" a="1"/>
  <c r="DU70" i="2" a="1"/>
  <c r="CA87" i="2" a="1"/>
  <c r="DU87" i="2" a="1"/>
  <c r="CA39" i="2" a="1"/>
  <c r="DU39" i="2" a="1"/>
  <c r="CA77" i="2" a="1"/>
  <c r="DU77" i="2" a="1"/>
  <c r="CA65" i="2" a="1"/>
  <c r="DU65" i="2" a="1"/>
  <c r="CA41" i="2" a="1"/>
  <c r="DU41" i="2" a="1"/>
  <c r="CA38" i="2" a="1"/>
  <c r="DU38" i="2" a="1"/>
  <c r="CA47" i="2" a="1"/>
  <c r="DU47" i="2" a="1"/>
  <c r="CA35" i="2" a="1"/>
  <c r="DU35" i="2" a="1"/>
  <c r="CA69" i="2" a="1"/>
  <c r="DU69" i="2" a="1"/>
  <c r="CA46" i="2" a="1"/>
  <c r="DU46" i="2" a="1"/>
  <c r="CA50" i="2" a="1"/>
  <c r="DU50" i="2" a="1"/>
  <c r="CA56" i="2" a="1"/>
  <c r="DU56" i="2" a="1"/>
  <c r="CA96" i="2" a="1"/>
  <c r="DU96" i="2" a="1"/>
  <c r="CA44" i="2" a="1"/>
  <c r="DU44" i="2" a="1"/>
  <c r="CA79" i="2" a="1"/>
  <c r="DU79" i="2" a="1"/>
  <c r="CA40" i="2" a="1"/>
  <c r="DU40" i="2" a="1"/>
  <c r="CA93" i="2" a="1"/>
  <c r="DU93" i="2" a="1"/>
  <c r="CA109" i="2" a="1"/>
  <c r="DU109" i="2" a="1"/>
  <c r="CA100" i="2" a="1"/>
  <c r="DU100" i="2" a="1"/>
  <c r="CA73" i="2" a="1"/>
  <c r="DU73" i="2" a="1"/>
  <c r="CA60" i="2" a="1"/>
  <c r="DU60" i="2" a="1"/>
  <c r="CA53" i="2" a="1"/>
  <c r="DU53" i="2" a="1"/>
  <c r="CA111" i="2" a="1"/>
  <c r="DU111" i="2" a="1"/>
  <c r="CA61" i="2" a="1"/>
  <c r="DU61" i="2" a="1"/>
  <c r="CA86" i="2" a="1"/>
  <c r="DU86" i="2" a="1"/>
  <c r="CA32" i="2" a="1"/>
  <c r="DU32" i="2" a="1"/>
  <c r="CA94" i="2" a="1"/>
  <c r="DU94" i="2" a="1"/>
  <c r="CA68" i="2" a="1"/>
  <c r="DU68" i="2" a="1"/>
  <c r="CA83" i="2" a="1"/>
  <c r="DU83" i="2" a="1"/>
  <c r="CA106" i="2" a="1"/>
  <c r="DU106" i="2" a="1"/>
  <c r="CA66" i="2" a="1"/>
  <c r="DU66" i="2" a="1"/>
  <c r="CA99" i="2" a="1"/>
  <c r="DU99" i="2" a="1"/>
  <c r="CA88" i="2" a="1"/>
  <c r="DU88" i="2" a="1"/>
  <c r="CA48" i="2" a="1"/>
  <c r="DU48" i="2" a="1"/>
  <c r="CA81" i="2" a="1"/>
  <c r="DU81" i="2" a="1"/>
  <c r="CA62" i="2" a="1"/>
  <c r="DU62" i="2" a="1"/>
  <c r="CA75" i="2" a="1"/>
  <c r="DU75" i="2" a="1"/>
  <c r="CA78" i="2" a="1"/>
  <c r="DU78" i="2" a="1"/>
  <c r="CA103" i="2" a="1"/>
  <c r="DU103" i="2" a="1"/>
  <c r="CA45" i="2" a="1"/>
  <c r="DU45" i="2" a="1"/>
  <c r="CA43" i="2" a="1"/>
  <c r="DU43" i="2" a="1"/>
  <c r="CA67" i="2" a="1"/>
  <c r="DU67" i="2" a="1"/>
  <c r="CA64" i="2" a="1"/>
  <c r="DU64" i="2" a="1"/>
  <c r="CA105" i="2" a="1"/>
  <c r="DU105" i="2" a="1"/>
  <c r="CA104" i="2" a="1"/>
  <c r="DU104" i="2" a="1"/>
  <c r="CA71" i="2" a="1"/>
  <c r="DU71" i="2" a="1"/>
  <c r="CA59" i="2" a="1"/>
  <c r="DU59" i="2" a="1"/>
  <c r="CA74" i="2" a="1"/>
  <c r="DU74" i="2" a="1"/>
  <c r="CA98" i="2" a="1"/>
  <c r="DU98" i="2" a="1"/>
  <c r="CA89" i="2" a="1"/>
  <c r="DU89" i="2" a="1"/>
  <c r="CA34" i="2" a="1"/>
  <c r="DU34" i="2" a="1"/>
  <c r="CA51" i="2" a="1"/>
  <c r="DU51" i="2" a="1"/>
  <c r="CA92" i="2" a="1"/>
  <c r="DU92" i="2" a="1"/>
  <c r="CA82" i="2" a="1"/>
  <c r="DU82" i="2" a="1"/>
  <c r="CA102" i="2" a="1"/>
  <c r="DU102" i="2" a="1"/>
  <c r="CA52" i="2" a="1"/>
  <c r="DU52" i="2" a="1"/>
  <c r="DU52" i="2" l="1"/>
  <c r="CA52" i="2"/>
  <c r="DU102" i="2"/>
  <c r="CA102" i="2"/>
  <c r="DU82" i="2"/>
  <c r="CA82" i="2"/>
  <c r="DU92" i="2"/>
  <c r="CA92" i="2"/>
  <c r="DU51" i="2"/>
  <c r="CA51" i="2"/>
  <c r="DU34" i="2"/>
  <c r="CA34" i="2"/>
  <c r="DU89" i="2"/>
  <c r="CA89" i="2"/>
  <c r="DU98" i="2"/>
  <c r="CA98" i="2"/>
  <c r="DU74" i="2"/>
  <c r="CA74" i="2"/>
  <c r="DU59" i="2"/>
  <c r="CA59" i="2"/>
  <c r="DU71" i="2"/>
  <c r="CA71" i="2"/>
  <c r="DU104" i="2"/>
  <c r="CA104" i="2"/>
  <c r="DU105" i="2"/>
  <c r="CA105" i="2"/>
  <c r="DU64" i="2"/>
  <c r="CA64" i="2"/>
  <c r="DU67" i="2"/>
  <c r="CA67" i="2"/>
  <c r="DU43" i="2"/>
  <c r="CA43" i="2"/>
  <c r="DU45" i="2"/>
  <c r="CA45" i="2"/>
  <c r="DU103" i="2"/>
  <c r="CA103" i="2"/>
  <c r="DU78" i="2"/>
  <c r="CA78" i="2"/>
  <c r="DU75" i="2"/>
  <c r="CA75" i="2"/>
  <c r="DU62" i="2"/>
  <c r="CA62" i="2"/>
  <c r="DU81" i="2"/>
  <c r="CA81" i="2"/>
  <c r="DU48" i="2"/>
  <c r="CA48" i="2"/>
  <c r="DU88" i="2"/>
  <c r="CA88" i="2"/>
  <c r="DU99" i="2"/>
  <c r="CA99" i="2"/>
  <c r="DU66" i="2"/>
  <c r="CA66" i="2"/>
  <c r="DU106" i="2"/>
  <c r="CA106" i="2"/>
  <c r="DU83" i="2"/>
  <c r="CA83" i="2"/>
  <c r="DU68" i="2"/>
  <c r="CA68" i="2"/>
  <c r="DU94" i="2"/>
  <c r="CA94" i="2"/>
  <c r="DU32" i="2"/>
  <c r="CA32" i="2"/>
  <c r="DU86" i="2"/>
  <c r="CA86" i="2"/>
  <c r="DU61" i="2"/>
  <c r="CA61" i="2"/>
  <c r="DU111" i="2"/>
  <c r="CA111" i="2"/>
  <c r="DU53" i="2"/>
  <c r="CA53" i="2"/>
  <c r="DU60" i="2"/>
  <c r="CA60" i="2"/>
  <c r="DU73" i="2"/>
  <c r="CA73" i="2"/>
  <c r="DU100" i="2"/>
  <c r="CA100" i="2"/>
  <c r="DU109" i="2"/>
  <c r="CA109" i="2"/>
  <c r="DU93" i="2"/>
  <c r="CA93" i="2"/>
  <c r="DU40" i="2"/>
  <c r="CA40" i="2"/>
  <c r="DU79" i="2"/>
  <c r="CA79" i="2"/>
  <c r="DU44" i="2"/>
  <c r="CA44" i="2"/>
  <c r="DU96" i="2"/>
  <c r="CA96" i="2"/>
  <c r="DU56" i="2"/>
  <c r="CA56" i="2"/>
  <c r="DU50" i="2"/>
  <c r="CA50" i="2"/>
  <c r="DU46" i="2"/>
  <c r="CA46" i="2"/>
  <c r="DU69" i="2"/>
  <c r="CA69" i="2"/>
  <c r="DU35" i="2"/>
  <c r="CA35" i="2"/>
  <c r="DU47" i="2"/>
  <c r="CA47" i="2"/>
  <c r="DU38" i="2"/>
  <c r="CA38" i="2"/>
  <c r="DU41" i="2"/>
  <c r="CA41" i="2"/>
  <c r="DU65" i="2"/>
  <c r="CA65" i="2"/>
  <c r="DU77" i="2"/>
  <c r="CA77" i="2"/>
  <c r="DU39" i="2"/>
  <c r="CA39" i="2"/>
  <c r="DU87" i="2"/>
  <c r="CA87" i="2"/>
  <c r="DU70" i="2"/>
  <c r="CA70" i="2"/>
  <c r="DU107" i="2"/>
  <c r="CA107" i="2"/>
  <c r="DU37" i="2"/>
  <c r="CA37" i="2"/>
  <c r="DU63" i="2"/>
  <c r="CA63" i="2"/>
  <c r="DU36" i="2"/>
  <c r="CA36" i="2"/>
  <c r="DU108" i="2"/>
  <c r="CA108" i="2"/>
  <c r="DU112" i="2"/>
  <c r="CA112" i="2"/>
  <c r="DU101" i="2"/>
  <c r="CA101" i="2"/>
  <c r="DU33" i="2"/>
  <c r="CA33" i="2"/>
  <c r="DU49" i="2"/>
  <c r="CA49" i="2"/>
  <c r="DU72" i="2"/>
  <c r="CA72" i="2"/>
  <c r="DU57" i="2"/>
  <c r="CA57" i="2"/>
  <c r="DU97" i="2"/>
  <c r="CA97" i="2"/>
  <c r="DU58" i="2"/>
  <c r="CA58" i="2"/>
  <c r="DU55" i="2"/>
  <c r="CA55" i="2"/>
  <c r="DU31" i="2"/>
  <c r="CA31" i="2"/>
  <c r="DU84" i="2"/>
  <c r="CA84" i="2"/>
  <c r="DU76" i="2"/>
  <c r="CA76" i="2"/>
  <c r="DU95" i="2"/>
  <c r="CA95" i="2"/>
  <c r="DU90" i="2"/>
  <c r="CA90" i="2"/>
  <c r="DU114" i="2"/>
  <c r="CA114" i="2"/>
  <c r="DU113" i="2"/>
  <c r="CA113" i="2"/>
  <c r="DU110" i="2"/>
  <c r="CA110" i="2"/>
  <c r="DU54" i="2"/>
  <c r="CA54" i="2"/>
  <c r="DU80" i="2"/>
  <c r="CA80" i="2"/>
  <c r="DU91" i="2"/>
  <c r="CA91" i="2"/>
  <c r="DU42" i="2"/>
  <c r="CA42" i="2"/>
  <c r="DU85" i="2"/>
  <c r="CA85" i="2"/>
  <c r="EO52" i="2"/>
  <c r="BC25" i="2"/>
  <c r="BC27" i="2" s="1"/>
  <c r="BF28" i="2" s="1"/>
  <c r="BT116" i="2" s="1"/>
  <c r="EO102" i="2"/>
  <c r="EO82" i="2"/>
  <c r="EO92" i="2"/>
  <c r="EO51" i="2"/>
  <c r="EO34" i="2"/>
  <c r="EO89" i="2"/>
  <c r="EO98" i="2"/>
  <c r="EO74" i="2"/>
  <c r="EO59" i="2"/>
  <c r="EO71" i="2"/>
  <c r="CH89" i="2"/>
  <c r="EO104" i="2"/>
  <c r="EO105" i="2"/>
  <c r="EO64" i="2"/>
  <c r="EO67" i="2"/>
  <c r="CK118" i="2"/>
  <c r="CK120" i="2" s="1"/>
  <c r="CK122" i="2" s="1"/>
  <c r="CK124" i="2" s="1"/>
  <c r="CK126" i="2" s="1"/>
  <c r="CK128" i="2" s="1"/>
  <c r="BY138" i="2"/>
  <c r="EO43" i="2"/>
  <c r="EG90" i="2"/>
  <c r="EG56" i="2"/>
  <c r="EG103" i="2"/>
  <c r="EG111" i="2"/>
  <c r="EG66" i="2"/>
  <c r="EG60" i="2"/>
  <c r="EG89" i="2"/>
  <c r="EG46" i="2"/>
  <c r="EG70" i="2"/>
  <c r="EG99" i="2"/>
  <c r="EG97" i="2"/>
  <c r="EG77" i="2"/>
  <c r="EO45" i="2"/>
  <c r="EO103" i="2"/>
  <c r="EO78" i="2"/>
  <c r="EO75" i="2"/>
  <c r="EO62" i="2"/>
  <c r="EO81" i="2"/>
  <c r="EO48" i="2"/>
  <c r="EO88" i="2"/>
  <c r="EO99" i="2"/>
  <c r="EO66" i="2"/>
  <c r="CI118" i="2"/>
  <c r="CI120" i="2" s="1"/>
  <c r="CI122" i="2" s="1"/>
  <c r="CI124" i="2" s="1"/>
  <c r="CI126" i="2" s="1"/>
  <c r="CI128" i="2" s="1"/>
  <c r="BY136" i="2"/>
  <c r="EO106" i="2"/>
  <c r="EO83" i="2"/>
  <c r="EG80" i="2"/>
  <c r="EG86" i="2"/>
  <c r="EG69" i="2"/>
  <c r="EG57" i="2"/>
  <c r="EG87" i="2"/>
  <c r="EO68" i="2"/>
  <c r="EO94" i="2"/>
  <c r="EO32" i="2"/>
  <c r="EO86" i="2"/>
  <c r="EO61" i="2"/>
  <c r="BQ118" i="2"/>
  <c r="BQ120" i="2" s="1"/>
  <c r="BQ122" i="2" s="1"/>
  <c r="BQ124" i="2" s="1"/>
  <c r="BQ126" i="2" s="1"/>
  <c r="BQ128" i="2" s="1"/>
  <c r="CW130" i="2"/>
  <c r="CY130" i="2" s="1"/>
  <c r="EO111" i="2"/>
  <c r="EO53" i="2"/>
  <c r="EO60" i="2"/>
  <c r="CH32" i="2"/>
  <c r="CH103" i="2"/>
  <c r="EO73" i="2"/>
  <c r="EO100" i="2"/>
  <c r="EG39" i="2"/>
  <c r="EG74" i="2"/>
  <c r="EG43" i="2"/>
  <c r="EG82" i="2"/>
  <c r="EO109" i="2"/>
  <c r="EO93" i="2"/>
  <c r="BR124" i="2"/>
  <c r="BR126" i="2" s="1"/>
  <c r="BR128" i="2" s="1"/>
  <c r="BR122" i="2"/>
  <c r="BR120" i="2"/>
  <c r="BR118" i="2"/>
  <c r="CY131" i="2"/>
  <c r="EO40" i="2"/>
  <c r="CH45" i="2"/>
  <c r="CJ118" i="2"/>
  <c r="CJ120" i="2" s="1"/>
  <c r="CJ122" i="2" s="1"/>
  <c r="CJ124" i="2" s="1"/>
  <c r="CJ126" i="2" s="1"/>
  <c r="CJ128" i="2" s="1"/>
  <c r="BY137" i="2"/>
  <c r="EO79" i="2"/>
  <c r="EO44" i="2"/>
  <c r="EO96" i="2"/>
  <c r="EG37" i="2"/>
  <c r="EO56" i="2"/>
  <c r="EO50" i="2"/>
  <c r="EO46" i="2"/>
  <c r="EO69" i="2"/>
  <c r="EO35" i="2"/>
  <c r="EO47" i="2"/>
  <c r="BS118" i="2"/>
  <c r="BS120" i="2" s="1"/>
  <c r="BS122" i="2" s="1"/>
  <c r="BS124" i="2" s="1"/>
  <c r="BS126" i="2" s="1"/>
  <c r="BS128" i="2" s="1"/>
  <c r="DL131" i="2"/>
  <c r="EO38" i="2"/>
  <c r="EO41" i="2"/>
  <c r="EO65" i="2"/>
  <c r="CH92" i="2"/>
  <c r="EO77" i="2"/>
  <c r="EO39" i="2"/>
  <c r="CH86" i="2"/>
  <c r="CH69" i="2"/>
  <c r="EO87" i="2"/>
  <c r="EO70" i="2"/>
  <c r="CH66" i="2"/>
  <c r="EG67" i="2"/>
  <c r="EG31" i="2"/>
  <c r="EG58" i="2"/>
  <c r="EG94" i="2"/>
  <c r="EG52" i="2"/>
  <c r="EG55" i="2"/>
  <c r="EG36" i="2"/>
  <c r="EG40" i="2"/>
  <c r="EG98" i="2"/>
  <c r="EG108" i="2"/>
  <c r="EO107" i="2"/>
  <c r="EO37" i="2"/>
  <c r="EO63" i="2"/>
  <c r="CH107" i="2"/>
  <c r="EO36" i="2"/>
  <c r="EO108" i="2"/>
  <c r="EO112" i="2"/>
  <c r="EO101" i="2"/>
  <c r="EO33" i="2"/>
  <c r="CH62" i="2"/>
  <c r="EO49" i="2"/>
  <c r="EO72" i="2"/>
  <c r="EO57" i="2"/>
  <c r="CH40" i="2"/>
  <c r="EO97" i="2"/>
  <c r="BC116" i="2"/>
  <c r="EH31" i="2"/>
  <c r="EH116" i="2" s="1"/>
  <c r="DL134" i="2" s="1"/>
  <c r="EO58" i="2"/>
  <c r="EO55" i="2"/>
  <c r="EO31" i="2"/>
  <c r="CH82" i="2"/>
  <c r="CH93" i="2"/>
  <c r="EO84" i="2"/>
  <c r="EO76" i="2"/>
  <c r="EG38" i="2"/>
  <c r="EG50" i="2"/>
  <c r="EG47" i="2"/>
  <c r="EG114" i="2"/>
  <c r="EO95" i="2"/>
  <c r="EO90" i="2"/>
  <c r="EO114" i="2"/>
  <c r="CH37" i="2"/>
  <c r="CH52" i="2"/>
  <c r="EO113" i="2"/>
  <c r="CH114" i="2"/>
  <c r="EO110" i="2"/>
  <c r="EO54" i="2"/>
  <c r="EO80" i="2"/>
  <c r="CH76" i="2"/>
  <c r="EO91" i="2"/>
  <c r="CH75" i="2"/>
  <c r="CH35" i="2"/>
  <c r="EO42" i="2"/>
  <c r="EO85" i="2"/>
  <c r="EG63" i="2"/>
  <c r="EG112" i="2"/>
  <c r="EG85" i="2"/>
  <c r="EG95" i="2"/>
  <c r="EG45" i="2"/>
  <c r="BF29" i="2"/>
  <c r="CW132" i="2" s="1"/>
  <c r="CY132" i="2" s="1"/>
  <c r="DL133" i="2"/>
  <c r="CY133" i="2"/>
  <c r="CB52" i="2" a="1"/>
  <c r="CB51" i="2" a="1"/>
  <c r="CB74" i="2" a="1"/>
  <c r="CB105" i="2" a="1"/>
  <c r="CB45" i="2" a="1"/>
  <c r="CB62" i="2" a="1"/>
  <c r="CB99" i="2" a="1"/>
  <c r="CB68" i="2" a="1"/>
  <c r="CB61" i="2" a="1"/>
  <c r="CB73" i="2" a="1"/>
  <c r="CB40" i="2" a="1"/>
  <c r="CB56" i="2" a="1"/>
  <c r="CB35" i="2" a="1"/>
  <c r="CB65" i="2" a="1"/>
  <c r="CB70" i="2" a="1"/>
  <c r="CB36" i="2" a="1"/>
  <c r="CB33" i="2" a="1"/>
  <c r="CB97" i="2" a="1"/>
  <c r="CB84" i="2" a="1"/>
  <c r="CB114" i="2" a="1"/>
  <c r="CB80" i="2" a="1"/>
  <c r="CB102" i="2" a="1"/>
  <c r="CB111" i="2" a="1"/>
  <c r="CB47" i="2" a="1"/>
  <c r="CB49" i="2" a="1"/>
  <c r="CB113" i="2" a="1"/>
  <c r="CB82" i="2" a="1"/>
  <c r="CB89" i="2" a="1"/>
  <c r="CB71" i="2" a="1"/>
  <c r="CB67" i="2" a="1"/>
  <c r="CB78" i="2" a="1"/>
  <c r="CB48" i="2" a="1"/>
  <c r="CB106" i="2" a="1"/>
  <c r="CB32" i="2" a="1"/>
  <c r="CB53" i="2" a="1"/>
  <c r="CB109" i="2" a="1"/>
  <c r="CB44" i="2" a="1"/>
  <c r="CB46" i="2" a="1"/>
  <c r="CB38" i="2" a="1"/>
  <c r="CB39" i="2" a="1"/>
  <c r="CB37" i="2" a="1"/>
  <c r="CB112" i="2" a="1"/>
  <c r="CB72" i="2" a="1"/>
  <c r="CB55" i="2" a="1"/>
  <c r="CB95" i="2" a="1"/>
  <c r="CB110" i="2" a="1"/>
  <c r="CB42" i="2" a="1"/>
  <c r="CB92" i="2" a="1"/>
  <c r="CB98" i="2" a="1"/>
  <c r="CB104" i="2" a="1"/>
  <c r="CB43" i="2" a="1"/>
  <c r="CB75" i="2" a="1"/>
  <c r="CB88" i="2" a="1"/>
  <c r="CB83" i="2" a="1"/>
  <c r="CB86" i="2" a="1"/>
  <c r="CB60" i="2" a="1"/>
  <c r="CB93" i="2" a="1"/>
  <c r="CB96" i="2" a="1"/>
  <c r="CB69" i="2" a="1"/>
  <c r="CB41" i="2" a="1"/>
  <c r="CB87" i="2" a="1"/>
  <c r="CB63" i="2" a="1"/>
  <c r="CB101" i="2" a="1"/>
  <c r="CB57" i="2" a="1"/>
  <c r="CB31" i="2" a="1"/>
  <c r="CB90" i="2" a="1"/>
  <c r="CB54" i="2" a="1"/>
  <c r="CB85" i="2" a="1"/>
  <c r="CB34" i="2" a="1"/>
  <c r="CB59" i="2" a="1"/>
  <c r="CB64" i="2" a="1"/>
  <c r="CB103" i="2" a="1"/>
  <c r="CB81" i="2" a="1"/>
  <c r="CB66" i="2" a="1"/>
  <c r="CB94" i="2" a="1"/>
  <c r="CB100" i="2" a="1"/>
  <c r="CB79" i="2" a="1"/>
  <c r="CB50" i="2" a="1"/>
  <c r="CB77" i="2" a="1"/>
  <c r="CB107" i="2" a="1"/>
  <c r="CB108" i="2" a="1"/>
  <c r="CB58" i="2" a="1"/>
  <c r="CB76" i="2" a="1"/>
  <c r="CB91" i="2" a="1"/>
  <c r="CB91" i="2" l="1"/>
  <c r="CB76" i="2"/>
  <c r="CB58" i="2"/>
  <c r="CB108" i="2"/>
  <c r="CB107" i="2"/>
  <c r="CB77" i="2"/>
  <c r="CB50" i="2"/>
  <c r="CB79" i="2"/>
  <c r="CB100" i="2"/>
  <c r="CB94" i="2"/>
  <c r="CB66" i="2"/>
  <c r="CB81" i="2"/>
  <c r="CB103" i="2"/>
  <c r="CB64" i="2"/>
  <c r="CB59" i="2"/>
  <c r="CB34" i="2"/>
  <c r="CB85" i="2"/>
  <c r="CB54" i="2"/>
  <c r="CB90" i="2"/>
  <c r="CB31" i="2"/>
  <c r="CB57" i="2"/>
  <c r="CB101" i="2"/>
  <c r="CB63" i="2"/>
  <c r="CB87" i="2"/>
  <c r="CB41" i="2"/>
  <c r="CB69" i="2"/>
  <c r="CB96" i="2"/>
  <c r="CB93" i="2"/>
  <c r="CB60" i="2"/>
  <c r="CB86" i="2"/>
  <c r="CB83" i="2"/>
  <c r="CB88" i="2"/>
  <c r="CB75" i="2"/>
  <c r="CB43" i="2"/>
  <c r="CB104" i="2"/>
  <c r="CB98" i="2"/>
  <c r="CB92" i="2"/>
  <c r="CB42" i="2"/>
  <c r="CB110" i="2"/>
  <c r="CB95" i="2"/>
  <c r="CB55" i="2"/>
  <c r="CB72" i="2"/>
  <c r="CB112" i="2"/>
  <c r="CB37" i="2"/>
  <c r="CB39" i="2"/>
  <c r="CB38" i="2"/>
  <c r="CB46" i="2"/>
  <c r="CB44" i="2"/>
  <c r="CB109" i="2"/>
  <c r="CB53" i="2"/>
  <c r="CB32" i="2"/>
  <c r="CB106" i="2"/>
  <c r="CB48" i="2"/>
  <c r="CB78" i="2"/>
  <c r="CB67" i="2"/>
  <c r="CB71" i="2"/>
  <c r="CB89" i="2"/>
  <c r="CB82" i="2"/>
  <c r="CB113" i="2"/>
  <c r="CB49" i="2"/>
  <c r="CB47" i="2"/>
  <c r="CB111" i="2"/>
  <c r="CB102" i="2"/>
  <c r="CB80" i="2"/>
  <c r="CB114" i="2"/>
  <c r="CB84" i="2"/>
  <c r="CB97" i="2"/>
  <c r="CB33" i="2"/>
  <c r="CB36" i="2"/>
  <c r="CB70" i="2"/>
  <c r="CB65" i="2"/>
  <c r="CB35" i="2"/>
  <c r="CB56" i="2"/>
  <c r="CB40" i="2"/>
  <c r="CB73" i="2"/>
  <c r="CB61" i="2"/>
  <c r="CB68" i="2"/>
  <c r="CB99" i="2"/>
  <c r="CB62" i="2"/>
  <c r="CB45" i="2"/>
  <c r="CB105" i="2"/>
  <c r="CB74" i="2"/>
  <c r="CB51" i="2"/>
  <c r="CB52" i="2"/>
  <c r="BT122" i="2"/>
  <c r="BT118" i="2"/>
  <c r="BT126" i="2"/>
  <c r="BT128" i="2"/>
  <c r="BT124" i="2"/>
  <c r="CW134" i="2"/>
  <c r="CY134" i="2" s="1"/>
  <c r="CA136" i="2"/>
  <c r="BZ136" i="2"/>
  <c r="CA138" i="2"/>
  <c r="BZ138" i="2"/>
  <c r="BC118" i="2"/>
  <c r="BC120" i="2" s="1"/>
  <c r="BC122" i="2" s="1"/>
  <c r="BC124" i="2" s="1"/>
  <c r="BC126" i="2" s="1"/>
  <c r="BC128" i="2" s="1"/>
  <c r="BB116" i="2"/>
  <c r="BZ137" i="2"/>
  <c r="CA137" i="2"/>
  <c r="DL132" i="2"/>
  <c r="CY137" i="2"/>
  <c r="CY141" i="2" s="1"/>
  <c r="DQ116" i="2" a="1"/>
  <c r="DR116" i="2" a="1"/>
  <c r="DF116" i="2" a="1"/>
  <c r="DG116" i="2" a="1"/>
  <c r="DC116" i="2" a="1"/>
  <c r="DS116" i="2" a="1"/>
  <c r="DO116" i="2" a="1"/>
  <c r="DT116" i="2" a="1"/>
  <c r="CX116" i="2" a="1"/>
  <c r="DD116" i="2" a="1"/>
  <c r="DP116" i="2" a="1"/>
  <c r="DK116" i="2" a="1"/>
  <c r="DK116" i="2" l="1"/>
  <c r="DP116" i="2"/>
  <c r="DD116" i="2"/>
  <c r="CX116" i="2"/>
  <c r="BW116" i="2" s="1"/>
  <c r="DT116" i="2"/>
  <c r="DO116" i="2"/>
  <c r="DS116" i="2"/>
  <c r="DC116" i="2"/>
  <c r="DG116" i="2"/>
  <c r="DF116" i="2"/>
  <c r="DR116" i="2"/>
  <c r="DQ116" i="2"/>
  <c r="EF116" i="2"/>
  <c r="DI116" i="2"/>
  <c r="BB122" i="2"/>
  <c r="BZ116" i="2"/>
  <c r="BB118" i="2"/>
  <c r="CE116" i="2"/>
  <c r="ED116" i="2"/>
  <c r="BB126" i="2"/>
  <c r="DZ116" i="2"/>
  <c r="EA116" i="2"/>
  <c r="BT120" i="2"/>
  <c r="BZ139" i="2"/>
  <c r="CA139" i="2"/>
  <c r="CH26" i="2"/>
  <c r="DT126" i="2" a="1"/>
  <c r="DP126" i="2" a="1"/>
  <c r="DF126" i="2" a="1"/>
  <c r="DS126" i="2" a="1"/>
  <c r="DG126" i="2" a="1"/>
  <c r="DR126" i="2" a="1"/>
  <c r="DO126" i="2" a="1"/>
  <c r="DQ126" i="2" a="1"/>
  <c r="DD126" i="2" a="1"/>
  <c r="DC126" i="2" a="1"/>
  <c r="CX126" i="2" a="1"/>
  <c r="DK126" i="2" a="1"/>
  <c r="DE116" i="2" a="1"/>
  <c r="DO117" i="2" a="1"/>
  <c r="DH116" i="2" a="1"/>
  <c r="DO122" i="2" a="1"/>
  <c r="DT122" i="2" a="1"/>
  <c r="DD122" i="2" a="1"/>
  <c r="DC122" i="2" a="1"/>
  <c r="DS122" i="2" a="1"/>
  <c r="DK122" i="2" a="1"/>
  <c r="DP122" i="2" a="1"/>
  <c r="DF122" i="2" a="1"/>
  <c r="DQ122" i="2" a="1"/>
  <c r="DR122" i="2" a="1"/>
  <c r="DG122" i="2" a="1"/>
  <c r="DU116" i="2" a="1"/>
  <c r="DP118" i="2" a="1"/>
  <c r="CX118" i="2" a="1"/>
  <c r="DQ118" i="2" a="1"/>
  <c r="DF118" i="2" a="1"/>
  <c r="DG118" i="2" a="1"/>
  <c r="DR118" i="2" a="1"/>
  <c r="DC118" i="2" a="1"/>
  <c r="DS118" i="2" a="1"/>
  <c r="DD118" i="2" a="1"/>
  <c r="DO118" i="2" a="1"/>
  <c r="DT118" i="2" a="1"/>
  <c r="DK118" i="2" a="1"/>
  <c r="DK118" i="2" l="1"/>
  <c r="DT118" i="2"/>
  <c r="DO118" i="2"/>
  <c r="DD118" i="2"/>
  <c r="DS118" i="2"/>
  <c r="DC118" i="2"/>
  <c r="DR118" i="2"/>
  <c r="DG118" i="2"/>
  <c r="DF118" i="2"/>
  <c r="DQ118" i="2"/>
  <c r="CX118" i="2"/>
  <c r="BW118" i="2" s="1"/>
  <c r="DP118" i="2"/>
  <c r="DU116" i="2"/>
  <c r="DG122" i="2"/>
  <c r="DR122" i="2"/>
  <c r="DQ122" i="2"/>
  <c r="DF122" i="2"/>
  <c r="DP122" i="2"/>
  <c r="DK122" i="2"/>
  <c r="DS122" i="2"/>
  <c r="DC122" i="2"/>
  <c r="DD122" i="2"/>
  <c r="DT122" i="2"/>
  <c r="DO122" i="2"/>
  <c r="DH116" i="2"/>
  <c r="DO117" i="2"/>
  <c r="DN116" i="2" s="1"/>
  <c r="BX116" i="2" s="1"/>
  <c r="DE116" i="2"/>
  <c r="DK126" i="2"/>
  <c r="CX126" i="2"/>
  <c r="BW126" i="2" s="1"/>
  <c r="DC126" i="2"/>
  <c r="DD126" i="2"/>
  <c r="DQ126" i="2"/>
  <c r="DO126" i="2"/>
  <c r="DR126" i="2"/>
  <c r="DG126" i="2"/>
  <c r="DS126" i="2"/>
  <c r="DF126" i="2"/>
  <c r="DP126" i="2"/>
  <c r="DT126" i="2"/>
  <c r="EF118" i="2"/>
  <c r="CZ118" i="2"/>
  <c r="CW118" i="2"/>
  <c r="BU118" i="2" s="1"/>
  <c r="BB120" i="2"/>
  <c r="ED118" i="2"/>
  <c r="EA118" i="2"/>
  <c r="DZ118" i="2"/>
  <c r="BZ118" i="2"/>
  <c r="DI118" i="2"/>
  <c r="CE118" i="2"/>
  <c r="CH118" i="2" s="1"/>
  <c r="DL118" i="2"/>
  <c r="EV116" i="2"/>
  <c r="FC116" i="2" s="1"/>
  <c r="FB116" i="2"/>
  <c r="EU116" i="2"/>
  <c r="EY116" i="2"/>
  <c r="EX116" i="2"/>
  <c r="EW116" i="2"/>
  <c r="FA116" i="2"/>
  <c r="EZ116" i="2"/>
  <c r="ET116" i="2"/>
  <c r="BY139" i="2"/>
  <c r="EO116" i="2"/>
  <c r="ED122" i="2"/>
  <c r="EA122" i="2"/>
  <c r="DZ122" i="2"/>
  <c r="DL122" i="2"/>
  <c r="CZ122" i="2"/>
  <c r="BZ122" i="2"/>
  <c r="CE122" i="2"/>
  <c r="CH122" i="2" s="1"/>
  <c r="EF122" i="2"/>
  <c r="BB124" i="2"/>
  <c r="CW122" i="2"/>
  <c r="BU122" i="2" s="1"/>
  <c r="DI122" i="2"/>
  <c r="BB128" i="2"/>
  <c r="EF126" i="2"/>
  <c r="CZ126" i="2"/>
  <c r="BZ126" i="2"/>
  <c r="ED126" i="2"/>
  <c r="EA126" i="2"/>
  <c r="DL126" i="2"/>
  <c r="CE126" i="2"/>
  <c r="DZ126" i="2"/>
  <c r="CW126" i="2"/>
  <c r="BU126" i="2" s="1"/>
  <c r="DI126" i="2"/>
  <c r="L116" i="2"/>
  <c r="L118" i="2"/>
  <c r="L124" i="2"/>
  <c r="L120" i="2"/>
  <c r="L128" i="2"/>
  <c r="L126" i="2"/>
  <c r="L122" i="2"/>
  <c r="CH116" i="2"/>
  <c r="DL130" i="2"/>
  <c r="DL137" i="2" s="1"/>
  <c r="DL141" i="2" s="1"/>
  <c r="DL116" i="2" s="1"/>
  <c r="CW137" i="2"/>
  <c r="CW141" i="2" s="1"/>
  <c r="CW116" i="2" s="1"/>
  <c r="BU116" i="2" s="1"/>
  <c r="BW28" i="2"/>
  <c r="BU28" i="2"/>
  <c r="BP28" i="2"/>
  <c r="BI28" i="2"/>
  <c r="CK29" i="2"/>
  <c r="CI29" i="2"/>
  <c r="CJ29" i="2"/>
  <c r="BW27" i="2"/>
  <c r="BU27" i="2"/>
  <c r="BW26" i="2"/>
  <c r="BU26" i="2"/>
  <c r="BZ25" i="2"/>
  <c r="BY25" i="2"/>
  <c r="BX25" i="2"/>
  <c r="BW25" i="2"/>
  <c r="BU25" i="2"/>
  <c r="CH24" i="2"/>
  <c r="BW24" i="2"/>
  <c r="BV24" i="2"/>
  <c r="BU24" i="2"/>
  <c r="BU22" i="2"/>
  <c r="BW22" i="2"/>
  <c r="BU23" i="2"/>
  <c r="BW23" i="2"/>
  <c r="N17" i="2"/>
  <c r="ED1" i="2"/>
  <c r="EA1" i="2"/>
  <c r="DZ1" i="2"/>
  <c r="DT1" i="2"/>
  <c r="DS1" i="2"/>
  <c r="DR1" i="2"/>
  <c r="DQ1" i="2"/>
  <c r="DP1" i="2"/>
  <c r="DO1" i="2"/>
  <c r="DL1" i="2"/>
  <c r="DK1" i="2"/>
  <c r="DI1" i="2"/>
  <c r="DH1" i="2"/>
  <c r="DG1" i="2"/>
  <c r="DF1" i="2"/>
  <c r="DE1" i="2"/>
  <c r="DH126" i="2" a="1"/>
  <c r="DF120" i="2" a="1"/>
  <c r="DQ120" i="2" a="1"/>
  <c r="DK120" i="2" a="1"/>
  <c r="DP120" i="2" a="1"/>
  <c r="DR120" i="2" a="1"/>
  <c r="DG120" i="2" a="1"/>
  <c r="DC120" i="2" a="1"/>
  <c r="DS120" i="2" a="1"/>
  <c r="DD120" i="2" a="1"/>
  <c r="DO120" i="2" a="1"/>
  <c r="CX120" i="2" a="1"/>
  <c r="DT120" i="2" a="1"/>
  <c r="DU122" i="2" a="1"/>
  <c r="DU126" i="2" a="1"/>
  <c r="CB116" i="2" a="1"/>
  <c r="DE122" i="2" a="1"/>
  <c r="DN122" i="2" a="1"/>
  <c r="DE118" i="2" a="1"/>
  <c r="DH122" i="2" a="1"/>
  <c r="DE126" i="2" a="1"/>
  <c r="DG124" i="2" a="1"/>
  <c r="DC124" i="2" a="1"/>
  <c r="DS124" i="2" a="1"/>
  <c r="DR124" i="2" a="1"/>
  <c r="DD124" i="2" a="1"/>
  <c r="DO124" i="2" a="1"/>
  <c r="DT124" i="2" a="1"/>
  <c r="CX124" i="2" a="1"/>
  <c r="DK124" i="2" a="1"/>
  <c r="DP124" i="2" a="1"/>
  <c r="DF124" i="2" a="1"/>
  <c r="DQ124" i="2" a="1"/>
  <c r="DU118" i="2" a="1"/>
  <c r="DN126" i="2" a="1"/>
  <c r="DH118" i="2" a="1"/>
  <c r="DN118" i="2" a="1"/>
  <c r="DR128" i="2" a="1"/>
  <c r="DT128" i="2" a="1"/>
  <c r="DO128" i="2" a="1"/>
  <c r="DG128" i="2" a="1"/>
  <c r="DS128" i="2" a="1"/>
  <c r="DF128" i="2" a="1"/>
  <c r="DP128" i="2" a="1"/>
  <c r="DQ128" i="2" a="1"/>
  <c r="DK128" i="2" a="1"/>
  <c r="DC128" i="2" a="1"/>
  <c r="CX128" i="2" a="1"/>
  <c r="DD128" i="2" a="1"/>
  <c r="CA116" i="2" a="1"/>
  <c r="BY116" i="2" a="1"/>
  <c r="BY116" i="2" l="1"/>
  <c r="BY1" i="2" s="1"/>
  <c r="CA116" i="2"/>
  <c r="DD128" i="2"/>
  <c r="CX128" i="2"/>
  <c r="BW128" i="2" s="1"/>
  <c r="FM128" i="2" s="1"/>
  <c r="DC128" i="2"/>
  <c r="DK128" i="2"/>
  <c r="DQ128" i="2"/>
  <c r="DP128" i="2"/>
  <c r="DF128" i="2"/>
  <c r="DS128" i="2"/>
  <c r="DG128" i="2"/>
  <c r="DO128" i="2"/>
  <c r="DT128" i="2"/>
  <c r="DR128" i="2"/>
  <c r="DN118" i="2"/>
  <c r="BX118" i="2" s="1"/>
  <c r="DH118" i="2"/>
  <c r="DN126" i="2"/>
  <c r="BX126" i="2" s="1"/>
  <c r="DU118" i="2"/>
  <c r="DQ124" i="2"/>
  <c r="DF124" i="2"/>
  <c r="DP124" i="2"/>
  <c r="DK124" i="2"/>
  <c r="CX124" i="2"/>
  <c r="DT124" i="2"/>
  <c r="DO124" i="2"/>
  <c r="DD124" i="2"/>
  <c r="DR124" i="2"/>
  <c r="DS124" i="2"/>
  <c r="DC124" i="2"/>
  <c r="DG124" i="2"/>
  <c r="DE126" i="2"/>
  <c r="DH122" i="2"/>
  <c r="DE118" i="2"/>
  <c r="DN122" i="2"/>
  <c r="BX122" i="2" s="1"/>
  <c r="DE122" i="2"/>
  <c r="CB116" i="2"/>
  <c r="DU126" i="2"/>
  <c r="DU122" i="2"/>
  <c r="DT120" i="2"/>
  <c r="CX120" i="2"/>
  <c r="BW120" i="2" s="1"/>
  <c r="FM120" i="2" s="1"/>
  <c r="DO120" i="2"/>
  <c r="DD120" i="2"/>
  <c r="DS120" i="2"/>
  <c r="DC120" i="2"/>
  <c r="DG120" i="2"/>
  <c r="DR120" i="2"/>
  <c r="DP120" i="2"/>
  <c r="DK120" i="2"/>
  <c r="DQ120" i="2"/>
  <c r="DF120" i="2"/>
  <c r="DH126" i="2"/>
  <c r="CA117" i="2"/>
  <c r="CB117" i="2" s="1"/>
  <c r="EA128" i="2"/>
  <c r="BZ128" i="2"/>
  <c r="DZ128" i="2"/>
  <c r="CZ128" i="2"/>
  <c r="CE128" i="2"/>
  <c r="EF128" i="2"/>
  <c r="DL128" i="2"/>
  <c r="CW128" i="2"/>
  <c r="BU128" i="2" s="1"/>
  <c r="DI128" i="2"/>
  <c r="ED128" i="2"/>
  <c r="CH126" i="2"/>
  <c r="EO118" i="2"/>
  <c r="DZ124" i="2"/>
  <c r="DL124" i="2"/>
  <c r="BZ124" i="2"/>
  <c r="CE124" i="2"/>
  <c r="CH124" i="2" s="1"/>
  <c r="DI124" i="2"/>
  <c r="CW124" i="2"/>
  <c r="BU124" i="2" s="1"/>
  <c r="EA124" i="2"/>
  <c r="CZ124" i="2"/>
  <c r="ED124" i="2"/>
  <c r="EF124" i="2"/>
  <c r="CK25" i="2"/>
  <c r="CI27" i="2" s="1"/>
  <c r="EO126" i="2"/>
  <c r="FY23" i="2"/>
  <c r="EO122" i="2"/>
  <c r="CW120" i="2"/>
  <c r="BU120" i="2" s="1"/>
  <c r="CE120" i="2"/>
  <c r="DI120" i="2"/>
  <c r="EF120" i="2"/>
  <c r="ED120" i="2"/>
  <c r="EA120" i="2"/>
  <c r="DZ120" i="2"/>
  <c r="CZ120" i="2"/>
  <c r="DL120" i="2"/>
  <c r="BZ120" i="2"/>
  <c r="CK23" i="2"/>
  <c r="CK27" i="2"/>
  <c r="CJ27" i="2"/>
  <c r="DD1" i="2"/>
  <c r="DC1" i="2"/>
  <c r="CK1" i="2"/>
  <c r="CJ1" i="2"/>
  <c r="CI1" i="2"/>
  <c r="CH1" i="2"/>
  <c r="CE1" i="2"/>
  <c r="CB1" i="2"/>
  <c r="CA1" i="2"/>
  <c r="BZ1" i="2"/>
  <c r="BX1" i="2"/>
  <c r="BW1" i="2"/>
  <c r="BU1" i="2"/>
  <c r="BT1" i="2"/>
  <c r="BS1" i="2"/>
  <c r="BR1" i="2"/>
  <c r="BQ1" i="2"/>
  <c r="BP1" i="2"/>
  <c r="BO1" i="2"/>
  <c r="BN1" i="2"/>
  <c r="BM1" i="2"/>
  <c r="BL1" i="2"/>
  <c r="BK1" i="2"/>
  <c r="BJ1" i="2"/>
  <c r="BI1" i="2"/>
  <c r="BH1" i="2"/>
  <c r="BG1" i="2"/>
  <c r="BF1" i="2"/>
  <c r="BE1" i="2"/>
  <c r="BD1" i="2"/>
  <c r="BC1" i="2"/>
  <c r="BB1" i="2"/>
  <c r="L1" i="2"/>
  <c r="GB22" i="2"/>
  <c r="GA28" i="2"/>
  <c r="FX28" i="2" s="1"/>
  <c r="GN31" i="2"/>
  <c r="GO31" i="2" s="1"/>
  <c r="GP31" i="2"/>
  <c r="GN32" i="2"/>
  <c r="GO32" i="2" s="1"/>
  <c r="GN33" i="2"/>
  <c r="GO33" i="2" s="1"/>
  <c r="GP33" i="2"/>
  <c r="GN34" i="2"/>
  <c r="GO34" i="2" s="1"/>
  <c r="GN35" i="2"/>
  <c r="GO35" i="2" s="1"/>
  <c r="GP35" i="2"/>
  <c r="GN36" i="2"/>
  <c r="GO36" i="2" s="1"/>
  <c r="GN37" i="2"/>
  <c r="GO37" i="2" s="1"/>
  <c r="GN38" i="2"/>
  <c r="GO38" i="2" s="1"/>
  <c r="GN39" i="2"/>
  <c r="GO39" i="2" s="1"/>
  <c r="GP39" i="2"/>
  <c r="GN40" i="2"/>
  <c r="GO40" i="2" s="1"/>
  <c r="GN41" i="2"/>
  <c r="GO41" i="2" s="1"/>
  <c r="GP41" i="2"/>
  <c r="GN42" i="2"/>
  <c r="GO42" i="2" s="1"/>
  <c r="GN43" i="2"/>
  <c r="GO43" i="2" s="1"/>
  <c r="GP43" i="2"/>
  <c r="GN44" i="2"/>
  <c r="GO44" i="2" s="1"/>
  <c r="GN45" i="2"/>
  <c r="GO45" i="2" s="1"/>
  <c r="GN46" i="2"/>
  <c r="GO46" i="2" s="1"/>
  <c r="GN47" i="2"/>
  <c r="GO47" i="2" s="1"/>
  <c r="GP47" i="2"/>
  <c r="GN48" i="2"/>
  <c r="GO48" i="2" s="1"/>
  <c r="GN49" i="2"/>
  <c r="GO49" i="2" s="1"/>
  <c r="GP49" i="2"/>
  <c r="GN50" i="2"/>
  <c r="GO50" i="2" s="1"/>
  <c r="GN51" i="2"/>
  <c r="GO51" i="2" s="1"/>
  <c r="GP51" i="2"/>
  <c r="GN52" i="2"/>
  <c r="GO52" i="2" s="1"/>
  <c r="GN53" i="2"/>
  <c r="GO53" i="2" s="1"/>
  <c r="GN54" i="2"/>
  <c r="GO54" i="2" s="1"/>
  <c r="GN55" i="2"/>
  <c r="GO55" i="2" s="1"/>
  <c r="GP55" i="2"/>
  <c r="GN56" i="2"/>
  <c r="GO56" i="2" s="1"/>
  <c r="GN57" i="2"/>
  <c r="GO57" i="2" s="1"/>
  <c r="GP57" i="2"/>
  <c r="GN58" i="2"/>
  <c r="GO58" i="2" s="1"/>
  <c r="GN59" i="2"/>
  <c r="GO59" i="2" s="1"/>
  <c r="GP59" i="2"/>
  <c r="GN60" i="2"/>
  <c r="GO60" i="2" s="1"/>
  <c r="GN61" i="2"/>
  <c r="GO61" i="2" s="1"/>
  <c r="GN62" i="2"/>
  <c r="GO62" i="2" s="1"/>
  <c r="GN63" i="2"/>
  <c r="GO63" i="2" s="1"/>
  <c r="GP63" i="2"/>
  <c r="GN64" i="2"/>
  <c r="GO64" i="2" s="1"/>
  <c r="GN65" i="2"/>
  <c r="GO65" i="2"/>
  <c r="GP65" i="2"/>
  <c r="GN66" i="2"/>
  <c r="GO66" i="2" s="1"/>
  <c r="GN67" i="2"/>
  <c r="GO67" i="2"/>
  <c r="GP67" i="2"/>
  <c r="GN68" i="2"/>
  <c r="GO68" i="2" s="1"/>
  <c r="GN69" i="2"/>
  <c r="GO69" i="2"/>
  <c r="GP69" i="2"/>
  <c r="GN70" i="2"/>
  <c r="GO70" i="2" s="1"/>
  <c r="GN71" i="2"/>
  <c r="GO71" i="2"/>
  <c r="GP71" i="2"/>
  <c r="GN72" i="2"/>
  <c r="GO72" i="2" s="1"/>
  <c r="GN73" i="2"/>
  <c r="GO73" i="2" s="1"/>
  <c r="GP73" i="2"/>
  <c r="GN74" i="2"/>
  <c r="GO74" i="2" s="1"/>
  <c r="GN75" i="2"/>
  <c r="GO75" i="2"/>
  <c r="GP75" i="2"/>
  <c r="GN76" i="2"/>
  <c r="GO76" i="2" s="1"/>
  <c r="GN77" i="2"/>
  <c r="GO77" i="2"/>
  <c r="GP77" i="2"/>
  <c r="GN78" i="2"/>
  <c r="GO78" i="2" s="1"/>
  <c r="GN79" i="2"/>
  <c r="GO79" i="2"/>
  <c r="GP79" i="2"/>
  <c r="GN80" i="2"/>
  <c r="GO80" i="2" s="1"/>
  <c r="GN81" i="2"/>
  <c r="GO81" i="2"/>
  <c r="GP81" i="2"/>
  <c r="GN82" i="2"/>
  <c r="GO82" i="2" s="1"/>
  <c r="GN83" i="2"/>
  <c r="GO83" i="2"/>
  <c r="GP83" i="2"/>
  <c r="GN84" i="2"/>
  <c r="GO84" i="2" s="1"/>
  <c r="GN85" i="2"/>
  <c r="GO85" i="2"/>
  <c r="GP85" i="2"/>
  <c r="GN86" i="2"/>
  <c r="GO86" i="2" s="1"/>
  <c r="GN87" i="2"/>
  <c r="GO87" i="2"/>
  <c r="GP87" i="2"/>
  <c r="GN88" i="2"/>
  <c r="GO88" i="2" s="1"/>
  <c r="GN89" i="2"/>
  <c r="GO89" i="2"/>
  <c r="GP89" i="2"/>
  <c r="GN90" i="2"/>
  <c r="GO90" i="2" s="1"/>
  <c r="GN91" i="2"/>
  <c r="GO91" i="2"/>
  <c r="GP91" i="2"/>
  <c r="GN92" i="2"/>
  <c r="GO92" i="2" s="1"/>
  <c r="GN93" i="2"/>
  <c r="GO93" i="2"/>
  <c r="GP93" i="2"/>
  <c r="GN94" i="2"/>
  <c r="GO94" i="2" s="1"/>
  <c r="GN95" i="2"/>
  <c r="GO95" i="2"/>
  <c r="GP95" i="2"/>
  <c r="GN96" i="2"/>
  <c r="GO96" i="2" s="1"/>
  <c r="GN97" i="2"/>
  <c r="GO97" i="2"/>
  <c r="GP97" i="2"/>
  <c r="GN98" i="2"/>
  <c r="GO98" i="2" s="1"/>
  <c r="GN99" i="2"/>
  <c r="GO99" i="2"/>
  <c r="GP99" i="2"/>
  <c r="GN100" i="2"/>
  <c r="GO100" i="2" s="1"/>
  <c r="GN101" i="2"/>
  <c r="GO101" i="2"/>
  <c r="GP101" i="2"/>
  <c r="GN102" i="2"/>
  <c r="GO102" i="2" s="1"/>
  <c r="GN103" i="2"/>
  <c r="GO103" i="2"/>
  <c r="GP103" i="2"/>
  <c r="GN104" i="2"/>
  <c r="GO104" i="2" s="1"/>
  <c r="GN105" i="2"/>
  <c r="GO105" i="2"/>
  <c r="GP105" i="2"/>
  <c r="GN106" i="2"/>
  <c r="GO106" i="2" s="1"/>
  <c r="GN107" i="2"/>
  <c r="GO107" i="2"/>
  <c r="GP107" i="2"/>
  <c r="GN108" i="2"/>
  <c r="GO108" i="2" s="1"/>
  <c r="GN109" i="2"/>
  <c r="GO109" i="2"/>
  <c r="GP109" i="2"/>
  <c r="GN110" i="2"/>
  <c r="GO110" i="2" s="1"/>
  <c r="GN111" i="2"/>
  <c r="GO111" i="2"/>
  <c r="GP111" i="2"/>
  <c r="GN112" i="2"/>
  <c r="GO112" i="2" s="1"/>
  <c r="GN113" i="2"/>
  <c r="GO113" i="2" s="1"/>
  <c r="GP113" i="2"/>
  <c r="GN114" i="2"/>
  <c r="GO114" i="2" s="1"/>
  <c r="GA118" i="2"/>
  <c r="GB118" i="2"/>
  <c r="GB119" i="2"/>
  <c r="GA120" i="2"/>
  <c r="FX120" i="2" s="1"/>
  <c r="GB120" i="2"/>
  <c r="GB121" i="2"/>
  <c r="GA122" i="2"/>
  <c r="FX122" i="2" s="1"/>
  <c r="GB122" i="2"/>
  <c r="GB123" i="2"/>
  <c r="GA124" i="2"/>
  <c r="FX124" i="2" s="1"/>
  <c r="GB124" i="2"/>
  <c r="GB125" i="2"/>
  <c r="GA126" i="2"/>
  <c r="FX126" i="2" s="1"/>
  <c r="GB126" i="2"/>
  <c r="GB127" i="2"/>
  <c r="GA128" i="2"/>
  <c r="FX128" i="2" s="1"/>
  <c r="GB128" i="2"/>
  <c r="GN116" i="2"/>
  <c r="GM116" i="2"/>
  <c r="GA30" i="2"/>
  <c r="FX30" i="2" s="1"/>
  <c r="CB118" i="2" a="1"/>
  <c r="BY122" i="2" a="1"/>
  <c r="DU124" i="2" a="1"/>
  <c r="DH128" i="2" a="1"/>
  <c r="DE120" i="2" a="1"/>
  <c r="DE128" i="2" a="1"/>
  <c r="DE124" i="2" a="1"/>
  <c r="CB126" i="2" a="1"/>
  <c r="DH120" i="2" a="1"/>
  <c r="DN128" i="2" a="1"/>
  <c r="DH124" i="2" a="1"/>
  <c r="CB122" i="2" a="1"/>
  <c r="DU120" i="2" a="1"/>
  <c r="CA118" i="2" a="1"/>
  <c r="BY118" i="2" a="1"/>
  <c r="CA126" i="2" a="1"/>
  <c r="BY126" i="2" a="1"/>
  <c r="DU128" i="2" a="1"/>
  <c r="DN124" i="2" a="1"/>
  <c r="DN120" i="2" a="1"/>
  <c r="DN120" i="2" l="1"/>
  <c r="BX120" i="2" s="1"/>
  <c r="DN124" i="2"/>
  <c r="BX124" i="2" s="1"/>
  <c r="DU128" i="2"/>
  <c r="BY126" i="2"/>
  <c r="CA126" i="2"/>
  <c r="BY118" i="2"/>
  <c r="CA118" i="2"/>
  <c r="DU120" i="2"/>
  <c r="CB122" i="2"/>
  <c r="DH124" i="2"/>
  <c r="DN128" i="2"/>
  <c r="BX128" i="2" s="1"/>
  <c r="DH120" i="2"/>
  <c r="CB126" i="2"/>
  <c r="DE124" i="2"/>
  <c r="DE128" i="2"/>
  <c r="DE120" i="2"/>
  <c r="DH128" i="2"/>
  <c r="DU124" i="2"/>
  <c r="BY122" i="2"/>
  <c r="CB118" i="2"/>
  <c r="EO128" i="2"/>
  <c r="GP114" i="2"/>
  <c r="GP61" i="2"/>
  <c r="GP45" i="2"/>
  <c r="BW124" i="2"/>
  <c r="CX122" i="2"/>
  <c r="BW122" i="2" s="1"/>
  <c r="CA119" i="2"/>
  <c r="CB119" i="2" s="1"/>
  <c r="EO120" i="2"/>
  <c r="CH120" i="2"/>
  <c r="GP112" i="2"/>
  <c r="GP53" i="2"/>
  <c r="GP37" i="2"/>
  <c r="CH128" i="2"/>
  <c r="EO124" i="2"/>
  <c r="GP110" i="2"/>
  <c r="GP108" i="2"/>
  <c r="GP106" i="2"/>
  <c r="GP104" i="2"/>
  <c r="GP102" i="2"/>
  <c r="GP100" i="2"/>
  <c r="GP98" i="2"/>
  <c r="GP96" i="2"/>
  <c r="GP94" i="2"/>
  <c r="GP92" i="2"/>
  <c r="GP90" i="2"/>
  <c r="GP88" i="2"/>
  <c r="GP86" i="2"/>
  <c r="GP84" i="2"/>
  <c r="GP82" i="2"/>
  <c r="GP80" i="2"/>
  <c r="GP78" i="2"/>
  <c r="GP76" i="2"/>
  <c r="GP74" i="2"/>
  <c r="GP72" i="2"/>
  <c r="GP70" i="2"/>
  <c r="GP68" i="2"/>
  <c r="GP66" i="2"/>
  <c r="GP64" i="2"/>
  <c r="GP62" i="2"/>
  <c r="GP60" i="2"/>
  <c r="GP58" i="2"/>
  <c r="GP56" i="2"/>
  <c r="GP54" i="2"/>
  <c r="GP52" i="2"/>
  <c r="GP50" i="2"/>
  <c r="GP48" i="2"/>
  <c r="GP46" i="2"/>
  <c r="GP44" i="2"/>
  <c r="GP42" i="2"/>
  <c r="GP40" i="2"/>
  <c r="GP38" i="2"/>
  <c r="GP36" i="2"/>
  <c r="GP34" i="2"/>
  <c r="GP32" i="2"/>
  <c r="DA510" i="2"/>
  <c r="CA120" i="2" a="1"/>
  <c r="BY120" i="2" a="1"/>
  <c r="CA124" i="2" a="1"/>
  <c r="BY124" i="2" a="1"/>
  <c r="CB124" i="2" a="1"/>
  <c r="CA122" i="2" a="1"/>
  <c r="CB128" i="2" a="1"/>
  <c r="CA128" i="2" a="1"/>
  <c r="BY128" i="2" a="1"/>
  <c r="CB120" i="2" a="1"/>
  <c r="CB120" i="2" l="1"/>
  <c r="BY128" i="2"/>
  <c r="CA128" i="2"/>
  <c r="CB128" i="2"/>
  <c r="CA122" i="2"/>
  <c r="GM122" i="2" s="1"/>
  <c r="CB124" i="2"/>
  <c r="BY124" i="2"/>
  <c r="CA124" i="2"/>
  <c r="BY120" i="2"/>
  <c r="CA120" i="2"/>
  <c r="GM124" i="2"/>
  <c r="W510" i="2"/>
  <c r="C510" i="2" l="1"/>
  <c r="D510" i="2"/>
  <c r="G510" i="2"/>
  <c r="I510" i="2"/>
  <c r="CV510" i="2"/>
  <c r="BB510" i="2" s="1"/>
  <c r="CR510" i="2"/>
  <c r="CW510" i="2" a="1"/>
  <c r="BE510" i="2" l="1"/>
  <c r="BM510" i="2"/>
  <c r="BF510" i="2"/>
  <c r="BN510" i="2"/>
  <c r="BG510" i="2"/>
  <c r="BO510" i="2"/>
  <c r="BH510" i="2"/>
  <c r="BP510" i="2"/>
  <c r="BI510" i="2"/>
  <c r="BT510" i="2"/>
  <c r="BZ510" i="2" s="1"/>
  <c r="EO510" i="2" s="1"/>
  <c r="BJ510" i="2"/>
  <c r="BK510" i="2"/>
  <c r="BS510" i="2"/>
  <c r="BS518" i="2" s="1"/>
  <c r="BD510" i="2"/>
  <c r="BL510" i="2"/>
  <c r="BQ510" i="2"/>
  <c r="BR510" i="2" s="1"/>
  <c r="BR518" i="2" s="1"/>
  <c r="CW510" i="2"/>
  <c r="BU510" i="2" s="1"/>
  <c r="BV510" i="2"/>
  <c r="DV510" i="2" a="1"/>
  <c r="DV510" i="2" s="1"/>
  <c r="CC510" i="2" s="1"/>
  <c r="EE510" i="2" s="1"/>
  <c r="CE510" i="2"/>
  <c r="CL510" i="2"/>
  <c r="CI510" i="2" s="1"/>
  <c r="CM510" i="2"/>
  <c r="CJ510" i="2" s="1"/>
  <c r="CN510" i="2"/>
  <c r="CK510" i="2" s="1"/>
  <c r="CT510" i="2"/>
  <c r="CU510" i="2"/>
  <c r="DB510" i="2"/>
  <c r="DI510" i="2" a="1"/>
  <c r="DI510" i="2" s="1"/>
  <c r="DJ510" i="2" a="1"/>
  <c r="DJ510" i="2" s="1"/>
  <c r="DW510" i="2" a="1"/>
  <c r="DW510" i="2" s="1"/>
  <c r="DX510" i="2" a="1"/>
  <c r="DX510" i="2" s="1"/>
  <c r="DY510" i="2" a="1"/>
  <c r="DY510" i="2" s="1"/>
  <c r="DZ510" i="2" a="1"/>
  <c r="DZ510" i="2" s="1"/>
  <c r="EB510" i="2" a="1"/>
  <c r="EB510" i="2" s="1"/>
  <c r="ED510" i="2"/>
  <c r="EF510" i="2"/>
  <c r="EI510" i="2"/>
  <c r="EJ510" i="2"/>
  <c r="EK510" i="2"/>
  <c r="EL510" i="2"/>
  <c r="EM510" i="2"/>
  <c r="FK510" i="2"/>
  <c r="FN510" i="2"/>
  <c r="FX510" i="2"/>
  <c r="GN510" i="2"/>
  <c r="GO510" i="2" s="1"/>
  <c r="E518" i="2"/>
  <c r="F518" i="2"/>
  <c r="BV518" i="2" s="1"/>
  <c r="G518" i="2"/>
  <c r="J518" i="2" s="1"/>
  <c r="I518" i="2"/>
  <c r="X518" i="2"/>
  <c r="Y518" i="2"/>
  <c r="Z518" i="2"/>
  <c r="AA518" i="2"/>
  <c r="AB518" i="2"/>
  <c r="AC518" i="2"/>
  <c r="AD518" i="2"/>
  <c r="AE518" i="2"/>
  <c r="AF518" i="2"/>
  <c r="AG518" i="2"/>
  <c r="AH518" i="2"/>
  <c r="AI518" i="2"/>
  <c r="AJ518" i="2"/>
  <c r="AK518" i="2"/>
  <c r="AL518" i="2"/>
  <c r="AM518" i="2"/>
  <c r="AN518" i="2"/>
  <c r="AO518" i="2"/>
  <c r="AP518" i="2"/>
  <c r="AQ518" i="2"/>
  <c r="AR518" i="2"/>
  <c r="AS518" i="2"/>
  <c r="AT518" i="2"/>
  <c r="AU518" i="2"/>
  <c r="AV518" i="2"/>
  <c r="AW518" i="2"/>
  <c r="AX518" i="2"/>
  <c r="AY518" i="2"/>
  <c r="AZ518" i="2"/>
  <c r="BA518" i="2"/>
  <c r="BC518" i="2"/>
  <c r="BD518" i="2"/>
  <c r="BE518" i="2"/>
  <c r="BF518" i="2"/>
  <c r="BG518" i="2"/>
  <c r="BH518" i="2"/>
  <c r="BI518" i="2"/>
  <c r="BJ518" i="2"/>
  <c r="BK518" i="2"/>
  <c r="BL518" i="2"/>
  <c r="BM518" i="2"/>
  <c r="BN518" i="2"/>
  <c r="BO518" i="2"/>
  <c r="BP518" i="2"/>
  <c r="BQ518" i="2"/>
  <c r="BT518" i="2"/>
  <c r="CW518" i="2"/>
  <c r="BU518" i="2" s="1"/>
  <c r="DG510" i="2" a="1"/>
  <c r="DQ510" i="2" a="1"/>
  <c r="DP510" i="2" a="1"/>
  <c r="DT510" i="2" a="1"/>
  <c r="CQ510" i="2" a="1"/>
  <c r="DL510" i="2" a="1"/>
  <c r="DD510" i="2" a="1"/>
  <c r="CP510" i="2" a="1"/>
  <c r="CY510" i="2" a="1"/>
  <c r="DF510" i="2" a="1"/>
  <c r="EA510" i="2" a="1"/>
  <c r="EC510" i="2" a="1"/>
  <c r="FL510" i="2" a="1"/>
  <c r="DU510" i="2" a="1"/>
  <c r="EN510" i="2" a="1"/>
  <c r="DR510" i="2" a="1"/>
  <c r="CD510" i="2" a="1"/>
  <c r="CX510" i="2" a="1"/>
  <c r="DO510" i="2" a="1"/>
  <c r="DS510" i="2" a="1"/>
  <c r="DK510" i="2" a="1"/>
  <c r="CZ510" i="2" a="1"/>
  <c r="DM510" i="2" a="1"/>
  <c r="CO510" i="2" a="1"/>
  <c r="DN510" i="2" a="1"/>
  <c r="DC510" i="2" a="1"/>
  <c r="BC510" i="2" l="1"/>
  <c r="EH510" i="2" s="1"/>
  <c r="FL510" i="2"/>
  <c r="EQ510" i="2" s="1"/>
  <c r="DO510" i="2"/>
  <c r="CX510" i="2"/>
  <c r="BW510" i="2" s="1"/>
  <c r="EN510" i="2"/>
  <c r="DD510" i="2"/>
  <c r="EC510" i="2"/>
  <c r="DU510" i="2"/>
  <c r="DT510" i="2"/>
  <c r="DM510" i="2"/>
  <c r="CQ510" i="2"/>
  <c r="DS510" i="2"/>
  <c r="DL510" i="2"/>
  <c r="DC510" i="2"/>
  <c r="CP510" i="2"/>
  <c r="EA510" i="2"/>
  <c r="DR510" i="2"/>
  <c r="DG510" i="2"/>
  <c r="CO510" i="2"/>
  <c r="DN510" i="2"/>
  <c r="BX510" i="2" s="1"/>
  <c r="DQ510" i="2"/>
  <c r="CZ510" i="2"/>
  <c r="CD510" i="2"/>
  <c r="DK510" i="2"/>
  <c r="DP510" i="2"/>
  <c r="DF510" i="2"/>
  <c r="CY510" i="2"/>
  <c r="CH510" i="2"/>
  <c r="BB518" i="2"/>
  <c r="GP510" i="2"/>
  <c r="DN519" i="2"/>
  <c r="DN518" i="2" s="1"/>
  <c r="BX518" i="2" s="1"/>
  <c r="CC518" i="2"/>
  <c r="CI518" i="2"/>
  <c r="CJ518" i="2"/>
  <c r="CK518" i="2"/>
  <c r="CR518" i="2"/>
  <c r="CT518" i="2"/>
  <c r="CZ518" i="2"/>
  <c r="DA518" i="2"/>
  <c r="DB518" i="2" s="1"/>
  <c r="CF510" i="2" a="1"/>
  <c r="DC518" i="2" a="1"/>
  <c r="BY518" i="2" a="1"/>
  <c r="CB510" i="2" a="1"/>
  <c r="CX518" i="2" a="1"/>
  <c r="DH510" i="2" a="1"/>
  <c r="CA510" i="2" a="1"/>
  <c r="CG510" i="2" a="1"/>
  <c r="BY510" i="2" a="1"/>
  <c r="DE510" i="2" a="1"/>
  <c r="CX518" i="2" l="1"/>
  <c r="BW518" i="2" s="1"/>
  <c r="CE518" i="2"/>
  <c r="BZ518" i="2"/>
  <c r="CB510" i="2"/>
  <c r="FB510" i="2" s="1"/>
  <c r="DE510" i="2"/>
  <c r="EG510" i="2" s="1"/>
  <c r="CG510" i="2"/>
  <c r="BY510" i="2"/>
  <c r="CA510" i="2"/>
  <c r="EZ510" i="2" s="1"/>
  <c r="DH510" i="2"/>
  <c r="BY518" i="2"/>
  <c r="CF510" i="2"/>
  <c r="ET510" i="2"/>
  <c r="EV510" i="2"/>
  <c r="FC510" i="2" s="1"/>
  <c r="EW510" i="2"/>
  <c r="EX510" i="2"/>
  <c r="FA510" i="2"/>
  <c r="EY510" i="2"/>
  <c r="DC518" i="2"/>
  <c r="DI518" i="2"/>
  <c r="DL518" i="2"/>
  <c r="DZ518" i="2"/>
  <c r="EA518" i="2"/>
  <c r="ED518" i="2"/>
  <c r="EF518" i="2"/>
  <c r="EH518" i="2"/>
  <c r="EI518" i="2"/>
  <c r="EP518" i="2"/>
  <c r="FK518" i="2"/>
  <c r="FM518" i="2"/>
  <c r="GB518" i="2"/>
  <c r="GN518" i="2"/>
  <c r="I519" i="2"/>
  <c r="CR519" i="2"/>
  <c r="CX519" i="2"/>
  <c r="EW519" i="2"/>
  <c r="EX519" i="2"/>
  <c r="EY519" i="2"/>
  <c r="EZ519" i="2"/>
  <c r="FA519" i="2"/>
  <c r="FB519" i="2"/>
  <c r="FC519" i="2"/>
  <c r="GB519" i="2"/>
  <c r="F520" i="2"/>
  <c r="BV520" i="2" s="1"/>
  <c r="G520" i="2"/>
  <c r="J520" i="2" s="1"/>
  <c r="I520" i="2"/>
  <c r="M520" i="2"/>
  <c r="N520" i="2"/>
  <c r="O520" i="2"/>
  <c r="U520" i="2"/>
  <c r="DA520" i="2"/>
  <c r="DB520" i="2" s="1"/>
  <c r="BB520" i="2"/>
  <c r="CW520" i="2" s="1"/>
  <c r="BU520" i="2" s="1"/>
  <c r="BC520" i="2"/>
  <c r="BD520" i="2"/>
  <c r="BE520" i="2"/>
  <c r="BF520" i="2"/>
  <c r="BG520" i="2"/>
  <c r="BH520" i="2"/>
  <c r="BI520" i="2"/>
  <c r="BJ520" i="2"/>
  <c r="BK520" i="2"/>
  <c r="BL520" i="2"/>
  <c r="BM520" i="2"/>
  <c r="BN520" i="2"/>
  <c r="BO520" i="2"/>
  <c r="BP520" i="2"/>
  <c r="BQ520" i="2"/>
  <c r="BR520" i="2"/>
  <c r="BS520" i="2"/>
  <c r="BT520" i="2"/>
  <c r="CC520" i="2"/>
  <c r="CI520" i="2"/>
  <c r="CJ520" i="2"/>
  <c r="CK520" i="2"/>
  <c r="CR520" i="2"/>
  <c r="DD518" i="2" a="1"/>
  <c r="DQ518" i="2" a="1"/>
  <c r="DG518" i="2" a="1"/>
  <c r="DK518" i="2" a="1"/>
  <c r="DF518" i="2" a="1"/>
  <c r="DT518" i="2" a="1"/>
  <c r="DE518" i="2" a="1"/>
  <c r="DO519" i="2" a="1"/>
  <c r="DU518" i="2" a="1"/>
  <c r="DO518" i="2" a="1"/>
  <c r="DP518" i="2" a="1"/>
  <c r="DS518" i="2" a="1"/>
  <c r="DR518" i="2" a="1"/>
  <c r="CX520" i="2" a="1"/>
  <c r="DC520" i="2" a="1"/>
  <c r="CA518" i="2" a="1"/>
  <c r="CZ520" i="2" l="1"/>
  <c r="EU510" i="2"/>
  <c r="EY518" i="2"/>
  <c r="EW518" i="2"/>
  <c r="EV518" i="2"/>
  <c r="FC518" i="2" s="1"/>
  <c r="CT520" i="2"/>
  <c r="FA518" i="2"/>
  <c r="CE520" i="2"/>
  <c r="BZ520" i="2"/>
  <c r="EO520" i="2" s="1"/>
  <c r="CH518" i="2"/>
  <c r="DU518" i="2"/>
  <c r="CA518" i="2"/>
  <c r="EZ518" i="2" s="1"/>
  <c r="EO518" i="2"/>
  <c r="EF520" i="2"/>
  <c r="EX518" i="2"/>
  <c r="ET518" i="2"/>
  <c r="DO519" i="2"/>
  <c r="DG518" i="2"/>
  <c r="DT518" i="2"/>
  <c r="CX520" i="2"/>
  <c r="BW520" i="2" s="1"/>
  <c r="DS518" i="2"/>
  <c r="DK518" i="2"/>
  <c r="DR518" i="2"/>
  <c r="DD518" i="2"/>
  <c r="DQ518" i="2"/>
  <c r="DP518" i="2"/>
  <c r="DO518" i="2"/>
  <c r="DF518" i="2"/>
  <c r="DE518" i="2"/>
  <c r="DC520" i="2"/>
  <c r="DI520" i="2"/>
  <c r="DL520" i="2"/>
  <c r="DZ520" i="2"/>
  <c r="EA520" i="2"/>
  <c r="ED520" i="2"/>
  <c r="EI520" i="2"/>
  <c r="ET520" i="2"/>
  <c r="EU520" i="2"/>
  <c r="EV520" i="2"/>
  <c r="FC520" i="2" s="1"/>
  <c r="EW520" i="2"/>
  <c r="EX520" i="2"/>
  <c r="EY520" i="2"/>
  <c r="EZ520" i="2"/>
  <c r="FA520" i="2"/>
  <c r="FB520" i="2"/>
  <c r="FM520" i="2"/>
  <c r="GA520" i="2"/>
  <c r="GB520" i="2"/>
  <c r="I521" i="2"/>
  <c r="CR521" i="2"/>
  <c r="EI521" i="2"/>
  <c r="EW521" i="2"/>
  <c r="EX521" i="2"/>
  <c r="EY521" i="2"/>
  <c r="EZ521" i="2"/>
  <c r="FA521" i="2"/>
  <c r="FB521" i="2"/>
  <c r="FC521" i="2"/>
  <c r="GB521" i="2"/>
  <c r="G522" i="2"/>
  <c r="J522" i="2" s="1"/>
  <c r="CT522" i="2" s="1"/>
  <c r="I522" i="2"/>
  <c r="DA522" i="2"/>
  <c r="DB522" i="2" s="1"/>
  <c r="BB522" i="2"/>
  <c r="CE522" i="2" s="1"/>
  <c r="BC522" i="2"/>
  <c r="BD522" i="2"/>
  <c r="BE522" i="2"/>
  <c r="BF522" i="2"/>
  <c r="BG522" i="2"/>
  <c r="BH522" i="2"/>
  <c r="BI522" i="2"/>
  <c r="BJ522" i="2"/>
  <c r="BK522" i="2"/>
  <c r="BL522" i="2"/>
  <c r="BM522" i="2"/>
  <c r="BN522" i="2"/>
  <c r="BO522" i="2"/>
  <c r="BP522" i="2"/>
  <c r="BQ522" i="2"/>
  <c r="BR522" i="2"/>
  <c r="BS522" i="2"/>
  <c r="BT522" i="2"/>
  <c r="CC522" i="2"/>
  <c r="CI522" i="2"/>
  <c r="CJ522" i="2"/>
  <c r="CK522" i="2"/>
  <c r="CR522" i="2"/>
  <c r="DU520" i="2" a="1"/>
  <c r="DN520" i="2" a="1"/>
  <c r="CB518" i="2" a="1"/>
  <c r="DK520" i="2" a="1"/>
  <c r="DQ520" i="2" a="1"/>
  <c r="DG520" i="2" a="1"/>
  <c r="DT520" i="2" a="1"/>
  <c r="DF520" i="2" a="1"/>
  <c r="DC522" i="2" a="1"/>
  <c r="DE520" i="2" a="1"/>
  <c r="DD520" i="2" a="1"/>
  <c r="DO520" i="2" a="1"/>
  <c r="DP520" i="2" a="1"/>
  <c r="DS520" i="2" a="1"/>
  <c r="DR520" i="2" a="1"/>
  <c r="DH518" i="2" a="1"/>
  <c r="CX522" i="2" a="1"/>
  <c r="BZ522" i="2" l="1"/>
  <c r="CH522" i="2" s="1"/>
  <c r="EF522" i="2"/>
  <c r="CZ522" i="2"/>
  <c r="DU520" i="2"/>
  <c r="CH520" i="2"/>
  <c r="CB518" i="2"/>
  <c r="DN520" i="2"/>
  <c r="BX520" i="2" s="1"/>
  <c r="CW522" i="2"/>
  <c r="BU522" i="2" s="1"/>
  <c r="DP520" i="2"/>
  <c r="DG520" i="2"/>
  <c r="DO520" i="2"/>
  <c r="DF520" i="2"/>
  <c r="DD520" i="2"/>
  <c r="DE520" i="2"/>
  <c r="DT520" i="2"/>
  <c r="DH518" i="2"/>
  <c r="DS520" i="2"/>
  <c r="DK520" i="2"/>
  <c r="DR520" i="2"/>
  <c r="CX522" i="2"/>
  <c r="BW522" i="2" s="1"/>
  <c r="FM522" i="2" s="1"/>
  <c r="DQ520" i="2"/>
  <c r="DC522" i="2"/>
  <c r="DI522" i="2"/>
  <c r="DL522" i="2"/>
  <c r="DZ522" i="2"/>
  <c r="EA522" i="2"/>
  <c r="ED522" i="2"/>
  <c r="EI522" i="2"/>
  <c r="ET522" i="2"/>
  <c r="EU522" i="2"/>
  <c r="EV522" i="2"/>
  <c r="FC522" i="2" s="1"/>
  <c r="EW522" i="2"/>
  <c r="EX522" i="2"/>
  <c r="EY522" i="2"/>
  <c r="EZ522" i="2"/>
  <c r="FA522" i="2"/>
  <c r="FB522" i="2"/>
  <c r="GA522" i="2"/>
  <c r="FX522" i="2" s="1"/>
  <c r="GB522" i="2"/>
  <c r="I523" i="2"/>
  <c r="CR523" i="2"/>
  <c r="EI523" i="2"/>
  <c r="EW523" i="2"/>
  <c r="EX523" i="2"/>
  <c r="EY523" i="2"/>
  <c r="EZ523" i="2"/>
  <c r="FA523" i="2"/>
  <c r="FB523" i="2"/>
  <c r="FC523" i="2"/>
  <c r="FX523" i="2"/>
  <c r="GB523" i="2"/>
  <c r="F524" i="2"/>
  <c r="BV524" i="2" s="1"/>
  <c r="G524" i="2"/>
  <c r="J524" i="2" s="1"/>
  <c r="I524" i="2"/>
  <c r="M524" i="2"/>
  <c r="N524" i="2"/>
  <c r="O524" i="2"/>
  <c r="BB524" i="2"/>
  <c r="BB526" i="2" s="1"/>
  <c r="BC524" i="2"/>
  <c r="BD524" i="2"/>
  <c r="BE524" i="2"/>
  <c r="BF524" i="2"/>
  <c r="BG524" i="2"/>
  <c r="BH524" i="2"/>
  <c r="BI524" i="2"/>
  <c r="BJ524" i="2"/>
  <c r="BK524" i="2"/>
  <c r="BL524" i="2"/>
  <c r="BM524" i="2"/>
  <c r="BN524" i="2"/>
  <c r="BO524" i="2"/>
  <c r="BP524" i="2"/>
  <c r="BQ524" i="2"/>
  <c r="BR524" i="2"/>
  <c r="BS524" i="2"/>
  <c r="BT524" i="2"/>
  <c r="F526" i="2"/>
  <c r="BV526" i="2" s="1"/>
  <c r="DN522" i="2" a="1"/>
  <c r="DR522" i="2" a="1"/>
  <c r="CA520" i="2" a="1"/>
  <c r="DK522" i="2" a="1"/>
  <c r="DG522" i="2" a="1"/>
  <c r="CB520" i="2" a="1"/>
  <c r="DQ522" i="2" a="1"/>
  <c r="DH520" i="2" a="1"/>
  <c r="DE522" i="2" a="1"/>
  <c r="BY520" i="2" a="1"/>
  <c r="CX526" i="2" a="1"/>
  <c r="DO522" i="2" a="1"/>
  <c r="DF522" i="2" a="1"/>
  <c r="DU522" i="2" a="1"/>
  <c r="DP522" i="2" a="1"/>
  <c r="DS522" i="2" a="1"/>
  <c r="DT522" i="2" a="1"/>
  <c r="DD522" i="2" a="1"/>
  <c r="GM518" i="2" l="1"/>
  <c r="FB518" i="2"/>
  <c r="EU518" i="2"/>
  <c r="EO522" i="2"/>
  <c r="DU522" i="2"/>
  <c r="DN522" i="2"/>
  <c r="BX522" i="2" s="1"/>
  <c r="CB520" i="2"/>
  <c r="CA520" i="2"/>
  <c r="BY520" i="2"/>
  <c r="CA521" i="2"/>
  <c r="CB521" i="2" s="1"/>
  <c r="DD522" i="2"/>
  <c r="DT522" i="2"/>
  <c r="DK522" i="2"/>
  <c r="DR522" i="2"/>
  <c r="DE522" i="2"/>
  <c r="DS522" i="2"/>
  <c r="DQ522" i="2"/>
  <c r="DP522" i="2"/>
  <c r="DG522" i="2"/>
  <c r="DH520" i="2"/>
  <c r="DO522" i="2"/>
  <c r="DF522" i="2"/>
  <c r="CW524" i="2"/>
  <c r="BU524" i="2" s="1"/>
  <c r="CX526" i="2"/>
  <c r="CX524" i="2" s="1"/>
  <c r="BW524" i="2" s="1"/>
  <c r="EF524" i="2"/>
  <c r="BZ524" i="2"/>
  <c r="CC524" i="2"/>
  <c r="CE524" i="2"/>
  <c r="CI524" i="2"/>
  <c r="CJ524" i="2"/>
  <c r="CK524" i="2"/>
  <c r="CR524" i="2"/>
  <c r="CT524" i="2"/>
  <c r="CZ524" i="2"/>
  <c r="DA524" i="2"/>
  <c r="DB524" i="2" s="1"/>
  <c r="DN524" i="2" a="1"/>
  <c r="DC524" i="2" a="1"/>
  <c r="CB522" i="2" a="1"/>
  <c r="CA522" i="2" a="1"/>
  <c r="DH522" i="2" a="1"/>
  <c r="DU524" i="2" a="1"/>
  <c r="BY522" i="2" a="1"/>
  <c r="CB522" i="2" l="1"/>
  <c r="GM520" i="2"/>
  <c r="BY522" i="2"/>
  <c r="CA522" i="2"/>
  <c r="DN524" i="2"/>
  <c r="BX524" i="2" s="1"/>
  <c r="DH522" i="2"/>
  <c r="DU524" i="2"/>
  <c r="CH524" i="2"/>
  <c r="DC524" i="2"/>
  <c r="DI524" i="2"/>
  <c r="DL524" i="2"/>
  <c r="DZ524" i="2"/>
  <c r="EA524" i="2"/>
  <c r="ED524" i="2"/>
  <c r="EI524" i="2"/>
  <c r="EO524" i="2"/>
  <c r="ET524" i="2"/>
  <c r="EU524" i="2"/>
  <c r="EV524" i="2"/>
  <c r="FC524" i="2" s="1"/>
  <c r="EW524" i="2"/>
  <c r="EX524" i="2"/>
  <c r="EY524" i="2"/>
  <c r="EZ524" i="2"/>
  <c r="FA524" i="2"/>
  <c r="FB524" i="2"/>
  <c r="FM524" i="2"/>
  <c r="GA524" i="2"/>
  <c r="FX524" i="2" s="1"/>
  <c r="GB524" i="2"/>
  <c r="I525" i="2"/>
  <c r="CR525" i="2"/>
  <c r="EI525" i="2"/>
  <c r="EV525" i="2"/>
  <c r="FC525" i="2" s="1"/>
  <c r="EW525" i="2"/>
  <c r="EX525" i="2"/>
  <c r="EY525" i="2"/>
  <c r="EZ525" i="2"/>
  <c r="FA525" i="2"/>
  <c r="FB525" i="2"/>
  <c r="FX525" i="2"/>
  <c r="GB525" i="2"/>
  <c r="G526" i="2"/>
  <c r="J526" i="2" s="1"/>
  <c r="I526" i="2"/>
  <c r="M526" i="2"/>
  <c r="N526" i="2"/>
  <c r="O526" i="2"/>
  <c r="BC526" i="2"/>
  <c r="BD526" i="2"/>
  <c r="BE526" i="2"/>
  <c r="BF526" i="2"/>
  <c r="BG526" i="2"/>
  <c r="BH526" i="2"/>
  <c r="BI526" i="2"/>
  <c r="BJ526" i="2"/>
  <c r="BK526" i="2"/>
  <c r="BL526" i="2"/>
  <c r="BM526" i="2"/>
  <c r="BN526" i="2"/>
  <c r="BO526" i="2"/>
  <c r="BP526" i="2"/>
  <c r="BQ526" i="2"/>
  <c r="BR526" i="2"/>
  <c r="BS526" i="2"/>
  <c r="BT526" i="2"/>
  <c r="CW526" i="2"/>
  <c r="BU526" i="2" s="1"/>
  <c r="BW526" i="2"/>
  <c r="EF526" i="2"/>
  <c r="BZ526" i="2"/>
  <c r="CC526" i="2"/>
  <c r="CE526" i="2"/>
  <c r="CI526" i="2"/>
  <c r="CJ526" i="2"/>
  <c r="CK526" i="2"/>
  <c r="CR526" i="2"/>
  <c r="CZ526" i="2"/>
  <c r="DB526" i="2"/>
  <c r="CB524" i="2" a="1"/>
  <c r="DU526" i="2" a="1"/>
  <c r="DF524" i="2" a="1"/>
  <c r="DD524" i="2" a="1"/>
  <c r="DO524" i="2" a="1"/>
  <c r="DG524" i="2" a="1"/>
  <c r="DP524" i="2" a="1"/>
  <c r="BY524" i="2" a="1"/>
  <c r="DQ524" i="2" a="1"/>
  <c r="DS524" i="2" a="1"/>
  <c r="DT524" i="2" a="1"/>
  <c r="DN526" i="2" a="1"/>
  <c r="DR524" i="2" a="1"/>
  <c r="DK524" i="2" a="1"/>
  <c r="CA524" i="2" a="1"/>
  <c r="DC526" i="2" a="1"/>
  <c r="DE524" i="2" a="1"/>
  <c r="GM522" i="2" l="1"/>
  <c r="CT526" i="2"/>
  <c r="DE524" i="2"/>
  <c r="DD524" i="2"/>
  <c r="DN526" i="2"/>
  <c r="BX526" i="2" s="1"/>
  <c r="DT524" i="2"/>
  <c r="DS524" i="2"/>
  <c r="DK524" i="2"/>
  <c r="DR524" i="2"/>
  <c r="DU526" i="2"/>
  <c r="DQ524" i="2"/>
  <c r="CB524" i="2"/>
  <c r="DP524" i="2"/>
  <c r="DG524" i="2"/>
  <c r="DO524" i="2"/>
  <c r="DF524" i="2"/>
  <c r="CA524" i="2"/>
  <c r="BY524" i="2"/>
  <c r="CH526" i="2"/>
  <c r="DC526" i="2"/>
  <c r="DI526" i="2"/>
  <c r="DL526" i="2"/>
  <c r="DZ526" i="2"/>
  <c r="EA526" i="2"/>
  <c r="ED526" i="2"/>
  <c r="EI526" i="2"/>
  <c r="EO526" i="2"/>
  <c r="ET526" i="2"/>
  <c r="EU526" i="2"/>
  <c r="EV526" i="2"/>
  <c r="FC526" i="2" s="1"/>
  <c r="EW526" i="2"/>
  <c r="EX526" i="2"/>
  <c r="EY526" i="2"/>
  <c r="EZ526" i="2"/>
  <c r="FA526" i="2"/>
  <c r="FB526" i="2"/>
  <c r="FM526" i="2"/>
  <c r="GA526" i="2"/>
  <c r="FX526" i="2" s="1"/>
  <c r="GB526" i="2"/>
  <c r="I527" i="2"/>
  <c r="CR527" i="2"/>
  <c r="FC527" i="2"/>
  <c r="FX527" i="2"/>
  <c r="GB527" i="2"/>
  <c r="E528" i="2"/>
  <c r="F528" i="2"/>
  <c r="BV528" i="2" s="1"/>
  <c r="G528" i="2"/>
  <c r="J528" i="2" s="1"/>
  <c r="H528" i="2"/>
  <c r="CR528" i="2" s="1"/>
  <c r="I528" i="2"/>
  <c r="M528" i="2"/>
  <c r="N528" i="2"/>
  <c r="O528" i="2"/>
  <c r="BB528" i="2"/>
  <c r="CE528" i="2" s="1"/>
  <c r="BC528" i="2"/>
  <c r="BD528" i="2"/>
  <c r="BE528" i="2"/>
  <c r="BF528" i="2"/>
  <c r="BG528" i="2"/>
  <c r="BH528" i="2"/>
  <c r="BI528" i="2"/>
  <c r="BJ528" i="2"/>
  <c r="BK528" i="2"/>
  <c r="BL528" i="2"/>
  <c r="BM528" i="2"/>
  <c r="BN528" i="2"/>
  <c r="BO528" i="2"/>
  <c r="BP528" i="2"/>
  <c r="BQ528" i="2"/>
  <c r="BR528" i="2"/>
  <c r="BS528" i="2"/>
  <c r="BT528" i="2"/>
  <c r="CC528" i="2"/>
  <c r="CI528" i="2"/>
  <c r="CJ528" i="2"/>
  <c r="CK528" i="2"/>
  <c r="DA528" i="2"/>
  <c r="DB528" i="2" s="1"/>
  <c r="DF526" i="2" a="1"/>
  <c r="CX528" i="2" a="1"/>
  <c r="DQ526" i="2" a="1"/>
  <c r="DO526" i="2" a="1"/>
  <c r="CB526" i="2" a="1"/>
  <c r="DC528" i="2" a="1"/>
  <c r="DE526" i="2" a="1"/>
  <c r="DR526" i="2" a="1"/>
  <c r="DG526" i="2" a="1"/>
  <c r="CA526" i="2" a="1"/>
  <c r="DS526" i="2" a="1"/>
  <c r="DH524" i="2" a="1"/>
  <c r="DK526" i="2" a="1"/>
  <c r="DP526" i="2" a="1"/>
  <c r="DT526" i="2" a="1"/>
  <c r="BY526" i="2" a="1"/>
  <c r="DD526" i="2" a="1"/>
  <c r="BZ528" i="2" l="1"/>
  <c r="CH528" i="2" s="1"/>
  <c r="EF528" i="2"/>
  <c r="CZ528" i="2"/>
  <c r="CT528" i="2"/>
  <c r="CW528" i="2"/>
  <c r="BU528" i="2" s="1"/>
  <c r="GM524" i="2"/>
  <c r="DP526" i="2"/>
  <c r="DG526" i="2"/>
  <c r="DF526" i="2"/>
  <c r="DE526" i="2"/>
  <c r="DD526" i="2"/>
  <c r="DH524" i="2"/>
  <c r="DO526" i="2"/>
  <c r="DT526" i="2"/>
  <c r="CA526" i="2"/>
  <c r="BY526" i="2"/>
  <c r="CX528" i="2"/>
  <c r="BW528" i="2" s="1"/>
  <c r="DS526" i="2"/>
  <c r="DK526" i="2"/>
  <c r="DR526" i="2"/>
  <c r="DQ526" i="2"/>
  <c r="CB526" i="2"/>
  <c r="DC528" i="2"/>
  <c r="DI528" i="2"/>
  <c r="DL528" i="2"/>
  <c r="DZ528" i="2"/>
  <c r="EA528" i="2"/>
  <c r="ED528" i="2"/>
  <c r="EI528" i="2"/>
  <c r="EP528" i="2"/>
  <c r="ET528" i="2"/>
  <c r="EU528" i="2"/>
  <c r="EV528" i="2"/>
  <c r="FC528" i="2" s="1"/>
  <c r="EW528" i="2"/>
  <c r="EX528" i="2"/>
  <c r="EY528" i="2"/>
  <c r="EZ528" i="2"/>
  <c r="FA528" i="2"/>
  <c r="FB528" i="2"/>
  <c r="FM528" i="2"/>
  <c r="GA528" i="2"/>
  <c r="FX528" i="2" s="1"/>
  <c r="GB528" i="2"/>
  <c r="I529" i="2"/>
  <c r="FC529" i="2"/>
  <c r="FX529" i="2"/>
  <c r="GB529" i="2"/>
  <c r="E530" i="2"/>
  <c r="F530" i="2"/>
  <c r="G530" i="2"/>
  <c r="J530" i="2" s="1"/>
  <c r="H530" i="2"/>
  <c r="CR530" i="2" s="1"/>
  <c r="I530" i="2"/>
  <c r="M530" i="2"/>
  <c r="N530" i="2"/>
  <c r="O530" i="2"/>
  <c r="BB530" i="2"/>
  <c r="CW530" i="2" s="1"/>
  <c r="BU530" i="2" s="1"/>
  <c r="BC530" i="2"/>
  <c r="BD530" i="2"/>
  <c r="BE530" i="2"/>
  <c r="BF530" i="2"/>
  <c r="BG530" i="2"/>
  <c r="BH530" i="2"/>
  <c r="BI530" i="2"/>
  <c r="BJ530" i="2"/>
  <c r="BK530" i="2"/>
  <c r="BL530" i="2"/>
  <c r="BM530" i="2"/>
  <c r="BN530" i="2"/>
  <c r="BO530" i="2"/>
  <c r="BP530" i="2"/>
  <c r="BQ530" i="2"/>
  <c r="BR530" i="2"/>
  <c r="BS530" i="2"/>
  <c r="BT530" i="2"/>
  <c r="BV530" i="2"/>
  <c r="CC530" i="2"/>
  <c r="CI530" i="2"/>
  <c r="CJ530" i="2"/>
  <c r="CK530" i="2"/>
  <c r="DA530" i="2"/>
  <c r="DB530" i="2" s="1"/>
  <c r="DD528" i="2" a="1"/>
  <c r="DR528" i="2" a="1"/>
  <c r="DQ528" i="2" a="1"/>
  <c r="DP528" i="2" a="1"/>
  <c r="DU528" i="2" a="1"/>
  <c r="CX530" i="2" a="1"/>
  <c r="DF528" i="2" a="1"/>
  <c r="DC530" i="2" a="1"/>
  <c r="DE528" i="2" a="1"/>
  <c r="DH526" i="2" a="1"/>
  <c r="DG528" i="2" a="1"/>
  <c r="DT528" i="2" a="1"/>
  <c r="DS528" i="2" a="1"/>
  <c r="DO528" i="2" a="1"/>
  <c r="DK528" i="2" a="1"/>
  <c r="DN528" i="2" a="1"/>
  <c r="DU528" i="2" l="1"/>
  <c r="EO528" i="2"/>
  <c r="DN528" i="2"/>
  <c r="BX528" i="2" s="1"/>
  <c r="EF530" i="2"/>
  <c r="CE530" i="2"/>
  <c r="CZ530" i="2"/>
  <c r="BZ530" i="2"/>
  <c r="CT530" i="2"/>
  <c r="GM526" i="2"/>
  <c r="DE528" i="2"/>
  <c r="DT528" i="2"/>
  <c r="DS528" i="2"/>
  <c r="DR528" i="2"/>
  <c r="DK528" i="2"/>
  <c r="DD528" i="2"/>
  <c r="DQ528" i="2"/>
  <c r="CX530" i="2"/>
  <c r="BW530" i="2" s="1"/>
  <c r="FM530" i="2" s="1"/>
  <c r="DP528" i="2"/>
  <c r="DG528" i="2"/>
  <c r="DH526" i="2"/>
  <c r="DO528" i="2"/>
  <c r="DF528" i="2"/>
  <c r="DC530" i="2"/>
  <c r="DI530" i="2"/>
  <c r="DL530" i="2"/>
  <c r="DZ530" i="2"/>
  <c r="EA530" i="2"/>
  <c r="ED530" i="2"/>
  <c r="EI530" i="2"/>
  <c r="EP530" i="2"/>
  <c r="ET530" i="2"/>
  <c r="EU530" i="2"/>
  <c r="EV530" i="2"/>
  <c r="FC530" i="2" s="1"/>
  <c r="EW530" i="2"/>
  <c r="EX530" i="2"/>
  <c r="EY530" i="2"/>
  <c r="EZ530" i="2"/>
  <c r="FA530" i="2"/>
  <c r="FB530" i="2"/>
  <c r="GA530" i="2"/>
  <c r="FX530" i="2" s="1"/>
  <c r="GB530" i="2"/>
  <c r="FX531" i="2"/>
  <c r="GA531" i="2"/>
  <c r="GB531" i="2"/>
  <c r="CW532" i="2"/>
  <c r="CY532" i="2" s="1"/>
  <c r="DL532" i="2" s="1"/>
  <c r="FX532" i="2"/>
  <c r="GB532" i="2"/>
  <c r="DK530" i="2" a="1"/>
  <c r="DH528" i="2" a="1"/>
  <c r="CA528" i="2" a="1"/>
  <c r="BY528" i="2" a="1"/>
  <c r="DT530" i="2" a="1"/>
  <c r="DP530" i="2" a="1"/>
  <c r="DE530" i="2" a="1"/>
  <c r="DG530" i="2" a="1"/>
  <c r="DO530" i="2" a="1"/>
  <c r="DU530" i="2" a="1"/>
  <c r="DF530" i="2" a="1"/>
  <c r="DD530" i="2" a="1"/>
  <c r="DR530" i="2" a="1"/>
  <c r="DS530" i="2" a="1"/>
  <c r="DN530" i="2" a="1"/>
  <c r="DQ530" i="2" a="1"/>
  <c r="CB528" i="2" a="1"/>
  <c r="CB528" i="2" l="1"/>
  <c r="CA528" i="2"/>
  <c r="BY528" i="2"/>
  <c r="DN530" i="2"/>
  <c r="BX530" i="2" s="1"/>
  <c r="DU530" i="2"/>
  <c r="EO530" i="2"/>
  <c r="CH530" i="2"/>
  <c r="DO530" i="2"/>
  <c r="DE530" i="2"/>
  <c r="DD530" i="2"/>
  <c r="DH528" i="2"/>
  <c r="DT530" i="2"/>
  <c r="DS530" i="2"/>
  <c r="DK530" i="2"/>
  <c r="DR530" i="2"/>
  <c r="DQ530" i="2"/>
  <c r="DG530" i="2"/>
  <c r="DP530" i="2"/>
  <c r="DF530" i="2"/>
  <c r="BY530" i="2" a="1"/>
  <c r="DH530" i="2" a="1"/>
  <c r="CA530" i="2" a="1"/>
  <c r="CB530" i="2" a="1"/>
  <c r="GM528" i="2" l="1"/>
  <c r="CA530" i="2"/>
  <c r="BY530" i="2"/>
  <c r="CB530" i="2"/>
  <c r="DH530" i="2"/>
  <c r="GM530" i="2" l="1"/>
  <c r="BG114" i="28" l="1"/>
  <c r="BG113" i="28"/>
  <c r="BG112" i="28"/>
  <c r="BG111" i="28"/>
  <c r="BG110" i="28"/>
  <c r="BG109" i="28"/>
  <c r="BG108" i="28"/>
  <c r="BG107" i="28"/>
  <c r="BG106" i="28"/>
  <c r="BG105" i="28"/>
  <c r="BG104" i="28"/>
  <c r="BG103" i="28"/>
  <c r="BG102" i="28"/>
  <c r="BG101" i="28"/>
  <c r="BG100" i="28"/>
  <c r="BG99" i="28"/>
  <c r="BG98" i="28"/>
  <c r="BG97" i="28"/>
  <c r="BG96" i="28"/>
  <c r="BG95" i="28"/>
  <c r="BG94" i="28"/>
  <c r="BG93" i="28"/>
  <c r="BG92" i="28"/>
  <c r="BG91" i="28"/>
  <c r="BG90" i="28"/>
  <c r="BG89" i="28"/>
  <c r="BG88" i="28"/>
  <c r="BG87" i="28"/>
  <c r="BG86" i="28"/>
  <c r="BG85" i="28"/>
  <c r="BG84" i="28"/>
  <c r="BG83" i="28"/>
  <c r="BG82" i="28"/>
  <c r="BG81" i="28"/>
  <c r="BG80" i="28"/>
  <c r="BG79" i="28"/>
  <c r="BG78" i="28"/>
  <c r="BG77" i="28"/>
  <c r="BG76" i="28"/>
  <c r="BG75" i="28"/>
  <c r="BG74" i="28"/>
  <c r="BG73" i="28"/>
  <c r="BG72" i="28"/>
  <c r="BG71" i="28"/>
  <c r="BG70" i="28"/>
  <c r="BG69" i="28"/>
  <c r="BG68" i="28"/>
  <c r="BG67" i="28"/>
  <c r="BG66" i="28"/>
  <c r="BG65" i="28"/>
  <c r="BG64" i="28"/>
  <c r="BG63" i="28"/>
  <c r="BG62" i="28"/>
  <c r="BG61" i="28"/>
  <c r="BG60" i="28"/>
  <c r="BG59" i="28"/>
  <c r="BG58" i="28"/>
  <c r="BG57" i="28"/>
  <c r="BG56" i="28"/>
  <c r="BG55" i="28"/>
  <c r="BG54" i="28"/>
  <c r="BG53" i="28"/>
  <c r="BG52" i="28"/>
  <c r="BG51" i="28"/>
  <c r="BG50" i="28"/>
  <c r="BG49" i="28"/>
  <c r="BG48" i="28"/>
  <c r="BG47" i="28"/>
  <c r="BG46" i="28"/>
  <c r="BG45" i="28"/>
  <c r="BG44" i="28"/>
  <c r="BG43" i="28"/>
  <c r="BG42" i="28"/>
  <c r="BG41" i="28"/>
  <c r="BG40" i="28"/>
  <c r="BG39" i="28"/>
  <c r="BG38" i="28"/>
  <c r="BG37" i="28"/>
  <c r="BG36" i="28"/>
  <c r="BG35" i="28"/>
  <c r="BG34" i="28"/>
  <c r="BG33" i="28"/>
  <c r="BG32" i="28"/>
  <c r="BL118" i="28" l="1"/>
  <c r="BL124" i="28"/>
  <c r="BL126" i="28"/>
  <c r="BL122" i="28"/>
  <c r="BL120" i="28"/>
  <c r="BL130" i="28" l="1"/>
  <c r="GA129" i="2" s="1"/>
  <c r="BL117" i="28"/>
  <c r="BM131" i="28" l="1"/>
  <c r="BM130" i="28"/>
  <c r="BM129" i="28"/>
  <c r="BM127" i="28"/>
  <c r="BM125" i="28"/>
  <c r="BM117" i="28"/>
  <c r="BM116" i="28"/>
  <c r="CS170" i="28" l="1"/>
  <c r="CT170" i="28" s="1"/>
  <c r="CR170" i="28"/>
  <c r="CU170" i="28" l="1"/>
  <c r="C680" i="1" l="1"/>
  <c r="E680" i="1" s="1"/>
  <c r="C679" i="1"/>
  <c r="E679" i="1" s="1"/>
  <c r="C678" i="1"/>
  <c r="E678" i="1" s="1"/>
  <c r="C677" i="1"/>
  <c r="E677" i="1" s="1"/>
  <c r="C676" i="1"/>
  <c r="E676" i="1" s="1"/>
  <c r="C675" i="1"/>
  <c r="E675" i="1" s="1"/>
  <c r="C674" i="1"/>
  <c r="E674" i="1" s="1"/>
  <c r="C673" i="1"/>
  <c r="E673" i="1" s="1"/>
  <c r="C672" i="1"/>
  <c r="E672" i="1" s="1"/>
  <c r="C671" i="1"/>
  <c r="E671" i="1" s="1"/>
  <c r="C670" i="1"/>
  <c r="E670" i="1" s="1"/>
  <c r="C669" i="1"/>
  <c r="E669" i="1" s="1"/>
  <c r="K259" i="1" l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N21" i="16" l="1"/>
  <c r="H21" i="2" s="1"/>
  <c r="G397" i="1" l="1"/>
  <c r="G396" i="1"/>
  <c r="G395" i="1"/>
  <c r="G393" i="1"/>
  <c r="G394" i="1"/>
  <c r="J393" i="1"/>
  <c r="P225" i="16" l="1"/>
  <c r="P224" i="16"/>
  <c r="P223" i="16"/>
  <c r="P222" i="16"/>
  <c r="P221" i="16"/>
  <c r="P220" i="16"/>
  <c r="E406" i="16" l="1"/>
  <c r="BG31" i="28" l="1"/>
  <c r="BI31" i="28" s="1"/>
  <c r="D44" i="28"/>
  <c r="E44" i="28"/>
  <c r="F44" i="28"/>
  <c r="G44" i="28"/>
  <c r="H44" i="28"/>
  <c r="I44" i="28"/>
  <c r="J44" i="28"/>
  <c r="K44" i="28"/>
  <c r="L44" i="28"/>
  <c r="M44" i="28"/>
  <c r="N44" i="28"/>
  <c r="O44" i="28"/>
  <c r="P44" i="28"/>
  <c r="Q44" i="28"/>
  <c r="R44" i="28"/>
  <c r="S44" i="28"/>
  <c r="T44" i="28"/>
  <c r="U44" i="28"/>
  <c r="V44" i="28"/>
  <c r="W44" i="28"/>
  <c r="X44" i="28"/>
  <c r="Y44" i="28"/>
  <c r="Z44" i="28"/>
  <c r="AA44" i="28"/>
  <c r="AB44" i="28"/>
  <c r="AC44" i="28"/>
  <c r="AD44" i="28"/>
  <c r="AE44" i="28"/>
  <c r="AF44" i="28"/>
  <c r="AG44" i="28"/>
  <c r="D45" i="28"/>
  <c r="E45" i="28"/>
  <c r="F45" i="28"/>
  <c r="G45" i="28"/>
  <c r="H45" i="28"/>
  <c r="I45" i="28"/>
  <c r="J45" i="28"/>
  <c r="K45" i="28"/>
  <c r="L45" i="28"/>
  <c r="M45" i="28"/>
  <c r="N45" i="28"/>
  <c r="O45" i="28"/>
  <c r="P45" i="28"/>
  <c r="Q45" i="28"/>
  <c r="R45" i="28"/>
  <c r="S45" i="28"/>
  <c r="T45" i="28"/>
  <c r="U45" i="28"/>
  <c r="V45" i="28"/>
  <c r="W45" i="28"/>
  <c r="X45" i="28"/>
  <c r="Y45" i="28"/>
  <c r="Z45" i="28"/>
  <c r="AA45" i="28"/>
  <c r="AB45" i="28"/>
  <c r="AC45" i="28"/>
  <c r="AD45" i="28"/>
  <c r="AE45" i="28"/>
  <c r="AF45" i="28"/>
  <c r="AG45" i="28"/>
  <c r="D46" i="28"/>
  <c r="E46" i="28"/>
  <c r="F46" i="28"/>
  <c r="G46" i="28"/>
  <c r="H46" i="28"/>
  <c r="I46" i="28"/>
  <c r="J46" i="28"/>
  <c r="K46" i="28"/>
  <c r="L46" i="28"/>
  <c r="M46" i="28"/>
  <c r="N46" i="28"/>
  <c r="O46" i="28"/>
  <c r="P46" i="28"/>
  <c r="Q46" i="28"/>
  <c r="R46" i="28"/>
  <c r="S46" i="28"/>
  <c r="T46" i="28"/>
  <c r="U46" i="28"/>
  <c r="V46" i="28"/>
  <c r="W46" i="28"/>
  <c r="X46" i="28"/>
  <c r="Y46" i="28"/>
  <c r="Z46" i="28"/>
  <c r="AA46" i="28"/>
  <c r="AB46" i="28"/>
  <c r="AC46" i="28"/>
  <c r="AD46" i="28"/>
  <c r="AE46" i="28"/>
  <c r="AF46" i="28"/>
  <c r="AG46" i="28"/>
  <c r="D47" i="28"/>
  <c r="E47" i="28"/>
  <c r="F47" i="28"/>
  <c r="G47" i="28"/>
  <c r="H47" i="28"/>
  <c r="I47" i="28"/>
  <c r="J47" i="28"/>
  <c r="K47" i="28"/>
  <c r="L47" i="28"/>
  <c r="M47" i="28"/>
  <c r="N47" i="28"/>
  <c r="O47" i="28"/>
  <c r="P47" i="28"/>
  <c r="Q47" i="28"/>
  <c r="R47" i="28"/>
  <c r="S47" i="28"/>
  <c r="T47" i="28"/>
  <c r="U47" i="28"/>
  <c r="V47" i="28"/>
  <c r="W47" i="28"/>
  <c r="X47" i="28"/>
  <c r="Y47" i="28"/>
  <c r="Z47" i="28"/>
  <c r="AA47" i="28"/>
  <c r="AB47" i="28"/>
  <c r="AC47" i="28"/>
  <c r="AD47" i="28"/>
  <c r="AE47" i="28"/>
  <c r="AF47" i="28"/>
  <c r="AG47" i="28"/>
  <c r="D48" i="28"/>
  <c r="E48" i="28"/>
  <c r="F48" i="28"/>
  <c r="G48" i="28"/>
  <c r="H48" i="28"/>
  <c r="I48" i="28"/>
  <c r="J48" i="28"/>
  <c r="K48" i="28"/>
  <c r="L48" i="28"/>
  <c r="M48" i="28"/>
  <c r="N48" i="28"/>
  <c r="O48" i="28"/>
  <c r="P48" i="28"/>
  <c r="Q48" i="28"/>
  <c r="R48" i="28"/>
  <c r="S48" i="28"/>
  <c r="T48" i="28"/>
  <c r="U48" i="28"/>
  <c r="V48" i="28"/>
  <c r="W48" i="28"/>
  <c r="X48" i="28"/>
  <c r="Y48" i="28"/>
  <c r="Z48" i="28"/>
  <c r="AA48" i="28"/>
  <c r="AB48" i="28"/>
  <c r="AC48" i="28"/>
  <c r="AD48" i="28"/>
  <c r="AE48" i="28"/>
  <c r="AF48" i="28"/>
  <c r="AG48" i="28"/>
  <c r="D49" i="28"/>
  <c r="E49" i="28"/>
  <c r="F49" i="28"/>
  <c r="G49" i="28"/>
  <c r="H49" i="28"/>
  <c r="I49" i="28"/>
  <c r="J49" i="28"/>
  <c r="K49" i="28"/>
  <c r="L49" i="28"/>
  <c r="M49" i="28"/>
  <c r="N49" i="28"/>
  <c r="O49" i="28"/>
  <c r="P49" i="28"/>
  <c r="Q49" i="28"/>
  <c r="R49" i="28"/>
  <c r="S49" i="28"/>
  <c r="T49" i="28"/>
  <c r="U49" i="28"/>
  <c r="V49" i="28"/>
  <c r="W49" i="28"/>
  <c r="X49" i="28"/>
  <c r="Y49" i="28"/>
  <c r="Z49" i="28"/>
  <c r="AA49" i="28"/>
  <c r="AB49" i="28"/>
  <c r="AC49" i="28"/>
  <c r="AD49" i="28"/>
  <c r="AE49" i="28"/>
  <c r="AF49" i="28"/>
  <c r="AG49" i="28"/>
  <c r="D50" i="28"/>
  <c r="E50" i="28"/>
  <c r="F50" i="28"/>
  <c r="G50" i="28"/>
  <c r="H50" i="28"/>
  <c r="I50" i="28"/>
  <c r="J50" i="28"/>
  <c r="K50" i="28"/>
  <c r="L50" i="28"/>
  <c r="M50" i="28"/>
  <c r="N50" i="28"/>
  <c r="O50" i="28"/>
  <c r="P50" i="28"/>
  <c r="Q50" i="28"/>
  <c r="R50" i="28"/>
  <c r="S50" i="28"/>
  <c r="T50" i="28"/>
  <c r="U50" i="28"/>
  <c r="V50" i="28"/>
  <c r="W50" i="28"/>
  <c r="X50" i="28"/>
  <c r="Y50" i="28"/>
  <c r="Z50" i="28"/>
  <c r="AA50" i="28"/>
  <c r="AB50" i="28"/>
  <c r="AC50" i="28"/>
  <c r="AD50" i="28"/>
  <c r="AE50" i="28"/>
  <c r="AF50" i="28"/>
  <c r="AG50" i="28"/>
  <c r="D51" i="28"/>
  <c r="E51" i="28"/>
  <c r="F51" i="28"/>
  <c r="G51" i="28"/>
  <c r="H51" i="28"/>
  <c r="I51" i="28"/>
  <c r="J51" i="28"/>
  <c r="K51" i="28"/>
  <c r="L51" i="28"/>
  <c r="M51" i="28"/>
  <c r="N51" i="28"/>
  <c r="O51" i="28"/>
  <c r="P51" i="28"/>
  <c r="Q51" i="28"/>
  <c r="R51" i="28"/>
  <c r="S51" i="28"/>
  <c r="T51" i="28"/>
  <c r="U51" i="28"/>
  <c r="V51" i="28"/>
  <c r="W51" i="28"/>
  <c r="X51" i="28"/>
  <c r="Y51" i="28"/>
  <c r="Z51" i="28"/>
  <c r="AA51" i="28"/>
  <c r="AB51" i="28"/>
  <c r="AC51" i="28"/>
  <c r="AD51" i="28"/>
  <c r="AE51" i="28"/>
  <c r="AF51" i="28"/>
  <c r="AG51" i="28"/>
  <c r="D52" i="28"/>
  <c r="E52" i="28"/>
  <c r="F52" i="28"/>
  <c r="G52" i="28"/>
  <c r="H52" i="28"/>
  <c r="I52" i="28"/>
  <c r="J52" i="28"/>
  <c r="K52" i="28"/>
  <c r="L52" i="28"/>
  <c r="M52" i="28"/>
  <c r="N52" i="28"/>
  <c r="O52" i="28"/>
  <c r="P52" i="28"/>
  <c r="Q52" i="28"/>
  <c r="R52" i="28"/>
  <c r="S52" i="28"/>
  <c r="T52" i="28"/>
  <c r="U52" i="28"/>
  <c r="V52" i="28"/>
  <c r="W52" i="28"/>
  <c r="X52" i="28"/>
  <c r="Y52" i="28"/>
  <c r="Z52" i="28"/>
  <c r="AA52" i="28"/>
  <c r="AB52" i="28"/>
  <c r="AC52" i="28"/>
  <c r="AD52" i="28"/>
  <c r="AE52" i="28"/>
  <c r="AF52" i="28"/>
  <c r="AG52" i="28"/>
  <c r="D53" i="28"/>
  <c r="E53" i="28"/>
  <c r="F53" i="28"/>
  <c r="G53" i="28"/>
  <c r="H53" i="28"/>
  <c r="I53" i="28"/>
  <c r="J53" i="28"/>
  <c r="K53" i="28"/>
  <c r="L53" i="28"/>
  <c r="M53" i="28"/>
  <c r="N53" i="28"/>
  <c r="O53" i="28"/>
  <c r="P53" i="28"/>
  <c r="Q53" i="28"/>
  <c r="R53" i="28"/>
  <c r="S53" i="28"/>
  <c r="T53" i="28"/>
  <c r="U53" i="28"/>
  <c r="V53" i="28"/>
  <c r="W53" i="28"/>
  <c r="X53" i="28"/>
  <c r="Y53" i="28"/>
  <c r="Z53" i="28"/>
  <c r="AA53" i="28"/>
  <c r="AB53" i="28"/>
  <c r="AC53" i="28"/>
  <c r="AD53" i="28"/>
  <c r="AE53" i="28"/>
  <c r="AF53" i="28"/>
  <c r="AG53" i="28"/>
  <c r="D54" i="28"/>
  <c r="E54" i="28"/>
  <c r="F54" i="28"/>
  <c r="G54" i="28"/>
  <c r="H54" i="28"/>
  <c r="I54" i="28"/>
  <c r="J54" i="28"/>
  <c r="K54" i="28"/>
  <c r="L54" i="28"/>
  <c r="M54" i="28"/>
  <c r="N54" i="28"/>
  <c r="O54" i="28"/>
  <c r="P54" i="28"/>
  <c r="Q54" i="28"/>
  <c r="R54" i="28"/>
  <c r="S54" i="28"/>
  <c r="T54" i="28"/>
  <c r="U54" i="28"/>
  <c r="V54" i="28"/>
  <c r="W54" i="28"/>
  <c r="X54" i="28"/>
  <c r="Y54" i="28"/>
  <c r="Z54" i="28"/>
  <c r="AA54" i="28"/>
  <c r="AB54" i="28"/>
  <c r="AC54" i="28"/>
  <c r="AD54" i="28"/>
  <c r="AE54" i="28"/>
  <c r="AF54" i="28"/>
  <c r="AG54" i="28"/>
  <c r="D55" i="28"/>
  <c r="E55" i="28"/>
  <c r="F55" i="28"/>
  <c r="G55" i="28"/>
  <c r="H55" i="28"/>
  <c r="I55" i="28"/>
  <c r="J55" i="28"/>
  <c r="K55" i="28"/>
  <c r="L55" i="28"/>
  <c r="M55" i="28"/>
  <c r="N55" i="28"/>
  <c r="O55" i="28"/>
  <c r="P55" i="28"/>
  <c r="Q55" i="28"/>
  <c r="R55" i="28"/>
  <c r="S55" i="28"/>
  <c r="T55" i="28"/>
  <c r="U55" i="28"/>
  <c r="V55" i="28"/>
  <c r="W55" i="28"/>
  <c r="X55" i="28"/>
  <c r="Y55" i="28"/>
  <c r="Z55" i="28"/>
  <c r="AA55" i="28"/>
  <c r="AB55" i="28"/>
  <c r="AC55" i="28"/>
  <c r="AD55" i="28"/>
  <c r="AE55" i="28"/>
  <c r="AF55" i="28"/>
  <c r="AG55" i="28"/>
  <c r="D56" i="28"/>
  <c r="E56" i="28"/>
  <c r="F56" i="28"/>
  <c r="G56" i="28"/>
  <c r="H56" i="28"/>
  <c r="I56" i="28"/>
  <c r="J56" i="28"/>
  <c r="K56" i="28"/>
  <c r="L56" i="28"/>
  <c r="M56" i="28"/>
  <c r="N56" i="28"/>
  <c r="O56" i="28"/>
  <c r="P56" i="28"/>
  <c r="Q56" i="28"/>
  <c r="R56" i="28"/>
  <c r="S56" i="28"/>
  <c r="T56" i="28"/>
  <c r="U56" i="28"/>
  <c r="V56" i="28"/>
  <c r="W56" i="28"/>
  <c r="X56" i="28"/>
  <c r="Y56" i="28"/>
  <c r="Z56" i="28"/>
  <c r="AA56" i="28"/>
  <c r="AB56" i="28"/>
  <c r="AC56" i="28"/>
  <c r="AD56" i="28"/>
  <c r="AE56" i="28"/>
  <c r="AF56" i="28"/>
  <c r="AG56" i="28"/>
  <c r="D57" i="28"/>
  <c r="E57" i="28"/>
  <c r="F57" i="28"/>
  <c r="G57" i="28"/>
  <c r="H57" i="28"/>
  <c r="I57" i="28"/>
  <c r="J57" i="28"/>
  <c r="K57" i="28"/>
  <c r="L57" i="28"/>
  <c r="M57" i="28"/>
  <c r="N57" i="28"/>
  <c r="O57" i="28"/>
  <c r="P57" i="28"/>
  <c r="Q57" i="28"/>
  <c r="R57" i="28"/>
  <c r="S57" i="28"/>
  <c r="T57" i="28"/>
  <c r="U57" i="28"/>
  <c r="V57" i="28"/>
  <c r="W57" i="28"/>
  <c r="X57" i="28"/>
  <c r="Y57" i="28"/>
  <c r="Z57" i="28"/>
  <c r="AA57" i="28"/>
  <c r="AB57" i="28"/>
  <c r="AC57" i="28"/>
  <c r="AD57" i="28"/>
  <c r="AE57" i="28"/>
  <c r="AF57" i="28"/>
  <c r="AG57" i="28"/>
  <c r="D58" i="28"/>
  <c r="E58" i="28"/>
  <c r="F58" i="28"/>
  <c r="G58" i="28"/>
  <c r="H58" i="28"/>
  <c r="I58" i="28"/>
  <c r="J58" i="28"/>
  <c r="K58" i="28"/>
  <c r="L58" i="28"/>
  <c r="M58" i="28"/>
  <c r="N58" i="28"/>
  <c r="O58" i="28"/>
  <c r="P58" i="28"/>
  <c r="Q58" i="28"/>
  <c r="R58" i="28"/>
  <c r="S58" i="28"/>
  <c r="T58" i="28"/>
  <c r="U58" i="28"/>
  <c r="V58" i="28"/>
  <c r="W58" i="28"/>
  <c r="X58" i="28"/>
  <c r="Y58" i="28"/>
  <c r="Z58" i="28"/>
  <c r="AA58" i="28"/>
  <c r="AB58" i="28"/>
  <c r="AC58" i="28"/>
  <c r="AD58" i="28"/>
  <c r="AE58" i="28"/>
  <c r="AF58" i="28"/>
  <c r="AG58" i="28"/>
  <c r="D59" i="28"/>
  <c r="E59" i="28"/>
  <c r="F59" i="28"/>
  <c r="G59" i="28"/>
  <c r="H59" i="28"/>
  <c r="I59" i="28"/>
  <c r="J59" i="28"/>
  <c r="K59" i="28"/>
  <c r="L59" i="28"/>
  <c r="M59" i="28"/>
  <c r="N59" i="28"/>
  <c r="O59" i="28"/>
  <c r="P59" i="28"/>
  <c r="Q59" i="28"/>
  <c r="R59" i="28"/>
  <c r="S59" i="28"/>
  <c r="T59" i="28"/>
  <c r="U59" i="28"/>
  <c r="V59" i="28"/>
  <c r="W59" i="28"/>
  <c r="X59" i="28"/>
  <c r="Y59" i="28"/>
  <c r="Z59" i="28"/>
  <c r="AA59" i="28"/>
  <c r="AB59" i="28"/>
  <c r="AC59" i="28"/>
  <c r="AD59" i="28"/>
  <c r="AE59" i="28"/>
  <c r="AF59" i="28"/>
  <c r="AG59" i="28"/>
  <c r="D60" i="28"/>
  <c r="E60" i="28"/>
  <c r="F60" i="28"/>
  <c r="G60" i="28"/>
  <c r="H60" i="28"/>
  <c r="I60" i="28"/>
  <c r="J60" i="28"/>
  <c r="K60" i="28"/>
  <c r="L60" i="28"/>
  <c r="M60" i="28"/>
  <c r="N60" i="28"/>
  <c r="O60" i="28"/>
  <c r="P60" i="28"/>
  <c r="Q60" i="28"/>
  <c r="R60" i="28"/>
  <c r="S60" i="28"/>
  <c r="T60" i="28"/>
  <c r="U60" i="28"/>
  <c r="V60" i="28"/>
  <c r="W60" i="28"/>
  <c r="X60" i="28"/>
  <c r="Y60" i="28"/>
  <c r="Z60" i="28"/>
  <c r="AA60" i="28"/>
  <c r="AB60" i="28"/>
  <c r="AC60" i="28"/>
  <c r="AD60" i="28"/>
  <c r="AE60" i="28"/>
  <c r="AF60" i="28"/>
  <c r="AG60" i="28"/>
  <c r="D61" i="28"/>
  <c r="E61" i="28"/>
  <c r="F61" i="28"/>
  <c r="G61" i="28"/>
  <c r="H61" i="28"/>
  <c r="I61" i="28"/>
  <c r="J61" i="28"/>
  <c r="K61" i="28"/>
  <c r="L61" i="28"/>
  <c r="M61" i="28"/>
  <c r="N61" i="28"/>
  <c r="O61" i="28"/>
  <c r="P61" i="28"/>
  <c r="Q61" i="28"/>
  <c r="R61" i="28"/>
  <c r="S61" i="28"/>
  <c r="T61" i="28"/>
  <c r="U61" i="28"/>
  <c r="V61" i="28"/>
  <c r="W61" i="28"/>
  <c r="X61" i="28"/>
  <c r="Y61" i="28"/>
  <c r="Z61" i="28"/>
  <c r="AA61" i="28"/>
  <c r="AB61" i="28"/>
  <c r="AC61" i="28"/>
  <c r="AD61" i="28"/>
  <c r="AE61" i="28"/>
  <c r="AF61" i="28"/>
  <c r="AG61" i="28"/>
  <c r="D62" i="28"/>
  <c r="E62" i="28"/>
  <c r="F62" i="28"/>
  <c r="G62" i="28"/>
  <c r="H62" i="28"/>
  <c r="I62" i="28"/>
  <c r="J62" i="28"/>
  <c r="K62" i="28"/>
  <c r="L62" i="28"/>
  <c r="M62" i="28"/>
  <c r="N62" i="28"/>
  <c r="O62" i="28"/>
  <c r="P62" i="28"/>
  <c r="Q62" i="28"/>
  <c r="R62" i="28"/>
  <c r="S62" i="28"/>
  <c r="T62" i="28"/>
  <c r="U62" i="28"/>
  <c r="V62" i="28"/>
  <c r="W62" i="28"/>
  <c r="X62" i="28"/>
  <c r="Y62" i="28"/>
  <c r="Z62" i="28"/>
  <c r="AA62" i="28"/>
  <c r="AB62" i="28"/>
  <c r="AC62" i="28"/>
  <c r="AD62" i="28"/>
  <c r="AE62" i="28"/>
  <c r="AF62" i="28"/>
  <c r="AG62" i="28"/>
  <c r="D63" i="28"/>
  <c r="E63" i="28"/>
  <c r="F63" i="28"/>
  <c r="G63" i="28"/>
  <c r="H63" i="28"/>
  <c r="I63" i="28"/>
  <c r="J63" i="28"/>
  <c r="K63" i="28"/>
  <c r="L63" i="28"/>
  <c r="M63" i="28"/>
  <c r="N63" i="28"/>
  <c r="O63" i="28"/>
  <c r="P63" i="28"/>
  <c r="Q63" i="28"/>
  <c r="R63" i="28"/>
  <c r="S63" i="28"/>
  <c r="T63" i="28"/>
  <c r="U63" i="28"/>
  <c r="V63" i="28"/>
  <c r="W63" i="28"/>
  <c r="X63" i="28"/>
  <c r="Y63" i="28"/>
  <c r="Z63" i="28"/>
  <c r="AA63" i="28"/>
  <c r="AB63" i="28"/>
  <c r="AC63" i="28"/>
  <c r="AD63" i="28"/>
  <c r="AE63" i="28"/>
  <c r="AF63" i="28"/>
  <c r="AG63" i="28"/>
  <c r="D64" i="28"/>
  <c r="E64" i="28"/>
  <c r="F64" i="28"/>
  <c r="G64" i="28"/>
  <c r="H64" i="28"/>
  <c r="I64" i="28"/>
  <c r="J64" i="28"/>
  <c r="K64" i="28"/>
  <c r="L64" i="28"/>
  <c r="M64" i="28"/>
  <c r="N64" i="28"/>
  <c r="O64" i="28"/>
  <c r="P64" i="28"/>
  <c r="Q64" i="28"/>
  <c r="R64" i="28"/>
  <c r="S64" i="28"/>
  <c r="T64" i="28"/>
  <c r="U64" i="28"/>
  <c r="V64" i="28"/>
  <c r="W64" i="28"/>
  <c r="X64" i="28"/>
  <c r="Y64" i="28"/>
  <c r="Z64" i="28"/>
  <c r="AA64" i="28"/>
  <c r="AB64" i="28"/>
  <c r="AC64" i="28"/>
  <c r="AD64" i="28"/>
  <c r="AE64" i="28"/>
  <c r="AF64" i="28"/>
  <c r="AG64" i="28"/>
  <c r="D65" i="28"/>
  <c r="E65" i="28"/>
  <c r="F65" i="28"/>
  <c r="G65" i="28"/>
  <c r="H65" i="28"/>
  <c r="I65" i="28"/>
  <c r="J65" i="28"/>
  <c r="K65" i="28"/>
  <c r="L65" i="28"/>
  <c r="M65" i="28"/>
  <c r="N65" i="28"/>
  <c r="O65" i="28"/>
  <c r="P65" i="28"/>
  <c r="Q65" i="28"/>
  <c r="R65" i="28"/>
  <c r="S65" i="28"/>
  <c r="T65" i="28"/>
  <c r="U65" i="28"/>
  <c r="V65" i="28"/>
  <c r="W65" i="28"/>
  <c r="X65" i="28"/>
  <c r="Y65" i="28"/>
  <c r="Z65" i="28"/>
  <c r="AA65" i="28"/>
  <c r="AB65" i="28"/>
  <c r="AC65" i="28"/>
  <c r="AD65" i="28"/>
  <c r="AE65" i="28"/>
  <c r="AF65" i="28"/>
  <c r="AG65" i="28"/>
  <c r="D66" i="28"/>
  <c r="E66" i="28"/>
  <c r="F66" i="28"/>
  <c r="G66" i="28"/>
  <c r="H66" i="28"/>
  <c r="I66" i="28"/>
  <c r="J66" i="28"/>
  <c r="K66" i="28"/>
  <c r="L66" i="28"/>
  <c r="M66" i="28"/>
  <c r="N66" i="28"/>
  <c r="O66" i="28"/>
  <c r="P66" i="28"/>
  <c r="Q66" i="28"/>
  <c r="R66" i="28"/>
  <c r="S66" i="28"/>
  <c r="T66" i="28"/>
  <c r="U66" i="28"/>
  <c r="V66" i="28"/>
  <c r="W66" i="28"/>
  <c r="X66" i="28"/>
  <c r="Y66" i="28"/>
  <c r="Z66" i="28"/>
  <c r="AA66" i="28"/>
  <c r="AB66" i="28"/>
  <c r="AC66" i="28"/>
  <c r="AD66" i="28"/>
  <c r="AE66" i="28"/>
  <c r="AF66" i="28"/>
  <c r="AG66" i="28"/>
  <c r="D67" i="28"/>
  <c r="E67" i="28"/>
  <c r="F67" i="28"/>
  <c r="G67" i="28"/>
  <c r="H67" i="28"/>
  <c r="I67" i="28"/>
  <c r="J67" i="28"/>
  <c r="K67" i="28"/>
  <c r="L67" i="28"/>
  <c r="M67" i="28"/>
  <c r="N67" i="28"/>
  <c r="O67" i="28"/>
  <c r="P67" i="28"/>
  <c r="Q67" i="28"/>
  <c r="R67" i="28"/>
  <c r="S67" i="28"/>
  <c r="T67" i="28"/>
  <c r="U67" i="28"/>
  <c r="V67" i="28"/>
  <c r="W67" i="28"/>
  <c r="X67" i="28"/>
  <c r="Y67" i="28"/>
  <c r="Z67" i="28"/>
  <c r="AA67" i="28"/>
  <c r="AB67" i="28"/>
  <c r="AC67" i="28"/>
  <c r="AD67" i="28"/>
  <c r="AE67" i="28"/>
  <c r="AF67" i="28"/>
  <c r="AG67" i="28"/>
  <c r="D68" i="28"/>
  <c r="E68" i="28"/>
  <c r="F68" i="28"/>
  <c r="G68" i="28"/>
  <c r="H68" i="28"/>
  <c r="I68" i="28"/>
  <c r="J68" i="28"/>
  <c r="K68" i="28"/>
  <c r="L68" i="28"/>
  <c r="M68" i="28"/>
  <c r="N68" i="28"/>
  <c r="O68" i="28"/>
  <c r="P68" i="28"/>
  <c r="Q68" i="28"/>
  <c r="R68" i="28"/>
  <c r="S68" i="28"/>
  <c r="T68" i="28"/>
  <c r="U68" i="28"/>
  <c r="V68" i="28"/>
  <c r="W68" i="28"/>
  <c r="X68" i="28"/>
  <c r="Y68" i="28"/>
  <c r="Z68" i="28"/>
  <c r="AA68" i="28"/>
  <c r="AB68" i="28"/>
  <c r="AC68" i="28"/>
  <c r="AD68" i="28"/>
  <c r="AE68" i="28"/>
  <c r="AF68" i="28"/>
  <c r="AG68" i="28"/>
  <c r="D69" i="28"/>
  <c r="E69" i="28"/>
  <c r="F69" i="28"/>
  <c r="G69" i="28"/>
  <c r="H69" i="28"/>
  <c r="I69" i="28"/>
  <c r="J69" i="28"/>
  <c r="K69" i="28"/>
  <c r="L69" i="28"/>
  <c r="M69" i="28"/>
  <c r="N69" i="28"/>
  <c r="O69" i="28"/>
  <c r="P69" i="28"/>
  <c r="Q69" i="28"/>
  <c r="R69" i="28"/>
  <c r="S69" i="28"/>
  <c r="T69" i="28"/>
  <c r="U69" i="28"/>
  <c r="V69" i="28"/>
  <c r="W69" i="28"/>
  <c r="X69" i="28"/>
  <c r="Y69" i="28"/>
  <c r="Z69" i="28"/>
  <c r="AA69" i="28"/>
  <c r="AB69" i="28"/>
  <c r="AC69" i="28"/>
  <c r="AD69" i="28"/>
  <c r="AE69" i="28"/>
  <c r="AF69" i="28"/>
  <c r="AG69" i="28"/>
  <c r="D70" i="28"/>
  <c r="E70" i="28"/>
  <c r="F70" i="28"/>
  <c r="G70" i="28"/>
  <c r="H70" i="28"/>
  <c r="I70" i="28"/>
  <c r="J70" i="28"/>
  <c r="K70" i="28"/>
  <c r="L70" i="28"/>
  <c r="M70" i="28"/>
  <c r="N70" i="28"/>
  <c r="O70" i="28"/>
  <c r="P70" i="28"/>
  <c r="Q70" i="28"/>
  <c r="R70" i="28"/>
  <c r="S70" i="28"/>
  <c r="T70" i="28"/>
  <c r="U70" i="28"/>
  <c r="V70" i="28"/>
  <c r="W70" i="28"/>
  <c r="X70" i="28"/>
  <c r="Y70" i="28"/>
  <c r="Z70" i="28"/>
  <c r="AA70" i="28"/>
  <c r="AB70" i="28"/>
  <c r="AC70" i="28"/>
  <c r="AD70" i="28"/>
  <c r="AE70" i="28"/>
  <c r="AF70" i="28"/>
  <c r="AG70" i="28"/>
  <c r="D71" i="28"/>
  <c r="E71" i="28"/>
  <c r="F71" i="28"/>
  <c r="G71" i="28"/>
  <c r="H71" i="28"/>
  <c r="I71" i="28"/>
  <c r="J71" i="28"/>
  <c r="K71" i="28"/>
  <c r="L71" i="28"/>
  <c r="M71" i="28"/>
  <c r="N71" i="28"/>
  <c r="O71" i="28"/>
  <c r="P71" i="28"/>
  <c r="Q71" i="28"/>
  <c r="R71" i="28"/>
  <c r="S71" i="28"/>
  <c r="T71" i="28"/>
  <c r="U71" i="28"/>
  <c r="V71" i="28"/>
  <c r="W71" i="28"/>
  <c r="X71" i="28"/>
  <c r="Y71" i="28"/>
  <c r="Z71" i="28"/>
  <c r="AA71" i="28"/>
  <c r="AB71" i="28"/>
  <c r="AC71" i="28"/>
  <c r="AD71" i="28"/>
  <c r="AE71" i="28"/>
  <c r="AF71" i="28"/>
  <c r="AG71" i="28"/>
  <c r="D72" i="28"/>
  <c r="E72" i="28"/>
  <c r="F72" i="28"/>
  <c r="G72" i="28"/>
  <c r="H72" i="28"/>
  <c r="I72" i="28"/>
  <c r="J72" i="28"/>
  <c r="K72" i="28"/>
  <c r="L72" i="28"/>
  <c r="M72" i="28"/>
  <c r="N72" i="28"/>
  <c r="O72" i="28"/>
  <c r="P72" i="28"/>
  <c r="Q72" i="28"/>
  <c r="R72" i="28"/>
  <c r="S72" i="28"/>
  <c r="T72" i="28"/>
  <c r="U72" i="28"/>
  <c r="V72" i="28"/>
  <c r="W72" i="28"/>
  <c r="X72" i="28"/>
  <c r="Y72" i="28"/>
  <c r="Z72" i="28"/>
  <c r="AA72" i="28"/>
  <c r="AB72" i="28"/>
  <c r="AC72" i="28"/>
  <c r="AD72" i="28"/>
  <c r="AE72" i="28"/>
  <c r="AF72" i="28"/>
  <c r="AG72" i="28"/>
  <c r="C14" i="28"/>
  <c r="AH15" i="28"/>
  <c r="AK16" i="28"/>
  <c r="AO16" i="28"/>
  <c r="AX16" i="28"/>
  <c r="AK17" i="28"/>
  <c r="AO17" i="28"/>
  <c r="AX17" i="28"/>
  <c r="AH18" i="28"/>
  <c r="AK18" i="28"/>
  <c r="AS18" i="28"/>
  <c r="AX19" i="28"/>
  <c r="AH20" i="28"/>
  <c r="AX20" i="28"/>
  <c r="AH21" i="28"/>
  <c r="AX21" i="28"/>
  <c r="AK22" i="28"/>
  <c r="AX22" i="28"/>
  <c r="BC22" i="28"/>
  <c r="D116" i="28"/>
  <c r="E116" i="28"/>
  <c r="E129" i="28" s="1"/>
  <c r="F116" i="28"/>
  <c r="F129" i="28" s="1"/>
  <c r="G116" i="28"/>
  <c r="H116" i="28"/>
  <c r="I116" i="28"/>
  <c r="I129" i="28" s="1"/>
  <c r="J116" i="28"/>
  <c r="J129" i="28" s="1"/>
  <c r="K116" i="28"/>
  <c r="K129" i="28" s="1"/>
  <c r="L116" i="28"/>
  <c r="L129" i="28" s="1"/>
  <c r="M116" i="28"/>
  <c r="M129" i="28" s="1"/>
  <c r="N116" i="28"/>
  <c r="N129" i="28" s="1"/>
  <c r="O116" i="28"/>
  <c r="O129" i="28" s="1"/>
  <c r="P116" i="28"/>
  <c r="P129" i="28" s="1"/>
  <c r="Q116" i="28"/>
  <c r="Q129" i="28" s="1"/>
  <c r="R116" i="28"/>
  <c r="R129" i="28" s="1"/>
  <c r="S116" i="28"/>
  <c r="S129" i="28" s="1"/>
  <c r="T116" i="28"/>
  <c r="T129" i="28" s="1"/>
  <c r="U116" i="28"/>
  <c r="U129" i="28" s="1"/>
  <c r="CE115" i="28" s="1"/>
  <c r="V116" i="28"/>
  <c r="V129" i="28" s="1"/>
  <c r="CF115" i="28" s="1"/>
  <c r="W116" i="28"/>
  <c r="W129" i="28" s="1"/>
  <c r="CG115" i="28" s="1"/>
  <c r="X116" i="28"/>
  <c r="X129" i="28" s="1"/>
  <c r="CH115" i="28" s="1"/>
  <c r="Y116" i="28"/>
  <c r="Y129" i="28" s="1"/>
  <c r="CI115" i="28" s="1"/>
  <c r="Z116" i="28"/>
  <c r="Z129" i="28" s="1"/>
  <c r="CJ115" i="28" s="1"/>
  <c r="AA116" i="28"/>
  <c r="AA129" i="28" s="1"/>
  <c r="CK115" i="28" s="1"/>
  <c r="AB116" i="28"/>
  <c r="AB129" i="28" s="1"/>
  <c r="CL115" i="28" s="1"/>
  <c r="AC116" i="28"/>
  <c r="AC129" i="28" s="1"/>
  <c r="CM115" i="28" s="1"/>
  <c r="AD116" i="28"/>
  <c r="AD129" i="28" s="1"/>
  <c r="CN115" i="28" s="1"/>
  <c r="AE116" i="28"/>
  <c r="AE129" i="28" s="1"/>
  <c r="CO115" i="28" s="1"/>
  <c r="AF116" i="28"/>
  <c r="AF129" i="28" s="1"/>
  <c r="CP115" i="28" s="1"/>
  <c r="AG116" i="28"/>
  <c r="AG129" i="28" s="1"/>
  <c r="CQ115" i="28" s="1"/>
  <c r="D23" i="28"/>
  <c r="E23" i="28"/>
  <c r="F23" i="28"/>
  <c r="G23" i="28"/>
  <c r="H23" i="28"/>
  <c r="I23" i="28"/>
  <c r="J23" i="28"/>
  <c r="K23" i="28"/>
  <c r="L23" i="28"/>
  <c r="M23" i="28"/>
  <c r="N23" i="28"/>
  <c r="O23" i="28"/>
  <c r="P23" i="28"/>
  <c r="Q23" i="28"/>
  <c r="R23" i="28"/>
  <c r="S23" i="28"/>
  <c r="T23" i="28"/>
  <c r="U23" i="28"/>
  <c r="V23" i="28"/>
  <c r="W23" i="28"/>
  <c r="X23" i="28"/>
  <c r="Y23" i="28"/>
  <c r="Z23" i="28"/>
  <c r="AA23" i="28"/>
  <c r="AB23" i="28"/>
  <c r="AC23" i="28"/>
  <c r="AD23" i="28"/>
  <c r="AE23" i="28"/>
  <c r="AF23" i="28"/>
  <c r="AG23" i="28"/>
  <c r="BC23" i="28"/>
  <c r="D24" i="28"/>
  <c r="E24" i="28"/>
  <c r="F24" i="28"/>
  <c r="G24" i="28"/>
  <c r="H24" i="28"/>
  <c r="I24" i="28"/>
  <c r="J24" i="28"/>
  <c r="K24" i="28"/>
  <c r="L24" i="28"/>
  <c r="M24" i="28"/>
  <c r="N24" i="28"/>
  <c r="O24" i="28"/>
  <c r="P24" i="28"/>
  <c r="Q24" i="28"/>
  <c r="R24" i="28"/>
  <c r="S24" i="28"/>
  <c r="T24" i="28"/>
  <c r="U24" i="28"/>
  <c r="V24" i="28"/>
  <c r="W24" i="28"/>
  <c r="X24" i="28"/>
  <c r="Y24" i="28"/>
  <c r="Z24" i="28"/>
  <c r="AA24" i="28"/>
  <c r="AB24" i="28"/>
  <c r="AC24" i="28"/>
  <c r="AD24" i="28"/>
  <c r="AE24" i="28"/>
  <c r="AF24" i="28"/>
  <c r="AG24" i="28"/>
  <c r="BC24" i="28"/>
  <c r="D25" i="28"/>
  <c r="E25" i="28"/>
  <c r="F25" i="28"/>
  <c r="G25" i="28"/>
  <c r="H25" i="28"/>
  <c r="I25" i="28"/>
  <c r="J25" i="28"/>
  <c r="K25" i="28"/>
  <c r="L25" i="28"/>
  <c r="M25" i="28"/>
  <c r="N25" i="28"/>
  <c r="O25" i="28"/>
  <c r="P25" i="28"/>
  <c r="Q25" i="28"/>
  <c r="R25" i="28"/>
  <c r="S25" i="28"/>
  <c r="T25" i="28"/>
  <c r="U25" i="28"/>
  <c r="V25" i="28"/>
  <c r="W25" i="28"/>
  <c r="X25" i="28"/>
  <c r="Y25" i="28"/>
  <c r="Z25" i="28"/>
  <c r="AA25" i="28"/>
  <c r="AB25" i="28"/>
  <c r="AC25" i="28"/>
  <c r="AD25" i="28"/>
  <c r="AE25" i="28"/>
  <c r="AF25" i="28"/>
  <c r="AG25" i="28"/>
  <c r="D26" i="28"/>
  <c r="E26" i="28"/>
  <c r="F26" i="28"/>
  <c r="G26" i="28"/>
  <c r="H26" i="28"/>
  <c r="I26" i="28"/>
  <c r="J26" i="28"/>
  <c r="K26" i="28"/>
  <c r="L26" i="28"/>
  <c r="M26" i="28"/>
  <c r="N26" i="28"/>
  <c r="O26" i="28"/>
  <c r="P26" i="28"/>
  <c r="Q26" i="28"/>
  <c r="R26" i="28"/>
  <c r="S26" i="28"/>
  <c r="T26" i="28"/>
  <c r="U26" i="28"/>
  <c r="V26" i="28"/>
  <c r="W26" i="28"/>
  <c r="X26" i="28"/>
  <c r="Y26" i="28"/>
  <c r="Z26" i="28"/>
  <c r="AA26" i="28"/>
  <c r="AB26" i="28"/>
  <c r="AC26" i="28"/>
  <c r="AD26" i="28"/>
  <c r="AE26" i="28"/>
  <c r="AF26" i="28"/>
  <c r="AG26" i="28"/>
  <c r="D27" i="28"/>
  <c r="E27" i="28"/>
  <c r="F27" i="28"/>
  <c r="G27" i="28"/>
  <c r="H27" i="28"/>
  <c r="I27" i="28"/>
  <c r="J27" i="28"/>
  <c r="K27" i="28"/>
  <c r="L27" i="28"/>
  <c r="M27" i="28"/>
  <c r="N27" i="28"/>
  <c r="O27" i="28"/>
  <c r="P27" i="28"/>
  <c r="Q27" i="28"/>
  <c r="R27" i="28"/>
  <c r="S27" i="28"/>
  <c r="T27" i="28"/>
  <c r="U27" i="28"/>
  <c r="V27" i="28"/>
  <c r="W27" i="28"/>
  <c r="X27" i="28"/>
  <c r="Y27" i="28"/>
  <c r="Z27" i="28"/>
  <c r="AA27" i="28"/>
  <c r="AB27" i="28"/>
  <c r="AC27" i="28"/>
  <c r="AD27" i="28"/>
  <c r="AE27" i="28"/>
  <c r="AF27" i="28"/>
  <c r="AG27" i="28"/>
  <c r="BM28" i="28"/>
  <c r="D30" i="28"/>
  <c r="E30" i="28"/>
  <c r="F30" i="28"/>
  <c r="G30" i="28"/>
  <c r="H30" i="28"/>
  <c r="I30" i="28"/>
  <c r="J30" i="28"/>
  <c r="K30" i="28"/>
  <c r="L30" i="28"/>
  <c r="M30" i="28"/>
  <c r="N30" i="28"/>
  <c r="O30" i="28"/>
  <c r="P30" i="28"/>
  <c r="Q30" i="28"/>
  <c r="R30" i="28"/>
  <c r="S30" i="28"/>
  <c r="T30" i="28"/>
  <c r="U30" i="28"/>
  <c r="V30" i="28"/>
  <c r="BM30" i="28"/>
  <c r="B31" i="28"/>
  <c r="C31" i="28"/>
  <c r="D31" i="28"/>
  <c r="E31" i="28"/>
  <c r="F31" i="28"/>
  <c r="G31" i="28"/>
  <c r="H31" i="28"/>
  <c r="I31" i="28"/>
  <c r="J31" i="28"/>
  <c r="K31" i="28"/>
  <c r="L31" i="28"/>
  <c r="M31" i="28"/>
  <c r="N31" i="28"/>
  <c r="O31" i="28"/>
  <c r="P31" i="28"/>
  <c r="Q31" i="28"/>
  <c r="R31" i="28"/>
  <c r="S31" i="28"/>
  <c r="T31" i="28"/>
  <c r="U31" i="28"/>
  <c r="V31" i="28"/>
  <c r="W31" i="28"/>
  <c r="X31" i="28"/>
  <c r="Y31" i="28"/>
  <c r="Z31" i="28"/>
  <c r="AA31" i="28"/>
  <c r="AB31" i="28"/>
  <c r="AC31" i="28"/>
  <c r="AD31" i="28"/>
  <c r="AE31" i="28"/>
  <c r="AF31" i="28"/>
  <c r="AG31" i="28"/>
  <c r="AK31" i="28"/>
  <c r="AL31" i="28"/>
  <c r="AM31" i="28"/>
  <c r="AN31" i="28"/>
  <c r="AO31" i="28"/>
  <c r="AP31" i="28"/>
  <c r="AS31" i="28"/>
  <c r="B32" i="28"/>
  <c r="C32" i="28"/>
  <c r="D32" i="28"/>
  <c r="E32" i="28"/>
  <c r="F32" i="28"/>
  <c r="G32" i="28"/>
  <c r="H32" i="28"/>
  <c r="I32" i="28"/>
  <c r="J32" i="28"/>
  <c r="K32" i="28"/>
  <c r="L32" i="28"/>
  <c r="M32" i="28"/>
  <c r="N32" i="28"/>
  <c r="O32" i="28"/>
  <c r="P32" i="28"/>
  <c r="Q32" i="28"/>
  <c r="R32" i="28"/>
  <c r="S32" i="28"/>
  <c r="T32" i="28"/>
  <c r="U32" i="28"/>
  <c r="V32" i="28"/>
  <c r="W32" i="28"/>
  <c r="X32" i="28"/>
  <c r="Y32" i="28"/>
  <c r="Z32" i="28"/>
  <c r="AA32" i="28"/>
  <c r="AB32" i="28"/>
  <c r="AC32" i="28"/>
  <c r="AD32" i="28"/>
  <c r="AE32" i="28"/>
  <c r="AF32" i="28"/>
  <c r="AG32" i="28"/>
  <c r="BE32" i="28"/>
  <c r="B33" i="28"/>
  <c r="C33" i="28"/>
  <c r="D33" i="28"/>
  <c r="E33" i="28"/>
  <c r="F33" i="28"/>
  <c r="G33" i="28"/>
  <c r="H33" i="28"/>
  <c r="I33" i="28"/>
  <c r="J33" i="28"/>
  <c r="K33" i="28"/>
  <c r="L33" i="28"/>
  <c r="M33" i="28"/>
  <c r="N33" i="28"/>
  <c r="O33" i="28"/>
  <c r="P33" i="28"/>
  <c r="Q33" i="28"/>
  <c r="R33" i="28"/>
  <c r="S33" i="28"/>
  <c r="T33" i="28"/>
  <c r="U33" i="28"/>
  <c r="V33" i="28"/>
  <c r="W33" i="28"/>
  <c r="X33" i="28"/>
  <c r="Y33" i="28"/>
  <c r="Z33" i="28"/>
  <c r="AA33" i="28"/>
  <c r="AB33" i="28"/>
  <c r="AC33" i="28"/>
  <c r="AD33" i="28"/>
  <c r="AE33" i="28"/>
  <c r="AF33" i="28"/>
  <c r="AG33" i="28"/>
  <c r="B34" i="28"/>
  <c r="C34" i="28"/>
  <c r="D34" i="28"/>
  <c r="E34" i="28"/>
  <c r="F34" i="28"/>
  <c r="G34" i="28"/>
  <c r="H34" i="28"/>
  <c r="I34" i="28"/>
  <c r="J34" i="28"/>
  <c r="K34" i="28"/>
  <c r="L34" i="28"/>
  <c r="M34" i="28"/>
  <c r="N34" i="28"/>
  <c r="O34" i="28"/>
  <c r="P34" i="28"/>
  <c r="Q34" i="28"/>
  <c r="R34" i="28"/>
  <c r="S34" i="28"/>
  <c r="T34" i="28"/>
  <c r="U34" i="28"/>
  <c r="V34" i="28"/>
  <c r="W34" i="28"/>
  <c r="X34" i="28"/>
  <c r="Y34" i="28"/>
  <c r="Z34" i="28"/>
  <c r="AA34" i="28"/>
  <c r="AB34" i="28"/>
  <c r="AC34" i="28"/>
  <c r="AD34" i="28"/>
  <c r="AE34" i="28"/>
  <c r="AF34" i="28"/>
  <c r="AG34" i="28"/>
  <c r="B35" i="28"/>
  <c r="C35" i="28"/>
  <c r="D35" i="28"/>
  <c r="E35" i="28"/>
  <c r="F35" i="28"/>
  <c r="G35" i="28"/>
  <c r="H35" i="28"/>
  <c r="I35" i="28"/>
  <c r="J35" i="28"/>
  <c r="K35" i="28"/>
  <c r="L35" i="28"/>
  <c r="M35" i="28"/>
  <c r="N35" i="28"/>
  <c r="O35" i="28"/>
  <c r="P35" i="28"/>
  <c r="Q35" i="28"/>
  <c r="R35" i="28"/>
  <c r="S35" i="28"/>
  <c r="T35" i="28"/>
  <c r="U35" i="28"/>
  <c r="V35" i="28"/>
  <c r="W35" i="28"/>
  <c r="X35" i="28"/>
  <c r="Y35" i="28"/>
  <c r="Z35" i="28"/>
  <c r="AA35" i="28"/>
  <c r="AB35" i="28"/>
  <c r="AC35" i="28"/>
  <c r="AD35" i="28"/>
  <c r="AE35" i="28"/>
  <c r="AF35" i="28"/>
  <c r="AG35" i="28"/>
  <c r="B36" i="28"/>
  <c r="C36" i="28"/>
  <c r="D36" i="28"/>
  <c r="E36" i="28"/>
  <c r="F36" i="28"/>
  <c r="G36" i="28"/>
  <c r="H36" i="28"/>
  <c r="I36" i="28"/>
  <c r="J36" i="28"/>
  <c r="K36" i="28"/>
  <c r="L36" i="28"/>
  <c r="M36" i="28"/>
  <c r="N36" i="28"/>
  <c r="O36" i="28"/>
  <c r="P36" i="28"/>
  <c r="Q36" i="28"/>
  <c r="R36" i="28"/>
  <c r="S36" i="28"/>
  <c r="T36" i="28"/>
  <c r="U36" i="28"/>
  <c r="V36" i="28"/>
  <c r="W36" i="28"/>
  <c r="X36" i="28"/>
  <c r="Y36" i="28"/>
  <c r="Z36" i="28"/>
  <c r="AA36" i="28"/>
  <c r="AB36" i="28"/>
  <c r="AC36" i="28"/>
  <c r="AD36" i="28"/>
  <c r="AE36" i="28"/>
  <c r="AF36" i="28"/>
  <c r="AG36" i="28"/>
  <c r="B37" i="28"/>
  <c r="C37" i="28"/>
  <c r="D37" i="28"/>
  <c r="E37" i="28"/>
  <c r="F37" i="28"/>
  <c r="G37" i="28"/>
  <c r="H37" i="28"/>
  <c r="I37" i="28"/>
  <c r="J37" i="28"/>
  <c r="K37" i="28"/>
  <c r="L37" i="28"/>
  <c r="M37" i="28"/>
  <c r="N37" i="28"/>
  <c r="O37" i="28"/>
  <c r="P37" i="28"/>
  <c r="Q37" i="28"/>
  <c r="R37" i="28"/>
  <c r="S37" i="28"/>
  <c r="T37" i="28"/>
  <c r="U37" i="28"/>
  <c r="V37" i="28"/>
  <c r="W37" i="28"/>
  <c r="X37" i="28"/>
  <c r="Y37" i="28"/>
  <c r="Z37" i="28"/>
  <c r="AA37" i="28"/>
  <c r="AB37" i="28"/>
  <c r="AC37" i="28"/>
  <c r="AD37" i="28"/>
  <c r="AE37" i="28"/>
  <c r="AF37" i="28"/>
  <c r="AG37" i="28"/>
  <c r="B38" i="28"/>
  <c r="C38" i="28"/>
  <c r="D38" i="28"/>
  <c r="E38" i="28"/>
  <c r="F38" i="28"/>
  <c r="G38" i="28"/>
  <c r="H38" i="28"/>
  <c r="I38" i="28"/>
  <c r="J38" i="28"/>
  <c r="K38" i="28"/>
  <c r="L38" i="28"/>
  <c r="M38" i="28"/>
  <c r="N38" i="28"/>
  <c r="O38" i="28"/>
  <c r="P38" i="28"/>
  <c r="Q38" i="28"/>
  <c r="R38" i="28"/>
  <c r="S38" i="28"/>
  <c r="T38" i="28"/>
  <c r="U38" i="28"/>
  <c r="V38" i="28"/>
  <c r="W38" i="28"/>
  <c r="X38" i="28"/>
  <c r="Y38" i="28"/>
  <c r="Z38" i="28"/>
  <c r="AA38" i="28"/>
  <c r="AB38" i="28"/>
  <c r="AC38" i="28"/>
  <c r="AD38" i="28"/>
  <c r="AE38" i="28"/>
  <c r="AF38" i="28"/>
  <c r="AG38" i="28"/>
  <c r="B39" i="28"/>
  <c r="C39" i="28"/>
  <c r="D39" i="28"/>
  <c r="E39" i="28"/>
  <c r="F39" i="28"/>
  <c r="G39" i="28"/>
  <c r="H39" i="28"/>
  <c r="I39" i="28"/>
  <c r="J39" i="28"/>
  <c r="K39" i="28"/>
  <c r="L39" i="28"/>
  <c r="M39" i="28"/>
  <c r="N39" i="28"/>
  <c r="O39" i="28"/>
  <c r="P39" i="28"/>
  <c r="Q39" i="28"/>
  <c r="R39" i="28"/>
  <c r="S39" i="28"/>
  <c r="T39" i="28"/>
  <c r="U39" i="28"/>
  <c r="V39" i="28"/>
  <c r="W39" i="28"/>
  <c r="X39" i="28"/>
  <c r="Y39" i="28"/>
  <c r="Z39" i="28"/>
  <c r="AA39" i="28"/>
  <c r="AB39" i="28"/>
  <c r="AC39" i="28"/>
  <c r="AD39" i="28"/>
  <c r="AE39" i="28"/>
  <c r="AF39" i="28"/>
  <c r="AG39" i="28"/>
  <c r="B40" i="28"/>
  <c r="C40" i="28"/>
  <c r="D40" i="28"/>
  <c r="E40" i="28"/>
  <c r="F40" i="28"/>
  <c r="G40" i="28"/>
  <c r="H40" i="28"/>
  <c r="I40" i="28"/>
  <c r="J40" i="28"/>
  <c r="K40" i="28"/>
  <c r="L40" i="28"/>
  <c r="M40" i="28"/>
  <c r="N40" i="28"/>
  <c r="O40" i="28"/>
  <c r="P40" i="28"/>
  <c r="Q40" i="28"/>
  <c r="R40" i="28"/>
  <c r="S40" i="28"/>
  <c r="T40" i="28"/>
  <c r="U40" i="28"/>
  <c r="V40" i="28"/>
  <c r="W40" i="28"/>
  <c r="X40" i="28"/>
  <c r="Y40" i="28"/>
  <c r="Z40" i="28"/>
  <c r="AA40" i="28"/>
  <c r="AB40" i="28"/>
  <c r="AC40" i="28"/>
  <c r="AD40" i="28"/>
  <c r="AE40" i="28"/>
  <c r="AF40" i="28"/>
  <c r="AG40" i="28"/>
  <c r="B41" i="28"/>
  <c r="C41" i="28"/>
  <c r="D41" i="28"/>
  <c r="E41" i="28"/>
  <c r="F41" i="28"/>
  <c r="G41" i="28"/>
  <c r="H41" i="28"/>
  <c r="I41" i="28"/>
  <c r="J41" i="28"/>
  <c r="K41" i="28"/>
  <c r="L41" i="28"/>
  <c r="M41" i="28"/>
  <c r="N41" i="28"/>
  <c r="O41" i="28"/>
  <c r="P41" i="28"/>
  <c r="Q41" i="28"/>
  <c r="R41" i="28"/>
  <c r="S41" i="28"/>
  <c r="T41" i="28"/>
  <c r="U41" i="28"/>
  <c r="V41" i="28"/>
  <c r="W41" i="28"/>
  <c r="X41" i="28"/>
  <c r="Y41" i="28"/>
  <c r="Z41" i="28"/>
  <c r="AA41" i="28"/>
  <c r="AB41" i="28"/>
  <c r="AC41" i="28"/>
  <c r="AD41" i="28"/>
  <c r="AE41" i="28"/>
  <c r="AF41" i="28"/>
  <c r="AG41" i="28"/>
  <c r="B42" i="28"/>
  <c r="C42" i="28"/>
  <c r="D42" i="28"/>
  <c r="E42" i="28"/>
  <c r="F42" i="28"/>
  <c r="G42" i="28"/>
  <c r="H42" i="28"/>
  <c r="I42" i="28"/>
  <c r="J42" i="28"/>
  <c r="K42" i="28"/>
  <c r="L42" i="28"/>
  <c r="M42" i="28"/>
  <c r="N42" i="28"/>
  <c r="O42" i="28"/>
  <c r="P42" i="28"/>
  <c r="Q42" i="28"/>
  <c r="R42" i="28"/>
  <c r="S42" i="28"/>
  <c r="T42" i="28"/>
  <c r="U42" i="28"/>
  <c r="V42" i="28"/>
  <c r="W42" i="28"/>
  <c r="X42" i="28"/>
  <c r="Y42" i="28"/>
  <c r="Z42" i="28"/>
  <c r="AA42" i="28"/>
  <c r="AB42" i="28"/>
  <c r="AC42" i="28"/>
  <c r="AD42" i="28"/>
  <c r="AE42" i="28"/>
  <c r="AF42" i="28"/>
  <c r="AG42" i="28"/>
  <c r="B43" i="28"/>
  <c r="C43" i="28"/>
  <c r="D43" i="28"/>
  <c r="E43" i="28"/>
  <c r="F43" i="28"/>
  <c r="G43" i="28"/>
  <c r="H43" i="28"/>
  <c r="I43" i="28"/>
  <c r="J43" i="28"/>
  <c r="K43" i="28"/>
  <c r="L43" i="28"/>
  <c r="M43" i="28"/>
  <c r="N43" i="28"/>
  <c r="O43" i="28"/>
  <c r="P43" i="28"/>
  <c r="Q43" i="28"/>
  <c r="R43" i="28"/>
  <c r="S43" i="28"/>
  <c r="T43" i="28"/>
  <c r="U43" i="28"/>
  <c r="V43" i="28"/>
  <c r="W43" i="28"/>
  <c r="X43" i="28"/>
  <c r="Y43" i="28"/>
  <c r="Z43" i="28"/>
  <c r="AA43" i="28"/>
  <c r="AB43" i="28"/>
  <c r="AC43" i="28"/>
  <c r="AD43" i="28"/>
  <c r="AE43" i="28"/>
  <c r="AF43" i="28"/>
  <c r="AG43" i="28"/>
  <c r="B44" i="28"/>
  <c r="C44" i="28"/>
  <c r="B45" i="28"/>
  <c r="C45" i="28"/>
  <c r="B46" i="28"/>
  <c r="C46" i="28"/>
  <c r="B47" i="28"/>
  <c r="C47" i="28"/>
  <c r="B48" i="28"/>
  <c r="C48" i="28"/>
  <c r="B49" i="28"/>
  <c r="C49" i="28"/>
  <c r="B50" i="28"/>
  <c r="C50" i="28"/>
  <c r="B51" i="28"/>
  <c r="C51" i="28"/>
  <c r="B52" i="28"/>
  <c r="C52" i="28"/>
  <c r="B53" i="28"/>
  <c r="C53" i="28"/>
  <c r="B54" i="28"/>
  <c r="C54" i="28"/>
  <c r="B55" i="28"/>
  <c r="C55" i="28"/>
  <c r="B56" i="28"/>
  <c r="C56" i="28"/>
  <c r="B57" i="28"/>
  <c r="C57" i="28"/>
  <c r="B58" i="28"/>
  <c r="C58" i="28"/>
  <c r="B59" i="28"/>
  <c r="C59" i="28"/>
  <c r="B60" i="28"/>
  <c r="C60" i="28"/>
  <c r="B61" i="28"/>
  <c r="C61" i="28"/>
  <c r="B62" i="28"/>
  <c r="C62" i="28"/>
  <c r="B63" i="28"/>
  <c r="C63" i="28"/>
  <c r="B64" i="28"/>
  <c r="C64" i="28"/>
  <c r="B65" i="28"/>
  <c r="C65" i="28"/>
  <c r="B66" i="28"/>
  <c r="C66" i="28"/>
  <c r="B67" i="28"/>
  <c r="C67" i="28"/>
  <c r="B68" i="28"/>
  <c r="C68" i="28"/>
  <c r="B69" i="28"/>
  <c r="C69" i="28"/>
  <c r="B70" i="28"/>
  <c r="C70" i="28"/>
  <c r="B71" i="28"/>
  <c r="C71" i="28"/>
  <c r="B72" i="28"/>
  <c r="C72" i="28"/>
  <c r="B73" i="28"/>
  <c r="C73" i="28"/>
  <c r="D73" i="28"/>
  <c r="E73" i="28"/>
  <c r="F73" i="28"/>
  <c r="G73" i="28"/>
  <c r="H73" i="28"/>
  <c r="I73" i="28"/>
  <c r="J73" i="28"/>
  <c r="K73" i="28"/>
  <c r="L73" i="28"/>
  <c r="M73" i="28"/>
  <c r="N73" i="28"/>
  <c r="O73" i="28"/>
  <c r="P73" i="28"/>
  <c r="Q73" i="28"/>
  <c r="R73" i="28"/>
  <c r="S73" i="28"/>
  <c r="T73" i="28"/>
  <c r="U73" i="28"/>
  <c r="V73" i="28"/>
  <c r="W73" i="28"/>
  <c r="X73" i="28"/>
  <c r="Y73" i="28"/>
  <c r="Z73" i="28"/>
  <c r="AA73" i="28"/>
  <c r="AB73" i="28"/>
  <c r="AC73" i="28"/>
  <c r="AD73" i="28"/>
  <c r="AE73" i="28"/>
  <c r="AF73" i="28"/>
  <c r="AG73" i="28"/>
  <c r="B74" i="28"/>
  <c r="C74" i="28"/>
  <c r="D74" i="28"/>
  <c r="E74" i="28"/>
  <c r="F74" i="28"/>
  <c r="G74" i="28"/>
  <c r="H74" i="28"/>
  <c r="I74" i="28"/>
  <c r="J74" i="28"/>
  <c r="K74" i="28"/>
  <c r="L74" i="28"/>
  <c r="M74" i="28"/>
  <c r="N74" i="28"/>
  <c r="O74" i="28"/>
  <c r="P74" i="28"/>
  <c r="Q74" i="28"/>
  <c r="R74" i="28"/>
  <c r="S74" i="28"/>
  <c r="T74" i="28"/>
  <c r="U74" i="28"/>
  <c r="V74" i="28"/>
  <c r="W74" i="28"/>
  <c r="X74" i="28"/>
  <c r="Y74" i="28"/>
  <c r="Z74" i="28"/>
  <c r="AA74" i="28"/>
  <c r="AB74" i="28"/>
  <c r="AC74" i="28"/>
  <c r="AD74" i="28"/>
  <c r="AE74" i="28"/>
  <c r="AF74" i="28"/>
  <c r="AG74" i="28"/>
  <c r="B75" i="28"/>
  <c r="C75" i="28"/>
  <c r="D75" i="28"/>
  <c r="E75" i="28"/>
  <c r="F75" i="28"/>
  <c r="G75" i="28"/>
  <c r="H75" i="28"/>
  <c r="I75" i="28"/>
  <c r="J75" i="28"/>
  <c r="K75" i="28"/>
  <c r="L75" i="28"/>
  <c r="M75" i="28"/>
  <c r="N75" i="28"/>
  <c r="O75" i="28"/>
  <c r="P75" i="28"/>
  <c r="Q75" i="28"/>
  <c r="R75" i="28"/>
  <c r="S75" i="28"/>
  <c r="T75" i="28"/>
  <c r="U75" i="28"/>
  <c r="V75" i="28"/>
  <c r="W75" i="28"/>
  <c r="X75" i="28"/>
  <c r="Y75" i="28"/>
  <c r="Z75" i="28"/>
  <c r="AA75" i="28"/>
  <c r="AB75" i="28"/>
  <c r="AC75" i="28"/>
  <c r="AD75" i="28"/>
  <c r="AE75" i="28"/>
  <c r="AF75" i="28"/>
  <c r="AG75" i="28"/>
  <c r="B76" i="28"/>
  <c r="C76" i="28"/>
  <c r="D76" i="28"/>
  <c r="E76" i="28"/>
  <c r="F76" i="28"/>
  <c r="G76" i="28"/>
  <c r="H76" i="28"/>
  <c r="I76" i="28"/>
  <c r="J76" i="28"/>
  <c r="K76" i="28"/>
  <c r="L76" i="28"/>
  <c r="M76" i="28"/>
  <c r="N76" i="28"/>
  <c r="O76" i="28"/>
  <c r="P76" i="28"/>
  <c r="Q76" i="28"/>
  <c r="R76" i="28"/>
  <c r="S76" i="28"/>
  <c r="T76" i="28"/>
  <c r="U76" i="28"/>
  <c r="V76" i="28"/>
  <c r="W76" i="28"/>
  <c r="X76" i="28"/>
  <c r="Y76" i="28"/>
  <c r="Z76" i="28"/>
  <c r="AA76" i="28"/>
  <c r="AB76" i="28"/>
  <c r="AC76" i="28"/>
  <c r="AD76" i="28"/>
  <c r="AE76" i="28"/>
  <c r="AF76" i="28"/>
  <c r="AG76" i="28"/>
  <c r="B77" i="28"/>
  <c r="C77" i="28"/>
  <c r="D77" i="28"/>
  <c r="E77" i="28"/>
  <c r="F77" i="28"/>
  <c r="G77" i="28"/>
  <c r="H77" i="28"/>
  <c r="I77" i="28"/>
  <c r="J77" i="28"/>
  <c r="K77" i="28"/>
  <c r="L77" i="28"/>
  <c r="M77" i="28"/>
  <c r="N77" i="28"/>
  <c r="O77" i="28"/>
  <c r="P77" i="28"/>
  <c r="Q77" i="28"/>
  <c r="R77" i="28"/>
  <c r="S77" i="28"/>
  <c r="T77" i="28"/>
  <c r="U77" i="28"/>
  <c r="V77" i="28"/>
  <c r="W77" i="28"/>
  <c r="X77" i="28"/>
  <c r="Y77" i="28"/>
  <c r="Z77" i="28"/>
  <c r="AA77" i="28"/>
  <c r="AB77" i="28"/>
  <c r="AC77" i="28"/>
  <c r="AD77" i="28"/>
  <c r="AE77" i="28"/>
  <c r="AF77" i="28"/>
  <c r="AG77" i="28"/>
  <c r="B78" i="28"/>
  <c r="C78" i="28"/>
  <c r="D78" i="28"/>
  <c r="E78" i="28"/>
  <c r="F78" i="28"/>
  <c r="G78" i="28"/>
  <c r="H78" i="28"/>
  <c r="I78" i="28"/>
  <c r="J78" i="28"/>
  <c r="K78" i="28"/>
  <c r="L78" i="28"/>
  <c r="M78" i="28"/>
  <c r="N78" i="28"/>
  <c r="O78" i="28"/>
  <c r="P78" i="28"/>
  <c r="Q78" i="28"/>
  <c r="R78" i="28"/>
  <c r="S78" i="28"/>
  <c r="T78" i="28"/>
  <c r="U78" i="28"/>
  <c r="V78" i="28"/>
  <c r="W78" i="28"/>
  <c r="X78" i="28"/>
  <c r="Y78" i="28"/>
  <c r="Z78" i="28"/>
  <c r="AA78" i="28"/>
  <c r="AB78" i="28"/>
  <c r="AC78" i="28"/>
  <c r="AD78" i="28"/>
  <c r="AE78" i="28"/>
  <c r="AF78" i="28"/>
  <c r="AG78" i="28"/>
  <c r="B79" i="28"/>
  <c r="C79" i="28"/>
  <c r="D79" i="28"/>
  <c r="E79" i="28"/>
  <c r="F79" i="28"/>
  <c r="G79" i="28"/>
  <c r="H79" i="28"/>
  <c r="I79" i="28"/>
  <c r="J79" i="28"/>
  <c r="K79" i="28"/>
  <c r="L79" i="28"/>
  <c r="M79" i="28"/>
  <c r="N79" i="28"/>
  <c r="O79" i="28"/>
  <c r="P79" i="28"/>
  <c r="Q79" i="28"/>
  <c r="R79" i="28"/>
  <c r="S79" i="28"/>
  <c r="T79" i="28"/>
  <c r="U79" i="28"/>
  <c r="V79" i="28"/>
  <c r="W79" i="28"/>
  <c r="X79" i="28"/>
  <c r="Y79" i="28"/>
  <c r="Z79" i="28"/>
  <c r="AA79" i="28"/>
  <c r="AB79" i="28"/>
  <c r="AC79" i="28"/>
  <c r="AD79" i="28"/>
  <c r="AE79" i="28"/>
  <c r="AF79" i="28"/>
  <c r="AG79" i="28"/>
  <c r="B80" i="28"/>
  <c r="C80" i="28"/>
  <c r="D80" i="28"/>
  <c r="E80" i="28"/>
  <c r="F80" i="28"/>
  <c r="G80" i="28"/>
  <c r="H80" i="28"/>
  <c r="I80" i="28"/>
  <c r="J80" i="28"/>
  <c r="K80" i="28"/>
  <c r="L80" i="28"/>
  <c r="M80" i="28"/>
  <c r="N80" i="28"/>
  <c r="O80" i="28"/>
  <c r="P80" i="28"/>
  <c r="Q80" i="28"/>
  <c r="R80" i="28"/>
  <c r="S80" i="28"/>
  <c r="T80" i="28"/>
  <c r="U80" i="28"/>
  <c r="V80" i="28"/>
  <c r="W80" i="28"/>
  <c r="X80" i="28"/>
  <c r="Y80" i="28"/>
  <c r="Z80" i="28"/>
  <c r="AA80" i="28"/>
  <c r="AB80" i="28"/>
  <c r="AC80" i="28"/>
  <c r="AD80" i="28"/>
  <c r="AE80" i="28"/>
  <c r="AF80" i="28"/>
  <c r="AG80" i="28"/>
  <c r="B81" i="28"/>
  <c r="C81" i="28"/>
  <c r="D81" i="28"/>
  <c r="E81" i="28"/>
  <c r="F81" i="28"/>
  <c r="G81" i="28"/>
  <c r="H81" i="28"/>
  <c r="I81" i="28"/>
  <c r="J81" i="28"/>
  <c r="K81" i="28"/>
  <c r="L81" i="28"/>
  <c r="M81" i="28"/>
  <c r="N81" i="28"/>
  <c r="O81" i="28"/>
  <c r="P81" i="28"/>
  <c r="Q81" i="28"/>
  <c r="R81" i="28"/>
  <c r="S81" i="28"/>
  <c r="T81" i="28"/>
  <c r="U81" i="28"/>
  <c r="V81" i="28"/>
  <c r="W81" i="28"/>
  <c r="X81" i="28"/>
  <c r="Y81" i="28"/>
  <c r="Z81" i="28"/>
  <c r="AA81" i="28"/>
  <c r="AB81" i="28"/>
  <c r="AC81" i="28"/>
  <c r="AD81" i="28"/>
  <c r="AE81" i="28"/>
  <c r="AF81" i="28"/>
  <c r="AG81" i="28"/>
  <c r="B82" i="28"/>
  <c r="C82" i="28"/>
  <c r="D82" i="28"/>
  <c r="E82" i="28"/>
  <c r="F82" i="28"/>
  <c r="G82" i="28"/>
  <c r="H82" i="28"/>
  <c r="I82" i="28"/>
  <c r="J82" i="28"/>
  <c r="K82" i="28"/>
  <c r="L82" i="28"/>
  <c r="M82" i="28"/>
  <c r="N82" i="28"/>
  <c r="O82" i="28"/>
  <c r="P82" i="28"/>
  <c r="Q82" i="28"/>
  <c r="R82" i="28"/>
  <c r="S82" i="28"/>
  <c r="T82" i="28"/>
  <c r="U82" i="28"/>
  <c r="V82" i="28"/>
  <c r="W82" i="28"/>
  <c r="X82" i="28"/>
  <c r="Y82" i="28"/>
  <c r="Z82" i="28"/>
  <c r="AA82" i="28"/>
  <c r="AB82" i="28"/>
  <c r="AC82" i="28"/>
  <c r="AD82" i="28"/>
  <c r="AE82" i="28"/>
  <c r="AF82" i="28"/>
  <c r="AG82" i="28"/>
  <c r="B83" i="28"/>
  <c r="C83" i="28"/>
  <c r="D83" i="28"/>
  <c r="E83" i="28"/>
  <c r="F83" i="28"/>
  <c r="G83" i="28"/>
  <c r="H83" i="28"/>
  <c r="I83" i="28"/>
  <c r="J83" i="28"/>
  <c r="K83" i="28"/>
  <c r="L83" i="28"/>
  <c r="M83" i="28"/>
  <c r="N83" i="28"/>
  <c r="O83" i="28"/>
  <c r="P83" i="28"/>
  <c r="Q83" i="28"/>
  <c r="R83" i="28"/>
  <c r="S83" i="28"/>
  <c r="T83" i="28"/>
  <c r="U83" i="28"/>
  <c r="V83" i="28"/>
  <c r="W83" i="28"/>
  <c r="X83" i="28"/>
  <c r="Y83" i="28"/>
  <c r="Z83" i="28"/>
  <c r="AA83" i="28"/>
  <c r="AB83" i="28"/>
  <c r="AC83" i="28"/>
  <c r="AD83" i="28"/>
  <c r="AE83" i="28"/>
  <c r="AF83" i="28"/>
  <c r="AG83" i="28"/>
  <c r="B84" i="28"/>
  <c r="C84" i="28"/>
  <c r="D84" i="28"/>
  <c r="E84" i="28"/>
  <c r="F84" i="28"/>
  <c r="G84" i="28"/>
  <c r="H84" i="28"/>
  <c r="I84" i="28"/>
  <c r="J84" i="28"/>
  <c r="K84" i="28"/>
  <c r="L84" i="28"/>
  <c r="M84" i="28"/>
  <c r="N84" i="28"/>
  <c r="O84" i="28"/>
  <c r="P84" i="28"/>
  <c r="Q84" i="28"/>
  <c r="R84" i="28"/>
  <c r="S84" i="28"/>
  <c r="T84" i="28"/>
  <c r="U84" i="28"/>
  <c r="V84" i="28"/>
  <c r="W84" i="28"/>
  <c r="X84" i="28"/>
  <c r="Y84" i="28"/>
  <c r="Z84" i="28"/>
  <c r="AA84" i="28"/>
  <c r="AB84" i="28"/>
  <c r="AC84" i="28"/>
  <c r="AD84" i="28"/>
  <c r="AE84" i="28"/>
  <c r="AF84" i="28"/>
  <c r="AG84" i="28"/>
  <c r="B85" i="28"/>
  <c r="C85" i="28"/>
  <c r="D85" i="28"/>
  <c r="E85" i="28"/>
  <c r="F85" i="28"/>
  <c r="G85" i="28"/>
  <c r="H85" i="28"/>
  <c r="I85" i="28"/>
  <c r="J85" i="28"/>
  <c r="K85" i="28"/>
  <c r="L85" i="28"/>
  <c r="M85" i="28"/>
  <c r="N85" i="28"/>
  <c r="O85" i="28"/>
  <c r="P85" i="28"/>
  <c r="Q85" i="28"/>
  <c r="R85" i="28"/>
  <c r="S85" i="28"/>
  <c r="T85" i="28"/>
  <c r="U85" i="28"/>
  <c r="V85" i="28"/>
  <c r="W85" i="28"/>
  <c r="X85" i="28"/>
  <c r="Y85" i="28"/>
  <c r="Z85" i="28"/>
  <c r="AA85" i="28"/>
  <c r="AB85" i="28"/>
  <c r="AC85" i="28"/>
  <c r="AD85" i="28"/>
  <c r="AE85" i="28"/>
  <c r="AF85" i="28"/>
  <c r="AG85" i="28"/>
  <c r="B86" i="28"/>
  <c r="C86" i="28"/>
  <c r="D86" i="28"/>
  <c r="E86" i="28"/>
  <c r="F86" i="28"/>
  <c r="G86" i="28"/>
  <c r="H86" i="28"/>
  <c r="I86" i="28"/>
  <c r="J86" i="28"/>
  <c r="K86" i="28"/>
  <c r="L86" i="28"/>
  <c r="M86" i="28"/>
  <c r="N86" i="28"/>
  <c r="O86" i="28"/>
  <c r="P86" i="28"/>
  <c r="Q86" i="28"/>
  <c r="R86" i="28"/>
  <c r="S86" i="28"/>
  <c r="T86" i="28"/>
  <c r="U86" i="28"/>
  <c r="V86" i="28"/>
  <c r="W86" i="28"/>
  <c r="X86" i="28"/>
  <c r="Y86" i="28"/>
  <c r="Z86" i="28"/>
  <c r="AA86" i="28"/>
  <c r="AB86" i="28"/>
  <c r="AC86" i="28"/>
  <c r="AD86" i="28"/>
  <c r="AE86" i="28"/>
  <c r="AF86" i="28"/>
  <c r="AG86" i="28"/>
  <c r="B87" i="28"/>
  <c r="C87" i="28"/>
  <c r="D87" i="28"/>
  <c r="E87" i="28"/>
  <c r="F87" i="28"/>
  <c r="G87" i="28"/>
  <c r="H87" i="28"/>
  <c r="I87" i="28"/>
  <c r="J87" i="28"/>
  <c r="K87" i="28"/>
  <c r="L87" i="28"/>
  <c r="M87" i="28"/>
  <c r="N87" i="28"/>
  <c r="O87" i="28"/>
  <c r="P87" i="28"/>
  <c r="Q87" i="28"/>
  <c r="R87" i="28"/>
  <c r="S87" i="28"/>
  <c r="T87" i="28"/>
  <c r="U87" i="28"/>
  <c r="V87" i="28"/>
  <c r="W87" i="28"/>
  <c r="X87" i="28"/>
  <c r="Y87" i="28"/>
  <c r="Z87" i="28"/>
  <c r="AA87" i="28"/>
  <c r="AB87" i="28"/>
  <c r="AC87" i="28"/>
  <c r="AD87" i="28"/>
  <c r="AE87" i="28"/>
  <c r="AF87" i="28"/>
  <c r="AG87" i="28"/>
  <c r="B88" i="28"/>
  <c r="C88" i="28"/>
  <c r="D88" i="28"/>
  <c r="E88" i="28"/>
  <c r="F88" i="28"/>
  <c r="G88" i="28"/>
  <c r="H88" i="28"/>
  <c r="I88" i="28"/>
  <c r="J88" i="28"/>
  <c r="K88" i="28"/>
  <c r="L88" i="28"/>
  <c r="M88" i="28"/>
  <c r="N88" i="28"/>
  <c r="O88" i="28"/>
  <c r="P88" i="28"/>
  <c r="Q88" i="28"/>
  <c r="R88" i="28"/>
  <c r="S88" i="28"/>
  <c r="T88" i="28"/>
  <c r="U88" i="28"/>
  <c r="V88" i="28"/>
  <c r="W88" i="28"/>
  <c r="X88" i="28"/>
  <c r="Y88" i="28"/>
  <c r="Z88" i="28"/>
  <c r="AA88" i="28"/>
  <c r="AB88" i="28"/>
  <c r="AC88" i="28"/>
  <c r="AD88" i="28"/>
  <c r="AE88" i="28"/>
  <c r="AF88" i="28"/>
  <c r="AG88" i="28"/>
  <c r="B89" i="28"/>
  <c r="C89" i="28"/>
  <c r="D89" i="28"/>
  <c r="E89" i="28"/>
  <c r="F89" i="28"/>
  <c r="G89" i="28"/>
  <c r="H89" i="28"/>
  <c r="I89" i="28"/>
  <c r="J89" i="28"/>
  <c r="K89" i="28"/>
  <c r="L89" i="28"/>
  <c r="M89" i="28"/>
  <c r="N89" i="28"/>
  <c r="O89" i="28"/>
  <c r="P89" i="28"/>
  <c r="Q89" i="28"/>
  <c r="R89" i="28"/>
  <c r="S89" i="28"/>
  <c r="T89" i="28"/>
  <c r="U89" i="28"/>
  <c r="V89" i="28"/>
  <c r="W89" i="28"/>
  <c r="X89" i="28"/>
  <c r="Y89" i="28"/>
  <c r="Z89" i="28"/>
  <c r="AA89" i="28"/>
  <c r="AB89" i="28"/>
  <c r="AC89" i="28"/>
  <c r="AD89" i="28"/>
  <c r="AE89" i="28"/>
  <c r="AF89" i="28"/>
  <c r="AG89" i="28"/>
  <c r="B90" i="28"/>
  <c r="C90" i="28"/>
  <c r="D90" i="28"/>
  <c r="E90" i="28"/>
  <c r="F90" i="28"/>
  <c r="G90" i="28"/>
  <c r="H90" i="28"/>
  <c r="I90" i="28"/>
  <c r="J90" i="28"/>
  <c r="K90" i="28"/>
  <c r="L90" i="28"/>
  <c r="M90" i="28"/>
  <c r="N90" i="28"/>
  <c r="O90" i="28"/>
  <c r="P90" i="28"/>
  <c r="Q90" i="28"/>
  <c r="R90" i="28"/>
  <c r="S90" i="28"/>
  <c r="T90" i="28"/>
  <c r="U90" i="28"/>
  <c r="V90" i="28"/>
  <c r="W90" i="28"/>
  <c r="X90" i="28"/>
  <c r="Y90" i="28"/>
  <c r="Z90" i="28"/>
  <c r="AA90" i="28"/>
  <c r="AB90" i="28"/>
  <c r="AC90" i="28"/>
  <c r="AD90" i="28"/>
  <c r="AE90" i="28"/>
  <c r="AF90" i="28"/>
  <c r="AG90" i="28"/>
  <c r="B91" i="28"/>
  <c r="C91" i="28"/>
  <c r="D91" i="28"/>
  <c r="E91" i="28"/>
  <c r="F91" i="28"/>
  <c r="G91" i="28"/>
  <c r="H91" i="28"/>
  <c r="I91" i="28"/>
  <c r="J91" i="28"/>
  <c r="K91" i="28"/>
  <c r="L91" i="28"/>
  <c r="M91" i="28"/>
  <c r="N91" i="28"/>
  <c r="O91" i="28"/>
  <c r="P91" i="28"/>
  <c r="Q91" i="28"/>
  <c r="R91" i="28"/>
  <c r="S91" i="28"/>
  <c r="T91" i="28"/>
  <c r="U91" i="28"/>
  <c r="V91" i="28"/>
  <c r="W91" i="28"/>
  <c r="X91" i="28"/>
  <c r="Y91" i="28"/>
  <c r="Z91" i="28"/>
  <c r="AA91" i="28"/>
  <c r="AB91" i="28"/>
  <c r="AC91" i="28"/>
  <c r="AD91" i="28"/>
  <c r="AE91" i="28"/>
  <c r="AF91" i="28"/>
  <c r="AG91" i="28"/>
  <c r="B92" i="28"/>
  <c r="C92" i="28"/>
  <c r="D92" i="28"/>
  <c r="E92" i="28"/>
  <c r="F92" i="28"/>
  <c r="G92" i="28"/>
  <c r="H92" i="28"/>
  <c r="I92" i="28"/>
  <c r="J92" i="28"/>
  <c r="K92" i="28"/>
  <c r="L92" i="28"/>
  <c r="M92" i="28"/>
  <c r="N92" i="28"/>
  <c r="O92" i="28"/>
  <c r="P92" i="28"/>
  <c r="Q92" i="28"/>
  <c r="R92" i="28"/>
  <c r="S92" i="28"/>
  <c r="T92" i="28"/>
  <c r="U92" i="28"/>
  <c r="V92" i="28"/>
  <c r="W92" i="28"/>
  <c r="X92" i="28"/>
  <c r="Y92" i="28"/>
  <c r="Z92" i="28"/>
  <c r="AA92" i="28"/>
  <c r="AB92" i="28"/>
  <c r="AC92" i="28"/>
  <c r="AD92" i="28"/>
  <c r="AE92" i="28"/>
  <c r="AF92" i="28"/>
  <c r="AG92" i="28"/>
  <c r="B93" i="28"/>
  <c r="C93" i="28"/>
  <c r="D93" i="28"/>
  <c r="E93" i="28"/>
  <c r="F93" i="28"/>
  <c r="G93" i="28"/>
  <c r="H93" i="28"/>
  <c r="I93" i="28"/>
  <c r="J93" i="28"/>
  <c r="K93" i="28"/>
  <c r="L93" i="28"/>
  <c r="M93" i="28"/>
  <c r="N93" i="28"/>
  <c r="O93" i="28"/>
  <c r="P93" i="28"/>
  <c r="Q93" i="28"/>
  <c r="R93" i="28"/>
  <c r="S93" i="28"/>
  <c r="T93" i="28"/>
  <c r="U93" i="28"/>
  <c r="V93" i="28"/>
  <c r="W93" i="28"/>
  <c r="X93" i="28"/>
  <c r="Y93" i="28"/>
  <c r="Z93" i="28"/>
  <c r="AA93" i="28"/>
  <c r="AB93" i="28"/>
  <c r="AC93" i="28"/>
  <c r="AD93" i="28"/>
  <c r="AE93" i="28"/>
  <c r="AF93" i="28"/>
  <c r="AG93" i="28"/>
  <c r="B94" i="28"/>
  <c r="C94" i="28"/>
  <c r="D94" i="28"/>
  <c r="E94" i="28"/>
  <c r="F94" i="28"/>
  <c r="G94" i="28"/>
  <c r="H94" i="28"/>
  <c r="I94" i="28"/>
  <c r="J94" i="28"/>
  <c r="K94" i="28"/>
  <c r="L94" i="28"/>
  <c r="M94" i="28"/>
  <c r="N94" i="28"/>
  <c r="O94" i="28"/>
  <c r="P94" i="28"/>
  <c r="Q94" i="28"/>
  <c r="R94" i="28"/>
  <c r="S94" i="28"/>
  <c r="T94" i="28"/>
  <c r="U94" i="28"/>
  <c r="V94" i="28"/>
  <c r="W94" i="28"/>
  <c r="X94" i="28"/>
  <c r="Y94" i="28"/>
  <c r="Z94" i="28"/>
  <c r="AA94" i="28"/>
  <c r="AB94" i="28"/>
  <c r="AC94" i="28"/>
  <c r="AD94" i="28"/>
  <c r="AE94" i="28"/>
  <c r="AF94" i="28"/>
  <c r="AG94" i="28"/>
  <c r="B95" i="28"/>
  <c r="C95" i="28"/>
  <c r="D95" i="28"/>
  <c r="E95" i="28"/>
  <c r="F95" i="28"/>
  <c r="G95" i="28"/>
  <c r="H95" i="28"/>
  <c r="I95" i="28"/>
  <c r="J95" i="28"/>
  <c r="K95" i="28"/>
  <c r="L95" i="28"/>
  <c r="M95" i="28"/>
  <c r="N95" i="28"/>
  <c r="O95" i="28"/>
  <c r="P95" i="28"/>
  <c r="Q95" i="28"/>
  <c r="R95" i="28"/>
  <c r="S95" i="28"/>
  <c r="T95" i="28"/>
  <c r="U95" i="28"/>
  <c r="V95" i="28"/>
  <c r="W95" i="28"/>
  <c r="X95" i="28"/>
  <c r="Y95" i="28"/>
  <c r="Z95" i="28"/>
  <c r="AA95" i="28"/>
  <c r="AB95" i="28"/>
  <c r="AC95" i="28"/>
  <c r="AD95" i="28"/>
  <c r="AE95" i="28"/>
  <c r="AF95" i="28"/>
  <c r="AG95" i="28"/>
  <c r="B96" i="28"/>
  <c r="C96" i="28"/>
  <c r="D96" i="28"/>
  <c r="E96" i="28"/>
  <c r="F96" i="28"/>
  <c r="G96" i="28"/>
  <c r="H96" i="28"/>
  <c r="I96" i="28"/>
  <c r="J96" i="28"/>
  <c r="K96" i="28"/>
  <c r="L96" i="28"/>
  <c r="M96" i="28"/>
  <c r="N96" i="28"/>
  <c r="O96" i="28"/>
  <c r="P96" i="28"/>
  <c r="Q96" i="28"/>
  <c r="R96" i="28"/>
  <c r="S96" i="28"/>
  <c r="T96" i="28"/>
  <c r="U96" i="28"/>
  <c r="V96" i="28"/>
  <c r="W96" i="28"/>
  <c r="X96" i="28"/>
  <c r="Y96" i="28"/>
  <c r="Z96" i="28"/>
  <c r="AA96" i="28"/>
  <c r="AB96" i="28"/>
  <c r="AC96" i="28"/>
  <c r="AD96" i="28"/>
  <c r="AE96" i="28"/>
  <c r="AF96" i="28"/>
  <c r="AG96" i="28"/>
  <c r="B97" i="28"/>
  <c r="C97" i="28"/>
  <c r="D97" i="28"/>
  <c r="E97" i="28"/>
  <c r="F97" i="28"/>
  <c r="G97" i="28"/>
  <c r="H97" i="28"/>
  <c r="I97" i="28"/>
  <c r="J97" i="28"/>
  <c r="K97" i="28"/>
  <c r="L97" i="28"/>
  <c r="M97" i="28"/>
  <c r="N97" i="28"/>
  <c r="O97" i="28"/>
  <c r="P97" i="28"/>
  <c r="Q97" i="28"/>
  <c r="R97" i="28"/>
  <c r="S97" i="28"/>
  <c r="T97" i="28"/>
  <c r="U97" i="28"/>
  <c r="V97" i="28"/>
  <c r="W97" i="28"/>
  <c r="X97" i="28"/>
  <c r="Y97" i="28"/>
  <c r="Z97" i="28"/>
  <c r="AA97" i="28"/>
  <c r="AB97" i="28"/>
  <c r="AC97" i="28"/>
  <c r="AD97" i="28"/>
  <c r="AE97" i="28"/>
  <c r="AF97" i="28"/>
  <c r="AG97" i="28"/>
  <c r="B98" i="28"/>
  <c r="C98" i="28"/>
  <c r="D98" i="28"/>
  <c r="E98" i="28"/>
  <c r="F98" i="28"/>
  <c r="G98" i="28"/>
  <c r="H98" i="28"/>
  <c r="I98" i="28"/>
  <c r="J98" i="28"/>
  <c r="K98" i="28"/>
  <c r="L98" i="28"/>
  <c r="M98" i="28"/>
  <c r="N98" i="28"/>
  <c r="O98" i="28"/>
  <c r="P98" i="28"/>
  <c r="Q98" i="28"/>
  <c r="R98" i="28"/>
  <c r="S98" i="28"/>
  <c r="T98" i="28"/>
  <c r="U98" i="28"/>
  <c r="V98" i="28"/>
  <c r="W98" i="28"/>
  <c r="X98" i="28"/>
  <c r="Y98" i="28"/>
  <c r="Z98" i="28"/>
  <c r="AA98" i="28"/>
  <c r="AB98" i="28"/>
  <c r="AC98" i="28"/>
  <c r="AD98" i="28"/>
  <c r="AE98" i="28"/>
  <c r="AF98" i="28"/>
  <c r="AG98" i="28"/>
  <c r="B99" i="28"/>
  <c r="C99" i="28"/>
  <c r="D99" i="28"/>
  <c r="E99" i="28"/>
  <c r="F99" i="28"/>
  <c r="G99" i="28"/>
  <c r="H99" i="28"/>
  <c r="I99" i="28"/>
  <c r="J99" i="28"/>
  <c r="K99" i="28"/>
  <c r="L99" i="28"/>
  <c r="M99" i="28"/>
  <c r="N99" i="28"/>
  <c r="O99" i="28"/>
  <c r="P99" i="28"/>
  <c r="Q99" i="28"/>
  <c r="R99" i="28"/>
  <c r="S99" i="28"/>
  <c r="T99" i="28"/>
  <c r="U99" i="28"/>
  <c r="V99" i="28"/>
  <c r="W99" i="28"/>
  <c r="X99" i="28"/>
  <c r="Y99" i="28"/>
  <c r="Z99" i="28"/>
  <c r="AA99" i="28"/>
  <c r="AB99" i="28"/>
  <c r="AC99" i="28"/>
  <c r="AD99" i="28"/>
  <c r="AE99" i="28"/>
  <c r="AF99" i="28"/>
  <c r="AG99" i="28"/>
  <c r="B100" i="28"/>
  <c r="C100" i="28"/>
  <c r="D100" i="28"/>
  <c r="E100" i="28"/>
  <c r="F100" i="28"/>
  <c r="G100" i="28"/>
  <c r="H100" i="28"/>
  <c r="I100" i="28"/>
  <c r="J100" i="28"/>
  <c r="K100" i="28"/>
  <c r="L100" i="28"/>
  <c r="M100" i="28"/>
  <c r="N100" i="28"/>
  <c r="O100" i="28"/>
  <c r="P100" i="28"/>
  <c r="Q100" i="28"/>
  <c r="R100" i="28"/>
  <c r="S100" i="28"/>
  <c r="T100" i="28"/>
  <c r="U100" i="28"/>
  <c r="V100" i="28"/>
  <c r="W100" i="28"/>
  <c r="X100" i="28"/>
  <c r="Y100" i="28"/>
  <c r="Z100" i="28"/>
  <c r="AA100" i="28"/>
  <c r="AB100" i="28"/>
  <c r="AC100" i="28"/>
  <c r="AD100" i="28"/>
  <c r="AE100" i="28"/>
  <c r="AF100" i="28"/>
  <c r="AG100" i="28"/>
  <c r="B101" i="28"/>
  <c r="C101" i="28"/>
  <c r="D101" i="28"/>
  <c r="E101" i="28"/>
  <c r="F101" i="28"/>
  <c r="G101" i="28"/>
  <c r="H101" i="28"/>
  <c r="I101" i="28"/>
  <c r="J101" i="28"/>
  <c r="K101" i="28"/>
  <c r="L101" i="28"/>
  <c r="M101" i="28"/>
  <c r="N101" i="28"/>
  <c r="O101" i="28"/>
  <c r="P101" i="28"/>
  <c r="Q101" i="28"/>
  <c r="R101" i="28"/>
  <c r="S101" i="28"/>
  <c r="T101" i="28"/>
  <c r="U101" i="28"/>
  <c r="V101" i="28"/>
  <c r="W101" i="28"/>
  <c r="X101" i="28"/>
  <c r="Y101" i="28"/>
  <c r="Z101" i="28"/>
  <c r="AA101" i="28"/>
  <c r="AB101" i="28"/>
  <c r="AC101" i="28"/>
  <c r="AD101" i="28"/>
  <c r="AE101" i="28"/>
  <c r="AF101" i="28"/>
  <c r="AG101" i="28"/>
  <c r="B102" i="28"/>
  <c r="C102" i="28"/>
  <c r="D102" i="28"/>
  <c r="E102" i="28"/>
  <c r="F102" i="28"/>
  <c r="G102" i="28"/>
  <c r="H102" i="28"/>
  <c r="I102" i="28"/>
  <c r="J102" i="28"/>
  <c r="K102" i="28"/>
  <c r="L102" i="28"/>
  <c r="M102" i="28"/>
  <c r="N102" i="28"/>
  <c r="O102" i="28"/>
  <c r="P102" i="28"/>
  <c r="Q102" i="28"/>
  <c r="R102" i="28"/>
  <c r="S102" i="28"/>
  <c r="T102" i="28"/>
  <c r="U102" i="28"/>
  <c r="V102" i="28"/>
  <c r="W102" i="28"/>
  <c r="X102" i="28"/>
  <c r="Y102" i="28"/>
  <c r="Z102" i="28"/>
  <c r="AA102" i="28"/>
  <c r="AB102" i="28"/>
  <c r="AC102" i="28"/>
  <c r="AD102" i="28"/>
  <c r="AE102" i="28"/>
  <c r="AF102" i="28"/>
  <c r="AG102" i="28"/>
  <c r="B103" i="28"/>
  <c r="C103" i="28"/>
  <c r="D103" i="28"/>
  <c r="E103" i="28"/>
  <c r="F103" i="28"/>
  <c r="G103" i="28"/>
  <c r="H103" i="28"/>
  <c r="I103" i="28"/>
  <c r="J103" i="28"/>
  <c r="K103" i="28"/>
  <c r="L103" i="28"/>
  <c r="M103" i="28"/>
  <c r="N103" i="28"/>
  <c r="O103" i="28"/>
  <c r="P103" i="28"/>
  <c r="Q103" i="28"/>
  <c r="R103" i="28"/>
  <c r="S103" i="28"/>
  <c r="T103" i="28"/>
  <c r="U103" i="28"/>
  <c r="V103" i="28"/>
  <c r="W103" i="28"/>
  <c r="X103" i="28"/>
  <c r="Y103" i="28"/>
  <c r="Z103" i="28"/>
  <c r="AA103" i="28"/>
  <c r="AB103" i="28"/>
  <c r="AC103" i="28"/>
  <c r="AD103" i="28"/>
  <c r="AE103" i="28"/>
  <c r="AF103" i="28"/>
  <c r="AG103" i="28"/>
  <c r="B104" i="28"/>
  <c r="C104" i="28"/>
  <c r="D104" i="28"/>
  <c r="E104" i="28"/>
  <c r="F104" i="28"/>
  <c r="G104" i="28"/>
  <c r="H104" i="28"/>
  <c r="I104" i="28"/>
  <c r="J104" i="28"/>
  <c r="K104" i="28"/>
  <c r="L104" i="28"/>
  <c r="M104" i="28"/>
  <c r="N104" i="28"/>
  <c r="O104" i="28"/>
  <c r="P104" i="28"/>
  <c r="Q104" i="28"/>
  <c r="R104" i="28"/>
  <c r="S104" i="28"/>
  <c r="T104" i="28"/>
  <c r="U104" i="28"/>
  <c r="V104" i="28"/>
  <c r="W104" i="28"/>
  <c r="X104" i="28"/>
  <c r="Y104" i="28"/>
  <c r="Z104" i="28"/>
  <c r="AA104" i="28"/>
  <c r="AB104" i="28"/>
  <c r="AC104" i="28"/>
  <c r="AD104" i="28"/>
  <c r="AE104" i="28"/>
  <c r="AF104" i="28"/>
  <c r="AG104" i="28"/>
  <c r="B105" i="28"/>
  <c r="C105" i="28"/>
  <c r="D105" i="28"/>
  <c r="E105" i="28"/>
  <c r="F105" i="28"/>
  <c r="G105" i="28"/>
  <c r="H105" i="28"/>
  <c r="I105" i="28"/>
  <c r="J105" i="28"/>
  <c r="K105" i="28"/>
  <c r="L105" i="28"/>
  <c r="M105" i="28"/>
  <c r="N105" i="28"/>
  <c r="O105" i="28"/>
  <c r="P105" i="28"/>
  <c r="Q105" i="28"/>
  <c r="R105" i="28"/>
  <c r="S105" i="28"/>
  <c r="T105" i="28"/>
  <c r="U105" i="28"/>
  <c r="V105" i="28"/>
  <c r="W105" i="28"/>
  <c r="X105" i="28"/>
  <c r="Y105" i="28"/>
  <c r="Z105" i="28"/>
  <c r="AA105" i="28"/>
  <c r="AB105" i="28"/>
  <c r="AC105" i="28"/>
  <c r="AD105" i="28"/>
  <c r="AE105" i="28"/>
  <c r="AF105" i="28"/>
  <c r="AG105" i="28"/>
  <c r="B106" i="28"/>
  <c r="C106" i="28"/>
  <c r="D106" i="28"/>
  <c r="E106" i="28"/>
  <c r="F106" i="28"/>
  <c r="G106" i="28"/>
  <c r="H106" i="28"/>
  <c r="I106" i="28"/>
  <c r="J106" i="28"/>
  <c r="K106" i="28"/>
  <c r="L106" i="28"/>
  <c r="M106" i="28"/>
  <c r="N106" i="28"/>
  <c r="O106" i="28"/>
  <c r="P106" i="28"/>
  <c r="Q106" i="28"/>
  <c r="R106" i="28"/>
  <c r="S106" i="28"/>
  <c r="T106" i="28"/>
  <c r="U106" i="28"/>
  <c r="V106" i="28"/>
  <c r="W106" i="28"/>
  <c r="X106" i="28"/>
  <c r="Y106" i="28"/>
  <c r="Z106" i="28"/>
  <c r="AA106" i="28"/>
  <c r="AB106" i="28"/>
  <c r="AC106" i="28"/>
  <c r="AD106" i="28"/>
  <c r="AE106" i="28"/>
  <c r="AF106" i="28"/>
  <c r="AG106" i="28"/>
  <c r="B107" i="28"/>
  <c r="C107" i="28"/>
  <c r="D107" i="28"/>
  <c r="E107" i="28"/>
  <c r="F107" i="28"/>
  <c r="G107" i="28"/>
  <c r="H107" i="28"/>
  <c r="I107" i="28"/>
  <c r="J107" i="28"/>
  <c r="K107" i="28"/>
  <c r="L107" i="28"/>
  <c r="M107" i="28"/>
  <c r="N107" i="28"/>
  <c r="O107" i="28"/>
  <c r="P107" i="28"/>
  <c r="Q107" i="28"/>
  <c r="R107" i="28"/>
  <c r="S107" i="28"/>
  <c r="T107" i="28"/>
  <c r="U107" i="28"/>
  <c r="V107" i="28"/>
  <c r="W107" i="28"/>
  <c r="X107" i="28"/>
  <c r="Y107" i="28"/>
  <c r="Z107" i="28"/>
  <c r="AA107" i="28"/>
  <c r="AB107" i="28"/>
  <c r="AC107" i="28"/>
  <c r="AD107" i="28"/>
  <c r="AE107" i="28"/>
  <c r="AF107" i="28"/>
  <c r="AG107" i="28"/>
  <c r="B108" i="28"/>
  <c r="C108" i="28"/>
  <c r="D108" i="28"/>
  <c r="E108" i="28"/>
  <c r="F108" i="28"/>
  <c r="G108" i="28"/>
  <c r="H108" i="28"/>
  <c r="I108" i="28"/>
  <c r="J108" i="28"/>
  <c r="K108" i="28"/>
  <c r="L108" i="28"/>
  <c r="M108" i="28"/>
  <c r="N108" i="28"/>
  <c r="O108" i="28"/>
  <c r="P108" i="28"/>
  <c r="Q108" i="28"/>
  <c r="R108" i="28"/>
  <c r="S108" i="28"/>
  <c r="T108" i="28"/>
  <c r="U108" i="28"/>
  <c r="V108" i="28"/>
  <c r="W108" i="28"/>
  <c r="X108" i="28"/>
  <c r="Y108" i="28"/>
  <c r="Z108" i="28"/>
  <c r="AA108" i="28"/>
  <c r="AB108" i="28"/>
  <c r="AC108" i="28"/>
  <c r="AD108" i="28"/>
  <c r="AE108" i="28"/>
  <c r="AF108" i="28"/>
  <c r="AG108" i="28"/>
  <c r="B109" i="28"/>
  <c r="C109" i="28"/>
  <c r="D109" i="28"/>
  <c r="E109" i="28"/>
  <c r="F109" i="28"/>
  <c r="G109" i="28"/>
  <c r="H109" i="28"/>
  <c r="I109" i="28"/>
  <c r="J109" i="28"/>
  <c r="K109" i="28"/>
  <c r="L109" i="28"/>
  <c r="M109" i="28"/>
  <c r="N109" i="28"/>
  <c r="O109" i="28"/>
  <c r="P109" i="28"/>
  <c r="Q109" i="28"/>
  <c r="R109" i="28"/>
  <c r="S109" i="28"/>
  <c r="T109" i="28"/>
  <c r="U109" i="28"/>
  <c r="V109" i="28"/>
  <c r="W109" i="28"/>
  <c r="X109" i="28"/>
  <c r="Y109" i="28"/>
  <c r="Z109" i="28"/>
  <c r="AA109" i="28"/>
  <c r="AB109" i="28"/>
  <c r="AC109" i="28"/>
  <c r="AD109" i="28"/>
  <c r="AE109" i="28"/>
  <c r="AF109" i="28"/>
  <c r="AG109" i="28"/>
  <c r="B110" i="28"/>
  <c r="C110" i="28"/>
  <c r="D110" i="28"/>
  <c r="E110" i="28"/>
  <c r="F110" i="28"/>
  <c r="G110" i="28"/>
  <c r="H110" i="28"/>
  <c r="I110" i="28"/>
  <c r="J110" i="28"/>
  <c r="K110" i="28"/>
  <c r="L110" i="28"/>
  <c r="M110" i="28"/>
  <c r="N110" i="28"/>
  <c r="O110" i="28"/>
  <c r="P110" i="28"/>
  <c r="Q110" i="28"/>
  <c r="R110" i="28"/>
  <c r="S110" i="28"/>
  <c r="T110" i="28"/>
  <c r="U110" i="28"/>
  <c r="V110" i="28"/>
  <c r="W110" i="28"/>
  <c r="X110" i="28"/>
  <c r="Y110" i="28"/>
  <c r="Z110" i="28"/>
  <c r="AA110" i="28"/>
  <c r="AB110" i="28"/>
  <c r="AC110" i="28"/>
  <c r="AD110" i="28"/>
  <c r="AE110" i="28"/>
  <c r="AF110" i="28"/>
  <c r="AG110" i="28"/>
  <c r="B111" i="28"/>
  <c r="C111" i="28"/>
  <c r="D111" i="28"/>
  <c r="E111" i="28"/>
  <c r="F111" i="28"/>
  <c r="G111" i="28"/>
  <c r="H111" i="28"/>
  <c r="I111" i="28"/>
  <c r="J111" i="28"/>
  <c r="K111" i="28"/>
  <c r="L111" i="28"/>
  <c r="M111" i="28"/>
  <c r="N111" i="28"/>
  <c r="O111" i="28"/>
  <c r="P111" i="28"/>
  <c r="Q111" i="28"/>
  <c r="R111" i="28"/>
  <c r="S111" i="28"/>
  <c r="T111" i="28"/>
  <c r="U111" i="28"/>
  <c r="V111" i="28"/>
  <c r="W111" i="28"/>
  <c r="X111" i="28"/>
  <c r="Y111" i="28"/>
  <c r="Z111" i="28"/>
  <c r="AA111" i="28"/>
  <c r="AB111" i="28"/>
  <c r="AC111" i="28"/>
  <c r="AD111" i="28"/>
  <c r="AE111" i="28"/>
  <c r="AF111" i="28"/>
  <c r="AG111" i="28"/>
  <c r="B112" i="28"/>
  <c r="C112" i="28"/>
  <c r="D112" i="28"/>
  <c r="E112" i="28"/>
  <c r="F112" i="28"/>
  <c r="G112" i="28"/>
  <c r="H112" i="28"/>
  <c r="I112" i="28"/>
  <c r="J112" i="28"/>
  <c r="K112" i="28"/>
  <c r="L112" i="28"/>
  <c r="M112" i="28"/>
  <c r="N112" i="28"/>
  <c r="O112" i="28"/>
  <c r="P112" i="28"/>
  <c r="Q112" i="28"/>
  <c r="R112" i="28"/>
  <c r="S112" i="28"/>
  <c r="T112" i="28"/>
  <c r="U112" i="28"/>
  <c r="V112" i="28"/>
  <c r="W112" i="28"/>
  <c r="X112" i="28"/>
  <c r="Y112" i="28"/>
  <c r="Z112" i="28"/>
  <c r="AA112" i="28"/>
  <c r="AB112" i="28"/>
  <c r="AC112" i="28"/>
  <c r="AD112" i="28"/>
  <c r="AE112" i="28"/>
  <c r="AF112" i="28"/>
  <c r="AG112" i="28"/>
  <c r="B113" i="28"/>
  <c r="C113" i="28"/>
  <c r="D113" i="28"/>
  <c r="E113" i="28"/>
  <c r="F113" i="28"/>
  <c r="G113" i="28"/>
  <c r="H113" i="28"/>
  <c r="I113" i="28"/>
  <c r="J113" i="28"/>
  <c r="K113" i="28"/>
  <c r="L113" i="28"/>
  <c r="M113" i="28"/>
  <c r="N113" i="28"/>
  <c r="O113" i="28"/>
  <c r="P113" i="28"/>
  <c r="Q113" i="28"/>
  <c r="R113" i="28"/>
  <c r="S113" i="28"/>
  <c r="T113" i="28"/>
  <c r="U113" i="28"/>
  <c r="V113" i="28"/>
  <c r="W113" i="28"/>
  <c r="X113" i="28"/>
  <c r="Y113" i="28"/>
  <c r="Z113" i="28"/>
  <c r="AA113" i="28"/>
  <c r="AB113" i="28"/>
  <c r="AC113" i="28"/>
  <c r="AD113" i="28"/>
  <c r="AE113" i="28"/>
  <c r="AF113" i="28"/>
  <c r="AG113" i="28"/>
  <c r="B114" i="28"/>
  <c r="C114" i="28"/>
  <c r="D114" i="28"/>
  <c r="E114" i="28"/>
  <c r="F114" i="28"/>
  <c r="G114" i="28"/>
  <c r="H114" i="28"/>
  <c r="I114" i="28"/>
  <c r="J114" i="28"/>
  <c r="K114" i="28"/>
  <c r="L114" i="28"/>
  <c r="M114" i="28"/>
  <c r="N114" i="28"/>
  <c r="O114" i="28"/>
  <c r="P114" i="28"/>
  <c r="Q114" i="28"/>
  <c r="R114" i="28"/>
  <c r="S114" i="28"/>
  <c r="T114" i="28"/>
  <c r="U114" i="28"/>
  <c r="V114" i="28"/>
  <c r="W114" i="28"/>
  <c r="X114" i="28"/>
  <c r="Y114" i="28"/>
  <c r="Z114" i="28"/>
  <c r="AA114" i="28"/>
  <c r="AB114" i="28"/>
  <c r="AC114" i="28"/>
  <c r="AD114" i="28"/>
  <c r="AE114" i="28"/>
  <c r="AF114" i="28"/>
  <c r="AG114" i="28"/>
  <c r="C115" i="28"/>
  <c r="BM115" i="28" s="1"/>
  <c r="D115" i="28"/>
  <c r="E115" i="28"/>
  <c r="F115" i="28"/>
  <c r="G115" i="28"/>
  <c r="H115" i="28"/>
  <c r="I115" i="28"/>
  <c r="J115" i="28"/>
  <c r="K115" i="28"/>
  <c r="L115" i="28"/>
  <c r="M115" i="28"/>
  <c r="N115" i="28"/>
  <c r="O115" i="28"/>
  <c r="P115" i="28"/>
  <c r="Q115" i="28"/>
  <c r="R115" i="28"/>
  <c r="S115" i="28"/>
  <c r="T115" i="28"/>
  <c r="U115" i="28"/>
  <c r="V115" i="28"/>
  <c r="W115" i="28"/>
  <c r="X115" i="28"/>
  <c r="Y115" i="28"/>
  <c r="Z115" i="28"/>
  <c r="AA115" i="28"/>
  <c r="AB115" i="28"/>
  <c r="AC115" i="28"/>
  <c r="AD115" i="28"/>
  <c r="AE115" i="28"/>
  <c r="AF115" i="28"/>
  <c r="AG115" i="28"/>
  <c r="AH115" i="28"/>
  <c r="AI115" i="28"/>
  <c r="AJ115" i="28"/>
  <c r="AK115" i="28"/>
  <c r="AL115" i="28"/>
  <c r="AM115" i="28"/>
  <c r="AN115" i="28"/>
  <c r="AO115" i="28"/>
  <c r="AP115" i="28"/>
  <c r="AQ115" i="28"/>
  <c r="AR115" i="28"/>
  <c r="AS115" i="28"/>
  <c r="AT115" i="28"/>
  <c r="AV115" i="28"/>
  <c r="AW115" i="28"/>
  <c r="AX115" i="28"/>
  <c r="AY115" i="28"/>
  <c r="AZ115" i="28"/>
  <c r="BA115" i="28"/>
  <c r="BB115" i="28"/>
  <c r="BC115" i="28"/>
  <c r="BK115" i="28"/>
  <c r="AK116" i="28"/>
  <c r="AL116" i="28"/>
  <c r="AM116" i="28"/>
  <c r="AO116" i="28"/>
  <c r="AS116" i="28"/>
  <c r="C118" i="28"/>
  <c r="BM118" i="28" s="1"/>
  <c r="C119" i="28"/>
  <c r="BM119" i="28" s="1"/>
  <c r="AJ119" i="28"/>
  <c r="AK119" i="28"/>
  <c r="AL119" i="28"/>
  <c r="AM119" i="28"/>
  <c r="AN119" i="28"/>
  <c r="AO119" i="28"/>
  <c r="AP119" i="28"/>
  <c r="AQ119" i="28"/>
  <c r="AR119" i="28"/>
  <c r="AS119" i="28"/>
  <c r="AT119" i="28"/>
  <c r="AV119" i="28"/>
  <c r="AW119" i="28"/>
  <c r="AX119" i="28"/>
  <c r="AY119" i="28"/>
  <c r="AZ119" i="28"/>
  <c r="BA119" i="28"/>
  <c r="BB119" i="28"/>
  <c r="BC119" i="28"/>
  <c r="C120" i="28"/>
  <c r="BM120" i="28" s="1"/>
  <c r="C121" i="28"/>
  <c r="BM121" i="28" s="1"/>
  <c r="AJ121" i="28"/>
  <c r="AK121" i="28"/>
  <c r="AL121" i="28"/>
  <c r="AM121" i="28"/>
  <c r="AN121" i="28"/>
  <c r="AO121" i="28"/>
  <c r="AP121" i="28"/>
  <c r="AQ121" i="28"/>
  <c r="AR121" i="28"/>
  <c r="AS121" i="28"/>
  <c r="AT121" i="28"/>
  <c r="AV121" i="28"/>
  <c r="AW121" i="28"/>
  <c r="AX121" i="28"/>
  <c r="AY121" i="28"/>
  <c r="AZ121" i="28"/>
  <c r="BA121" i="28"/>
  <c r="BB121" i="28"/>
  <c r="BC121" i="28"/>
  <c r="C122" i="28"/>
  <c r="BM122" i="28" s="1"/>
  <c r="C123" i="28"/>
  <c r="BM123" i="28" s="1"/>
  <c r="AJ123" i="28"/>
  <c r="AK123" i="28"/>
  <c r="AL123" i="28"/>
  <c r="AM123" i="28"/>
  <c r="AN123" i="28"/>
  <c r="AO123" i="28"/>
  <c r="AP123" i="28"/>
  <c r="AQ123" i="28"/>
  <c r="AR123" i="28"/>
  <c r="AS123" i="28"/>
  <c r="AT123" i="28"/>
  <c r="AV123" i="28"/>
  <c r="AW123" i="28"/>
  <c r="AX123" i="28"/>
  <c r="AY123" i="28"/>
  <c r="AZ123" i="28"/>
  <c r="BA123" i="28"/>
  <c r="BB123" i="28"/>
  <c r="BC123" i="28"/>
  <c r="C124" i="28"/>
  <c r="BM124" i="28" s="1"/>
  <c r="C126" i="28"/>
  <c r="BM126" i="28" s="1"/>
  <c r="C128" i="28"/>
  <c r="BM128" i="28" s="1"/>
  <c r="BW115" i="28" l="1"/>
  <c r="CD115" i="28"/>
  <c r="BV115" i="28"/>
  <c r="CC115" i="28"/>
  <c r="BU115" i="28"/>
  <c r="BT115" i="28"/>
  <c r="CA115" i="28"/>
  <c r="BS115" i="28"/>
  <c r="BZ115" i="28"/>
  <c r="BY115" i="28"/>
  <c r="BX115" i="28"/>
  <c r="CB115" i="28"/>
  <c r="BM84" i="28"/>
  <c r="CS84" i="28" s="1"/>
  <c r="CT84" i="28" s="1"/>
  <c r="BM76" i="28"/>
  <c r="CS76" i="28" s="1"/>
  <c r="CT76" i="28" s="1"/>
  <c r="BM71" i="28"/>
  <c r="CS71" i="28" s="1"/>
  <c r="CT71" i="28" s="1"/>
  <c r="BM67" i="28"/>
  <c r="CS67" i="28" s="1"/>
  <c r="CT67" i="28" s="1"/>
  <c r="BM63" i="28"/>
  <c r="CS63" i="28" s="1"/>
  <c r="CT63" i="28" s="1"/>
  <c r="BM59" i="28"/>
  <c r="CS59" i="28" s="1"/>
  <c r="CT59" i="28" s="1"/>
  <c r="BM94" i="28"/>
  <c r="CS94" i="28" s="1"/>
  <c r="CT94" i="28" s="1"/>
  <c r="BM108" i="28"/>
  <c r="CS108" i="28" s="1"/>
  <c r="CT108" i="28" s="1"/>
  <c r="BM100" i="28"/>
  <c r="CS100" i="28" s="1"/>
  <c r="CT100" i="28" s="1"/>
  <c r="BM92" i="28"/>
  <c r="CS92" i="28" s="1"/>
  <c r="CT92" i="28" s="1"/>
  <c r="BP115" i="28"/>
  <c r="BM86" i="28"/>
  <c r="CS86" i="28" s="1"/>
  <c r="CT86" i="28" s="1"/>
  <c r="BM78" i="28"/>
  <c r="CS78" i="28" s="1"/>
  <c r="CT78" i="28" s="1"/>
  <c r="BM72" i="28"/>
  <c r="CS72" i="28" s="1"/>
  <c r="CT72" i="28" s="1"/>
  <c r="BM68" i="28"/>
  <c r="CS68" i="28" s="1"/>
  <c r="CT68" i="28" s="1"/>
  <c r="BM64" i="28"/>
  <c r="CS64" i="28" s="1"/>
  <c r="CT64" i="28" s="1"/>
  <c r="BM60" i="28"/>
  <c r="CS60" i="28" s="1"/>
  <c r="CT60" i="28" s="1"/>
  <c r="BM56" i="28"/>
  <c r="CS56" i="28" s="1"/>
  <c r="CT56" i="28" s="1"/>
  <c r="BM52" i="28"/>
  <c r="CS52" i="28" s="1"/>
  <c r="CT52" i="28" s="1"/>
  <c r="BM48" i="28"/>
  <c r="CS48" i="28" s="1"/>
  <c r="CT48" i="28" s="1"/>
  <c r="BM44" i="28"/>
  <c r="CS44" i="28" s="1"/>
  <c r="CT44" i="28" s="1"/>
  <c r="BM43" i="28"/>
  <c r="CS43" i="28" s="1"/>
  <c r="CT43" i="28" s="1"/>
  <c r="BO115" i="28"/>
  <c r="BM55" i="28"/>
  <c r="CS55" i="28" s="1"/>
  <c r="CT55" i="28" s="1"/>
  <c r="BM51" i="28"/>
  <c r="CS51" i="28" s="1"/>
  <c r="CT51" i="28" s="1"/>
  <c r="BM47" i="28"/>
  <c r="CS47" i="28" s="1"/>
  <c r="CT47" i="28" s="1"/>
  <c r="BM106" i="28"/>
  <c r="CS106" i="28" s="1"/>
  <c r="CT106" i="28" s="1"/>
  <c r="BM98" i="28"/>
  <c r="CS98" i="28" s="1"/>
  <c r="CT98" i="28" s="1"/>
  <c r="BM90" i="28"/>
  <c r="CS90" i="28" s="1"/>
  <c r="CT90" i="28" s="1"/>
  <c r="BM82" i="28"/>
  <c r="CS82" i="28" s="1"/>
  <c r="CT82" i="28" s="1"/>
  <c r="BM74" i="28"/>
  <c r="CS74" i="28" s="1"/>
  <c r="CT74" i="28" s="1"/>
  <c r="BM70" i="28"/>
  <c r="CS70" i="28" s="1"/>
  <c r="CT70" i="28" s="1"/>
  <c r="BM66" i="28"/>
  <c r="CS66" i="28" s="1"/>
  <c r="CT66" i="28" s="1"/>
  <c r="BM62" i="28"/>
  <c r="CS62" i="28" s="1"/>
  <c r="CT62" i="28" s="1"/>
  <c r="BM58" i="28"/>
  <c r="CS58" i="28" s="1"/>
  <c r="CT58" i="28" s="1"/>
  <c r="BM54" i="28"/>
  <c r="CS54" i="28" s="1"/>
  <c r="CT54" i="28" s="1"/>
  <c r="BM50" i="28"/>
  <c r="CS50" i="28" s="1"/>
  <c r="CT50" i="28" s="1"/>
  <c r="BM46" i="28"/>
  <c r="CS46" i="28" s="1"/>
  <c r="CT46" i="28" s="1"/>
  <c r="BM112" i="28"/>
  <c r="CS112" i="28" s="1"/>
  <c r="CT112" i="28" s="1"/>
  <c r="BM104" i="28"/>
  <c r="CS104" i="28" s="1"/>
  <c r="CT104" i="28" s="1"/>
  <c r="BM96" i="28"/>
  <c r="CS96" i="28" s="1"/>
  <c r="CT96" i="28" s="1"/>
  <c r="BM88" i="28"/>
  <c r="CS88" i="28" s="1"/>
  <c r="CT88" i="28" s="1"/>
  <c r="BM80" i="28"/>
  <c r="CS80" i="28" s="1"/>
  <c r="CT80" i="28" s="1"/>
  <c r="BM69" i="28"/>
  <c r="CS69" i="28" s="1"/>
  <c r="CT69" i="28" s="1"/>
  <c r="BM65" i="28"/>
  <c r="CS65" i="28" s="1"/>
  <c r="CT65" i="28" s="1"/>
  <c r="BM61" i="28"/>
  <c r="CS61" i="28" s="1"/>
  <c r="CT61" i="28" s="1"/>
  <c r="BM57" i="28"/>
  <c r="CS57" i="28" s="1"/>
  <c r="CT57" i="28" s="1"/>
  <c r="BM53" i="28"/>
  <c r="CS53" i="28" s="1"/>
  <c r="CT53" i="28" s="1"/>
  <c r="BM49" i="28"/>
  <c r="CS49" i="28" s="1"/>
  <c r="CT49" i="28" s="1"/>
  <c r="BM45" i="28"/>
  <c r="CS45" i="28" s="1"/>
  <c r="CT45" i="28" s="1"/>
  <c r="BM114" i="28"/>
  <c r="CS114" i="28" s="1"/>
  <c r="CT114" i="28" s="1"/>
  <c r="BM110" i="28"/>
  <c r="CS110" i="28" s="1"/>
  <c r="CT110" i="28" s="1"/>
  <c r="BM102" i="28"/>
  <c r="CS102" i="28" s="1"/>
  <c r="CT102" i="28" s="1"/>
  <c r="BM42" i="28"/>
  <c r="CS42" i="28" s="1"/>
  <c r="CT42" i="28" s="1"/>
  <c r="BM41" i="28"/>
  <c r="CS41" i="28" s="1"/>
  <c r="CT41" i="28" s="1"/>
  <c r="BM40" i="28"/>
  <c r="CS40" i="28" s="1"/>
  <c r="CT40" i="28" s="1"/>
  <c r="BM39" i="28"/>
  <c r="CS39" i="28" s="1"/>
  <c r="CT39" i="28" s="1"/>
  <c r="BM38" i="28"/>
  <c r="CS38" i="28" s="1"/>
  <c r="CT38" i="28" s="1"/>
  <c r="BM37" i="28"/>
  <c r="CS37" i="28" s="1"/>
  <c r="CT37" i="28" s="1"/>
  <c r="BM36" i="28"/>
  <c r="CS36" i="28" s="1"/>
  <c r="CT36" i="28" s="1"/>
  <c r="BM35" i="28"/>
  <c r="CS35" i="28" s="1"/>
  <c r="CT35" i="28" s="1"/>
  <c r="BM34" i="28"/>
  <c r="CS34" i="28" s="1"/>
  <c r="CT34" i="28" s="1"/>
  <c r="BM33" i="28"/>
  <c r="CS33" i="28" s="1"/>
  <c r="CT33" i="28" s="1"/>
  <c r="BM107" i="28"/>
  <c r="CS107" i="28" s="1"/>
  <c r="CT107" i="28" s="1"/>
  <c r="BM111" i="28"/>
  <c r="CS111" i="28" s="1"/>
  <c r="CT111" i="28" s="1"/>
  <c r="BM113" i="28"/>
  <c r="BM105" i="28"/>
  <c r="BM97" i="28"/>
  <c r="BM89" i="28"/>
  <c r="BM81" i="28"/>
  <c r="BM73" i="28"/>
  <c r="CJ125" i="28"/>
  <c r="CJ126" i="28"/>
  <c r="CJ118" i="28"/>
  <c r="CJ117" i="28"/>
  <c r="CJ127" i="28"/>
  <c r="CJ119" i="28"/>
  <c r="CJ128" i="28"/>
  <c r="CJ120" i="28"/>
  <c r="CJ130" i="28"/>
  <c r="CJ122" i="28"/>
  <c r="CJ123" i="28"/>
  <c r="CJ31" i="28"/>
  <c r="CJ121" i="28"/>
  <c r="CJ131" i="28"/>
  <c r="CJ124" i="28"/>
  <c r="CJ129" i="28"/>
  <c r="CJ116" i="28"/>
  <c r="CB125" i="28"/>
  <c r="CB126" i="28"/>
  <c r="CB118" i="28"/>
  <c r="CB127" i="28"/>
  <c r="CB119" i="28"/>
  <c r="CB128" i="28"/>
  <c r="CB120" i="28"/>
  <c r="CB122" i="28"/>
  <c r="CB123" i="28"/>
  <c r="CB31" i="28"/>
  <c r="CB116" i="28"/>
  <c r="CB131" i="28"/>
  <c r="CB129" i="28"/>
  <c r="CB124" i="28"/>
  <c r="CB121" i="28"/>
  <c r="BT125" i="28"/>
  <c r="BT126" i="28"/>
  <c r="BT118" i="28"/>
  <c r="BT127" i="28"/>
  <c r="BT119" i="28"/>
  <c r="BT128" i="28"/>
  <c r="BT120" i="28"/>
  <c r="BT122" i="28"/>
  <c r="BT123" i="28"/>
  <c r="BT31" i="28"/>
  <c r="BT131" i="28"/>
  <c r="BT129" i="28"/>
  <c r="BT124" i="28"/>
  <c r="BT116" i="28"/>
  <c r="BT121" i="28"/>
  <c r="CQ124" i="28"/>
  <c r="CQ125" i="28"/>
  <c r="CQ116" i="28"/>
  <c r="CQ126" i="28"/>
  <c r="CQ118" i="28"/>
  <c r="CQ117" i="28"/>
  <c r="CQ127" i="28"/>
  <c r="CQ119" i="28"/>
  <c r="CQ131" i="28"/>
  <c r="CQ129" i="28"/>
  <c r="CQ121" i="28"/>
  <c r="CQ130" i="28"/>
  <c r="CQ122" i="28"/>
  <c r="CQ123" i="28"/>
  <c r="CQ31" i="28"/>
  <c r="CQ120" i="28"/>
  <c r="CQ128" i="28"/>
  <c r="CI124" i="28"/>
  <c r="CI125" i="28"/>
  <c r="CI116" i="28"/>
  <c r="CI126" i="28"/>
  <c r="CI118" i="28"/>
  <c r="CI117" i="28"/>
  <c r="CI127" i="28"/>
  <c r="CI119" i="28"/>
  <c r="CI131" i="28"/>
  <c r="CI129" i="28"/>
  <c r="CI121" i="28"/>
  <c r="CI130" i="28"/>
  <c r="CI122" i="28"/>
  <c r="CI128" i="28"/>
  <c r="CI31" i="28"/>
  <c r="CI123" i="28"/>
  <c r="CI120" i="28"/>
  <c r="CA124" i="28"/>
  <c r="CA125" i="28"/>
  <c r="CA116" i="28"/>
  <c r="CA126" i="28"/>
  <c r="CA118" i="28"/>
  <c r="CA127" i="28"/>
  <c r="CA119" i="28"/>
  <c r="CA131" i="28"/>
  <c r="CA129" i="28"/>
  <c r="CA121" i="28"/>
  <c r="CA122" i="28"/>
  <c r="CA120" i="28"/>
  <c r="CA128" i="28"/>
  <c r="CA31" i="28"/>
  <c r="CA123" i="28"/>
  <c r="BS124" i="28"/>
  <c r="BS125" i="28"/>
  <c r="BS116" i="28"/>
  <c r="BS126" i="28"/>
  <c r="BS118" i="28"/>
  <c r="BS127" i="28"/>
  <c r="BS119" i="28"/>
  <c r="BS131" i="28"/>
  <c r="BS129" i="28"/>
  <c r="BS121" i="28"/>
  <c r="BS122" i="28"/>
  <c r="BS31" i="28"/>
  <c r="BS128" i="28"/>
  <c r="BS120" i="28"/>
  <c r="BS123" i="28"/>
  <c r="BM103" i="28"/>
  <c r="BM95" i="28"/>
  <c r="BM87" i="28"/>
  <c r="BM79" i="28"/>
  <c r="CP123" i="28"/>
  <c r="CP124" i="28"/>
  <c r="CP125" i="28"/>
  <c r="CP116" i="28"/>
  <c r="CP126" i="28"/>
  <c r="CP118" i="28"/>
  <c r="CP117" i="28"/>
  <c r="CP128" i="28"/>
  <c r="CP120" i="28"/>
  <c r="CP131" i="28"/>
  <c r="CP129" i="28"/>
  <c r="CP121" i="28"/>
  <c r="CP130" i="28"/>
  <c r="CP122" i="28"/>
  <c r="CP31" i="28"/>
  <c r="CP127" i="28"/>
  <c r="CP119" i="28"/>
  <c r="CH123" i="28"/>
  <c r="CH124" i="28"/>
  <c r="CH125" i="28"/>
  <c r="CH116" i="28"/>
  <c r="CH126" i="28"/>
  <c r="CH118" i="28"/>
  <c r="CH117" i="28"/>
  <c r="CH128" i="28"/>
  <c r="CH120" i="28"/>
  <c r="CH131" i="28"/>
  <c r="CH129" i="28"/>
  <c r="CH130" i="28"/>
  <c r="CH119" i="28"/>
  <c r="CH122" i="28"/>
  <c r="CH121" i="28"/>
  <c r="CH31" i="28"/>
  <c r="CH127" i="28"/>
  <c r="BZ123" i="28"/>
  <c r="BZ124" i="28"/>
  <c r="BZ125" i="28"/>
  <c r="BZ116" i="28"/>
  <c r="BZ126" i="28"/>
  <c r="BZ118" i="28"/>
  <c r="BZ128" i="28"/>
  <c r="BZ120" i="28"/>
  <c r="BZ131" i="28"/>
  <c r="BZ129" i="28"/>
  <c r="BZ31" i="28"/>
  <c r="BZ122" i="28"/>
  <c r="BZ119" i="28"/>
  <c r="BZ127" i="28"/>
  <c r="BZ121" i="28"/>
  <c r="BM31" i="28"/>
  <c r="CO130" i="28"/>
  <c r="CO122" i="28"/>
  <c r="CO123" i="28"/>
  <c r="CO124" i="28"/>
  <c r="CO125" i="28"/>
  <c r="CO116" i="28"/>
  <c r="CO127" i="28"/>
  <c r="CO119" i="28"/>
  <c r="CO128" i="28"/>
  <c r="CO131" i="28"/>
  <c r="CO129" i="28"/>
  <c r="CO126" i="28"/>
  <c r="CO121" i="28"/>
  <c r="CO118" i="28"/>
  <c r="CO120" i="28"/>
  <c r="CO31" i="28"/>
  <c r="CO117" i="28"/>
  <c r="CG130" i="28"/>
  <c r="CG122" i="28"/>
  <c r="CG123" i="28"/>
  <c r="CG124" i="28"/>
  <c r="CG125" i="28"/>
  <c r="CG116" i="28"/>
  <c r="CG127" i="28"/>
  <c r="CG119" i="28"/>
  <c r="CG128" i="28"/>
  <c r="CG131" i="28"/>
  <c r="CG129" i="28"/>
  <c r="CG126" i="28"/>
  <c r="CG117" i="28"/>
  <c r="CG121" i="28"/>
  <c r="CG31" i="28"/>
  <c r="CG118" i="28"/>
  <c r="CG120" i="28"/>
  <c r="BY122" i="28"/>
  <c r="BY123" i="28"/>
  <c r="BY124" i="28"/>
  <c r="BY125" i="28"/>
  <c r="BY116" i="28"/>
  <c r="BY127" i="28"/>
  <c r="BY119" i="28"/>
  <c r="BY128" i="28"/>
  <c r="BY131" i="28"/>
  <c r="BY129" i="28"/>
  <c r="BY118" i="28"/>
  <c r="BY120" i="28"/>
  <c r="BY126" i="28"/>
  <c r="BY31" i="28"/>
  <c r="BY121" i="28"/>
  <c r="BM109" i="28"/>
  <c r="BM101" i="28"/>
  <c r="BM93" i="28"/>
  <c r="BM85" i="28"/>
  <c r="BM77" i="28"/>
  <c r="BM32" i="28"/>
  <c r="CN131" i="28"/>
  <c r="CN129" i="28"/>
  <c r="CN121" i="28"/>
  <c r="CN130" i="28"/>
  <c r="CN122" i="28"/>
  <c r="CN123" i="28"/>
  <c r="CN124" i="28"/>
  <c r="CN126" i="28"/>
  <c r="CN118" i="28"/>
  <c r="CN117" i="28"/>
  <c r="CN127" i="28"/>
  <c r="CN128" i="28"/>
  <c r="CN116" i="28"/>
  <c r="CN125" i="28"/>
  <c r="CN120" i="28"/>
  <c r="CN31" i="28"/>
  <c r="CN119" i="28"/>
  <c r="CF131" i="28"/>
  <c r="CF129" i="28"/>
  <c r="CF121" i="28"/>
  <c r="CF130" i="28"/>
  <c r="CF122" i="28"/>
  <c r="CF123" i="28"/>
  <c r="CF124" i="28"/>
  <c r="CF126" i="28"/>
  <c r="CF118" i="28"/>
  <c r="CF117" i="28"/>
  <c r="CF127" i="28"/>
  <c r="CF128" i="28"/>
  <c r="CF119" i="28"/>
  <c r="CF31" i="28"/>
  <c r="CF125" i="28"/>
  <c r="CF120" i="28"/>
  <c r="CF116" i="28"/>
  <c r="BX131" i="28"/>
  <c r="BX129" i="28"/>
  <c r="BX121" i="28"/>
  <c r="BX122" i="28"/>
  <c r="BX123" i="28"/>
  <c r="BX124" i="28"/>
  <c r="BX126" i="28"/>
  <c r="BX118" i="28"/>
  <c r="BX127" i="28"/>
  <c r="BX128" i="28"/>
  <c r="BX120" i="28"/>
  <c r="BX116" i="28"/>
  <c r="BX31" i="28"/>
  <c r="BX119" i="28"/>
  <c r="BX125" i="28"/>
  <c r="BP131" i="28"/>
  <c r="BP129" i="28"/>
  <c r="BP121" i="28"/>
  <c r="BP122" i="28"/>
  <c r="BP123" i="28"/>
  <c r="BP124" i="28"/>
  <c r="BP126" i="28"/>
  <c r="BP118" i="28"/>
  <c r="BP127" i="28"/>
  <c r="BP128" i="28"/>
  <c r="BP119" i="28"/>
  <c r="BP31" i="28"/>
  <c r="BP120" i="28"/>
  <c r="BP125" i="28"/>
  <c r="BP116" i="28"/>
  <c r="CM128" i="28"/>
  <c r="CM120" i="28"/>
  <c r="CM131" i="28"/>
  <c r="CM129" i="28"/>
  <c r="CM121" i="28"/>
  <c r="CM130" i="28"/>
  <c r="CM122" i="28"/>
  <c r="CM123" i="28"/>
  <c r="CM125" i="28"/>
  <c r="CM116" i="28"/>
  <c r="CM126" i="28"/>
  <c r="CM127" i="28"/>
  <c r="CM119" i="28"/>
  <c r="CM124" i="28"/>
  <c r="CM118" i="28"/>
  <c r="CM31" i="28"/>
  <c r="CM117" i="28"/>
  <c r="CE128" i="28"/>
  <c r="CE120" i="28"/>
  <c r="CE131" i="28"/>
  <c r="CE129" i="28"/>
  <c r="CE121" i="28"/>
  <c r="CE130" i="28"/>
  <c r="CE122" i="28"/>
  <c r="CE123" i="28"/>
  <c r="CE125" i="28"/>
  <c r="CE116" i="28"/>
  <c r="CE126" i="28"/>
  <c r="CE127" i="28"/>
  <c r="CE117" i="28"/>
  <c r="CE124" i="28"/>
  <c r="CE119" i="28"/>
  <c r="CE31" i="28"/>
  <c r="CE118" i="28"/>
  <c r="BW128" i="28"/>
  <c r="BW120" i="28"/>
  <c r="BW131" i="28"/>
  <c r="BW129" i="28"/>
  <c r="BW121" i="28"/>
  <c r="BW122" i="28"/>
  <c r="BW123" i="28"/>
  <c r="BW125" i="28"/>
  <c r="BW116" i="28"/>
  <c r="BW126" i="28"/>
  <c r="BW127" i="28"/>
  <c r="BW118" i="28"/>
  <c r="BW124" i="28"/>
  <c r="BW31" i="28"/>
  <c r="BW119" i="28"/>
  <c r="BO128" i="28"/>
  <c r="BO120" i="28"/>
  <c r="BO131" i="28"/>
  <c r="BO129" i="28"/>
  <c r="BO121" i="28"/>
  <c r="BO122" i="28"/>
  <c r="BO123" i="28"/>
  <c r="BO125" i="28"/>
  <c r="BO116" i="28"/>
  <c r="BO126" i="28"/>
  <c r="BO127" i="28"/>
  <c r="BO119" i="28"/>
  <c r="BO118" i="28"/>
  <c r="BO31" i="28"/>
  <c r="BO124" i="28"/>
  <c r="BM99" i="28"/>
  <c r="BM91" i="28"/>
  <c r="BM83" i="28"/>
  <c r="BM75" i="28"/>
  <c r="CL127" i="28"/>
  <c r="CL119" i="28"/>
  <c r="CL128" i="28"/>
  <c r="CL120" i="28"/>
  <c r="CL131" i="28"/>
  <c r="CL129" i="28"/>
  <c r="CL121" i="28"/>
  <c r="CL130" i="28"/>
  <c r="CL122" i="28"/>
  <c r="CL124" i="28"/>
  <c r="CL125" i="28"/>
  <c r="CL126" i="28"/>
  <c r="CL117" i="28"/>
  <c r="CL123" i="28"/>
  <c r="CL118" i="28"/>
  <c r="CL116" i="28"/>
  <c r="CL31" i="28"/>
  <c r="CD127" i="28"/>
  <c r="CD119" i="28"/>
  <c r="CD128" i="28"/>
  <c r="CD120" i="28"/>
  <c r="CD131" i="28"/>
  <c r="CD129" i="28"/>
  <c r="CD121" i="28"/>
  <c r="CD122" i="28"/>
  <c r="CD124" i="28"/>
  <c r="CD125" i="28"/>
  <c r="CD126" i="28"/>
  <c r="CD116" i="28"/>
  <c r="CD123" i="28"/>
  <c r="CD31" i="28"/>
  <c r="CD118" i="28"/>
  <c r="BV127" i="28"/>
  <c r="BV119" i="28"/>
  <c r="BV128" i="28"/>
  <c r="BV120" i="28"/>
  <c r="BV131" i="28"/>
  <c r="BV129" i="28"/>
  <c r="BV121" i="28"/>
  <c r="BV122" i="28"/>
  <c r="BV124" i="28"/>
  <c r="BV125" i="28"/>
  <c r="BV126" i="28"/>
  <c r="BV118" i="28"/>
  <c r="BV116" i="28"/>
  <c r="BV123" i="28"/>
  <c r="BV31" i="28"/>
  <c r="CK126" i="28"/>
  <c r="CK118" i="28"/>
  <c r="CK117" i="28"/>
  <c r="CK127" i="28"/>
  <c r="CK119" i="28"/>
  <c r="CK128" i="28"/>
  <c r="CK120" i="28"/>
  <c r="CK131" i="28"/>
  <c r="CK129" i="28"/>
  <c r="CK121" i="28"/>
  <c r="CK123" i="28"/>
  <c r="CK124" i="28"/>
  <c r="CK125" i="28"/>
  <c r="CK122" i="28"/>
  <c r="CK116" i="28"/>
  <c r="CK130" i="28"/>
  <c r="CK31" i="28"/>
  <c r="CC126" i="28"/>
  <c r="CC118" i="28"/>
  <c r="CC127" i="28"/>
  <c r="CC119" i="28"/>
  <c r="CC128" i="28"/>
  <c r="CC120" i="28"/>
  <c r="CC131" i="28"/>
  <c r="CC129" i="28"/>
  <c r="CC121" i="28"/>
  <c r="CC123" i="28"/>
  <c r="CC124" i="28"/>
  <c r="CC125" i="28"/>
  <c r="CC116" i="28"/>
  <c r="CC122" i="28"/>
  <c r="CC31" i="28"/>
  <c r="BU126" i="28"/>
  <c r="BU118" i="28"/>
  <c r="BU127" i="28"/>
  <c r="BU119" i="28"/>
  <c r="BU128" i="28"/>
  <c r="BU120" i="28"/>
  <c r="BU131" i="28"/>
  <c r="BU129" i="28"/>
  <c r="BU121" i="28"/>
  <c r="BU123" i="28"/>
  <c r="BU124" i="28"/>
  <c r="BU125" i="28"/>
  <c r="BU122" i="28"/>
  <c r="BU116" i="28"/>
  <c r="BU31" i="28"/>
  <c r="G129" i="28"/>
  <c r="BQ115" i="28" s="1"/>
  <c r="CU22" i="28"/>
  <c r="CD27" i="28"/>
  <c r="CO28" i="28"/>
  <c r="BV27" i="28"/>
  <c r="CL30" i="28"/>
  <c r="BV30" i="28"/>
  <c r="CL27" i="28"/>
  <c r="CE28" i="28"/>
  <c r="CG27" i="28"/>
  <c r="BH31" i="28"/>
  <c r="CG28" i="28"/>
  <c r="BY28" i="28"/>
  <c r="CO27" i="28"/>
  <c r="CG23" i="28"/>
  <c r="CJ29" i="28"/>
  <c r="CN26" i="28"/>
  <c r="CF24" i="28"/>
  <c r="CF26" i="28"/>
  <c r="CF30" i="28"/>
  <c r="CF28" i="28"/>
  <c r="BP28" i="28"/>
  <c r="CH30" i="28"/>
  <c r="CL29" i="28"/>
  <c r="CE30" i="28"/>
  <c r="CB23" i="28"/>
  <c r="BY23" i="28"/>
  <c r="CH25" i="28"/>
  <c r="CI30" i="28"/>
  <c r="BX24" i="28"/>
  <c r="BX28" i="28"/>
  <c r="BX25" i="28"/>
  <c r="BX26" i="28"/>
  <c r="BX27" i="28"/>
  <c r="BX30" i="28"/>
  <c r="CC25" i="28"/>
  <c r="CC28" i="28"/>
  <c r="CD30" i="28"/>
  <c r="CK29" i="28"/>
  <c r="BY27" i="28"/>
  <c r="CK27" i="28"/>
  <c r="BU26" i="28"/>
  <c r="CF25" i="28"/>
  <c r="CF27" i="28"/>
  <c r="CP23" i="28"/>
  <c r="CP25" i="28"/>
  <c r="CP29" i="28"/>
  <c r="CP27" i="28"/>
  <c r="CP28" i="28"/>
  <c r="CP30" i="28"/>
  <c r="CP24" i="28"/>
  <c r="CP26" i="28"/>
  <c r="CN24" i="28"/>
  <c r="CN30" i="28"/>
  <c r="CN23" i="28"/>
  <c r="CN25" i="28"/>
  <c r="CN27" i="28"/>
  <c r="CN29" i="28"/>
  <c r="BO24" i="28"/>
  <c r="CB24" i="28"/>
  <c r="CB25" i="28"/>
  <c r="CB27" i="28"/>
  <c r="CB30" i="28"/>
  <c r="BT27" i="28"/>
  <c r="BT30" i="28"/>
  <c r="BT26" i="28"/>
  <c r="BT24" i="28"/>
  <c r="BT28" i="28"/>
  <c r="BO30" i="28"/>
  <c r="CB28" i="28"/>
  <c r="CA26" i="28"/>
  <c r="CA30" i="28"/>
  <c r="BS30" i="28"/>
  <c r="CJ24" i="28"/>
  <c r="CJ23" i="28"/>
  <c r="CJ30" i="28"/>
  <c r="CH23" i="28"/>
  <c r="CH26" i="28"/>
  <c r="CH28" i="28"/>
  <c r="CH27" i="28"/>
  <c r="CH29" i="28"/>
  <c r="BZ23" i="28"/>
  <c r="BZ24" i="28"/>
  <c r="BZ25" i="28"/>
  <c r="BZ28" i="28"/>
  <c r="H129" i="28"/>
  <c r="BR115" i="28" s="1"/>
  <c r="C27" i="28"/>
  <c r="BM27" i="28" s="1"/>
  <c r="C29" i="28"/>
  <c r="BM29" i="28" s="1"/>
  <c r="CN28" i="28"/>
  <c r="CJ27" i="28"/>
  <c r="CJ26" i="28"/>
  <c r="CI26" i="28"/>
  <c r="CJ28" i="28"/>
  <c r="BT25" i="28"/>
  <c r="BW30" i="28"/>
  <c r="BW24" i="28"/>
  <c r="CB26" i="28"/>
  <c r="CH24" i="28"/>
  <c r="BU23" i="28"/>
  <c r="BZ30" i="28"/>
  <c r="BP27" i="28"/>
  <c r="BZ26" i="28"/>
  <c r="CQ30" i="28"/>
  <c r="CQ26" i="28"/>
  <c r="BT23" i="28"/>
  <c r="BL28" i="28"/>
  <c r="BZ27" i="28"/>
  <c r="CJ25" i="28"/>
  <c r="CC24" i="28"/>
  <c r="CC30" i="28"/>
  <c r="CC23" i="28"/>
  <c r="CC26" i="28"/>
  <c r="CC27" i="28"/>
  <c r="BP24" i="28"/>
  <c r="BP25" i="28"/>
  <c r="BP23" i="28"/>
  <c r="BP26" i="28"/>
  <c r="CK24" i="28"/>
  <c r="CK23" i="28"/>
  <c r="CK26" i="28"/>
  <c r="CK28" i="28"/>
  <c r="CK25" i="28"/>
  <c r="CK30" i="28"/>
  <c r="BU24" i="28"/>
  <c r="BU28" i="28"/>
  <c r="BU27" i="28"/>
  <c r="BU30" i="28"/>
  <c r="BU25" i="28"/>
  <c r="BX23" i="28"/>
  <c r="BP30" i="28"/>
  <c r="CF23" i="28"/>
  <c r="CM27" i="28"/>
  <c r="CM23" i="28"/>
  <c r="CM25" i="28"/>
  <c r="CM26" i="28"/>
  <c r="CM29" i="28"/>
  <c r="CM30" i="28"/>
  <c r="CM24" i="28"/>
  <c r="CM28" i="28"/>
  <c r="BS25" i="28"/>
  <c r="BS28" i="28"/>
  <c r="BS23" i="28"/>
  <c r="BS27" i="28"/>
  <c r="BS24" i="28"/>
  <c r="CE27" i="28"/>
  <c r="CE23" i="28"/>
  <c r="CE25" i="28"/>
  <c r="CE26" i="28"/>
  <c r="CO26" i="28"/>
  <c r="CO30" i="28"/>
  <c r="CO29" i="28"/>
  <c r="CO24" i="28"/>
  <c r="CO25" i="28"/>
  <c r="CG26" i="28"/>
  <c r="CG30" i="28"/>
  <c r="CG24" i="28"/>
  <c r="CG25" i="28"/>
  <c r="BY26" i="28"/>
  <c r="BY30" i="28"/>
  <c r="BY24" i="28"/>
  <c r="BY25" i="28"/>
  <c r="CQ25" i="28"/>
  <c r="CQ28" i="28"/>
  <c r="CQ23" i="28"/>
  <c r="CQ27" i="28"/>
  <c r="CQ24" i="28"/>
  <c r="CE24" i="28"/>
  <c r="BW27" i="28"/>
  <c r="BW23" i="28"/>
  <c r="BW25" i="28"/>
  <c r="BW28" i="28"/>
  <c r="BW26" i="28"/>
  <c r="CO23" i="28"/>
  <c r="CI25" i="28"/>
  <c r="CI28" i="28"/>
  <c r="CI23" i="28"/>
  <c r="CI29" i="28"/>
  <c r="CI27" i="28"/>
  <c r="CI24" i="28"/>
  <c r="CL23" i="28"/>
  <c r="CL24" i="28"/>
  <c r="CL25" i="28"/>
  <c r="CL28" i="28"/>
  <c r="CL26" i="28"/>
  <c r="CD23" i="28"/>
  <c r="CD24" i="28"/>
  <c r="CD25" i="28"/>
  <c r="CD28" i="28"/>
  <c r="CD26" i="28"/>
  <c r="BV23" i="28"/>
  <c r="BV24" i="28"/>
  <c r="BV25" i="28"/>
  <c r="BV28" i="28"/>
  <c r="BV26" i="28"/>
  <c r="D129" i="28"/>
  <c r="BN115" i="28" s="1"/>
  <c r="C24" i="28"/>
  <c r="BM24" i="28" s="1"/>
  <c r="C25" i="28"/>
  <c r="BM25" i="28" s="1"/>
  <c r="C26" i="28"/>
  <c r="BM26" i="28" s="1"/>
  <c r="C23" i="28"/>
  <c r="BM23" i="28" s="1"/>
  <c r="BO27" i="28"/>
  <c r="BO23" i="28"/>
  <c r="BO25" i="28"/>
  <c r="BO28" i="28"/>
  <c r="BO26" i="28"/>
  <c r="BS26" i="28"/>
  <c r="CA25" i="28"/>
  <c r="CA28" i="28"/>
  <c r="CA23" i="28"/>
  <c r="CA27" i="28"/>
  <c r="CA24" i="28"/>
  <c r="CS115" i="28" l="1"/>
  <c r="CT115" i="28" s="1"/>
  <c r="CS99" i="28"/>
  <c r="CT99" i="28" s="1"/>
  <c r="CS81" i="28"/>
  <c r="CT81" i="28" s="1"/>
  <c r="CS32" i="28"/>
  <c r="CT32" i="28" s="1"/>
  <c r="CS89" i="28"/>
  <c r="CT89" i="28" s="1"/>
  <c r="CS77" i="28"/>
  <c r="CT77" i="28" s="1"/>
  <c r="CS97" i="28"/>
  <c r="CT97" i="28" s="1"/>
  <c r="BN127" i="28"/>
  <c r="BN119" i="28"/>
  <c r="BN128" i="28"/>
  <c r="BN120" i="28"/>
  <c r="BN131" i="28"/>
  <c r="BN129" i="28"/>
  <c r="BN121" i="28"/>
  <c r="BN122" i="28"/>
  <c r="BN124" i="28"/>
  <c r="BN125" i="28"/>
  <c r="BN126" i="28"/>
  <c r="BN116" i="28"/>
  <c r="BN118" i="28"/>
  <c r="BN31" i="28"/>
  <c r="BN123" i="28"/>
  <c r="CS85" i="28"/>
  <c r="CT85" i="28" s="1"/>
  <c r="CS79" i="28"/>
  <c r="CT79" i="28" s="1"/>
  <c r="CS105" i="28"/>
  <c r="CT105" i="28" s="1"/>
  <c r="BR123" i="28"/>
  <c r="BR124" i="28"/>
  <c r="BR125" i="28"/>
  <c r="BR116" i="28"/>
  <c r="BR126" i="28"/>
  <c r="BR118" i="28"/>
  <c r="BR128" i="28"/>
  <c r="BR120" i="28"/>
  <c r="BR131" i="28"/>
  <c r="BR129" i="28"/>
  <c r="BR121" i="28"/>
  <c r="BR31" i="28"/>
  <c r="BR127" i="28"/>
  <c r="BR122" i="28"/>
  <c r="BR119" i="28"/>
  <c r="CS93" i="28"/>
  <c r="CT93" i="28" s="1"/>
  <c r="CS87" i="28"/>
  <c r="CT87" i="28" s="1"/>
  <c r="CS113" i="28"/>
  <c r="CT113" i="28" s="1"/>
  <c r="CS75" i="28"/>
  <c r="CT75" i="28" s="1"/>
  <c r="CS101" i="28"/>
  <c r="CT101" i="28" s="1"/>
  <c r="CS95" i="28"/>
  <c r="CT95" i="28" s="1"/>
  <c r="CS83" i="28"/>
  <c r="CT83" i="28" s="1"/>
  <c r="CS109" i="28"/>
  <c r="CT109" i="28" s="1"/>
  <c r="CS103" i="28"/>
  <c r="CT103" i="28" s="1"/>
  <c r="BQ24" i="28"/>
  <c r="BQ122" i="28"/>
  <c r="BQ123" i="28"/>
  <c r="BQ124" i="28"/>
  <c r="BQ125" i="28"/>
  <c r="BQ116" i="28"/>
  <c r="BQ127" i="28"/>
  <c r="BQ119" i="28"/>
  <c r="BQ128" i="28"/>
  <c r="BQ131" i="28"/>
  <c r="BQ129" i="28"/>
  <c r="BQ121" i="28"/>
  <c r="BQ126" i="28"/>
  <c r="BQ118" i="28"/>
  <c r="BQ31" i="28"/>
  <c r="BQ120" i="28"/>
  <c r="CS91" i="28"/>
  <c r="CT91" i="28" s="1"/>
  <c r="CS73" i="28"/>
  <c r="CT73" i="28" s="1"/>
  <c r="BQ25" i="28"/>
  <c r="BQ27" i="28"/>
  <c r="BQ23" i="28"/>
  <c r="BQ30" i="28"/>
  <c r="BQ26" i="28"/>
  <c r="BQ28" i="28"/>
  <c r="BR23" i="28"/>
  <c r="BR26" i="28"/>
  <c r="BR28" i="28"/>
  <c r="BR30" i="28"/>
  <c r="BR27" i="28"/>
  <c r="BR24" i="28"/>
  <c r="BR25" i="28"/>
  <c r="BN23" i="28"/>
  <c r="BN24" i="28"/>
  <c r="BN25" i="28"/>
  <c r="BN28" i="28"/>
  <c r="BN26" i="28"/>
  <c r="BN30" i="28"/>
  <c r="BN27" i="28"/>
  <c r="CR120" i="28" l="1"/>
  <c r="CR31" i="28" a="1"/>
  <c r="CR31" i="28" s="1"/>
  <c r="CR103" i="28" a="1"/>
  <c r="CR103" i="28" s="1"/>
  <c r="CS122" i="28"/>
  <c r="CT122" i="28" s="1"/>
  <c r="CS123" i="28"/>
  <c r="CT123" i="28" s="1"/>
  <c r="CS121" i="28"/>
  <c r="CT121" i="28" s="1"/>
  <c r="CS129" i="28"/>
  <c r="CT129" i="28" s="1"/>
  <c r="CS118" i="28"/>
  <c r="CT118" i="28" s="1"/>
  <c r="CS116" i="28"/>
  <c r="CT116" i="28" s="1"/>
  <c r="CS120" i="28"/>
  <c r="CT120" i="28" s="1"/>
  <c r="CS126" i="28"/>
  <c r="CT126" i="28" s="1"/>
  <c r="CS128" i="28"/>
  <c r="CT128" i="28" s="1"/>
  <c r="CS125" i="28"/>
  <c r="CT125" i="28" s="1"/>
  <c r="CS119" i="28"/>
  <c r="CT119" i="28" s="1"/>
  <c r="CS124" i="28"/>
  <c r="CT124" i="28" s="1"/>
  <c r="CS127" i="28"/>
  <c r="CT127" i="28" s="1"/>
  <c r="CS31" i="28"/>
  <c r="CT31" i="28" s="1"/>
  <c r="CR123" i="28"/>
  <c r="CR87" i="28" a="1"/>
  <c r="CR87" i="28" s="1"/>
  <c r="CR79" i="28" a="1"/>
  <c r="CR79" i="28" s="1"/>
  <c r="CR65" i="28" a="1"/>
  <c r="CR65" i="28" s="1"/>
  <c r="CR129" i="28"/>
  <c r="CR116" i="28" a="1"/>
  <c r="CR116" i="28" s="1"/>
  <c r="CR96" i="28" a="1"/>
  <c r="CR96" i="28" s="1"/>
  <c r="CR86" i="28" a="1"/>
  <c r="CR86" i="28" s="1"/>
  <c r="CR37" i="28" a="1"/>
  <c r="CR37" i="28" s="1"/>
  <c r="CR108" i="28" a="1"/>
  <c r="CR108" i="28" s="1"/>
  <c r="CR76" i="28" a="1"/>
  <c r="CR76" i="28" s="1"/>
  <c r="CR115" i="28" a="1"/>
  <c r="CR115" i="28" s="1"/>
  <c r="CU115" i="28" s="1"/>
  <c r="GB115" i="2" s="1"/>
  <c r="CR61" i="28" a="1"/>
  <c r="CR61" i="28" s="1"/>
  <c r="CR45" i="28" a="1"/>
  <c r="CR45" i="28" s="1"/>
  <c r="CR44" i="28" a="1"/>
  <c r="CR44" i="28" s="1"/>
  <c r="CR40" i="28" a="1"/>
  <c r="CR40" i="28" s="1"/>
  <c r="CR90" i="28" a="1"/>
  <c r="CR90" i="28" s="1"/>
  <c r="CR66" i="28" a="1"/>
  <c r="CR66" i="28" s="1"/>
  <c r="CR50" i="28" a="1"/>
  <c r="CR50" i="28" s="1"/>
  <c r="CR88" i="28" a="1"/>
  <c r="CR88" i="28" s="1"/>
  <c r="CR57" i="28" a="1"/>
  <c r="CR57" i="28" s="1"/>
  <c r="CR110" i="28" a="1"/>
  <c r="CR110" i="28" s="1"/>
  <c r="CR78" i="28" a="1"/>
  <c r="CR78" i="28" s="1"/>
  <c r="CR60" i="28" a="1"/>
  <c r="CR60" i="28" s="1"/>
  <c r="CR36" i="28" a="1"/>
  <c r="CR36" i="28" s="1"/>
  <c r="CR100" i="28" a="1"/>
  <c r="CR100" i="28" s="1"/>
  <c r="CR71" i="28" a="1"/>
  <c r="CR71" i="28" s="1"/>
  <c r="CR55" i="28" a="1"/>
  <c r="CR55" i="28" s="1"/>
  <c r="CR72" i="28" a="1"/>
  <c r="CR72" i="28" s="1"/>
  <c r="CR56" i="28" a="1"/>
  <c r="CR56" i="28" s="1"/>
  <c r="CR43" i="28" a="1"/>
  <c r="CR43" i="28" s="1"/>
  <c r="CR35" i="28" a="1"/>
  <c r="CR35" i="28" s="1"/>
  <c r="CR67" i="28" a="1"/>
  <c r="CR67" i="28" s="1"/>
  <c r="CR51" i="28" a="1"/>
  <c r="CR51" i="28" s="1"/>
  <c r="CR114" i="28" a="1"/>
  <c r="CR114" i="28" s="1"/>
  <c r="CR82" i="28" a="1"/>
  <c r="CR82" i="28" s="1"/>
  <c r="CR62" i="28" a="1"/>
  <c r="CR62" i="28" s="1"/>
  <c r="CR46" i="28" a="1"/>
  <c r="CR46" i="28" s="1"/>
  <c r="CR112" i="28" a="1"/>
  <c r="CR112" i="28" s="1"/>
  <c r="CR80" i="28" a="1"/>
  <c r="CR80" i="28" s="1"/>
  <c r="CR102" i="28" a="1"/>
  <c r="CR102" i="28" s="1"/>
  <c r="CR39" i="28" a="1"/>
  <c r="CR39" i="28" s="1"/>
  <c r="CR92" i="28" a="1"/>
  <c r="CR92" i="28" s="1"/>
  <c r="CR53" i="28" a="1"/>
  <c r="CR53" i="28" s="1"/>
  <c r="CR63" i="28" a="1"/>
  <c r="CR63" i="28" s="1"/>
  <c r="CR107" i="28" a="1"/>
  <c r="CR107" i="28" s="1"/>
  <c r="CR106" i="28" a="1"/>
  <c r="CR106" i="28" s="1"/>
  <c r="CR74" i="28" a="1"/>
  <c r="CR74" i="28" s="1"/>
  <c r="CR58" i="28" a="1"/>
  <c r="CR58" i="28" s="1"/>
  <c r="CR104" i="28" a="1"/>
  <c r="CR104" i="28" s="1"/>
  <c r="CR49" i="28" a="1"/>
  <c r="CR49" i="28" s="1"/>
  <c r="CR94" i="28" a="1"/>
  <c r="CR94" i="28" s="1"/>
  <c r="CR68" i="28" a="1"/>
  <c r="CR68" i="28" s="1"/>
  <c r="CR52" i="28" a="1"/>
  <c r="CR52" i="28" s="1"/>
  <c r="CR42" i="28" a="1"/>
  <c r="CR42" i="28" s="1"/>
  <c r="CR38" i="28" a="1"/>
  <c r="CR38" i="28" s="1"/>
  <c r="CR34" i="28" a="1"/>
  <c r="CR34" i="28" s="1"/>
  <c r="CR84" i="28" a="1"/>
  <c r="CR84" i="28" s="1"/>
  <c r="CR47" i="28" a="1"/>
  <c r="CR47" i="28" s="1"/>
  <c r="CR69" i="28" a="1"/>
  <c r="CR69" i="28" s="1"/>
  <c r="CR111" i="28" a="1"/>
  <c r="CR111" i="28" s="1"/>
  <c r="CR64" i="28" a="1"/>
  <c r="CR64" i="28" s="1"/>
  <c r="CR48" i="28" a="1"/>
  <c r="CR48" i="28" s="1"/>
  <c r="CR41" i="28" a="1"/>
  <c r="CR41" i="28" s="1"/>
  <c r="CR33" i="28" a="1"/>
  <c r="CR33" i="28" s="1"/>
  <c r="CR59" i="28" a="1"/>
  <c r="CR59" i="28" s="1"/>
  <c r="CR98" i="28" a="1"/>
  <c r="CR98" i="28" s="1"/>
  <c r="CR70" i="28" a="1"/>
  <c r="CR70" i="28" s="1"/>
  <c r="CR54" i="28" a="1"/>
  <c r="CR54" i="28" s="1"/>
  <c r="CR32" i="28" a="1"/>
  <c r="CR32" i="28" s="1"/>
  <c r="CR91" i="28" a="1"/>
  <c r="CR91" i="28" s="1"/>
  <c r="CR101" i="28" a="1"/>
  <c r="CR101" i="28" s="1"/>
  <c r="CR81" i="28" a="1"/>
  <c r="CR81" i="28" s="1"/>
  <c r="CR109" i="28" a="1"/>
  <c r="CR109" i="28" s="1"/>
  <c r="CR93" i="28" a="1"/>
  <c r="CR93" i="28" s="1"/>
  <c r="CR126" i="28"/>
  <c r="CR85" i="28" a="1"/>
  <c r="CR85" i="28" s="1"/>
  <c r="CR125" i="28"/>
  <c r="CR128" i="28"/>
  <c r="CR77" i="28" a="1"/>
  <c r="CR77" i="28" s="1"/>
  <c r="CR83" i="28" a="1"/>
  <c r="CR83" i="28" s="1"/>
  <c r="CR75" i="28" a="1"/>
  <c r="CR75" i="28" s="1"/>
  <c r="CR124" i="28"/>
  <c r="CR119" i="28"/>
  <c r="CR113" i="28" a="1"/>
  <c r="CR113" i="28" s="1"/>
  <c r="CR105" i="28" a="1"/>
  <c r="CR105" i="28" s="1"/>
  <c r="CR122" i="28"/>
  <c r="CR127" i="28"/>
  <c r="CR89" i="28" a="1"/>
  <c r="CR89" i="28" s="1"/>
  <c r="CR99" i="28" a="1"/>
  <c r="CR99" i="28" s="1"/>
  <c r="CR73" i="28" a="1"/>
  <c r="CR73" i="28" s="1"/>
  <c r="CR97" i="28" a="1"/>
  <c r="CR97" i="28" s="1"/>
  <c r="CR95" i="28" a="1"/>
  <c r="CR95" i="28" s="1"/>
  <c r="CR118" i="28"/>
  <c r="CR121" i="28"/>
  <c r="CS26" i="28"/>
  <c r="CT26" i="28" s="1"/>
  <c r="CS23" i="28"/>
  <c r="CT23" i="28" s="1"/>
  <c r="CR23" i="28"/>
  <c r="CR26" i="28"/>
  <c r="CR25" i="28"/>
  <c r="CS24" i="28"/>
  <c r="CT24" i="28" s="1"/>
  <c r="CR24" i="28"/>
  <c r="CS30" i="28"/>
  <c r="CT30" i="28" s="1"/>
  <c r="CR30" i="28"/>
  <c r="CS25" i="28"/>
  <c r="CT25" i="28" s="1"/>
  <c r="CR27" i="28"/>
  <c r="CS27" i="28"/>
  <c r="CT27" i="28" s="1"/>
  <c r="CS28" i="28"/>
  <c r="CT28" i="28" s="1"/>
  <c r="CR28" i="28"/>
  <c r="CU31" i="28" l="1"/>
  <c r="CU116" i="28"/>
  <c r="GB116" i="2" s="1"/>
  <c r="CU129" i="28"/>
  <c r="GB129" i="2" s="1"/>
  <c r="CU26" i="28"/>
  <c r="GB26" i="2" s="1"/>
  <c r="CU24" i="28"/>
  <c r="GB24" i="2" s="1"/>
  <c r="CU23" i="28"/>
  <c r="GB23" i="2" s="1"/>
  <c r="CU25" i="28"/>
  <c r="GB25" i="2" s="1"/>
  <c r="CU30" i="28"/>
  <c r="GB30" i="2" s="1"/>
  <c r="CU27" i="28"/>
  <c r="GB27" i="2" s="1"/>
  <c r="CU28" i="28"/>
  <c r="GB28" i="2" s="1"/>
  <c r="AG4" i="1" l="1"/>
  <c r="AG3" i="1"/>
  <c r="O4" i="16"/>
  <c r="L4" i="16" s="1"/>
  <c r="D187" i="18"/>
  <c r="AD8" i="18"/>
  <c r="AD7" i="18" s="1"/>
  <c r="AC8" i="18"/>
  <c r="AC7" i="18" s="1"/>
  <c r="AB8" i="18"/>
  <c r="AB7" i="18" s="1"/>
  <c r="AA8" i="18"/>
  <c r="AA7" i="18" s="1"/>
  <c r="Z8" i="18"/>
  <c r="Z7" i="18" s="1"/>
  <c r="Y8" i="18"/>
  <c r="Y7" i="18" s="1"/>
  <c r="X8" i="18"/>
  <c r="X7" i="18" s="1"/>
  <c r="W8" i="18"/>
  <c r="W7" i="18" s="1"/>
  <c r="V8" i="18"/>
  <c r="V7" i="18" s="1"/>
  <c r="U8" i="18"/>
  <c r="U7" i="18" s="1"/>
  <c r="T8" i="18"/>
  <c r="T7" i="18" s="1"/>
  <c r="S8" i="18"/>
  <c r="S7" i="18" s="1"/>
  <c r="R8" i="18"/>
  <c r="R7" i="18" s="1"/>
  <c r="Q8" i="18"/>
  <c r="Q7" i="18" s="1"/>
  <c r="P8" i="18"/>
  <c r="P7" i="18" s="1"/>
  <c r="O8" i="18"/>
  <c r="O7" i="18" s="1"/>
  <c r="N8" i="18"/>
  <c r="N7" i="18" s="1"/>
  <c r="M8" i="18"/>
  <c r="M7" i="18" s="1"/>
  <c r="L8" i="18"/>
  <c r="L7" i="18" s="1"/>
  <c r="K8" i="18"/>
  <c r="K7" i="18" s="1"/>
  <c r="J8" i="18"/>
  <c r="J7" i="18" s="1"/>
  <c r="I8" i="18"/>
  <c r="I7" i="18" s="1"/>
  <c r="H8" i="18"/>
  <c r="H7" i="18" s="1"/>
  <c r="G8" i="18"/>
  <c r="G7" i="18" s="1"/>
  <c r="F8" i="18"/>
  <c r="F7" i="18" s="1"/>
  <c r="E8" i="18"/>
  <c r="E7" i="18" s="1"/>
  <c r="AD6" i="18"/>
  <c r="AC6" i="18"/>
  <c r="AB6" i="18"/>
  <c r="AA6" i="18"/>
  <c r="Z6" i="18"/>
  <c r="Y6" i="18"/>
  <c r="X6" i="18"/>
  <c r="W6" i="18"/>
  <c r="V6" i="18"/>
  <c r="U6" i="18"/>
  <c r="T6" i="18"/>
  <c r="S6" i="18"/>
  <c r="R6" i="18"/>
  <c r="Q6" i="18"/>
  <c r="P6" i="18"/>
  <c r="O6" i="18"/>
  <c r="N6" i="18"/>
  <c r="M6" i="18"/>
  <c r="L6" i="18"/>
  <c r="K6" i="18"/>
  <c r="J6" i="18"/>
  <c r="I6" i="18"/>
  <c r="H6" i="18"/>
  <c r="G6" i="18"/>
  <c r="F6" i="18"/>
  <c r="E6" i="18"/>
  <c r="AD5" i="18"/>
  <c r="AC5" i="18"/>
  <c r="AB5" i="18"/>
  <c r="AA5" i="18"/>
  <c r="Z5" i="18"/>
  <c r="Y5" i="18"/>
  <c r="X5" i="18"/>
  <c r="W5" i="18"/>
  <c r="V5" i="18"/>
  <c r="U5" i="18"/>
  <c r="T5" i="18"/>
  <c r="S5" i="18"/>
  <c r="R5" i="18"/>
  <c r="Q5" i="18"/>
  <c r="P5" i="18"/>
  <c r="O5" i="18"/>
  <c r="N5" i="18"/>
  <c r="M5" i="18"/>
  <c r="L5" i="18"/>
  <c r="K5" i="18"/>
  <c r="J5" i="18"/>
  <c r="I5" i="18"/>
  <c r="H5" i="18"/>
  <c r="G5" i="18"/>
  <c r="F5" i="18"/>
  <c r="E5" i="18"/>
  <c r="M6" i="2" l="1"/>
  <c r="AI178" i="1"/>
  <c r="AH181" i="1"/>
  <c r="AG184" i="1"/>
  <c r="AG179" i="1"/>
  <c r="AI181" i="1"/>
  <c r="AH184" i="1"/>
  <c r="AH182" i="1"/>
  <c r="AG180" i="1"/>
  <c r="AG183" i="1"/>
  <c r="AI180" i="1"/>
  <c r="AG181" i="1"/>
  <c r="AH179" i="1"/>
  <c r="AG182" i="1"/>
  <c r="AI184" i="1"/>
  <c r="AI179" i="1"/>
  <c r="AI182" i="1"/>
  <c r="AG178" i="1"/>
  <c r="AH178" i="1"/>
  <c r="AG177" i="1"/>
  <c r="AH180" i="1"/>
  <c r="AH183" i="1"/>
  <c r="AI183" i="1"/>
  <c r="AH177" i="1"/>
  <c r="AI177" i="1"/>
  <c r="E873" i="1"/>
  <c r="F873" i="1"/>
  <c r="C43" i="16" l="1"/>
  <c r="C42" i="16" s="1"/>
  <c r="C41" i="16"/>
  <c r="C40" i="16"/>
  <c r="R2001" i="17"/>
  <c r="R2000" i="17"/>
  <c r="R1999" i="17"/>
  <c r="R1998" i="17"/>
  <c r="R1997" i="17"/>
  <c r="R1996" i="17"/>
  <c r="R1995" i="17"/>
  <c r="R1994" i="17"/>
  <c r="R1993" i="17"/>
  <c r="R1992" i="17"/>
  <c r="R1991" i="17"/>
  <c r="R1990" i="17"/>
  <c r="R1989" i="17"/>
  <c r="R1988" i="17"/>
  <c r="R1987" i="17"/>
  <c r="R1986" i="17"/>
  <c r="R1985" i="17"/>
  <c r="R1984" i="17"/>
  <c r="R1983" i="17"/>
  <c r="R1982" i="17"/>
  <c r="R1981" i="17"/>
  <c r="R1980" i="17"/>
  <c r="R1979" i="17"/>
  <c r="S1979" i="17" s="1"/>
  <c r="R1978" i="17"/>
  <c r="R1977" i="17"/>
  <c r="S1977" i="17" s="1"/>
  <c r="R1976" i="17"/>
  <c r="R1975" i="17"/>
  <c r="R1974" i="17"/>
  <c r="R1973" i="17"/>
  <c r="R1972" i="17"/>
  <c r="R1971" i="17"/>
  <c r="S1971" i="17" s="1"/>
  <c r="R1970" i="17"/>
  <c r="R1969" i="17"/>
  <c r="S1969" i="17" s="1"/>
  <c r="R1968" i="17"/>
  <c r="R1967" i="17"/>
  <c r="R1966" i="17"/>
  <c r="R1965" i="17"/>
  <c r="S1965" i="17" s="1"/>
  <c r="R1964" i="17"/>
  <c r="R1963" i="17"/>
  <c r="S1963" i="17" s="1"/>
  <c r="R1962" i="17"/>
  <c r="R1961" i="17"/>
  <c r="S1961" i="17" s="1"/>
  <c r="R1960" i="17"/>
  <c r="R1959" i="17"/>
  <c r="R1958" i="17"/>
  <c r="R1957" i="17"/>
  <c r="R1956" i="17"/>
  <c r="R1955" i="17"/>
  <c r="S1955" i="17" s="1"/>
  <c r="R1954" i="17"/>
  <c r="R1953" i="17"/>
  <c r="R1952" i="17"/>
  <c r="R1951" i="17"/>
  <c r="R1950" i="17"/>
  <c r="R1949" i="17"/>
  <c r="R1948" i="17"/>
  <c r="R1947" i="17"/>
  <c r="S1947" i="17" s="1"/>
  <c r="R1946" i="17"/>
  <c r="R1945" i="17"/>
  <c r="S1945" i="17" s="1"/>
  <c r="R1944" i="17"/>
  <c r="R1943" i="17"/>
  <c r="R1942" i="17"/>
  <c r="R1941" i="17"/>
  <c r="R1940" i="17"/>
  <c r="R1939" i="17"/>
  <c r="S1939" i="17" s="1"/>
  <c r="R1938" i="17"/>
  <c r="R1937" i="17"/>
  <c r="S1937" i="17" s="1"/>
  <c r="R1936" i="17"/>
  <c r="R1935" i="17"/>
  <c r="R1934" i="17"/>
  <c r="R1933" i="17"/>
  <c r="S1933" i="17" s="1"/>
  <c r="R1932" i="17"/>
  <c r="R1931" i="17"/>
  <c r="S1931" i="17" s="1"/>
  <c r="R1930" i="17"/>
  <c r="R1929" i="17"/>
  <c r="S1929" i="17" s="1"/>
  <c r="R1928" i="17"/>
  <c r="R1927" i="17"/>
  <c r="R1926" i="17"/>
  <c r="R1925" i="17"/>
  <c r="R1924" i="17"/>
  <c r="R1923" i="17"/>
  <c r="S1923" i="17" s="1"/>
  <c r="R1922" i="17"/>
  <c r="R1921" i="17"/>
  <c r="R1920" i="17"/>
  <c r="R1919" i="17"/>
  <c r="R1918" i="17"/>
  <c r="R1917" i="17"/>
  <c r="S1917" i="17" s="1"/>
  <c r="R1916" i="17"/>
  <c r="R1915" i="17"/>
  <c r="R1914" i="17"/>
  <c r="T1914" i="17" s="1"/>
  <c r="R1913" i="17"/>
  <c r="R1912" i="17"/>
  <c r="T1912" i="17" s="1"/>
  <c r="R1911" i="17"/>
  <c r="R1910" i="17"/>
  <c r="R1909" i="17"/>
  <c r="T1909" i="17" s="1"/>
  <c r="R1908" i="17"/>
  <c r="R1907" i="17"/>
  <c r="T1907" i="17" s="1"/>
  <c r="R1906" i="17"/>
  <c r="R1905" i="17"/>
  <c r="T1905" i="17" s="1"/>
  <c r="R1904" i="17"/>
  <c r="R1903" i="17"/>
  <c r="T1903" i="17" s="1"/>
  <c r="R1902" i="17"/>
  <c r="R1901" i="17"/>
  <c r="T1901" i="17" s="1"/>
  <c r="R1900" i="17"/>
  <c r="R1899" i="17"/>
  <c r="R1898" i="17"/>
  <c r="T1898" i="17" s="1"/>
  <c r="R1897" i="17"/>
  <c r="R1896" i="17"/>
  <c r="T1896" i="17" s="1"/>
  <c r="R1895" i="17"/>
  <c r="T1895" i="17" s="1"/>
  <c r="R1894" i="17"/>
  <c r="R1893" i="17"/>
  <c r="T1893" i="17" s="1"/>
  <c r="R1892" i="17"/>
  <c r="R1891" i="17"/>
  <c r="T1891" i="17" s="1"/>
  <c r="R1890" i="17"/>
  <c r="R1889" i="17"/>
  <c r="T1889" i="17" s="1"/>
  <c r="R1888" i="17"/>
  <c r="R1887" i="17"/>
  <c r="T1887" i="17" s="1"/>
  <c r="R1886" i="17"/>
  <c r="R1885" i="17"/>
  <c r="T1885" i="17" s="1"/>
  <c r="R1884" i="17"/>
  <c r="R1883" i="17"/>
  <c r="R1882" i="17"/>
  <c r="T1882" i="17" s="1"/>
  <c r="R1881" i="17"/>
  <c r="R1880" i="17"/>
  <c r="T1880" i="17" s="1"/>
  <c r="R1879" i="17"/>
  <c r="R1878" i="17"/>
  <c r="R1877" i="17"/>
  <c r="T1877" i="17" s="1"/>
  <c r="R1876" i="17"/>
  <c r="R1875" i="17"/>
  <c r="T1875" i="17" s="1"/>
  <c r="R1874" i="17"/>
  <c r="R1873" i="17"/>
  <c r="R1872" i="17"/>
  <c r="R1871" i="17"/>
  <c r="T1871" i="17" s="1"/>
  <c r="R1870" i="17"/>
  <c r="R1869" i="17"/>
  <c r="R1868" i="17"/>
  <c r="R1867" i="17"/>
  <c r="T1867" i="17" s="1"/>
  <c r="R1866" i="17"/>
  <c r="R1865" i="17"/>
  <c r="R1864" i="17"/>
  <c r="R1863" i="17"/>
  <c r="T1863" i="17" s="1"/>
  <c r="R1862" i="17"/>
  <c r="R1861" i="17"/>
  <c r="T1861" i="17" s="1"/>
  <c r="R1860" i="17"/>
  <c r="R1859" i="17"/>
  <c r="R1858" i="17"/>
  <c r="R1857" i="17"/>
  <c r="R1856" i="17"/>
  <c r="R1855" i="17"/>
  <c r="R1854" i="17"/>
  <c r="R1853" i="17"/>
  <c r="T1853" i="17" s="1"/>
  <c r="R1852" i="17"/>
  <c r="R1851" i="17"/>
  <c r="T1851" i="17" s="1"/>
  <c r="R1850" i="17"/>
  <c r="R1849" i="17"/>
  <c r="R1848" i="17"/>
  <c r="R1847" i="17"/>
  <c r="T1847" i="17" s="1"/>
  <c r="R1846" i="17"/>
  <c r="R1845" i="17"/>
  <c r="T1845" i="17" s="1"/>
  <c r="R1844" i="17"/>
  <c r="R1843" i="17"/>
  <c r="T1843" i="17" s="1"/>
  <c r="R1842" i="17"/>
  <c r="R1841" i="17"/>
  <c r="R1840" i="17"/>
  <c r="R1839" i="17"/>
  <c r="T1839" i="17" s="1"/>
  <c r="R1838" i="17"/>
  <c r="R1837" i="17"/>
  <c r="T1837" i="17" s="1"/>
  <c r="R1836" i="17"/>
  <c r="R1835" i="17"/>
  <c r="T1835" i="17" s="1"/>
  <c r="R1834" i="17"/>
  <c r="R1833" i="17"/>
  <c r="R1832" i="17"/>
  <c r="R1831" i="17"/>
  <c r="R1830" i="17"/>
  <c r="R1829" i="17"/>
  <c r="T1829" i="17" s="1"/>
  <c r="R1828" i="17"/>
  <c r="R1827" i="17"/>
  <c r="R1826" i="17"/>
  <c r="R1825" i="17"/>
  <c r="R1824" i="17"/>
  <c r="R1823" i="17"/>
  <c r="T1823" i="17" s="1"/>
  <c r="R1822" i="17"/>
  <c r="R1821" i="17"/>
  <c r="T1821" i="17" s="1"/>
  <c r="R1820" i="17"/>
  <c r="R1819" i="17"/>
  <c r="T1819" i="17" s="1"/>
  <c r="R1818" i="17"/>
  <c r="R1817" i="17"/>
  <c r="R1816" i="17"/>
  <c r="R1815" i="17"/>
  <c r="T1815" i="17" s="1"/>
  <c r="R1814" i="17"/>
  <c r="R1813" i="17"/>
  <c r="T1813" i="17" s="1"/>
  <c r="R1812" i="17"/>
  <c r="R1811" i="17"/>
  <c r="T1811" i="17" s="1"/>
  <c r="R1810" i="17"/>
  <c r="R1809" i="17"/>
  <c r="R1808" i="17"/>
  <c r="R1807" i="17"/>
  <c r="T1807" i="17" s="1"/>
  <c r="R1806" i="17"/>
  <c r="R1805" i="17"/>
  <c r="T1805" i="17" s="1"/>
  <c r="R1804" i="17"/>
  <c r="R1803" i="17"/>
  <c r="T1803" i="17" s="1"/>
  <c r="R1802" i="17"/>
  <c r="T1802" i="17" s="1"/>
  <c r="R1801" i="17"/>
  <c r="T1801" i="17" s="1"/>
  <c r="R1800" i="17"/>
  <c r="R1799" i="17"/>
  <c r="R1798" i="17"/>
  <c r="T1798" i="17" s="1"/>
  <c r="R1797" i="17"/>
  <c r="R1796" i="17"/>
  <c r="R1795" i="17"/>
  <c r="T1795" i="17" s="1"/>
  <c r="R1794" i="17"/>
  <c r="T1794" i="17" s="1"/>
  <c r="R1793" i="17"/>
  <c r="T1793" i="17" s="1"/>
  <c r="R1792" i="17"/>
  <c r="R1791" i="17"/>
  <c r="T1791" i="17" s="1"/>
  <c r="R1790" i="17"/>
  <c r="R1789" i="17"/>
  <c r="R1788" i="17"/>
  <c r="R1787" i="17"/>
  <c r="R1786" i="17"/>
  <c r="R1785" i="17"/>
  <c r="T1785" i="17" s="1"/>
  <c r="R1784" i="17"/>
  <c r="R1783" i="17"/>
  <c r="T1783" i="17" s="1"/>
  <c r="R1782" i="17"/>
  <c r="R1781" i="17"/>
  <c r="R1780" i="17"/>
  <c r="R1779" i="17"/>
  <c r="R1778" i="17"/>
  <c r="R1777" i="17"/>
  <c r="T1777" i="17" s="1"/>
  <c r="R1776" i="17"/>
  <c r="R1775" i="17"/>
  <c r="T1775" i="17" s="1"/>
  <c r="R1774" i="17"/>
  <c r="R1773" i="17"/>
  <c r="T1773" i="17" s="1"/>
  <c r="R1772" i="17"/>
  <c r="R1771" i="17"/>
  <c r="R1770" i="17"/>
  <c r="R1769" i="17"/>
  <c r="R1768" i="17"/>
  <c r="R1767" i="17"/>
  <c r="R1766" i="17"/>
  <c r="S1766" i="17" s="1"/>
  <c r="R1765" i="17"/>
  <c r="R1764" i="17"/>
  <c r="R1763" i="17"/>
  <c r="R1762" i="17"/>
  <c r="S1762" i="17" s="1"/>
  <c r="R1761" i="17"/>
  <c r="R1760" i="17"/>
  <c r="R1759" i="17"/>
  <c r="R1758" i="17"/>
  <c r="R1757" i="17"/>
  <c r="R1756" i="17"/>
  <c r="R1755" i="17"/>
  <c r="R1754" i="17"/>
  <c r="R1753" i="17"/>
  <c r="R1752" i="17"/>
  <c r="R1751" i="17"/>
  <c r="R1750" i="17"/>
  <c r="S1750" i="17" s="1"/>
  <c r="R1749" i="17"/>
  <c r="R1748" i="17"/>
  <c r="R1747" i="17"/>
  <c r="R1746" i="17"/>
  <c r="R1745" i="17"/>
  <c r="R1744" i="17"/>
  <c r="R1743" i="17"/>
  <c r="R1742" i="17"/>
  <c r="R1741" i="17"/>
  <c r="R1740" i="17"/>
  <c r="R1739" i="17"/>
  <c r="R1738" i="17"/>
  <c r="S1738" i="17" s="1"/>
  <c r="R1737" i="17"/>
  <c r="R1736" i="17"/>
  <c r="R1735" i="17"/>
  <c r="R1734" i="17"/>
  <c r="S1734" i="17" s="1"/>
  <c r="R1733" i="17"/>
  <c r="R1732" i="17"/>
  <c r="S1732" i="17" s="1"/>
  <c r="R1731" i="17"/>
  <c r="R1730" i="17"/>
  <c r="R1729" i="17"/>
  <c r="R1728" i="17"/>
  <c r="R1727" i="17"/>
  <c r="R1726" i="17"/>
  <c r="S1726" i="17" s="1"/>
  <c r="R1725" i="17"/>
  <c r="R1724" i="17"/>
  <c r="S1724" i="17" s="1"/>
  <c r="R1723" i="17"/>
  <c r="R1722" i="17"/>
  <c r="S1722" i="17" s="1"/>
  <c r="R1721" i="17"/>
  <c r="R1720" i="17"/>
  <c r="R1719" i="17"/>
  <c r="R1718" i="17"/>
  <c r="S1718" i="17" s="1"/>
  <c r="R1717" i="17"/>
  <c r="S1717" i="17" s="1"/>
  <c r="R1716" i="17"/>
  <c r="R1715" i="17"/>
  <c r="R1714" i="17"/>
  <c r="R1713" i="17"/>
  <c r="S1713" i="17" s="1"/>
  <c r="R1712" i="17"/>
  <c r="R1711" i="17"/>
  <c r="R1710" i="17"/>
  <c r="S1710" i="17" s="1"/>
  <c r="R1709" i="17"/>
  <c r="S1709" i="17" s="1"/>
  <c r="R1708" i="17"/>
  <c r="S1708" i="17" s="1"/>
  <c r="R1707" i="17"/>
  <c r="R1706" i="17"/>
  <c r="R1705" i="17"/>
  <c r="S1705" i="17" s="1"/>
  <c r="R1704" i="17"/>
  <c r="R1703" i="17"/>
  <c r="R1702" i="17"/>
  <c r="S1702" i="17" s="1"/>
  <c r="R1701" i="17"/>
  <c r="S1701" i="17" s="1"/>
  <c r="R1700" i="17"/>
  <c r="R1699" i="17"/>
  <c r="R1698" i="17"/>
  <c r="R1697" i="17"/>
  <c r="S1697" i="17" s="1"/>
  <c r="R1696" i="17"/>
  <c r="R1695" i="17"/>
  <c r="R1694" i="17"/>
  <c r="S1694" i="17" s="1"/>
  <c r="R1693" i="17"/>
  <c r="S1693" i="17" s="1"/>
  <c r="R1692" i="17"/>
  <c r="R1691" i="17"/>
  <c r="R1690" i="17"/>
  <c r="R1689" i="17"/>
  <c r="R1688" i="17"/>
  <c r="R1687" i="17"/>
  <c r="R1686" i="17"/>
  <c r="R1685" i="17"/>
  <c r="S1685" i="17" s="1"/>
  <c r="R1684" i="17"/>
  <c r="R1683" i="17"/>
  <c r="R1682" i="17"/>
  <c r="R1681" i="17"/>
  <c r="S1681" i="17" s="1"/>
  <c r="R1680" i="17"/>
  <c r="R1679" i="17"/>
  <c r="R1678" i="17"/>
  <c r="R1677" i="17"/>
  <c r="S1677" i="17" s="1"/>
  <c r="R1676" i="17"/>
  <c r="R1675" i="17"/>
  <c r="R1674" i="17"/>
  <c r="S1674" i="17" s="1"/>
  <c r="R1673" i="17"/>
  <c r="R1672" i="17"/>
  <c r="S1672" i="17" s="1"/>
  <c r="R1671" i="17"/>
  <c r="R1670" i="17"/>
  <c r="R1669" i="17"/>
  <c r="R1668" i="17"/>
  <c r="R1667" i="17"/>
  <c r="R1666" i="17"/>
  <c r="S1666" i="17" s="1"/>
  <c r="R1665" i="17"/>
  <c r="R1664" i="17"/>
  <c r="R1663" i="17"/>
  <c r="R1662" i="17"/>
  <c r="S1662" i="17" s="1"/>
  <c r="R1661" i="17"/>
  <c r="R1660" i="17"/>
  <c r="S1660" i="17" s="1"/>
  <c r="R1659" i="17"/>
  <c r="R1658" i="17"/>
  <c r="R1657" i="17"/>
  <c r="T1657" i="17" s="1"/>
  <c r="R1656" i="17"/>
  <c r="R1655" i="17"/>
  <c r="S1655" i="17" s="1"/>
  <c r="R1654" i="17"/>
  <c r="T1654" i="17" s="1"/>
  <c r="R1653" i="17"/>
  <c r="R1652" i="17"/>
  <c r="R1651" i="17"/>
  <c r="R1650" i="17"/>
  <c r="T1650" i="17" s="1"/>
  <c r="R1649" i="17"/>
  <c r="R1648" i="17"/>
  <c r="S1648" i="17" s="1"/>
  <c r="R1647" i="17"/>
  <c r="R1646" i="17"/>
  <c r="T1646" i="17" s="1"/>
  <c r="R1645" i="17"/>
  <c r="R1644" i="17"/>
  <c r="T1644" i="17" s="1"/>
  <c r="R1643" i="17"/>
  <c r="R1642" i="17"/>
  <c r="T1642" i="17" s="1"/>
  <c r="R1641" i="17"/>
  <c r="R1640" i="17"/>
  <c r="T1640" i="17" s="1"/>
  <c r="R1639" i="17"/>
  <c r="R1638" i="17"/>
  <c r="R1637" i="17"/>
  <c r="R1636" i="17"/>
  <c r="R1635" i="17"/>
  <c r="R1634" i="17"/>
  <c r="T1634" i="17" s="1"/>
  <c r="R1633" i="17"/>
  <c r="R1632" i="17"/>
  <c r="S1632" i="17" s="1"/>
  <c r="R1631" i="17"/>
  <c r="R1630" i="17"/>
  <c r="T1630" i="17" s="1"/>
  <c r="R1629" i="17"/>
  <c r="R1628" i="17"/>
  <c r="S1628" i="17" s="1"/>
  <c r="R1627" i="17"/>
  <c r="R1626" i="17"/>
  <c r="T1626" i="17" s="1"/>
  <c r="R1625" i="17"/>
  <c r="R1624" i="17"/>
  <c r="T1624" i="17" s="1"/>
  <c r="R1623" i="17"/>
  <c r="R1622" i="17"/>
  <c r="R1621" i="17"/>
  <c r="R1620" i="17"/>
  <c r="R1619" i="17"/>
  <c r="R1618" i="17"/>
  <c r="T1618" i="17" s="1"/>
  <c r="R1617" i="17"/>
  <c r="R1616" i="17"/>
  <c r="S1616" i="17" s="1"/>
  <c r="R1615" i="17"/>
  <c r="R1614" i="17"/>
  <c r="T1614" i="17" s="1"/>
  <c r="R1613" i="17"/>
  <c r="R1612" i="17"/>
  <c r="T1612" i="17" s="1"/>
  <c r="R1611" i="17"/>
  <c r="R1610" i="17"/>
  <c r="T1610" i="17" s="1"/>
  <c r="R1609" i="17"/>
  <c r="R1608" i="17"/>
  <c r="T1608" i="17" s="1"/>
  <c r="R1607" i="17"/>
  <c r="R1606" i="17"/>
  <c r="R1605" i="17"/>
  <c r="R1604" i="17"/>
  <c r="R1603" i="17"/>
  <c r="R1602" i="17"/>
  <c r="T1602" i="17" s="1"/>
  <c r="R1601" i="17"/>
  <c r="R1600" i="17"/>
  <c r="S1600" i="17" s="1"/>
  <c r="R1599" i="17"/>
  <c r="R1598" i="17"/>
  <c r="T1598" i="17" s="1"/>
  <c r="R1597" i="17"/>
  <c r="R1596" i="17"/>
  <c r="T1596" i="17" s="1"/>
  <c r="R1595" i="17"/>
  <c r="R1594" i="17"/>
  <c r="T1594" i="17" s="1"/>
  <c r="R1593" i="17"/>
  <c r="R1592" i="17"/>
  <c r="T1592" i="17" s="1"/>
  <c r="R1591" i="17"/>
  <c r="R1590" i="17"/>
  <c r="R1589" i="17"/>
  <c r="S1589" i="17" s="1"/>
  <c r="R1588" i="17"/>
  <c r="R1587" i="17"/>
  <c r="R1586" i="17"/>
  <c r="T1586" i="17" s="1"/>
  <c r="R1585" i="17"/>
  <c r="S1585" i="17" s="1"/>
  <c r="R1584" i="17"/>
  <c r="S1584" i="17" s="1"/>
  <c r="R1583" i="17"/>
  <c r="R1582" i="17"/>
  <c r="R1581" i="17"/>
  <c r="S1581" i="17" s="1"/>
  <c r="R1580" i="17"/>
  <c r="R1579" i="17"/>
  <c r="T1579" i="17" s="1"/>
  <c r="R1578" i="17"/>
  <c r="T1578" i="17" s="1"/>
  <c r="R1577" i="17"/>
  <c r="R1576" i="17"/>
  <c r="S1576" i="17" s="1"/>
  <c r="R1575" i="17"/>
  <c r="R1574" i="17"/>
  <c r="T1574" i="17" s="1"/>
  <c r="R1573" i="17"/>
  <c r="S1573" i="17" s="1"/>
  <c r="R1572" i="17"/>
  <c r="T1572" i="17" s="1"/>
  <c r="R1571" i="17"/>
  <c r="T1571" i="17" s="1"/>
  <c r="R1570" i="17"/>
  <c r="T1570" i="17" s="1"/>
  <c r="R1569" i="17"/>
  <c r="S1569" i="17" s="1"/>
  <c r="R1568" i="17"/>
  <c r="R1567" i="17"/>
  <c r="R1566" i="17"/>
  <c r="T1566" i="17" s="1"/>
  <c r="R1565" i="17"/>
  <c r="S1565" i="17" s="1"/>
  <c r="R1564" i="17"/>
  <c r="T1564" i="17" s="1"/>
  <c r="R1563" i="17"/>
  <c r="T1563" i="17" s="1"/>
  <c r="R1562" i="17"/>
  <c r="T1562" i="17" s="1"/>
  <c r="R1561" i="17"/>
  <c r="S1561" i="17" s="1"/>
  <c r="R1560" i="17"/>
  <c r="S1560" i="17" s="1"/>
  <c r="R1559" i="17"/>
  <c r="S1559" i="17" s="1"/>
  <c r="R1558" i="17"/>
  <c r="T1558" i="17" s="1"/>
  <c r="R1557" i="17"/>
  <c r="S1557" i="17" s="1"/>
  <c r="R1556" i="17"/>
  <c r="S1556" i="17" s="1"/>
  <c r="R1555" i="17"/>
  <c r="T1555" i="17" s="1"/>
  <c r="R1554" i="17"/>
  <c r="T1554" i="17" s="1"/>
  <c r="R1553" i="17"/>
  <c r="S1553" i="17" s="1"/>
  <c r="R1552" i="17"/>
  <c r="T1552" i="17" s="1"/>
  <c r="R1551" i="17"/>
  <c r="R1550" i="17"/>
  <c r="T1550" i="17" s="1"/>
  <c r="R1549" i="17"/>
  <c r="S1549" i="17" s="1"/>
  <c r="R1548" i="17"/>
  <c r="R1547" i="17"/>
  <c r="T1547" i="17" s="1"/>
  <c r="R1546" i="17"/>
  <c r="T1546" i="17" s="1"/>
  <c r="R1545" i="17"/>
  <c r="R1544" i="17"/>
  <c r="R1543" i="17"/>
  <c r="S1543" i="17" s="1"/>
  <c r="R1542" i="17"/>
  <c r="T1542" i="17" s="1"/>
  <c r="R1541" i="17"/>
  <c r="S1541" i="17" s="1"/>
  <c r="R1540" i="17"/>
  <c r="T1540" i="17" s="1"/>
  <c r="R1539" i="17"/>
  <c r="T1539" i="17" s="1"/>
  <c r="R1538" i="17"/>
  <c r="T1538" i="17" s="1"/>
  <c r="R1537" i="17"/>
  <c r="S1537" i="17" s="1"/>
  <c r="R1536" i="17"/>
  <c r="R1535" i="17"/>
  <c r="R1534" i="17"/>
  <c r="T1534" i="17" s="1"/>
  <c r="R1533" i="17"/>
  <c r="S1533" i="17" s="1"/>
  <c r="R1532" i="17"/>
  <c r="T1532" i="17" s="1"/>
  <c r="R1531" i="17"/>
  <c r="T1531" i="17" s="1"/>
  <c r="R1530" i="17"/>
  <c r="T1530" i="17" s="1"/>
  <c r="R1529" i="17"/>
  <c r="S1529" i="17" s="1"/>
  <c r="R1528" i="17"/>
  <c r="S1528" i="17" s="1"/>
  <c r="R1527" i="17"/>
  <c r="S1527" i="17" s="1"/>
  <c r="R1526" i="17"/>
  <c r="T1526" i="17" s="1"/>
  <c r="R1525" i="17"/>
  <c r="S1525" i="17" s="1"/>
  <c r="R1524" i="17"/>
  <c r="T1524" i="17" s="1"/>
  <c r="R1523" i="17"/>
  <c r="T1523" i="17" s="1"/>
  <c r="R1522" i="17"/>
  <c r="T1522" i="17" s="1"/>
  <c r="R1521" i="17"/>
  <c r="S1521" i="17" s="1"/>
  <c r="R1520" i="17"/>
  <c r="S1520" i="17" s="1"/>
  <c r="R1519" i="17"/>
  <c r="R1518" i="17"/>
  <c r="T1518" i="17" s="1"/>
  <c r="R1517" i="17"/>
  <c r="S1517" i="17" s="1"/>
  <c r="R1516" i="17"/>
  <c r="R1515" i="17"/>
  <c r="R1514" i="17"/>
  <c r="S1514" i="17" s="1"/>
  <c r="R1513" i="17"/>
  <c r="S1513" i="17" s="1"/>
  <c r="R1512" i="17"/>
  <c r="R1511" i="17"/>
  <c r="S1511" i="17" s="1"/>
  <c r="R1510" i="17"/>
  <c r="S1510" i="17" s="1"/>
  <c r="R1509" i="17"/>
  <c r="R1508" i="17"/>
  <c r="S1508" i="17" s="1"/>
  <c r="R1507" i="17"/>
  <c r="R1506" i="17"/>
  <c r="R1505" i="17"/>
  <c r="S1505" i="17" s="1"/>
  <c r="R1504" i="17"/>
  <c r="R1503" i="17"/>
  <c r="R1502" i="17"/>
  <c r="R1501" i="17"/>
  <c r="S1501" i="17" s="1"/>
  <c r="R1500" i="17"/>
  <c r="S1500" i="17" s="1"/>
  <c r="R1499" i="17"/>
  <c r="S1499" i="17" s="1"/>
  <c r="R1498" i="17"/>
  <c r="S1498" i="17" s="1"/>
  <c r="R1497" i="17"/>
  <c r="R1496" i="17"/>
  <c r="R1495" i="17"/>
  <c r="R1494" i="17"/>
  <c r="S1494" i="17" s="1"/>
  <c r="R1493" i="17"/>
  <c r="R1492" i="17"/>
  <c r="R1491" i="17"/>
  <c r="R1490" i="17"/>
  <c r="R1489" i="17"/>
  <c r="R1488" i="17"/>
  <c r="R1487" i="17"/>
  <c r="S1487" i="17" s="1"/>
  <c r="R1486" i="17"/>
  <c r="R1485" i="17"/>
  <c r="R1484" i="17"/>
  <c r="R1483" i="17"/>
  <c r="R1482" i="17"/>
  <c r="R1481" i="17"/>
  <c r="S1481" i="17" s="1"/>
  <c r="R1480" i="17"/>
  <c r="S1480" i="17" s="1"/>
  <c r="R1479" i="17"/>
  <c r="R1478" i="17"/>
  <c r="S1478" i="17" s="1"/>
  <c r="R1477" i="17"/>
  <c r="S1477" i="17" s="1"/>
  <c r="R1476" i="17"/>
  <c r="S1476" i="17" s="1"/>
  <c r="R1475" i="17"/>
  <c r="R1474" i="17"/>
  <c r="R1473" i="17"/>
  <c r="R1472" i="17"/>
  <c r="S1472" i="17" s="1"/>
  <c r="R1471" i="17"/>
  <c r="R1470" i="17"/>
  <c r="S1470" i="17" s="1"/>
  <c r="R1469" i="17"/>
  <c r="R1468" i="17"/>
  <c r="S1468" i="17" s="1"/>
  <c r="R1467" i="17"/>
  <c r="R1466" i="17"/>
  <c r="S1466" i="17" s="1"/>
  <c r="R1465" i="17"/>
  <c r="R1464" i="17"/>
  <c r="S1464" i="17" s="1"/>
  <c r="R1463" i="17"/>
  <c r="R1462" i="17"/>
  <c r="S1462" i="17" s="1"/>
  <c r="R1461" i="17"/>
  <c r="R1460" i="17"/>
  <c r="S1460" i="17" s="1"/>
  <c r="R1459" i="17"/>
  <c r="R1458" i="17"/>
  <c r="R1457" i="17"/>
  <c r="R1456" i="17"/>
  <c r="S1456" i="17" s="1"/>
  <c r="R1455" i="17"/>
  <c r="R1454" i="17"/>
  <c r="S1454" i="17" s="1"/>
  <c r="R1453" i="17"/>
  <c r="R1452" i="17"/>
  <c r="S1452" i="17" s="1"/>
  <c r="R1451" i="17"/>
  <c r="R1450" i="17"/>
  <c r="S1450" i="17" s="1"/>
  <c r="R1449" i="17"/>
  <c r="R1448" i="17"/>
  <c r="S1448" i="17" s="1"/>
  <c r="R1447" i="17"/>
  <c r="R1446" i="17"/>
  <c r="S1446" i="17" s="1"/>
  <c r="R1445" i="17"/>
  <c r="R1444" i="17"/>
  <c r="S1444" i="17" s="1"/>
  <c r="R1443" i="17"/>
  <c r="R1442" i="17"/>
  <c r="R1441" i="17"/>
  <c r="R1440" i="17"/>
  <c r="S1440" i="17" s="1"/>
  <c r="R1439" i="17"/>
  <c r="R1438" i="17"/>
  <c r="S1438" i="17" s="1"/>
  <c r="R1437" i="17"/>
  <c r="R1436" i="17"/>
  <c r="R1435" i="17"/>
  <c r="R1434" i="17"/>
  <c r="S1434" i="17" s="1"/>
  <c r="R1433" i="17"/>
  <c r="R1432" i="17"/>
  <c r="S1432" i="17" s="1"/>
  <c r="R1431" i="17"/>
  <c r="R1430" i="17"/>
  <c r="S1430" i="17" s="1"/>
  <c r="R1429" i="17"/>
  <c r="R1428" i="17"/>
  <c r="R1427" i="17"/>
  <c r="R1426" i="17"/>
  <c r="R1425" i="17"/>
  <c r="R1424" i="17"/>
  <c r="S1424" i="17" s="1"/>
  <c r="R1423" i="17"/>
  <c r="R1422" i="17"/>
  <c r="S1422" i="17" s="1"/>
  <c r="R1421" i="17"/>
  <c r="R1420" i="17"/>
  <c r="S1420" i="17" s="1"/>
  <c r="R1419" i="17"/>
  <c r="R1418" i="17"/>
  <c r="R1417" i="17"/>
  <c r="R1416" i="17"/>
  <c r="S1416" i="17" s="1"/>
  <c r="R1415" i="17"/>
  <c r="R1414" i="17"/>
  <c r="S1414" i="17" s="1"/>
  <c r="R1413" i="17"/>
  <c r="R1412" i="17"/>
  <c r="S1412" i="17" s="1"/>
  <c r="R1411" i="17"/>
  <c r="R1410" i="17"/>
  <c r="R1409" i="17"/>
  <c r="R1408" i="17"/>
  <c r="S1408" i="17" s="1"/>
  <c r="R1407" i="17"/>
  <c r="R1406" i="17"/>
  <c r="S1406" i="17" s="1"/>
  <c r="R1405" i="17"/>
  <c r="R1404" i="17"/>
  <c r="S1404" i="17" s="1"/>
  <c r="R1403" i="17"/>
  <c r="R1402" i="17"/>
  <c r="S1402" i="17" s="1"/>
  <c r="R1401" i="17"/>
  <c r="R1400" i="17"/>
  <c r="S1400" i="17" s="1"/>
  <c r="R1399" i="17"/>
  <c r="R1398" i="17"/>
  <c r="S1398" i="17" s="1"/>
  <c r="R1397" i="17"/>
  <c r="R1396" i="17"/>
  <c r="S1396" i="17" s="1"/>
  <c r="R1395" i="17"/>
  <c r="R1394" i="17"/>
  <c r="R1393" i="17"/>
  <c r="R1392" i="17"/>
  <c r="S1392" i="17" s="1"/>
  <c r="R1391" i="17"/>
  <c r="R1390" i="17"/>
  <c r="S1390" i="17" s="1"/>
  <c r="R1389" i="17"/>
  <c r="R1388" i="17"/>
  <c r="S1388" i="17" s="1"/>
  <c r="R1387" i="17"/>
  <c r="R1386" i="17"/>
  <c r="S1386" i="17" s="1"/>
  <c r="R1385" i="17"/>
  <c r="R1384" i="17"/>
  <c r="S1384" i="17" s="1"/>
  <c r="R1383" i="17"/>
  <c r="R1382" i="17"/>
  <c r="S1382" i="17" s="1"/>
  <c r="R1381" i="17"/>
  <c r="R1380" i="17"/>
  <c r="S1380" i="17" s="1"/>
  <c r="R1379" i="17"/>
  <c r="R1378" i="17"/>
  <c r="R1377" i="17"/>
  <c r="R1376" i="17"/>
  <c r="S1376" i="17" s="1"/>
  <c r="R1375" i="17"/>
  <c r="R1374" i="17"/>
  <c r="S1374" i="17" s="1"/>
  <c r="R1373" i="17"/>
  <c r="R1372" i="17"/>
  <c r="S1372" i="17" s="1"/>
  <c r="R1371" i="17"/>
  <c r="R1370" i="17"/>
  <c r="S1370" i="17" s="1"/>
  <c r="R1369" i="17"/>
  <c r="R1368" i="17"/>
  <c r="S1368" i="17" s="1"/>
  <c r="R1367" i="17"/>
  <c r="R1366" i="17"/>
  <c r="S1366" i="17" s="1"/>
  <c r="R1365" i="17"/>
  <c r="R1364" i="17"/>
  <c r="S1364" i="17" s="1"/>
  <c r="R1363" i="17"/>
  <c r="R1362" i="17"/>
  <c r="S1362" i="17" s="1"/>
  <c r="R1361" i="17"/>
  <c r="S1361" i="17" s="1"/>
  <c r="R1360" i="17"/>
  <c r="S1360" i="17" s="1"/>
  <c r="R1359" i="17"/>
  <c r="R1358" i="17"/>
  <c r="R1357" i="17"/>
  <c r="T1357" i="17" s="1"/>
  <c r="R1356" i="17"/>
  <c r="S1356" i="17" s="1"/>
  <c r="R1355" i="17"/>
  <c r="R1354" i="17"/>
  <c r="S1354" i="17" s="1"/>
  <c r="R1353" i="17"/>
  <c r="S1353" i="17" s="1"/>
  <c r="R1352" i="17"/>
  <c r="S1352" i="17" s="1"/>
  <c r="R1351" i="17"/>
  <c r="R1350" i="17"/>
  <c r="S1350" i="17" s="1"/>
  <c r="R1349" i="17"/>
  <c r="R1348" i="17"/>
  <c r="S1348" i="17" s="1"/>
  <c r="R1347" i="17"/>
  <c r="R1346" i="17"/>
  <c r="S1346" i="17" s="1"/>
  <c r="R1345" i="17"/>
  <c r="R1344" i="17"/>
  <c r="R1343" i="17"/>
  <c r="T1343" i="17" s="1"/>
  <c r="R1342" i="17"/>
  <c r="R1341" i="17"/>
  <c r="S1341" i="17" s="1"/>
  <c r="R1340" i="17"/>
  <c r="S1340" i="17" s="1"/>
  <c r="R1339" i="17"/>
  <c r="T1339" i="17" s="1"/>
  <c r="R1338" i="17"/>
  <c r="S1338" i="17" s="1"/>
  <c r="R1337" i="17"/>
  <c r="T1337" i="17" s="1"/>
  <c r="R1336" i="17"/>
  <c r="S1336" i="17" s="1"/>
  <c r="R1335" i="17"/>
  <c r="R1334" i="17"/>
  <c r="S1334" i="17" s="1"/>
  <c r="R1333" i="17"/>
  <c r="S1333" i="17" s="1"/>
  <c r="R1332" i="17"/>
  <c r="S1332" i="17" s="1"/>
  <c r="R1331" i="17"/>
  <c r="R1330" i="17"/>
  <c r="S1330" i="17" s="1"/>
  <c r="R1329" i="17"/>
  <c r="R1328" i="17"/>
  <c r="R1327" i="17"/>
  <c r="R1326" i="17"/>
  <c r="S1326" i="17" s="1"/>
  <c r="R1325" i="17"/>
  <c r="R1324" i="17"/>
  <c r="S1324" i="17" s="1"/>
  <c r="R1323" i="17"/>
  <c r="T1323" i="17" s="1"/>
  <c r="R1322" i="17"/>
  <c r="S1322" i="17" s="1"/>
  <c r="R1321" i="17"/>
  <c r="S1321" i="17" s="1"/>
  <c r="R1320" i="17"/>
  <c r="S1320" i="17" s="1"/>
  <c r="R1319" i="17"/>
  <c r="T1319" i="17" s="1"/>
  <c r="R1318" i="17"/>
  <c r="S1318" i="17" s="1"/>
  <c r="R1317" i="17"/>
  <c r="S1317" i="17" s="1"/>
  <c r="R1316" i="17"/>
  <c r="S1316" i="17" s="1"/>
  <c r="R1315" i="17"/>
  <c r="T1315" i="17" s="1"/>
  <c r="R1314" i="17"/>
  <c r="S1314" i="17" s="1"/>
  <c r="R1313" i="17"/>
  <c r="T1313" i="17" s="1"/>
  <c r="R1312" i="17"/>
  <c r="R1311" i="17"/>
  <c r="T1311" i="17" s="1"/>
  <c r="R1310" i="17"/>
  <c r="R1309" i="17"/>
  <c r="S1309" i="17" s="1"/>
  <c r="R1308" i="17"/>
  <c r="S1308" i="17" s="1"/>
  <c r="R1307" i="17"/>
  <c r="T1307" i="17" s="1"/>
  <c r="R1306" i="17"/>
  <c r="S1306" i="17" s="1"/>
  <c r="R1305" i="17"/>
  <c r="T1305" i="17" s="1"/>
  <c r="R1304" i="17"/>
  <c r="S1304" i="17" s="1"/>
  <c r="R1303" i="17"/>
  <c r="T1303" i="17" s="1"/>
  <c r="R1302" i="17"/>
  <c r="S1302" i="17" s="1"/>
  <c r="R1301" i="17"/>
  <c r="S1301" i="17" s="1"/>
  <c r="R1300" i="17"/>
  <c r="S1300" i="17" s="1"/>
  <c r="R1299" i="17"/>
  <c r="R1298" i="17"/>
  <c r="S1298" i="17" s="1"/>
  <c r="R1297" i="17"/>
  <c r="R1296" i="17"/>
  <c r="S1296" i="17" s="1"/>
  <c r="R1295" i="17"/>
  <c r="R1294" i="17"/>
  <c r="S1294" i="17" s="1"/>
  <c r="R1293" i="17"/>
  <c r="R1292" i="17"/>
  <c r="S1292" i="17" s="1"/>
  <c r="R1291" i="17"/>
  <c r="T1291" i="17" s="1"/>
  <c r="R1290" i="17"/>
  <c r="S1290" i="17" s="1"/>
  <c r="R1289" i="17"/>
  <c r="T1289" i="17" s="1"/>
  <c r="R1288" i="17"/>
  <c r="R1287" i="17"/>
  <c r="T1287" i="17" s="1"/>
  <c r="R1286" i="17"/>
  <c r="R1285" i="17"/>
  <c r="R1284" i="17"/>
  <c r="S1284" i="17" s="1"/>
  <c r="R1283" i="17"/>
  <c r="T1283" i="17" s="1"/>
  <c r="R1282" i="17"/>
  <c r="S1282" i="17" s="1"/>
  <c r="R1281" i="17"/>
  <c r="R1280" i="17"/>
  <c r="R1279" i="17"/>
  <c r="R1278" i="17"/>
  <c r="S1278" i="17" s="1"/>
  <c r="R1277" i="17"/>
  <c r="R1276" i="17"/>
  <c r="S1276" i="17" s="1"/>
  <c r="R1275" i="17"/>
  <c r="T1275" i="17" s="1"/>
  <c r="R1274" i="17"/>
  <c r="S1274" i="17" s="1"/>
  <c r="R1273" i="17"/>
  <c r="T1273" i="17" s="1"/>
  <c r="R1272" i="17"/>
  <c r="R1271" i="17"/>
  <c r="R1270" i="17"/>
  <c r="R1269" i="17"/>
  <c r="S1269" i="17" s="1"/>
  <c r="R1268" i="17"/>
  <c r="S1268" i="17" s="1"/>
  <c r="R1267" i="17"/>
  <c r="T1267" i="17" s="1"/>
  <c r="R1266" i="17"/>
  <c r="S1266" i="17" s="1"/>
  <c r="R1265" i="17"/>
  <c r="R1264" i="17"/>
  <c r="S1264" i="17" s="1"/>
  <c r="R1263" i="17"/>
  <c r="R1262" i="17"/>
  <c r="R1261" i="17"/>
  <c r="R1260" i="17"/>
  <c r="S1260" i="17" s="1"/>
  <c r="R1259" i="17"/>
  <c r="T1259" i="17" s="1"/>
  <c r="R1258" i="17"/>
  <c r="S1258" i="17" s="1"/>
  <c r="R1257" i="17"/>
  <c r="T1257" i="17" s="1"/>
  <c r="R1256" i="17"/>
  <c r="R1255" i="17"/>
  <c r="T1255" i="17" s="1"/>
  <c r="R1254" i="17"/>
  <c r="R1253" i="17"/>
  <c r="S1253" i="17" s="1"/>
  <c r="R1252" i="17"/>
  <c r="S1252" i="17" s="1"/>
  <c r="R1251" i="17"/>
  <c r="T1251" i="17" s="1"/>
  <c r="R1250" i="17"/>
  <c r="S1250" i="17" s="1"/>
  <c r="R1249" i="17"/>
  <c r="R1248" i="17"/>
  <c r="S1248" i="17" s="1"/>
  <c r="R1247" i="17"/>
  <c r="R1246" i="17"/>
  <c r="S1246" i="17" s="1"/>
  <c r="R1245" i="17"/>
  <c r="R1244" i="17"/>
  <c r="S1244" i="17" s="1"/>
  <c r="R1243" i="17"/>
  <c r="R1242" i="17"/>
  <c r="S1242" i="17" s="1"/>
  <c r="R1241" i="17"/>
  <c r="R1240" i="17"/>
  <c r="S1240" i="17" s="1"/>
  <c r="R1239" i="17"/>
  <c r="R1238" i="17"/>
  <c r="S1238" i="17" s="1"/>
  <c r="R1237" i="17"/>
  <c r="R1236" i="17"/>
  <c r="S1236" i="17" s="1"/>
  <c r="R1235" i="17"/>
  <c r="R1234" i="17"/>
  <c r="S1234" i="17" s="1"/>
  <c r="R1233" i="17"/>
  <c r="R1232" i="17"/>
  <c r="S1232" i="17" s="1"/>
  <c r="R1231" i="17"/>
  <c r="R1230" i="17"/>
  <c r="S1230" i="17" s="1"/>
  <c r="R1229" i="17"/>
  <c r="R1228" i="17"/>
  <c r="S1228" i="17" s="1"/>
  <c r="R1227" i="17"/>
  <c r="R1226" i="17"/>
  <c r="S1226" i="17" s="1"/>
  <c r="R1225" i="17"/>
  <c r="R1224" i="17"/>
  <c r="S1224" i="17" s="1"/>
  <c r="R1223" i="17"/>
  <c r="R1222" i="17"/>
  <c r="S1222" i="17" s="1"/>
  <c r="R1221" i="17"/>
  <c r="R1220" i="17"/>
  <c r="S1220" i="17" s="1"/>
  <c r="R1219" i="17"/>
  <c r="R1218" i="17"/>
  <c r="S1218" i="17" s="1"/>
  <c r="R1217" i="17"/>
  <c r="R1216" i="17"/>
  <c r="S1216" i="17" s="1"/>
  <c r="R1215" i="17"/>
  <c r="R1214" i="17"/>
  <c r="S1214" i="17" s="1"/>
  <c r="R1213" i="17"/>
  <c r="R1212" i="17"/>
  <c r="S1212" i="17" s="1"/>
  <c r="R1211" i="17"/>
  <c r="R1210" i="17"/>
  <c r="S1210" i="17" s="1"/>
  <c r="R1209" i="17"/>
  <c r="R1208" i="17"/>
  <c r="S1208" i="17" s="1"/>
  <c r="R1207" i="17"/>
  <c r="R1206" i="17"/>
  <c r="S1206" i="17" s="1"/>
  <c r="R1205" i="17"/>
  <c r="R1204" i="17"/>
  <c r="S1204" i="17" s="1"/>
  <c r="R1203" i="17"/>
  <c r="R1202" i="17"/>
  <c r="S1202" i="17" s="1"/>
  <c r="R1201" i="17"/>
  <c r="R1200" i="17"/>
  <c r="S1200" i="17" s="1"/>
  <c r="R1199" i="17"/>
  <c r="R1198" i="17"/>
  <c r="S1198" i="17" s="1"/>
  <c r="R1197" i="17"/>
  <c r="R1196" i="17"/>
  <c r="S1196" i="17" s="1"/>
  <c r="R1195" i="17"/>
  <c r="R1194" i="17"/>
  <c r="S1194" i="17" s="1"/>
  <c r="R1193" i="17"/>
  <c r="R1192" i="17"/>
  <c r="S1192" i="17" s="1"/>
  <c r="R1191" i="17"/>
  <c r="R1190" i="17"/>
  <c r="S1190" i="17" s="1"/>
  <c r="R1189" i="17"/>
  <c r="R1188" i="17"/>
  <c r="S1188" i="17" s="1"/>
  <c r="R1187" i="17"/>
  <c r="R1186" i="17"/>
  <c r="S1186" i="17" s="1"/>
  <c r="R1185" i="17"/>
  <c r="R1184" i="17"/>
  <c r="S1184" i="17" s="1"/>
  <c r="R1183" i="17"/>
  <c r="R1182" i="17"/>
  <c r="S1182" i="17" s="1"/>
  <c r="R1181" i="17"/>
  <c r="R1180" i="17"/>
  <c r="S1180" i="17" s="1"/>
  <c r="R1179" i="17"/>
  <c r="R1178" i="17"/>
  <c r="S1178" i="17" s="1"/>
  <c r="R1177" i="17"/>
  <c r="R1176" i="17"/>
  <c r="S1176" i="17" s="1"/>
  <c r="R1175" i="17"/>
  <c r="R1174" i="17"/>
  <c r="S1174" i="17" s="1"/>
  <c r="R1173" i="17"/>
  <c r="R1172" i="17"/>
  <c r="S1172" i="17" s="1"/>
  <c r="R1171" i="17"/>
  <c r="R1170" i="17"/>
  <c r="S1170" i="17" s="1"/>
  <c r="R1169" i="17"/>
  <c r="R1168" i="17"/>
  <c r="S1168" i="17" s="1"/>
  <c r="R1167" i="17"/>
  <c r="R1166" i="17"/>
  <c r="S1166" i="17" s="1"/>
  <c r="R1165" i="17"/>
  <c r="R1164" i="17"/>
  <c r="S1164" i="17" s="1"/>
  <c r="R1163" i="17"/>
  <c r="R1162" i="17"/>
  <c r="S1162" i="17" s="1"/>
  <c r="R1161" i="17"/>
  <c r="R1160" i="17"/>
  <c r="S1160" i="17" s="1"/>
  <c r="R1159" i="17"/>
  <c r="R1158" i="17"/>
  <c r="S1158" i="17" s="1"/>
  <c r="R1157" i="17"/>
  <c r="R1156" i="17"/>
  <c r="S1156" i="17" s="1"/>
  <c r="R1155" i="17"/>
  <c r="R1154" i="17"/>
  <c r="S1154" i="17" s="1"/>
  <c r="R1153" i="17"/>
  <c r="R1152" i="17"/>
  <c r="S1152" i="17" s="1"/>
  <c r="R1151" i="17"/>
  <c r="R1150" i="17"/>
  <c r="S1150" i="17" s="1"/>
  <c r="R1149" i="17"/>
  <c r="R1148" i="17"/>
  <c r="S1148" i="17" s="1"/>
  <c r="R1147" i="17"/>
  <c r="R1146" i="17"/>
  <c r="S1146" i="17" s="1"/>
  <c r="R1145" i="17"/>
  <c r="R1144" i="17"/>
  <c r="S1144" i="17" s="1"/>
  <c r="R1143" i="17"/>
  <c r="R1142" i="17"/>
  <c r="S1142" i="17" s="1"/>
  <c r="R1141" i="17"/>
  <c r="R1140" i="17"/>
  <c r="S1140" i="17" s="1"/>
  <c r="R1139" i="17"/>
  <c r="R1138" i="17"/>
  <c r="S1138" i="17" s="1"/>
  <c r="R1137" i="17"/>
  <c r="R1136" i="17"/>
  <c r="S1136" i="17" s="1"/>
  <c r="R1135" i="17"/>
  <c r="R1134" i="17"/>
  <c r="S1134" i="17" s="1"/>
  <c r="R1133" i="17"/>
  <c r="R1132" i="17"/>
  <c r="S1132" i="17" s="1"/>
  <c r="R1131" i="17"/>
  <c r="R1130" i="17"/>
  <c r="S1130" i="17" s="1"/>
  <c r="R1129" i="17"/>
  <c r="R1128" i="17"/>
  <c r="S1128" i="17" s="1"/>
  <c r="R1127" i="17"/>
  <c r="R1126" i="17"/>
  <c r="S1126" i="17" s="1"/>
  <c r="R1125" i="17"/>
  <c r="R1124" i="17"/>
  <c r="S1124" i="17" s="1"/>
  <c r="R1123" i="17"/>
  <c r="R1122" i="17"/>
  <c r="S1122" i="17" s="1"/>
  <c r="R1121" i="17"/>
  <c r="R1120" i="17"/>
  <c r="S1120" i="17" s="1"/>
  <c r="R1119" i="17"/>
  <c r="R1118" i="17"/>
  <c r="S1118" i="17" s="1"/>
  <c r="R1117" i="17"/>
  <c r="R1116" i="17"/>
  <c r="S1116" i="17" s="1"/>
  <c r="R1115" i="17"/>
  <c r="R1114" i="17"/>
  <c r="S1114" i="17" s="1"/>
  <c r="R1113" i="17"/>
  <c r="R1112" i="17"/>
  <c r="S1112" i="17" s="1"/>
  <c r="R1111" i="17"/>
  <c r="R1110" i="17"/>
  <c r="S1110" i="17" s="1"/>
  <c r="R1109" i="17"/>
  <c r="R1108" i="17"/>
  <c r="S1108" i="17" s="1"/>
  <c r="R1107" i="17"/>
  <c r="R1106" i="17"/>
  <c r="S1106" i="17" s="1"/>
  <c r="R1105" i="17"/>
  <c r="R1104" i="17"/>
  <c r="S1104" i="17" s="1"/>
  <c r="R1103" i="17"/>
  <c r="R1102" i="17"/>
  <c r="S1102" i="17" s="1"/>
  <c r="R1101" i="17"/>
  <c r="R1100" i="17"/>
  <c r="S1100" i="17" s="1"/>
  <c r="R1099" i="17"/>
  <c r="S1099" i="17" s="1"/>
  <c r="R1098" i="17"/>
  <c r="S1098" i="17" s="1"/>
  <c r="R1097" i="17"/>
  <c r="S1097" i="17" s="1"/>
  <c r="R1096" i="17"/>
  <c r="S1096" i="17" s="1"/>
  <c r="R1095" i="17"/>
  <c r="S1095" i="17" s="1"/>
  <c r="R1094" i="17"/>
  <c r="S1094" i="17" s="1"/>
  <c r="R1093" i="17"/>
  <c r="S1093" i="17" s="1"/>
  <c r="R1092" i="17"/>
  <c r="S1092" i="17" s="1"/>
  <c r="R1091" i="17"/>
  <c r="S1091" i="17" s="1"/>
  <c r="R1090" i="17"/>
  <c r="S1090" i="17" s="1"/>
  <c r="R1089" i="17"/>
  <c r="S1089" i="17" s="1"/>
  <c r="R1088" i="17"/>
  <c r="S1088" i="17" s="1"/>
  <c r="R1087" i="17"/>
  <c r="S1087" i="17" s="1"/>
  <c r="R1086" i="17"/>
  <c r="S1086" i="17" s="1"/>
  <c r="R1085" i="17"/>
  <c r="S1085" i="17" s="1"/>
  <c r="R1084" i="17"/>
  <c r="S1084" i="17" s="1"/>
  <c r="R1083" i="17"/>
  <c r="S1083" i="17" s="1"/>
  <c r="R1082" i="17"/>
  <c r="S1082" i="17" s="1"/>
  <c r="R1081" i="17"/>
  <c r="S1081" i="17" s="1"/>
  <c r="R1080" i="17"/>
  <c r="S1080" i="17" s="1"/>
  <c r="R1079" i="17"/>
  <c r="S1079" i="17" s="1"/>
  <c r="R1078" i="17"/>
  <c r="S1078" i="17" s="1"/>
  <c r="R1077" i="17"/>
  <c r="S1077" i="17" s="1"/>
  <c r="R1076" i="17"/>
  <c r="S1076" i="17" s="1"/>
  <c r="R1075" i="17"/>
  <c r="S1075" i="17" s="1"/>
  <c r="R1074" i="17"/>
  <c r="S1074" i="17" s="1"/>
  <c r="R1073" i="17"/>
  <c r="S1073" i="17" s="1"/>
  <c r="R1072" i="17"/>
  <c r="S1072" i="17" s="1"/>
  <c r="R1071" i="17"/>
  <c r="S1071" i="17" s="1"/>
  <c r="R1070" i="17"/>
  <c r="S1070" i="17" s="1"/>
  <c r="R1069" i="17"/>
  <c r="S1069" i="17" s="1"/>
  <c r="R1068" i="17"/>
  <c r="S1068" i="17" s="1"/>
  <c r="R1067" i="17"/>
  <c r="S1067" i="17" s="1"/>
  <c r="R1066" i="17"/>
  <c r="S1066" i="17" s="1"/>
  <c r="R1065" i="17"/>
  <c r="S1065" i="17" s="1"/>
  <c r="R1064" i="17"/>
  <c r="S1064" i="17" s="1"/>
  <c r="R1063" i="17"/>
  <c r="S1063" i="17" s="1"/>
  <c r="R1062" i="17"/>
  <c r="S1062" i="17" s="1"/>
  <c r="R1061" i="17"/>
  <c r="S1061" i="17" s="1"/>
  <c r="R1060" i="17"/>
  <c r="S1060" i="17" s="1"/>
  <c r="R1059" i="17"/>
  <c r="S1059" i="17" s="1"/>
  <c r="R1058" i="17"/>
  <c r="S1058" i="17" s="1"/>
  <c r="R1057" i="17"/>
  <c r="S1057" i="17" s="1"/>
  <c r="R1056" i="17"/>
  <c r="S1056" i="17" s="1"/>
  <c r="R1055" i="17"/>
  <c r="S1055" i="17" s="1"/>
  <c r="R1054" i="17"/>
  <c r="S1054" i="17" s="1"/>
  <c r="R1053" i="17"/>
  <c r="S1053" i="17" s="1"/>
  <c r="R1052" i="17"/>
  <c r="S1052" i="17" s="1"/>
  <c r="R1051" i="17"/>
  <c r="S1051" i="17" s="1"/>
  <c r="R1050" i="17"/>
  <c r="S1050" i="17" s="1"/>
  <c r="R1049" i="17"/>
  <c r="S1049" i="17" s="1"/>
  <c r="R1048" i="17"/>
  <c r="S1048" i="17" s="1"/>
  <c r="R1047" i="17"/>
  <c r="S1047" i="17" s="1"/>
  <c r="R1046" i="17"/>
  <c r="S1046" i="17" s="1"/>
  <c r="R1045" i="17"/>
  <c r="S1045" i="17" s="1"/>
  <c r="R1044" i="17"/>
  <c r="S1044" i="17" s="1"/>
  <c r="R1043" i="17"/>
  <c r="S1043" i="17" s="1"/>
  <c r="R1042" i="17"/>
  <c r="S1042" i="17" s="1"/>
  <c r="R1041" i="17"/>
  <c r="S1041" i="17" s="1"/>
  <c r="R1040" i="17"/>
  <c r="S1040" i="17" s="1"/>
  <c r="R1039" i="17"/>
  <c r="S1039" i="17" s="1"/>
  <c r="R1038" i="17"/>
  <c r="S1038" i="17" s="1"/>
  <c r="R1037" i="17"/>
  <c r="S1037" i="17" s="1"/>
  <c r="R1036" i="17"/>
  <c r="S1036" i="17" s="1"/>
  <c r="R1035" i="17"/>
  <c r="S1035" i="17" s="1"/>
  <c r="R1034" i="17"/>
  <c r="S1034" i="17" s="1"/>
  <c r="R1033" i="17"/>
  <c r="S1033" i="17" s="1"/>
  <c r="R1032" i="17"/>
  <c r="S1032" i="17" s="1"/>
  <c r="R1031" i="17"/>
  <c r="S1031" i="17" s="1"/>
  <c r="R1030" i="17"/>
  <c r="S1030" i="17" s="1"/>
  <c r="R1029" i="17"/>
  <c r="S1029" i="17" s="1"/>
  <c r="R1028" i="17"/>
  <c r="S1028" i="17" s="1"/>
  <c r="R1027" i="17"/>
  <c r="S1027" i="17" s="1"/>
  <c r="R1026" i="17"/>
  <c r="S1026" i="17" s="1"/>
  <c r="R1025" i="17"/>
  <c r="S1025" i="17" s="1"/>
  <c r="R1024" i="17"/>
  <c r="S1024" i="17" s="1"/>
  <c r="R1023" i="17"/>
  <c r="S1023" i="17" s="1"/>
  <c r="R1022" i="17"/>
  <c r="S1022" i="17" s="1"/>
  <c r="R1021" i="17"/>
  <c r="S1021" i="17" s="1"/>
  <c r="R1020" i="17"/>
  <c r="S1020" i="17" s="1"/>
  <c r="R1019" i="17"/>
  <c r="S1019" i="17" s="1"/>
  <c r="R1018" i="17"/>
  <c r="S1018" i="17" s="1"/>
  <c r="R1017" i="17"/>
  <c r="S1017" i="17" s="1"/>
  <c r="R1016" i="17"/>
  <c r="S1016" i="17" s="1"/>
  <c r="R1015" i="17"/>
  <c r="S1015" i="17" s="1"/>
  <c r="R1014" i="17"/>
  <c r="S1014" i="17" s="1"/>
  <c r="R1013" i="17"/>
  <c r="S1013" i="17" s="1"/>
  <c r="R1012" i="17"/>
  <c r="S1012" i="17" s="1"/>
  <c r="R1011" i="17"/>
  <c r="S1011" i="17" s="1"/>
  <c r="R1010" i="17"/>
  <c r="S1010" i="17" s="1"/>
  <c r="R1009" i="17"/>
  <c r="S1009" i="17" s="1"/>
  <c r="R1008" i="17"/>
  <c r="S1008" i="17" s="1"/>
  <c r="R1007" i="17"/>
  <c r="S1007" i="17" s="1"/>
  <c r="R1006" i="17"/>
  <c r="S1006" i="17" s="1"/>
  <c r="R1005" i="17"/>
  <c r="S1005" i="17" s="1"/>
  <c r="R1004" i="17"/>
  <c r="S1004" i="17" s="1"/>
  <c r="R1003" i="17"/>
  <c r="S1003" i="17" s="1"/>
  <c r="R1002" i="17"/>
  <c r="S1002" i="17" s="1"/>
  <c r="R1001" i="17"/>
  <c r="S1001" i="17" s="1"/>
  <c r="R1000" i="17"/>
  <c r="S1000" i="17" s="1"/>
  <c r="R999" i="17"/>
  <c r="S999" i="17" s="1"/>
  <c r="R998" i="17"/>
  <c r="S998" i="17" s="1"/>
  <c r="R997" i="17"/>
  <c r="S997" i="17" s="1"/>
  <c r="R996" i="17"/>
  <c r="S996" i="17" s="1"/>
  <c r="R995" i="17"/>
  <c r="S995" i="17" s="1"/>
  <c r="R994" i="17"/>
  <c r="S994" i="17" s="1"/>
  <c r="R993" i="17"/>
  <c r="S993" i="17" s="1"/>
  <c r="R992" i="17"/>
  <c r="S992" i="17" s="1"/>
  <c r="R991" i="17"/>
  <c r="S991" i="17" s="1"/>
  <c r="R990" i="17"/>
  <c r="S990" i="17" s="1"/>
  <c r="R989" i="17"/>
  <c r="S989" i="17" s="1"/>
  <c r="R988" i="17"/>
  <c r="S988" i="17" s="1"/>
  <c r="R987" i="17"/>
  <c r="S987" i="17" s="1"/>
  <c r="R986" i="17"/>
  <c r="S986" i="17" s="1"/>
  <c r="R985" i="17"/>
  <c r="S985" i="17" s="1"/>
  <c r="R984" i="17"/>
  <c r="S984" i="17" s="1"/>
  <c r="R983" i="17"/>
  <c r="S983" i="17" s="1"/>
  <c r="R982" i="17"/>
  <c r="S982" i="17" s="1"/>
  <c r="R981" i="17"/>
  <c r="S981" i="17" s="1"/>
  <c r="R980" i="17"/>
  <c r="S980" i="17" s="1"/>
  <c r="R979" i="17"/>
  <c r="S979" i="17" s="1"/>
  <c r="R978" i="17"/>
  <c r="S978" i="17" s="1"/>
  <c r="R977" i="17"/>
  <c r="S977" i="17" s="1"/>
  <c r="R976" i="17"/>
  <c r="S976" i="17" s="1"/>
  <c r="R975" i="17"/>
  <c r="S975" i="17" s="1"/>
  <c r="R974" i="17"/>
  <c r="S974" i="17" s="1"/>
  <c r="R973" i="17"/>
  <c r="S973" i="17" s="1"/>
  <c r="R972" i="17"/>
  <c r="S972" i="17" s="1"/>
  <c r="R971" i="17"/>
  <c r="S971" i="17" s="1"/>
  <c r="R970" i="17"/>
  <c r="S970" i="17" s="1"/>
  <c r="R969" i="17"/>
  <c r="S969" i="17" s="1"/>
  <c r="R968" i="17"/>
  <c r="S968" i="17" s="1"/>
  <c r="R967" i="17"/>
  <c r="S967" i="17" s="1"/>
  <c r="R966" i="17"/>
  <c r="S966" i="17" s="1"/>
  <c r="R965" i="17"/>
  <c r="S965" i="17" s="1"/>
  <c r="R964" i="17"/>
  <c r="S964" i="17" s="1"/>
  <c r="R963" i="17"/>
  <c r="S963" i="17" s="1"/>
  <c r="R962" i="17"/>
  <c r="S962" i="17" s="1"/>
  <c r="R961" i="17"/>
  <c r="S961" i="17" s="1"/>
  <c r="R960" i="17"/>
  <c r="S960" i="17" s="1"/>
  <c r="R959" i="17"/>
  <c r="S959" i="17" s="1"/>
  <c r="R958" i="17"/>
  <c r="S958" i="17" s="1"/>
  <c r="R957" i="17"/>
  <c r="S957" i="17" s="1"/>
  <c r="R956" i="17"/>
  <c r="S956" i="17" s="1"/>
  <c r="R955" i="17"/>
  <c r="S955" i="17" s="1"/>
  <c r="R954" i="17"/>
  <c r="S954" i="17" s="1"/>
  <c r="R953" i="17"/>
  <c r="S953" i="17" s="1"/>
  <c r="R952" i="17"/>
  <c r="S952" i="17" s="1"/>
  <c r="R951" i="17"/>
  <c r="S951" i="17" s="1"/>
  <c r="R950" i="17"/>
  <c r="S950" i="17" s="1"/>
  <c r="R949" i="17"/>
  <c r="S949" i="17" s="1"/>
  <c r="R948" i="17"/>
  <c r="S948" i="17" s="1"/>
  <c r="R947" i="17"/>
  <c r="S947" i="17" s="1"/>
  <c r="R946" i="17"/>
  <c r="S946" i="17" s="1"/>
  <c r="R945" i="17"/>
  <c r="S945" i="17" s="1"/>
  <c r="R944" i="17"/>
  <c r="S944" i="17" s="1"/>
  <c r="R943" i="17"/>
  <c r="S943" i="17" s="1"/>
  <c r="R942" i="17"/>
  <c r="S942" i="17" s="1"/>
  <c r="R941" i="17"/>
  <c r="S941" i="17" s="1"/>
  <c r="R940" i="17"/>
  <c r="S940" i="17" s="1"/>
  <c r="R939" i="17"/>
  <c r="S939" i="17" s="1"/>
  <c r="R938" i="17"/>
  <c r="S938" i="17" s="1"/>
  <c r="R937" i="17"/>
  <c r="S937" i="17" s="1"/>
  <c r="R936" i="17"/>
  <c r="S936" i="17" s="1"/>
  <c r="R935" i="17"/>
  <c r="S935" i="17" s="1"/>
  <c r="R934" i="17"/>
  <c r="S934" i="17" s="1"/>
  <c r="R933" i="17"/>
  <c r="S933" i="17" s="1"/>
  <c r="R932" i="17"/>
  <c r="S932" i="17" s="1"/>
  <c r="R931" i="17"/>
  <c r="S931" i="17" s="1"/>
  <c r="R930" i="17"/>
  <c r="S930" i="17" s="1"/>
  <c r="R929" i="17"/>
  <c r="S929" i="17" s="1"/>
  <c r="R928" i="17"/>
  <c r="S928" i="17" s="1"/>
  <c r="R927" i="17"/>
  <c r="S927" i="17" s="1"/>
  <c r="R926" i="17"/>
  <c r="S926" i="17" s="1"/>
  <c r="R925" i="17"/>
  <c r="S925" i="17" s="1"/>
  <c r="R924" i="17"/>
  <c r="S924" i="17" s="1"/>
  <c r="R923" i="17"/>
  <c r="S923" i="17" s="1"/>
  <c r="R922" i="17"/>
  <c r="S922" i="17" s="1"/>
  <c r="R921" i="17"/>
  <c r="S921" i="17" s="1"/>
  <c r="R920" i="17"/>
  <c r="S920" i="17" s="1"/>
  <c r="R919" i="17"/>
  <c r="S919" i="17" s="1"/>
  <c r="R918" i="17"/>
  <c r="S918" i="17" s="1"/>
  <c r="R917" i="17"/>
  <c r="S917" i="17" s="1"/>
  <c r="R916" i="17"/>
  <c r="S916" i="17" s="1"/>
  <c r="R915" i="17"/>
  <c r="S915" i="17" s="1"/>
  <c r="R914" i="17"/>
  <c r="S914" i="17" s="1"/>
  <c r="R913" i="17"/>
  <c r="S913" i="17" s="1"/>
  <c r="R912" i="17"/>
  <c r="S912" i="17" s="1"/>
  <c r="R911" i="17"/>
  <c r="S911" i="17" s="1"/>
  <c r="R910" i="17"/>
  <c r="S910" i="17" s="1"/>
  <c r="R909" i="17"/>
  <c r="S909" i="17" s="1"/>
  <c r="R908" i="17"/>
  <c r="S908" i="17" s="1"/>
  <c r="R907" i="17"/>
  <c r="S907" i="17" s="1"/>
  <c r="R906" i="17"/>
  <c r="S906" i="17" s="1"/>
  <c r="R905" i="17"/>
  <c r="S905" i="17" s="1"/>
  <c r="R904" i="17"/>
  <c r="S904" i="17" s="1"/>
  <c r="R903" i="17"/>
  <c r="S903" i="17" s="1"/>
  <c r="R902" i="17"/>
  <c r="S902" i="17" s="1"/>
  <c r="R901" i="17"/>
  <c r="S901" i="17" s="1"/>
  <c r="R900" i="17"/>
  <c r="S900" i="17" s="1"/>
  <c r="R899" i="17"/>
  <c r="S899" i="17" s="1"/>
  <c r="R898" i="17"/>
  <c r="S898" i="17" s="1"/>
  <c r="R897" i="17"/>
  <c r="S897" i="17" s="1"/>
  <c r="R896" i="17"/>
  <c r="S896" i="17" s="1"/>
  <c r="R895" i="17"/>
  <c r="S895" i="17" s="1"/>
  <c r="R894" i="17"/>
  <c r="S894" i="17" s="1"/>
  <c r="R893" i="17"/>
  <c r="S893" i="17" s="1"/>
  <c r="R892" i="17"/>
  <c r="S892" i="17" s="1"/>
  <c r="R891" i="17"/>
  <c r="S891" i="17" s="1"/>
  <c r="R890" i="17"/>
  <c r="S890" i="17" s="1"/>
  <c r="R889" i="17"/>
  <c r="S889" i="17" s="1"/>
  <c r="R888" i="17"/>
  <c r="S888" i="17" s="1"/>
  <c r="R887" i="17"/>
  <c r="S887" i="17" s="1"/>
  <c r="R886" i="17"/>
  <c r="S886" i="17" s="1"/>
  <c r="R885" i="17"/>
  <c r="S885" i="17" s="1"/>
  <c r="R884" i="17"/>
  <c r="S884" i="17" s="1"/>
  <c r="R883" i="17"/>
  <c r="S883" i="17" s="1"/>
  <c r="R882" i="17"/>
  <c r="S882" i="17" s="1"/>
  <c r="R881" i="17"/>
  <c r="S881" i="17" s="1"/>
  <c r="R880" i="17"/>
  <c r="S880" i="17" s="1"/>
  <c r="R879" i="17"/>
  <c r="S879" i="17" s="1"/>
  <c r="R878" i="17"/>
  <c r="S878" i="17" s="1"/>
  <c r="R877" i="17"/>
  <c r="S877" i="17" s="1"/>
  <c r="R876" i="17"/>
  <c r="S876" i="17" s="1"/>
  <c r="R875" i="17"/>
  <c r="S875" i="17" s="1"/>
  <c r="R874" i="17"/>
  <c r="S874" i="17" s="1"/>
  <c r="R873" i="17"/>
  <c r="S873" i="17" s="1"/>
  <c r="R872" i="17"/>
  <c r="S872" i="17" s="1"/>
  <c r="R871" i="17"/>
  <c r="S871" i="17" s="1"/>
  <c r="R870" i="17"/>
  <c r="S870" i="17" s="1"/>
  <c r="R869" i="17"/>
  <c r="S869" i="17" s="1"/>
  <c r="R868" i="17"/>
  <c r="S868" i="17" s="1"/>
  <c r="R867" i="17"/>
  <c r="S867" i="17" s="1"/>
  <c r="R866" i="17"/>
  <c r="S866" i="17" s="1"/>
  <c r="R865" i="17"/>
  <c r="S865" i="17" s="1"/>
  <c r="R864" i="17"/>
  <c r="S864" i="17" s="1"/>
  <c r="R863" i="17"/>
  <c r="S863" i="17" s="1"/>
  <c r="R862" i="17"/>
  <c r="S862" i="17" s="1"/>
  <c r="R861" i="17"/>
  <c r="S861" i="17" s="1"/>
  <c r="R860" i="17"/>
  <c r="S860" i="17" s="1"/>
  <c r="R859" i="17"/>
  <c r="S859" i="17" s="1"/>
  <c r="R858" i="17"/>
  <c r="S858" i="17" s="1"/>
  <c r="R857" i="17"/>
  <c r="S857" i="17" s="1"/>
  <c r="R856" i="17"/>
  <c r="S856" i="17" s="1"/>
  <c r="R855" i="17"/>
  <c r="S855" i="17" s="1"/>
  <c r="R854" i="17"/>
  <c r="S854" i="17" s="1"/>
  <c r="R853" i="17"/>
  <c r="S853" i="17" s="1"/>
  <c r="R852" i="17"/>
  <c r="S852" i="17" s="1"/>
  <c r="R851" i="17"/>
  <c r="S851" i="17" s="1"/>
  <c r="R850" i="17"/>
  <c r="S850" i="17" s="1"/>
  <c r="R849" i="17"/>
  <c r="S849" i="17" s="1"/>
  <c r="R848" i="17"/>
  <c r="S848" i="17" s="1"/>
  <c r="R847" i="17"/>
  <c r="S847" i="17" s="1"/>
  <c r="R846" i="17"/>
  <c r="S846" i="17" s="1"/>
  <c r="R845" i="17"/>
  <c r="S845" i="17" s="1"/>
  <c r="R844" i="17"/>
  <c r="S844" i="17" s="1"/>
  <c r="R843" i="17"/>
  <c r="S843" i="17" s="1"/>
  <c r="R842" i="17"/>
  <c r="S842" i="17" s="1"/>
  <c r="R841" i="17"/>
  <c r="S841" i="17" s="1"/>
  <c r="R840" i="17"/>
  <c r="S840" i="17" s="1"/>
  <c r="R839" i="17"/>
  <c r="S839" i="17" s="1"/>
  <c r="R838" i="17"/>
  <c r="S838" i="17" s="1"/>
  <c r="R837" i="17"/>
  <c r="S837" i="17" s="1"/>
  <c r="R836" i="17"/>
  <c r="S836" i="17" s="1"/>
  <c r="R835" i="17"/>
  <c r="S835" i="17" s="1"/>
  <c r="R834" i="17"/>
  <c r="S834" i="17" s="1"/>
  <c r="R833" i="17"/>
  <c r="S833" i="17" s="1"/>
  <c r="R832" i="17"/>
  <c r="S832" i="17" s="1"/>
  <c r="R831" i="17"/>
  <c r="S831" i="17" s="1"/>
  <c r="R830" i="17"/>
  <c r="S830" i="17" s="1"/>
  <c r="R829" i="17"/>
  <c r="S829" i="17" s="1"/>
  <c r="R828" i="17"/>
  <c r="S828" i="17" s="1"/>
  <c r="R827" i="17"/>
  <c r="S827" i="17" s="1"/>
  <c r="R826" i="17"/>
  <c r="S826" i="17" s="1"/>
  <c r="R825" i="17"/>
  <c r="S825" i="17" s="1"/>
  <c r="R824" i="17"/>
  <c r="S824" i="17" s="1"/>
  <c r="R823" i="17"/>
  <c r="S823" i="17" s="1"/>
  <c r="R822" i="17"/>
  <c r="S822" i="17" s="1"/>
  <c r="R821" i="17"/>
  <c r="S821" i="17" s="1"/>
  <c r="R820" i="17"/>
  <c r="S820" i="17" s="1"/>
  <c r="R819" i="17"/>
  <c r="S819" i="17" s="1"/>
  <c r="R818" i="17"/>
  <c r="S818" i="17" s="1"/>
  <c r="R817" i="17"/>
  <c r="S817" i="17" s="1"/>
  <c r="R816" i="17"/>
  <c r="S816" i="17" s="1"/>
  <c r="R815" i="17"/>
  <c r="S815" i="17" s="1"/>
  <c r="R814" i="17"/>
  <c r="S814" i="17" s="1"/>
  <c r="R813" i="17"/>
  <c r="S813" i="17" s="1"/>
  <c r="R812" i="17"/>
  <c r="S812" i="17" s="1"/>
  <c r="R811" i="17"/>
  <c r="S811" i="17" s="1"/>
  <c r="R810" i="17"/>
  <c r="S810" i="17" s="1"/>
  <c r="R809" i="17"/>
  <c r="S809" i="17" s="1"/>
  <c r="R808" i="17"/>
  <c r="S808" i="17" s="1"/>
  <c r="R807" i="17"/>
  <c r="S807" i="17" s="1"/>
  <c r="R806" i="17"/>
  <c r="S806" i="17" s="1"/>
  <c r="R805" i="17"/>
  <c r="S805" i="17" s="1"/>
  <c r="R804" i="17"/>
  <c r="S804" i="17" s="1"/>
  <c r="R803" i="17"/>
  <c r="S803" i="17" s="1"/>
  <c r="R802" i="17"/>
  <c r="S802" i="17" s="1"/>
  <c r="R801" i="17"/>
  <c r="S801" i="17" s="1"/>
  <c r="R800" i="17"/>
  <c r="S800" i="17" s="1"/>
  <c r="R799" i="17"/>
  <c r="S799" i="17" s="1"/>
  <c r="R798" i="17"/>
  <c r="S798" i="17" s="1"/>
  <c r="R797" i="17"/>
  <c r="S797" i="17" s="1"/>
  <c r="R796" i="17"/>
  <c r="S796" i="17" s="1"/>
  <c r="R795" i="17"/>
  <c r="S795" i="17" s="1"/>
  <c r="R794" i="17"/>
  <c r="S794" i="17" s="1"/>
  <c r="R793" i="17"/>
  <c r="S793" i="17" s="1"/>
  <c r="R792" i="17"/>
  <c r="S792" i="17" s="1"/>
  <c r="R791" i="17"/>
  <c r="S791" i="17" s="1"/>
  <c r="R790" i="17"/>
  <c r="S790" i="17" s="1"/>
  <c r="R789" i="17"/>
  <c r="S789" i="17" s="1"/>
  <c r="R788" i="17"/>
  <c r="S788" i="17" s="1"/>
  <c r="R787" i="17"/>
  <c r="S787" i="17" s="1"/>
  <c r="R786" i="17"/>
  <c r="S786" i="17" s="1"/>
  <c r="R785" i="17"/>
  <c r="S785" i="17" s="1"/>
  <c r="R784" i="17"/>
  <c r="S784" i="17" s="1"/>
  <c r="R783" i="17"/>
  <c r="S783" i="17" s="1"/>
  <c r="R782" i="17"/>
  <c r="S782" i="17" s="1"/>
  <c r="R781" i="17"/>
  <c r="S781" i="17" s="1"/>
  <c r="R780" i="17"/>
  <c r="S780" i="17" s="1"/>
  <c r="R779" i="17"/>
  <c r="S779" i="17" s="1"/>
  <c r="R778" i="17"/>
  <c r="S778" i="17" s="1"/>
  <c r="R777" i="17"/>
  <c r="S777" i="17" s="1"/>
  <c r="R776" i="17"/>
  <c r="S776" i="17" s="1"/>
  <c r="R775" i="17"/>
  <c r="S775" i="17" s="1"/>
  <c r="R774" i="17"/>
  <c r="S774" i="17" s="1"/>
  <c r="R773" i="17"/>
  <c r="S773" i="17" s="1"/>
  <c r="R772" i="17"/>
  <c r="S772" i="17" s="1"/>
  <c r="R771" i="17"/>
  <c r="S771" i="17" s="1"/>
  <c r="R770" i="17"/>
  <c r="S770" i="17" s="1"/>
  <c r="R769" i="17"/>
  <c r="S769" i="17" s="1"/>
  <c r="R768" i="17"/>
  <c r="S768" i="17" s="1"/>
  <c r="R767" i="17"/>
  <c r="S767" i="17" s="1"/>
  <c r="R766" i="17"/>
  <c r="S766" i="17" s="1"/>
  <c r="R765" i="17"/>
  <c r="S765" i="17" s="1"/>
  <c r="R764" i="17"/>
  <c r="S764" i="17" s="1"/>
  <c r="R763" i="17"/>
  <c r="S763" i="17" s="1"/>
  <c r="R762" i="17"/>
  <c r="S762" i="17" s="1"/>
  <c r="R761" i="17"/>
  <c r="S761" i="17" s="1"/>
  <c r="R760" i="17"/>
  <c r="S760" i="17" s="1"/>
  <c r="R759" i="17"/>
  <c r="S759" i="17" s="1"/>
  <c r="R758" i="17"/>
  <c r="S758" i="17" s="1"/>
  <c r="R757" i="17"/>
  <c r="S757" i="17" s="1"/>
  <c r="R756" i="17"/>
  <c r="S756" i="17" s="1"/>
  <c r="R755" i="17"/>
  <c r="S755" i="17" s="1"/>
  <c r="R754" i="17"/>
  <c r="S754" i="17" s="1"/>
  <c r="R753" i="17"/>
  <c r="S753" i="17" s="1"/>
  <c r="R752" i="17"/>
  <c r="S752" i="17" s="1"/>
  <c r="R751" i="17"/>
  <c r="S751" i="17" s="1"/>
  <c r="R750" i="17"/>
  <c r="S750" i="17" s="1"/>
  <c r="R749" i="17"/>
  <c r="S749" i="17" s="1"/>
  <c r="R748" i="17"/>
  <c r="S748" i="17" s="1"/>
  <c r="R747" i="17"/>
  <c r="S747" i="17" s="1"/>
  <c r="R746" i="17"/>
  <c r="S746" i="17" s="1"/>
  <c r="R745" i="17"/>
  <c r="S745" i="17" s="1"/>
  <c r="R744" i="17"/>
  <c r="S744" i="17" s="1"/>
  <c r="R743" i="17"/>
  <c r="S743" i="17" s="1"/>
  <c r="R742" i="17"/>
  <c r="S742" i="17" s="1"/>
  <c r="R741" i="17"/>
  <c r="S741" i="17" s="1"/>
  <c r="R740" i="17"/>
  <c r="S740" i="17" s="1"/>
  <c r="R739" i="17"/>
  <c r="S739" i="17" s="1"/>
  <c r="R738" i="17"/>
  <c r="S738" i="17" s="1"/>
  <c r="R737" i="17"/>
  <c r="S737" i="17" s="1"/>
  <c r="R736" i="17"/>
  <c r="S736" i="17" s="1"/>
  <c r="R735" i="17"/>
  <c r="S735" i="17" s="1"/>
  <c r="R734" i="17"/>
  <c r="S734" i="17" s="1"/>
  <c r="R733" i="17"/>
  <c r="S733" i="17" s="1"/>
  <c r="R732" i="17"/>
  <c r="S732" i="17" s="1"/>
  <c r="R731" i="17"/>
  <c r="S731" i="17" s="1"/>
  <c r="R730" i="17"/>
  <c r="S730" i="17" s="1"/>
  <c r="R729" i="17"/>
  <c r="S729" i="17" s="1"/>
  <c r="R728" i="17"/>
  <c r="S728" i="17" s="1"/>
  <c r="R727" i="17"/>
  <c r="S727" i="17" s="1"/>
  <c r="R726" i="17"/>
  <c r="S726" i="17" s="1"/>
  <c r="R725" i="17"/>
  <c r="S725" i="17" s="1"/>
  <c r="R724" i="17"/>
  <c r="S724" i="17" s="1"/>
  <c r="R723" i="17"/>
  <c r="S723" i="17" s="1"/>
  <c r="R722" i="17"/>
  <c r="S722" i="17" s="1"/>
  <c r="R721" i="17"/>
  <c r="S721" i="17" s="1"/>
  <c r="R720" i="17"/>
  <c r="S720" i="17" s="1"/>
  <c r="R719" i="17"/>
  <c r="S719" i="17" s="1"/>
  <c r="R718" i="17"/>
  <c r="S718" i="17" s="1"/>
  <c r="R717" i="17"/>
  <c r="S717" i="17" s="1"/>
  <c r="R716" i="17"/>
  <c r="S716" i="17" s="1"/>
  <c r="R715" i="17"/>
  <c r="S715" i="17" s="1"/>
  <c r="R714" i="17"/>
  <c r="S714" i="17" s="1"/>
  <c r="R713" i="17"/>
  <c r="S713" i="17" s="1"/>
  <c r="R712" i="17"/>
  <c r="S712" i="17" s="1"/>
  <c r="R711" i="17"/>
  <c r="S711" i="17" s="1"/>
  <c r="R710" i="17"/>
  <c r="S710" i="17" s="1"/>
  <c r="R709" i="17"/>
  <c r="S709" i="17" s="1"/>
  <c r="R708" i="17"/>
  <c r="S708" i="17" s="1"/>
  <c r="R707" i="17"/>
  <c r="S707" i="17" s="1"/>
  <c r="R706" i="17"/>
  <c r="S706" i="17" s="1"/>
  <c r="R705" i="17"/>
  <c r="S705" i="17" s="1"/>
  <c r="R704" i="17"/>
  <c r="S704" i="17" s="1"/>
  <c r="R703" i="17"/>
  <c r="S703" i="17" s="1"/>
  <c r="R702" i="17"/>
  <c r="S702" i="17" s="1"/>
  <c r="R701" i="17"/>
  <c r="S701" i="17" s="1"/>
  <c r="T1969" i="17" l="1"/>
  <c r="U1969" i="17" s="1"/>
  <c r="T985" i="17"/>
  <c r="U985" i="17" s="1"/>
  <c r="T1097" i="17"/>
  <c r="U1097" i="17" s="1"/>
  <c r="T1104" i="17"/>
  <c r="U1104" i="17" s="1"/>
  <c r="T1766" i="17"/>
  <c r="U1766" i="17" s="1"/>
  <c r="S1773" i="17"/>
  <c r="U1773" i="17" s="1"/>
  <c r="T1168" i="17"/>
  <c r="U1168" i="17" s="1"/>
  <c r="S1887" i="17"/>
  <c r="U1887" i="17" s="1"/>
  <c r="T1033" i="17"/>
  <c r="U1033" i="17" s="1"/>
  <c r="T1065" i="17"/>
  <c r="U1065" i="17" s="1"/>
  <c r="T1521" i="17"/>
  <c r="U1521" i="17" s="1"/>
  <c r="S1524" i="17"/>
  <c r="U1524" i="17" s="1"/>
  <c r="T1073" i="17"/>
  <c r="U1073" i="17" s="1"/>
  <c r="T1120" i="17"/>
  <c r="U1120" i="17" s="1"/>
  <c r="T1184" i="17"/>
  <c r="U1184" i="17" s="1"/>
  <c r="T1017" i="17"/>
  <c r="U1017" i="17" s="1"/>
  <c r="T1049" i="17"/>
  <c r="U1049" i="17" s="1"/>
  <c r="T1081" i="17"/>
  <c r="U1081" i="17" s="1"/>
  <c r="T1136" i="17"/>
  <c r="U1136" i="17" s="1"/>
  <c r="T1200" i="17"/>
  <c r="U1200" i="17" s="1"/>
  <c r="T1498" i="17"/>
  <c r="U1498" i="17" s="1"/>
  <c r="T1505" i="17"/>
  <c r="U1505" i="17" s="1"/>
  <c r="T1520" i="17"/>
  <c r="U1520" i="17" s="1"/>
  <c r="T1009" i="17"/>
  <c r="U1009" i="17" s="1"/>
  <c r="T1041" i="17"/>
  <c r="U1041" i="17" s="1"/>
  <c r="T1600" i="17"/>
  <c r="U1600" i="17" s="1"/>
  <c r="S1837" i="17"/>
  <c r="U1837" i="17" s="1"/>
  <c r="T729" i="17"/>
  <c r="U729" i="17" s="1"/>
  <c r="T1025" i="17"/>
  <c r="U1025" i="17" s="1"/>
  <c r="T1057" i="17"/>
  <c r="U1057" i="17" s="1"/>
  <c r="T1089" i="17"/>
  <c r="U1089" i="17" s="1"/>
  <c r="T1152" i="17"/>
  <c r="U1152" i="17" s="1"/>
  <c r="T1244" i="17"/>
  <c r="U1244" i="17" s="1"/>
  <c r="T1005" i="17"/>
  <c r="U1005" i="17" s="1"/>
  <c r="T1021" i="17"/>
  <c r="U1021" i="17" s="1"/>
  <c r="T1037" i="17"/>
  <c r="U1037" i="17" s="1"/>
  <c r="T1053" i="17"/>
  <c r="U1053" i="17" s="1"/>
  <c r="T1069" i="17"/>
  <c r="U1069" i="17" s="1"/>
  <c r="T1085" i="17"/>
  <c r="U1085" i="17" s="1"/>
  <c r="T1112" i="17"/>
  <c r="U1112" i="17" s="1"/>
  <c r="T1144" i="17"/>
  <c r="U1144" i="17" s="1"/>
  <c r="T1176" i="17"/>
  <c r="U1176" i="17" s="1"/>
  <c r="T1208" i="17"/>
  <c r="U1208" i="17" s="1"/>
  <c r="T1294" i="17"/>
  <c r="U1294" i="17" s="1"/>
  <c r="T1404" i="17"/>
  <c r="U1404" i="17" s="1"/>
  <c r="T1569" i="17"/>
  <c r="U1569" i="17" s="1"/>
  <c r="S1572" i="17"/>
  <c r="U1572" i="17" s="1"/>
  <c r="S1811" i="17"/>
  <c r="U1811" i="17" s="1"/>
  <c r="T1216" i="17"/>
  <c r="U1216" i="17" s="1"/>
  <c r="T1253" i="17"/>
  <c r="U1253" i="17" s="1"/>
  <c r="T857" i="17"/>
  <c r="U857" i="17" s="1"/>
  <c r="T1013" i="17"/>
  <c r="U1013" i="17" s="1"/>
  <c r="T1029" i="17"/>
  <c r="U1029" i="17" s="1"/>
  <c r="T1045" i="17"/>
  <c r="U1045" i="17" s="1"/>
  <c r="T1061" i="17"/>
  <c r="U1061" i="17" s="1"/>
  <c r="T1077" i="17"/>
  <c r="U1077" i="17" s="1"/>
  <c r="T1093" i="17"/>
  <c r="U1093" i="17" s="1"/>
  <c r="T1128" i="17"/>
  <c r="U1128" i="17" s="1"/>
  <c r="T1160" i="17"/>
  <c r="U1160" i="17" s="1"/>
  <c r="T1192" i="17"/>
  <c r="U1192" i="17" s="1"/>
  <c r="T1224" i="17"/>
  <c r="U1224" i="17" s="1"/>
  <c r="S1289" i="17"/>
  <c r="U1289" i="17" s="1"/>
  <c r="S1307" i="17"/>
  <c r="U1307" i="17" s="1"/>
  <c r="T1556" i="17"/>
  <c r="U1556" i="17" s="1"/>
  <c r="T1628" i="17"/>
  <c r="U1628" i="17" s="1"/>
  <c r="S1863" i="17"/>
  <c r="U1863" i="17" s="1"/>
  <c r="T1933" i="17"/>
  <c r="U1933" i="17" s="1"/>
  <c r="T793" i="17"/>
  <c r="U793" i="17" s="1"/>
  <c r="T1007" i="17"/>
  <c r="U1007" i="17" s="1"/>
  <c r="T1015" i="17"/>
  <c r="U1015" i="17" s="1"/>
  <c r="T1023" i="17"/>
  <c r="U1023" i="17" s="1"/>
  <c r="T1031" i="17"/>
  <c r="U1031" i="17" s="1"/>
  <c r="T1039" i="17"/>
  <c r="U1039" i="17" s="1"/>
  <c r="T1047" i="17"/>
  <c r="U1047" i="17" s="1"/>
  <c r="T1055" i="17"/>
  <c r="U1055" i="17" s="1"/>
  <c r="T1063" i="17"/>
  <c r="U1063" i="17" s="1"/>
  <c r="T1071" i="17"/>
  <c r="U1071" i="17" s="1"/>
  <c r="T1079" i="17"/>
  <c r="U1079" i="17" s="1"/>
  <c r="T1087" i="17"/>
  <c r="U1087" i="17" s="1"/>
  <c r="T1095" i="17"/>
  <c r="U1095" i="17" s="1"/>
  <c r="T1110" i="17"/>
  <c r="U1110" i="17" s="1"/>
  <c r="T1126" i="17"/>
  <c r="U1126" i="17" s="1"/>
  <c r="T1142" i="17"/>
  <c r="U1142" i="17" s="1"/>
  <c r="T1158" i="17"/>
  <c r="U1158" i="17" s="1"/>
  <c r="T1174" i="17"/>
  <c r="U1174" i="17" s="1"/>
  <c r="T1190" i="17"/>
  <c r="U1190" i="17" s="1"/>
  <c r="T1206" i="17"/>
  <c r="U1206" i="17" s="1"/>
  <c r="T1222" i="17"/>
  <c r="U1222" i="17" s="1"/>
  <c r="S1257" i="17"/>
  <c r="U1257" i="17" s="1"/>
  <c r="T1341" i="17"/>
  <c r="U1341" i="17" s="1"/>
  <c r="T1372" i="17"/>
  <c r="U1372" i="17" s="1"/>
  <c r="T1528" i="17"/>
  <c r="U1528" i="17" s="1"/>
  <c r="T1576" i="17"/>
  <c r="U1576" i="17" s="1"/>
  <c r="S1614" i="17"/>
  <c r="U1614" i="17" s="1"/>
  <c r="S1644" i="17"/>
  <c r="U1644" i="17" s="1"/>
  <c r="S1646" i="17"/>
  <c r="U1646" i="17" s="1"/>
  <c r="T1702" i="17"/>
  <c r="U1702" i="17" s="1"/>
  <c r="T1705" i="17"/>
  <c r="U1705" i="17" s="1"/>
  <c r="S1793" i="17"/>
  <c r="U1793" i="17" s="1"/>
  <c r="S1823" i="17"/>
  <c r="U1823" i="17" s="1"/>
  <c r="S1875" i="17"/>
  <c r="U1875" i="17" s="1"/>
  <c r="T921" i="17"/>
  <c r="U921" i="17" s="1"/>
  <c r="T1003" i="17"/>
  <c r="U1003" i="17" s="1"/>
  <c r="T1011" i="17"/>
  <c r="U1011" i="17" s="1"/>
  <c r="T1019" i="17"/>
  <c r="U1019" i="17" s="1"/>
  <c r="T1027" i="17"/>
  <c r="U1027" i="17" s="1"/>
  <c r="T1035" i="17"/>
  <c r="U1035" i="17" s="1"/>
  <c r="T1043" i="17"/>
  <c r="U1043" i="17" s="1"/>
  <c r="T1051" i="17"/>
  <c r="U1051" i="17" s="1"/>
  <c r="T1059" i="17"/>
  <c r="U1059" i="17" s="1"/>
  <c r="T1067" i="17"/>
  <c r="U1067" i="17" s="1"/>
  <c r="T1075" i="17"/>
  <c r="U1075" i="17" s="1"/>
  <c r="T1083" i="17"/>
  <c r="U1083" i="17" s="1"/>
  <c r="T1091" i="17"/>
  <c r="U1091" i="17" s="1"/>
  <c r="T1099" i="17"/>
  <c r="U1099" i="17" s="1"/>
  <c r="T1102" i="17"/>
  <c r="U1102" i="17" s="1"/>
  <c r="T1118" i="17"/>
  <c r="U1118" i="17" s="1"/>
  <c r="T1134" i="17"/>
  <c r="U1134" i="17" s="1"/>
  <c r="T1150" i="17"/>
  <c r="U1150" i="17" s="1"/>
  <c r="T1166" i="17"/>
  <c r="U1166" i="17" s="1"/>
  <c r="T1182" i="17"/>
  <c r="U1182" i="17" s="1"/>
  <c r="T1198" i="17"/>
  <c r="U1198" i="17" s="1"/>
  <c r="T1214" i="17"/>
  <c r="U1214" i="17" s="1"/>
  <c r="T1230" i="17"/>
  <c r="U1230" i="17" s="1"/>
  <c r="T1452" i="17"/>
  <c r="U1452" i="17" s="1"/>
  <c r="T1655" i="17"/>
  <c r="U1655" i="17" s="1"/>
  <c r="T1666" i="17"/>
  <c r="U1666" i="17" s="1"/>
  <c r="T1677" i="17"/>
  <c r="U1677" i="17" s="1"/>
  <c r="T1726" i="17"/>
  <c r="U1726" i="17" s="1"/>
  <c r="S1847" i="17"/>
  <c r="U1847" i="17" s="1"/>
  <c r="S1903" i="17"/>
  <c r="U1903" i="17" s="1"/>
  <c r="T745" i="17"/>
  <c r="U745" i="17" s="1"/>
  <c r="T809" i="17"/>
  <c r="U809" i="17" s="1"/>
  <c r="T873" i="17"/>
  <c r="U873" i="17" s="1"/>
  <c r="T937" i="17"/>
  <c r="U937" i="17" s="1"/>
  <c r="T1001" i="17"/>
  <c r="U1001" i="17" s="1"/>
  <c r="S1107" i="17"/>
  <c r="T1107" i="17"/>
  <c r="S1115" i="17"/>
  <c r="T1115" i="17"/>
  <c r="S1123" i="17"/>
  <c r="T1123" i="17"/>
  <c r="S1131" i="17"/>
  <c r="T1131" i="17"/>
  <c r="S1139" i="17"/>
  <c r="T1139" i="17"/>
  <c r="S1147" i="17"/>
  <c r="T1147" i="17"/>
  <c r="S1155" i="17"/>
  <c r="T1155" i="17"/>
  <c r="S1163" i="17"/>
  <c r="T1163" i="17"/>
  <c r="S1171" i="17"/>
  <c r="T1171" i="17"/>
  <c r="S1179" i="17"/>
  <c r="T1179" i="17"/>
  <c r="S1187" i="17"/>
  <c r="T1187" i="17"/>
  <c r="S1195" i="17"/>
  <c r="T1195" i="17"/>
  <c r="S1203" i="17"/>
  <c r="T1203" i="17"/>
  <c r="S1211" i="17"/>
  <c r="T1211" i="17"/>
  <c r="S1219" i="17"/>
  <c r="T1219" i="17"/>
  <c r="S1227" i="17"/>
  <c r="T1227" i="17"/>
  <c r="S1280" i="17"/>
  <c r="T1280" i="17"/>
  <c r="S1489" i="17"/>
  <c r="T1489" i="17"/>
  <c r="T1789" i="17"/>
  <c r="S1789" i="17"/>
  <c r="T761" i="17"/>
  <c r="U761" i="17" s="1"/>
  <c r="T825" i="17"/>
  <c r="U825" i="17" s="1"/>
  <c r="T889" i="17"/>
  <c r="U889" i="17" s="1"/>
  <c r="T953" i="17"/>
  <c r="U953" i="17" s="1"/>
  <c r="S1105" i="17"/>
  <c r="T1105" i="17"/>
  <c r="S1113" i="17"/>
  <c r="T1113" i="17"/>
  <c r="S1121" i="17"/>
  <c r="T1121" i="17"/>
  <c r="S1129" i="17"/>
  <c r="T1129" i="17"/>
  <c r="S1137" i="17"/>
  <c r="T1137" i="17"/>
  <c r="S1145" i="17"/>
  <c r="T1145" i="17"/>
  <c r="S1153" i="17"/>
  <c r="T1153" i="17"/>
  <c r="S1161" i="17"/>
  <c r="T1161" i="17"/>
  <c r="S1169" i="17"/>
  <c r="T1169" i="17"/>
  <c r="S1177" i="17"/>
  <c r="T1177" i="17"/>
  <c r="S1185" i="17"/>
  <c r="T1185" i="17"/>
  <c r="S1193" i="17"/>
  <c r="T1193" i="17"/>
  <c r="S1201" i="17"/>
  <c r="T1201" i="17"/>
  <c r="S1209" i="17"/>
  <c r="T1209" i="17"/>
  <c r="S1217" i="17"/>
  <c r="T1217" i="17"/>
  <c r="S1225" i="17"/>
  <c r="T1225" i="17"/>
  <c r="S1285" i="17"/>
  <c r="T1285" i="17"/>
  <c r="T1345" i="17"/>
  <c r="S1345" i="17"/>
  <c r="S1536" i="17"/>
  <c r="T1536" i="17"/>
  <c r="T1548" i="17"/>
  <c r="S1548" i="17"/>
  <c r="T1831" i="17"/>
  <c r="S1831" i="17"/>
  <c r="T1879" i="17"/>
  <c r="S1879" i="17"/>
  <c r="T777" i="17"/>
  <c r="U777" i="17" s="1"/>
  <c r="T841" i="17"/>
  <c r="U841" i="17" s="1"/>
  <c r="T905" i="17"/>
  <c r="U905" i="17" s="1"/>
  <c r="T969" i="17"/>
  <c r="U969" i="17" s="1"/>
  <c r="T1002" i="17"/>
  <c r="U1002" i="17" s="1"/>
  <c r="T1004" i="17"/>
  <c r="U1004" i="17" s="1"/>
  <c r="T1006" i="17"/>
  <c r="U1006" i="17" s="1"/>
  <c r="T1008" i="17"/>
  <c r="U1008" i="17" s="1"/>
  <c r="T1010" i="17"/>
  <c r="U1010" i="17" s="1"/>
  <c r="T1012" i="17"/>
  <c r="U1012" i="17" s="1"/>
  <c r="T1014" i="17"/>
  <c r="U1014" i="17" s="1"/>
  <c r="T1016" i="17"/>
  <c r="U1016" i="17" s="1"/>
  <c r="T1018" i="17"/>
  <c r="U1018" i="17" s="1"/>
  <c r="T1020" i="17"/>
  <c r="U1020" i="17" s="1"/>
  <c r="T1022" i="17"/>
  <c r="U1022" i="17" s="1"/>
  <c r="T1024" i="17"/>
  <c r="U1024" i="17" s="1"/>
  <c r="T1026" i="17"/>
  <c r="U1026" i="17" s="1"/>
  <c r="T1028" i="17"/>
  <c r="U1028" i="17" s="1"/>
  <c r="T1030" i="17"/>
  <c r="U1030" i="17" s="1"/>
  <c r="T1032" i="17"/>
  <c r="U1032" i="17" s="1"/>
  <c r="T1034" i="17"/>
  <c r="U1034" i="17" s="1"/>
  <c r="T1036" i="17"/>
  <c r="U1036" i="17" s="1"/>
  <c r="T1038" i="17"/>
  <c r="U1038" i="17" s="1"/>
  <c r="T1040" i="17"/>
  <c r="U1040" i="17" s="1"/>
  <c r="T1042" i="17"/>
  <c r="U1042" i="17" s="1"/>
  <c r="T1044" i="17"/>
  <c r="U1044" i="17" s="1"/>
  <c r="T1046" i="17"/>
  <c r="U1046" i="17" s="1"/>
  <c r="T1048" i="17"/>
  <c r="U1048" i="17" s="1"/>
  <c r="T1050" i="17"/>
  <c r="U1050" i="17" s="1"/>
  <c r="T1052" i="17"/>
  <c r="U1052" i="17" s="1"/>
  <c r="T1054" i="17"/>
  <c r="U1054" i="17" s="1"/>
  <c r="T1056" i="17"/>
  <c r="U1056" i="17" s="1"/>
  <c r="T1058" i="17"/>
  <c r="U1058" i="17" s="1"/>
  <c r="T1060" i="17"/>
  <c r="U1060" i="17" s="1"/>
  <c r="T1062" i="17"/>
  <c r="U1062" i="17" s="1"/>
  <c r="T1064" i="17"/>
  <c r="U1064" i="17" s="1"/>
  <c r="T1066" i="17"/>
  <c r="U1066" i="17" s="1"/>
  <c r="T1068" i="17"/>
  <c r="U1068" i="17" s="1"/>
  <c r="T1070" i="17"/>
  <c r="U1070" i="17" s="1"/>
  <c r="T1072" i="17"/>
  <c r="U1072" i="17" s="1"/>
  <c r="T1074" i="17"/>
  <c r="U1074" i="17" s="1"/>
  <c r="T1076" i="17"/>
  <c r="U1076" i="17" s="1"/>
  <c r="T1078" i="17"/>
  <c r="U1078" i="17" s="1"/>
  <c r="T1080" i="17"/>
  <c r="U1080" i="17" s="1"/>
  <c r="T1082" i="17"/>
  <c r="U1082" i="17" s="1"/>
  <c r="T1084" i="17"/>
  <c r="U1084" i="17" s="1"/>
  <c r="T1086" i="17"/>
  <c r="U1086" i="17" s="1"/>
  <c r="T1088" i="17"/>
  <c r="U1088" i="17" s="1"/>
  <c r="T1090" i="17"/>
  <c r="U1090" i="17" s="1"/>
  <c r="T1092" i="17"/>
  <c r="U1092" i="17" s="1"/>
  <c r="T1094" i="17"/>
  <c r="U1094" i="17" s="1"/>
  <c r="T1096" i="17"/>
  <c r="U1096" i="17" s="1"/>
  <c r="T1098" i="17"/>
  <c r="U1098" i="17" s="1"/>
  <c r="T1100" i="17"/>
  <c r="U1100" i="17" s="1"/>
  <c r="S1103" i="17"/>
  <c r="T1103" i="17"/>
  <c r="T1108" i="17"/>
  <c r="U1108" i="17" s="1"/>
  <c r="S1111" i="17"/>
  <c r="T1111" i="17"/>
  <c r="T1116" i="17"/>
  <c r="U1116" i="17" s="1"/>
  <c r="S1119" i="17"/>
  <c r="T1119" i="17"/>
  <c r="T1124" i="17"/>
  <c r="U1124" i="17" s="1"/>
  <c r="S1127" i="17"/>
  <c r="T1127" i="17"/>
  <c r="T1132" i="17"/>
  <c r="U1132" i="17" s="1"/>
  <c r="S1135" i="17"/>
  <c r="T1135" i="17"/>
  <c r="T1140" i="17"/>
  <c r="U1140" i="17" s="1"/>
  <c r="S1143" i="17"/>
  <c r="T1143" i="17"/>
  <c r="T1148" i="17"/>
  <c r="U1148" i="17" s="1"/>
  <c r="S1151" i="17"/>
  <c r="T1151" i="17"/>
  <c r="T1156" i="17"/>
  <c r="U1156" i="17" s="1"/>
  <c r="S1159" i="17"/>
  <c r="T1159" i="17"/>
  <c r="T1164" i="17"/>
  <c r="U1164" i="17" s="1"/>
  <c r="S1167" i="17"/>
  <c r="T1167" i="17"/>
  <c r="T1172" i="17"/>
  <c r="U1172" i="17" s="1"/>
  <c r="S1175" i="17"/>
  <c r="T1175" i="17"/>
  <c r="T1180" i="17"/>
  <c r="U1180" i="17" s="1"/>
  <c r="S1183" i="17"/>
  <c r="T1183" i="17"/>
  <c r="T1188" i="17"/>
  <c r="U1188" i="17" s="1"/>
  <c r="S1191" i="17"/>
  <c r="T1191" i="17"/>
  <c r="T1196" i="17"/>
  <c r="U1196" i="17" s="1"/>
  <c r="S1199" i="17"/>
  <c r="T1199" i="17"/>
  <c r="T1204" i="17"/>
  <c r="U1204" i="17" s="1"/>
  <c r="S1207" i="17"/>
  <c r="T1207" i="17"/>
  <c r="T1212" i="17"/>
  <c r="U1212" i="17" s="1"/>
  <c r="S1215" i="17"/>
  <c r="T1215" i="17"/>
  <c r="T1220" i="17"/>
  <c r="U1220" i="17" s="1"/>
  <c r="S1223" i="17"/>
  <c r="T1223" i="17"/>
  <c r="T1228" i="17"/>
  <c r="U1228" i="17" s="1"/>
  <c r="T1238" i="17"/>
  <c r="U1238" i="17" s="1"/>
  <c r="T1248" i="17"/>
  <c r="U1248" i="17" s="1"/>
  <c r="S1262" i="17"/>
  <c r="T1262" i="17"/>
  <c r="T1335" i="17"/>
  <c r="S1335" i="17"/>
  <c r="S1436" i="17"/>
  <c r="T1436" i="17"/>
  <c r="S1545" i="17"/>
  <c r="T1545" i="17"/>
  <c r="T1869" i="17"/>
  <c r="S1869" i="17"/>
  <c r="S1949" i="17"/>
  <c r="T1949" i="17"/>
  <c r="S1101" i="17"/>
  <c r="T1101" i="17"/>
  <c r="T1106" i="17"/>
  <c r="U1106" i="17" s="1"/>
  <c r="S1109" i="17"/>
  <c r="T1109" i="17"/>
  <c r="T1114" i="17"/>
  <c r="U1114" i="17" s="1"/>
  <c r="S1117" i="17"/>
  <c r="T1117" i="17"/>
  <c r="T1122" i="17"/>
  <c r="U1122" i="17" s="1"/>
  <c r="S1125" i="17"/>
  <c r="T1125" i="17"/>
  <c r="T1130" i="17"/>
  <c r="U1130" i="17" s="1"/>
  <c r="S1133" i="17"/>
  <c r="T1133" i="17"/>
  <c r="T1138" i="17"/>
  <c r="U1138" i="17" s="1"/>
  <c r="S1141" i="17"/>
  <c r="T1141" i="17"/>
  <c r="T1146" i="17"/>
  <c r="U1146" i="17" s="1"/>
  <c r="S1149" i="17"/>
  <c r="T1149" i="17"/>
  <c r="T1154" i="17"/>
  <c r="U1154" i="17" s="1"/>
  <c r="S1157" i="17"/>
  <c r="T1157" i="17"/>
  <c r="T1162" i="17"/>
  <c r="U1162" i="17" s="1"/>
  <c r="S1165" i="17"/>
  <c r="T1165" i="17"/>
  <c r="T1170" i="17"/>
  <c r="U1170" i="17" s="1"/>
  <c r="S1173" i="17"/>
  <c r="T1173" i="17"/>
  <c r="T1178" i="17"/>
  <c r="U1178" i="17" s="1"/>
  <c r="S1181" i="17"/>
  <c r="T1181" i="17"/>
  <c r="T1186" i="17"/>
  <c r="U1186" i="17" s="1"/>
  <c r="S1189" i="17"/>
  <c r="T1189" i="17"/>
  <c r="T1194" i="17"/>
  <c r="U1194" i="17" s="1"/>
  <c r="S1197" i="17"/>
  <c r="T1197" i="17"/>
  <c r="T1202" i="17"/>
  <c r="U1202" i="17" s="1"/>
  <c r="S1205" i="17"/>
  <c r="T1205" i="17"/>
  <c r="T1210" i="17"/>
  <c r="U1210" i="17" s="1"/>
  <c r="S1213" i="17"/>
  <c r="T1213" i="17"/>
  <c r="T1218" i="17"/>
  <c r="U1218" i="17" s="1"/>
  <c r="S1221" i="17"/>
  <c r="T1221" i="17"/>
  <c r="T1226" i="17"/>
  <c r="U1226" i="17" s="1"/>
  <c r="S1229" i="17"/>
  <c r="T1229" i="17"/>
  <c r="T1271" i="17"/>
  <c r="S1271" i="17"/>
  <c r="S1328" i="17"/>
  <c r="T1328" i="17"/>
  <c r="S1492" i="17"/>
  <c r="T1492" i="17"/>
  <c r="T1855" i="17"/>
  <c r="S1855" i="17"/>
  <c r="T1911" i="17"/>
  <c r="S1911" i="17"/>
  <c r="S1311" i="17"/>
  <c r="U1311" i="17" s="1"/>
  <c r="T1388" i="17"/>
  <c r="U1388" i="17" s="1"/>
  <c r="T1468" i="17"/>
  <c r="U1468" i="17" s="1"/>
  <c r="T1537" i="17"/>
  <c r="U1537" i="17" s="1"/>
  <c r="S1540" i="17"/>
  <c r="U1540" i="17" s="1"/>
  <c r="T1553" i="17"/>
  <c r="U1553" i="17" s="1"/>
  <c r="S1594" i="17"/>
  <c r="U1594" i="17" s="1"/>
  <c r="S1612" i="17"/>
  <c r="U1612" i="17" s="1"/>
  <c r="S1626" i="17"/>
  <c r="U1626" i="17" s="1"/>
  <c r="T1632" i="17"/>
  <c r="U1632" i="17" s="1"/>
  <c r="T1750" i="17"/>
  <c r="U1750" i="17" s="1"/>
  <c r="S1805" i="17"/>
  <c r="U1805" i="17" s="1"/>
  <c r="S1815" i="17"/>
  <c r="U1815" i="17" s="1"/>
  <c r="S1843" i="17"/>
  <c r="U1843" i="17" s="1"/>
  <c r="S1895" i="17"/>
  <c r="U1895" i="17" s="1"/>
  <c r="T705" i="17"/>
  <c r="U705" i="17" s="1"/>
  <c r="T721" i="17"/>
  <c r="U721" i="17" s="1"/>
  <c r="T753" i="17"/>
  <c r="U753" i="17" s="1"/>
  <c r="T785" i="17"/>
  <c r="U785" i="17" s="1"/>
  <c r="T817" i="17"/>
  <c r="U817" i="17" s="1"/>
  <c r="T849" i="17"/>
  <c r="U849" i="17" s="1"/>
  <c r="T881" i="17"/>
  <c r="U881" i="17" s="1"/>
  <c r="T913" i="17"/>
  <c r="U913" i="17" s="1"/>
  <c r="T945" i="17"/>
  <c r="U945" i="17" s="1"/>
  <c r="T977" i="17"/>
  <c r="U977" i="17" s="1"/>
  <c r="T1242" i="17"/>
  <c r="U1242" i="17" s="1"/>
  <c r="T1269" i="17"/>
  <c r="U1269" i="17" s="1"/>
  <c r="T1278" i="17"/>
  <c r="U1278" i="17" s="1"/>
  <c r="S1287" i="17"/>
  <c r="U1287" i="17" s="1"/>
  <c r="T1296" i="17"/>
  <c r="U1296" i="17" s="1"/>
  <c r="S1303" i="17"/>
  <c r="U1303" i="17" s="1"/>
  <c r="T1309" i="17"/>
  <c r="U1309" i="17" s="1"/>
  <c r="T1320" i="17"/>
  <c r="U1320" i="17" s="1"/>
  <c r="T1326" i="17"/>
  <c r="U1326" i="17" s="1"/>
  <c r="S1339" i="17"/>
  <c r="U1339" i="17" s="1"/>
  <c r="T1350" i="17"/>
  <c r="U1350" i="17" s="1"/>
  <c r="S1357" i="17"/>
  <c r="U1357" i="17" s="1"/>
  <c r="T1386" i="17"/>
  <c r="U1386" i="17" s="1"/>
  <c r="T1396" i="17"/>
  <c r="U1396" i="17" s="1"/>
  <c r="T1487" i="17"/>
  <c r="U1487" i="17" s="1"/>
  <c r="T1543" i="17"/>
  <c r="U1543" i="17" s="1"/>
  <c r="T1584" i="17"/>
  <c r="U1584" i="17" s="1"/>
  <c r="S1610" i="17"/>
  <c r="U1610" i="17" s="1"/>
  <c r="S1630" i="17"/>
  <c r="U1630" i="17" s="1"/>
  <c r="T1648" i="17"/>
  <c r="U1648" i="17" s="1"/>
  <c r="S1657" i="17"/>
  <c r="U1657" i="17" s="1"/>
  <c r="T1660" i="17"/>
  <c r="U1660" i="17" s="1"/>
  <c r="T1685" i="17"/>
  <c r="U1685" i="17" s="1"/>
  <c r="T1709" i="17"/>
  <c r="U1709" i="17" s="1"/>
  <c r="T1734" i="17"/>
  <c r="U1734" i="17" s="1"/>
  <c r="S1785" i="17"/>
  <c r="U1785" i="17" s="1"/>
  <c r="S1791" i="17"/>
  <c r="U1791" i="17" s="1"/>
  <c r="S1802" i="17"/>
  <c r="U1802" i="17" s="1"/>
  <c r="S1807" i="17"/>
  <c r="U1807" i="17" s="1"/>
  <c r="S1813" i="17"/>
  <c r="U1813" i="17" s="1"/>
  <c r="S1829" i="17"/>
  <c r="U1829" i="17" s="1"/>
  <c r="S1835" i="17"/>
  <c r="U1835" i="17" s="1"/>
  <c r="S1853" i="17"/>
  <c r="U1853" i="17" s="1"/>
  <c r="S1871" i="17"/>
  <c r="U1871" i="17" s="1"/>
  <c r="S1877" i="17"/>
  <c r="U1877" i="17" s="1"/>
  <c r="S1893" i="17"/>
  <c r="U1893" i="17" s="1"/>
  <c r="S1909" i="17"/>
  <c r="U1909" i="17" s="1"/>
  <c r="T1937" i="17"/>
  <c r="U1937" i="17" s="1"/>
  <c r="T737" i="17"/>
  <c r="U737" i="17" s="1"/>
  <c r="T769" i="17"/>
  <c r="U769" i="17" s="1"/>
  <c r="T801" i="17"/>
  <c r="U801" i="17" s="1"/>
  <c r="T833" i="17"/>
  <c r="U833" i="17" s="1"/>
  <c r="T865" i="17"/>
  <c r="U865" i="17" s="1"/>
  <c r="T897" i="17"/>
  <c r="U897" i="17" s="1"/>
  <c r="T929" i="17"/>
  <c r="U929" i="17" s="1"/>
  <c r="T961" i="17"/>
  <c r="U961" i="17" s="1"/>
  <c r="T993" i="17"/>
  <c r="U993" i="17" s="1"/>
  <c r="T1234" i="17"/>
  <c r="U1234" i="17" s="1"/>
  <c r="T1246" i="17"/>
  <c r="U1246" i="17" s="1"/>
  <c r="S1255" i="17"/>
  <c r="U1255" i="17" s="1"/>
  <c r="T1264" i="17"/>
  <c r="U1264" i="17" s="1"/>
  <c r="S1273" i="17"/>
  <c r="U1273" i="17" s="1"/>
  <c r="S1313" i="17"/>
  <c r="U1313" i="17" s="1"/>
  <c r="S1315" i="17"/>
  <c r="U1315" i="17" s="1"/>
  <c r="T1321" i="17"/>
  <c r="U1321" i="17" s="1"/>
  <c r="S1343" i="17"/>
  <c r="U1343" i="17" s="1"/>
  <c r="T1366" i="17"/>
  <c r="U1366" i="17" s="1"/>
  <c r="T1420" i="17"/>
  <c r="U1420" i="17" s="1"/>
  <c r="T1450" i="17"/>
  <c r="U1450" i="17" s="1"/>
  <c r="T1460" i="17"/>
  <c r="U1460" i="17" s="1"/>
  <c r="T1478" i="17"/>
  <c r="U1478" i="17" s="1"/>
  <c r="T1494" i="17"/>
  <c r="U1494" i="17" s="1"/>
  <c r="T1559" i="17"/>
  <c r="U1559" i="17" s="1"/>
  <c r="S1596" i="17"/>
  <c r="U1596" i="17" s="1"/>
  <c r="S1598" i="17"/>
  <c r="U1598" i="17" s="1"/>
  <c r="T1616" i="17"/>
  <c r="U1616" i="17" s="1"/>
  <c r="S1642" i="17"/>
  <c r="U1642" i="17" s="1"/>
  <c r="T1694" i="17"/>
  <c r="U1694" i="17" s="1"/>
  <c r="T1718" i="17"/>
  <c r="U1718" i="17" s="1"/>
  <c r="T1762" i="17"/>
  <c r="U1762" i="17" s="1"/>
  <c r="S1795" i="17"/>
  <c r="U1795" i="17" s="1"/>
  <c r="S1798" i="17"/>
  <c r="U1798" i="17" s="1"/>
  <c r="S1801" i="17"/>
  <c r="U1801" i="17" s="1"/>
  <c r="S1803" i="17"/>
  <c r="U1803" i="17" s="1"/>
  <c r="S1821" i="17"/>
  <c r="U1821" i="17" s="1"/>
  <c r="S1839" i="17"/>
  <c r="U1839" i="17" s="1"/>
  <c r="S1845" i="17"/>
  <c r="U1845" i="17" s="1"/>
  <c r="S1861" i="17"/>
  <c r="U1861" i="17" s="1"/>
  <c r="S1867" i="17"/>
  <c r="U1867" i="17" s="1"/>
  <c r="S1885" i="17"/>
  <c r="U1885" i="17" s="1"/>
  <c r="S1901" i="17"/>
  <c r="U1901" i="17" s="1"/>
  <c r="T1917" i="17"/>
  <c r="U1917" i="17" s="1"/>
  <c r="T1965" i="17"/>
  <c r="U1965" i="17" s="1"/>
  <c r="T713" i="17"/>
  <c r="U713" i="17" s="1"/>
  <c r="S1233" i="17"/>
  <c r="T1233" i="17"/>
  <c r="T1299" i="17"/>
  <c r="S1299" i="17"/>
  <c r="T1329" i="17"/>
  <c r="S1329" i="17"/>
  <c r="S1349" i="17"/>
  <c r="T1349" i="17"/>
  <c r="S1482" i="17"/>
  <c r="T1482" i="17"/>
  <c r="S1519" i="17"/>
  <c r="T1519" i="17"/>
  <c r="S1544" i="17"/>
  <c r="T1544" i="17"/>
  <c r="S1567" i="17"/>
  <c r="T1567" i="17"/>
  <c r="S1583" i="17"/>
  <c r="T1583" i="17"/>
  <c r="T1590" i="17"/>
  <c r="S1590" i="17"/>
  <c r="T1604" i="17"/>
  <c r="S1604" i="17"/>
  <c r="S1615" i="17"/>
  <c r="T1615" i="17"/>
  <c r="T1622" i="17"/>
  <c r="S1622" i="17"/>
  <c r="T1636" i="17"/>
  <c r="S1636" i="17"/>
  <c r="S1647" i="17"/>
  <c r="T1647" i="17"/>
  <c r="S1658" i="17"/>
  <c r="T1658" i="17"/>
  <c r="S1754" i="17"/>
  <c r="T1754" i="17"/>
  <c r="T1838" i="17"/>
  <c r="S1838" i="17"/>
  <c r="S1941" i="17"/>
  <c r="T1941" i="17"/>
  <c r="T709" i="17"/>
  <c r="U709" i="17" s="1"/>
  <c r="T725" i="17"/>
  <c r="U725" i="17" s="1"/>
  <c r="T741" i="17"/>
  <c r="U741" i="17" s="1"/>
  <c r="T757" i="17"/>
  <c r="U757" i="17" s="1"/>
  <c r="T773" i="17"/>
  <c r="U773" i="17" s="1"/>
  <c r="T789" i="17"/>
  <c r="U789" i="17" s="1"/>
  <c r="T805" i="17"/>
  <c r="U805" i="17" s="1"/>
  <c r="T821" i="17"/>
  <c r="U821" i="17" s="1"/>
  <c r="T837" i="17"/>
  <c r="U837" i="17" s="1"/>
  <c r="T853" i="17"/>
  <c r="U853" i="17" s="1"/>
  <c r="T869" i="17"/>
  <c r="U869" i="17" s="1"/>
  <c r="T885" i="17"/>
  <c r="U885" i="17" s="1"/>
  <c r="T901" i="17"/>
  <c r="U901" i="17" s="1"/>
  <c r="T917" i="17"/>
  <c r="U917" i="17" s="1"/>
  <c r="T933" i="17"/>
  <c r="U933" i="17" s="1"/>
  <c r="T949" i="17"/>
  <c r="U949" i="17" s="1"/>
  <c r="T965" i="17"/>
  <c r="U965" i="17" s="1"/>
  <c r="T981" i="17"/>
  <c r="U981" i="17" s="1"/>
  <c r="T997" i="17"/>
  <c r="U997" i="17" s="1"/>
  <c r="S1231" i="17"/>
  <c r="T1231" i="17"/>
  <c r="T1236" i="17"/>
  <c r="U1236" i="17" s="1"/>
  <c r="S1239" i="17"/>
  <c r="T1239" i="17"/>
  <c r="T1247" i="17"/>
  <c r="S1247" i="17"/>
  <c r="S1267" i="17"/>
  <c r="U1267" i="17" s="1"/>
  <c r="S1270" i="17"/>
  <c r="T1270" i="17"/>
  <c r="T1279" i="17"/>
  <c r="S1279" i="17"/>
  <c r="S1305" i="17"/>
  <c r="U1305" i="17" s="1"/>
  <c r="T1318" i="17"/>
  <c r="U1318" i="17" s="1"/>
  <c r="T1327" i="17"/>
  <c r="S1327" i="17"/>
  <c r="T1333" i="17"/>
  <c r="U1333" i="17" s="1"/>
  <c r="S1344" i="17"/>
  <c r="T1344" i="17"/>
  <c r="T1370" i="17"/>
  <c r="U1370" i="17" s="1"/>
  <c r="T1380" i="17"/>
  <c r="U1380" i="17" s="1"/>
  <c r="S1394" i="17"/>
  <c r="T1394" i="17"/>
  <c r="T1434" i="17"/>
  <c r="U1434" i="17" s="1"/>
  <c r="T1444" i="17"/>
  <c r="U1444" i="17" s="1"/>
  <c r="S1458" i="17"/>
  <c r="T1458" i="17"/>
  <c r="T1508" i="17"/>
  <c r="U1508" i="17" s="1"/>
  <c r="S1512" i="17"/>
  <c r="T1512" i="17"/>
  <c r="T1561" i="17"/>
  <c r="U1561" i="17" s="1"/>
  <c r="S1564" i="17"/>
  <c r="U1564" i="17" s="1"/>
  <c r="T1568" i="17"/>
  <c r="S1568" i="17"/>
  <c r="T1580" i="17"/>
  <c r="S1580" i="17"/>
  <c r="S1587" i="17"/>
  <c r="T1587" i="17"/>
  <c r="S1608" i="17"/>
  <c r="U1608" i="17" s="1"/>
  <c r="S1619" i="17"/>
  <c r="T1619" i="17"/>
  <c r="S1640" i="17"/>
  <c r="U1640" i="17" s="1"/>
  <c r="S1651" i="17"/>
  <c r="T1651" i="17"/>
  <c r="S1654" i="17"/>
  <c r="U1654" i="17" s="1"/>
  <c r="S1748" i="17"/>
  <c r="T1748" i="17"/>
  <c r="T1814" i="17"/>
  <c r="S1814" i="17"/>
  <c r="T1827" i="17"/>
  <c r="S1827" i="17"/>
  <c r="T1878" i="17"/>
  <c r="S1878" i="17"/>
  <c r="T1894" i="17"/>
  <c r="S1894" i="17"/>
  <c r="T1910" i="17"/>
  <c r="S1910" i="17"/>
  <c r="S1953" i="17"/>
  <c r="T1953" i="17"/>
  <c r="S1261" i="17"/>
  <c r="T1261" i="17"/>
  <c r="S1245" i="17"/>
  <c r="T1245" i="17"/>
  <c r="T1265" i="17"/>
  <c r="S1265" i="17"/>
  <c r="S1277" i="17"/>
  <c r="T1277" i="17"/>
  <c r="S1288" i="17"/>
  <c r="T1288" i="17"/>
  <c r="T1297" i="17"/>
  <c r="S1297" i="17"/>
  <c r="T1331" i="17"/>
  <c r="S1331" i="17"/>
  <c r="S1342" i="17"/>
  <c r="T1342" i="17"/>
  <c r="S1577" i="17"/>
  <c r="T1577" i="17"/>
  <c r="T1588" i="17"/>
  <c r="S1588" i="17"/>
  <c r="S1599" i="17"/>
  <c r="T1599" i="17"/>
  <c r="T1606" i="17"/>
  <c r="S1606" i="17"/>
  <c r="S1631" i="17"/>
  <c r="T1631" i="17"/>
  <c r="T1638" i="17"/>
  <c r="S1638" i="17"/>
  <c r="S1652" i="17"/>
  <c r="T1652" i="17"/>
  <c r="S1670" i="17"/>
  <c r="T1670" i="17"/>
  <c r="S1698" i="17"/>
  <c r="T1698" i="17"/>
  <c r="S1730" i="17"/>
  <c r="T1730" i="17"/>
  <c r="T1790" i="17"/>
  <c r="S1790" i="17"/>
  <c r="T1806" i="17"/>
  <c r="S1806" i="17"/>
  <c r="T1870" i="17"/>
  <c r="S1870" i="17"/>
  <c r="T1892" i="17"/>
  <c r="S1892" i="17"/>
  <c r="T1908" i="17"/>
  <c r="S1908" i="17"/>
  <c r="S1921" i="17"/>
  <c r="T1921" i="17"/>
  <c r="S1241" i="17"/>
  <c r="T1241" i="17"/>
  <c r="T1249" i="17"/>
  <c r="S1249" i="17"/>
  <c r="S1272" i="17"/>
  <c r="T1272" i="17"/>
  <c r="T1281" i="17"/>
  <c r="S1281" i="17"/>
  <c r="S1293" i="17"/>
  <c r="T1293" i="17"/>
  <c r="S1310" i="17"/>
  <c r="T1310" i="17"/>
  <c r="S1237" i="17"/>
  <c r="T1237" i="17"/>
  <c r="S1256" i="17"/>
  <c r="T1256" i="17"/>
  <c r="S1325" i="17"/>
  <c r="T1325" i="17"/>
  <c r="T1365" i="17"/>
  <c r="S1365" i="17"/>
  <c r="S1428" i="17"/>
  <c r="T1428" i="17"/>
  <c r="S1496" i="17"/>
  <c r="T1496" i="17"/>
  <c r="S1503" i="17"/>
  <c r="T1503" i="17"/>
  <c r="T1620" i="17"/>
  <c r="S1620" i="17"/>
  <c r="T701" i="17"/>
  <c r="U701" i="17" s="1"/>
  <c r="T717" i="17"/>
  <c r="U717" i="17" s="1"/>
  <c r="T733" i="17"/>
  <c r="U733" i="17" s="1"/>
  <c r="T749" i="17"/>
  <c r="U749" i="17" s="1"/>
  <c r="T765" i="17"/>
  <c r="U765" i="17" s="1"/>
  <c r="T781" i="17"/>
  <c r="U781" i="17" s="1"/>
  <c r="T797" i="17"/>
  <c r="U797" i="17" s="1"/>
  <c r="T813" i="17"/>
  <c r="U813" i="17" s="1"/>
  <c r="T829" i="17"/>
  <c r="U829" i="17" s="1"/>
  <c r="T845" i="17"/>
  <c r="U845" i="17" s="1"/>
  <c r="T861" i="17"/>
  <c r="U861" i="17" s="1"/>
  <c r="T877" i="17"/>
  <c r="U877" i="17" s="1"/>
  <c r="T893" i="17"/>
  <c r="U893" i="17" s="1"/>
  <c r="T909" i="17"/>
  <c r="U909" i="17" s="1"/>
  <c r="T925" i="17"/>
  <c r="U925" i="17" s="1"/>
  <c r="T941" i="17"/>
  <c r="U941" i="17" s="1"/>
  <c r="T957" i="17"/>
  <c r="U957" i="17" s="1"/>
  <c r="T973" i="17"/>
  <c r="U973" i="17" s="1"/>
  <c r="T989" i="17"/>
  <c r="U989" i="17" s="1"/>
  <c r="T1232" i="17"/>
  <c r="U1232" i="17" s="1"/>
  <c r="S1235" i="17"/>
  <c r="T1235" i="17"/>
  <c r="T1240" i="17"/>
  <c r="U1240" i="17" s="1"/>
  <c r="S1243" i="17"/>
  <c r="T1243" i="17"/>
  <c r="S1251" i="17"/>
  <c r="U1251" i="17" s="1"/>
  <c r="S1254" i="17"/>
  <c r="T1254" i="17"/>
  <c r="T1263" i="17"/>
  <c r="S1263" i="17"/>
  <c r="S1283" i="17"/>
  <c r="U1283" i="17" s="1"/>
  <c r="S1286" i="17"/>
  <c r="T1286" i="17"/>
  <c r="T1295" i="17"/>
  <c r="S1295" i="17"/>
  <c r="T1301" i="17"/>
  <c r="U1301" i="17" s="1"/>
  <c r="S1312" i="17"/>
  <c r="T1312" i="17"/>
  <c r="S1337" i="17"/>
  <c r="U1337" i="17" s="1"/>
  <c r="S1358" i="17"/>
  <c r="T1358" i="17"/>
  <c r="S1410" i="17"/>
  <c r="T1410" i="17"/>
  <c r="S1418" i="17"/>
  <c r="T1418" i="17"/>
  <c r="S1474" i="17"/>
  <c r="T1474" i="17"/>
  <c r="S1485" i="17"/>
  <c r="T1485" i="17"/>
  <c r="S1552" i="17"/>
  <c r="U1552" i="17" s="1"/>
  <c r="S1575" i="17"/>
  <c r="T1575" i="17"/>
  <c r="S1592" i="17"/>
  <c r="U1592" i="17" s="1"/>
  <c r="S1603" i="17"/>
  <c r="T1603" i="17"/>
  <c r="S1624" i="17"/>
  <c r="U1624" i="17" s="1"/>
  <c r="S1635" i="17"/>
  <c r="T1635" i="17"/>
  <c r="T1681" i="17"/>
  <c r="U1681" i="17" s="1"/>
  <c r="T1708" i="17"/>
  <c r="U1708" i="17" s="1"/>
  <c r="T1710" i="17"/>
  <c r="U1710" i="17" s="1"/>
  <c r="T1717" i="17"/>
  <c r="U1717" i="17" s="1"/>
  <c r="S1720" i="17"/>
  <c r="T1720" i="17"/>
  <c r="S1777" i="17"/>
  <c r="U1777" i="17" s="1"/>
  <c r="T1781" i="17"/>
  <c r="S1781" i="17"/>
  <c r="T1846" i="17"/>
  <c r="S1846" i="17"/>
  <c r="T1859" i="17"/>
  <c r="S1859" i="17"/>
  <c r="S1973" i="17"/>
  <c r="T1973" i="17"/>
  <c r="S1378" i="17"/>
  <c r="T1378" i="17"/>
  <c r="S1442" i="17"/>
  <c r="T1442" i="17"/>
  <c r="S1491" i="17"/>
  <c r="T1491" i="17"/>
  <c r="S1516" i="17"/>
  <c r="T1516" i="17"/>
  <c r="S1535" i="17"/>
  <c r="T1535" i="17"/>
  <c r="S1595" i="17"/>
  <c r="T1595" i="17"/>
  <c r="S1611" i="17"/>
  <c r="T1611" i="17"/>
  <c r="S1627" i="17"/>
  <c r="T1627" i="17"/>
  <c r="S1643" i="17"/>
  <c r="T1643" i="17"/>
  <c r="S1656" i="17"/>
  <c r="T1656" i="17"/>
  <c r="S1676" i="17"/>
  <c r="T1676" i="17"/>
  <c r="S1706" i="17"/>
  <c r="T1706" i="17"/>
  <c r="S1758" i="17"/>
  <c r="T1758" i="17"/>
  <c r="T1799" i="17"/>
  <c r="S1799" i="17"/>
  <c r="T1830" i="17"/>
  <c r="S1830" i="17"/>
  <c r="T1862" i="17"/>
  <c r="S1862" i="17"/>
  <c r="T1886" i="17"/>
  <c r="S1886" i="17"/>
  <c r="T1902" i="17"/>
  <c r="S1902" i="17"/>
  <c r="S1925" i="17"/>
  <c r="T1925" i="17"/>
  <c r="S1957" i="17"/>
  <c r="T1957" i="17"/>
  <c r="S1259" i="17"/>
  <c r="U1259" i="17" s="1"/>
  <c r="S1275" i="17"/>
  <c r="U1275" i="17" s="1"/>
  <c r="S1291" i="17"/>
  <c r="U1291" i="17" s="1"/>
  <c r="T1302" i="17"/>
  <c r="U1302" i="17" s="1"/>
  <c r="T1304" i="17"/>
  <c r="U1304" i="17" s="1"/>
  <c r="T1317" i="17"/>
  <c r="U1317" i="17" s="1"/>
  <c r="S1319" i="17"/>
  <c r="U1319" i="17" s="1"/>
  <c r="S1323" i="17"/>
  <c r="U1323" i="17" s="1"/>
  <c r="T1334" i="17"/>
  <c r="U1334" i="17" s="1"/>
  <c r="T1336" i="17"/>
  <c r="U1336" i="17" s="1"/>
  <c r="T1347" i="17"/>
  <c r="S1347" i="17"/>
  <c r="T1402" i="17"/>
  <c r="U1402" i="17" s="1"/>
  <c r="T1412" i="17"/>
  <c r="U1412" i="17" s="1"/>
  <c r="S1426" i="17"/>
  <c r="T1426" i="17"/>
  <c r="T1466" i="17"/>
  <c r="U1466" i="17" s="1"/>
  <c r="S1483" i="17"/>
  <c r="T1483" i="17"/>
  <c r="S1507" i="17"/>
  <c r="T1507" i="17"/>
  <c r="T1527" i="17"/>
  <c r="U1527" i="17" s="1"/>
  <c r="T1529" i="17"/>
  <c r="U1529" i="17" s="1"/>
  <c r="S1532" i="17"/>
  <c r="U1532" i="17" s="1"/>
  <c r="S1551" i="17"/>
  <c r="T1551" i="17"/>
  <c r="T1560" i="17"/>
  <c r="U1560" i="17" s="1"/>
  <c r="S1586" i="17"/>
  <c r="U1586" i="17" s="1"/>
  <c r="S1591" i="17"/>
  <c r="T1591" i="17"/>
  <c r="S1602" i="17"/>
  <c r="U1602" i="17" s="1"/>
  <c r="S1607" i="17"/>
  <c r="T1607" i="17"/>
  <c r="S1618" i="17"/>
  <c r="U1618" i="17" s="1"/>
  <c r="S1623" i="17"/>
  <c r="T1623" i="17"/>
  <c r="S1634" i="17"/>
  <c r="U1634" i="17" s="1"/>
  <c r="S1639" i="17"/>
  <c r="T1639" i="17"/>
  <c r="S1650" i="17"/>
  <c r="U1650" i="17" s="1"/>
  <c r="T1653" i="17"/>
  <c r="S1653" i="17"/>
  <c r="T1662" i="17"/>
  <c r="U1662" i="17" s="1"/>
  <c r="S1673" i="17"/>
  <c r="T1673" i="17"/>
  <c r="S1704" i="17"/>
  <c r="T1704" i="17"/>
  <c r="T1732" i="17"/>
  <c r="U1732" i="17" s="1"/>
  <c r="T1738" i="17"/>
  <c r="U1738" i="17" s="1"/>
  <c r="S1742" i="17"/>
  <c r="T1742" i="17"/>
  <c r="S1794" i="17"/>
  <c r="U1794" i="17" s="1"/>
  <c r="T1797" i="17"/>
  <c r="S1797" i="17"/>
  <c r="S1819" i="17"/>
  <c r="U1819" i="17" s="1"/>
  <c r="T1822" i="17"/>
  <c r="S1822" i="17"/>
  <c r="S1851" i="17"/>
  <c r="U1851" i="17" s="1"/>
  <c r="T1854" i="17"/>
  <c r="S1854" i="17"/>
  <c r="T1884" i="17"/>
  <c r="S1884" i="17"/>
  <c r="T1900" i="17"/>
  <c r="S1900" i="17"/>
  <c r="T1916" i="17"/>
  <c r="S1916" i="17"/>
  <c r="T1929" i="17"/>
  <c r="U1929" i="17" s="1"/>
  <c r="T1945" i="17"/>
  <c r="U1945" i="17" s="1"/>
  <c r="T1961" i="17"/>
  <c r="U1961" i="17" s="1"/>
  <c r="T1977" i="17"/>
  <c r="U1977" i="17" s="1"/>
  <c r="S1369" i="17"/>
  <c r="T1369" i="17"/>
  <c r="S1385" i="17"/>
  <c r="T1385" i="17"/>
  <c r="S1401" i="17"/>
  <c r="T1401" i="17"/>
  <c r="S1417" i="17"/>
  <c r="T1417" i="17"/>
  <c r="S1433" i="17"/>
  <c r="T1433" i="17"/>
  <c r="S1449" i="17"/>
  <c r="T1449" i="17"/>
  <c r="S1465" i="17"/>
  <c r="T1465" i="17"/>
  <c r="S1490" i="17"/>
  <c r="T1490" i="17"/>
  <c r="S1495" i="17"/>
  <c r="T1495" i="17"/>
  <c r="S1502" i="17"/>
  <c r="T1502" i="17"/>
  <c r="T1582" i="17"/>
  <c r="S1582" i="17"/>
  <c r="T707" i="17"/>
  <c r="U707" i="17" s="1"/>
  <c r="T715" i="17"/>
  <c r="U715" i="17" s="1"/>
  <c r="T723" i="17"/>
  <c r="U723" i="17" s="1"/>
  <c r="T731" i="17"/>
  <c r="U731" i="17" s="1"/>
  <c r="T739" i="17"/>
  <c r="U739" i="17" s="1"/>
  <c r="T747" i="17"/>
  <c r="U747" i="17" s="1"/>
  <c r="T755" i="17"/>
  <c r="U755" i="17" s="1"/>
  <c r="T763" i="17"/>
  <c r="U763" i="17" s="1"/>
  <c r="T771" i="17"/>
  <c r="U771" i="17" s="1"/>
  <c r="T779" i="17"/>
  <c r="U779" i="17" s="1"/>
  <c r="T787" i="17"/>
  <c r="U787" i="17" s="1"/>
  <c r="T795" i="17"/>
  <c r="U795" i="17" s="1"/>
  <c r="T803" i="17"/>
  <c r="U803" i="17" s="1"/>
  <c r="T811" i="17"/>
  <c r="U811" i="17" s="1"/>
  <c r="T819" i="17"/>
  <c r="U819" i="17" s="1"/>
  <c r="T827" i="17"/>
  <c r="U827" i="17" s="1"/>
  <c r="T835" i="17"/>
  <c r="U835" i="17" s="1"/>
  <c r="T843" i="17"/>
  <c r="U843" i="17" s="1"/>
  <c r="T851" i="17"/>
  <c r="U851" i="17" s="1"/>
  <c r="T859" i="17"/>
  <c r="U859" i="17" s="1"/>
  <c r="T867" i="17"/>
  <c r="U867" i="17" s="1"/>
  <c r="T875" i="17"/>
  <c r="U875" i="17" s="1"/>
  <c r="T883" i="17"/>
  <c r="U883" i="17" s="1"/>
  <c r="T891" i="17"/>
  <c r="U891" i="17" s="1"/>
  <c r="T899" i="17"/>
  <c r="U899" i="17" s="1"/>
  <c r="T907" i="17"/>
  <c r="U907" i="17" s="1"/>
  <c r="T915" i="17"/>
  <c r="U915" i="17" s="1"/>
  <c r="T923" i="17"/>
  <c r="U923" i="17" s="1"/>
  <c r="T931" i="17"/>
  <c r="U931" i="17" s="1"/>
  <c r="T939" i="17"/>
  <c r="U939" i="17" s="1"/>
  <c r="T947" i="17"/>
  <c r="U947" i="17" s="1"/>
  <c r="T955" i="17"/>
  <c r="U955" i="17" s="1"/>
  <c r="T963" i="17"/>
  <c r="U963" i="17" s="1"/>
  <c r="T971" i="17"/>
  <c r="U971" i="17" s="1"/>
  <c r="T979" i="17"/>
  <c r="U979" i="17" s="1"/>
  <c r="T987" i="17"/>
  <c r="U987" i="17" s="1"/>
  <c r="T995" i="17"/>
  <c r="U995" i="17" s="1"/>
  <c r="T1351" i="17"/>
  <c r="S1351" i="17"/>
  <c r="T1353" i="17"/>
  <c r="U1353" i="17" s="1"/>
  <c r="T1359" i="17"/>
  <c r="S1359" i="17"/>
  <c r="T1361" i="17"/>
  <c r="U1361" i="17" s="1"/>
  <c r="T1367" i="17"/>
  <c r="S1367" i="17"/>
  <c r="T1374" i="17"/>
  <c r="U1374" i="17" s="1"/>
  <c r="T1376" i="17"/>
  <c r="U1376" i="17" s="1"/>
  <c r="S1381" i="17"/>
  <c r="T1381" i="17"/>
  <c r="T1390" i="17"/>
  <c r="U1390" i="17" s="1"/>
  <c r="T1392" i="17"/>
  <c r="U1392" i="17" s="1"/>
  <c r="S1397" i="17"/>
  <c r="T1397" i="17"/>
  <c r="T1406" i="17"/>
  <c r="U1406" i="17" s="1"/>
  <c r="T1408" i="17"/>
  <c r="U1408" i="17" s="1"/>
  <c r="S1413" i="17"/>
  <c r="T1413" i="17"/>
  <c r="T1422" i="17"/>
  <c r="U1422" i="17" s="1"/>
  <c r="T1424" i="17"/>
  <c r="U1424" i="17" s="1"/>
  <c r="S1429" i="17"/>
  <c r="T1429" i="17"/>
  <c r="T1438" i="17"/>
  <c r="U1438" i="17" s="1"/>
  <c r="T1440" i="17"/>
  <c r="U1440" i="17" s="1"/>
  <c r="S1445" i="17"/>
  <c r="T1445" i="17"/>
  <c r="T1454" i="17"/>
  <c r="U1454" i="17" s="1"/>
  <c r="T1456" i="17"/>
  <c r="U1456" i="17" s="1"/>
  <c r="S1461" i="17"/>
  <c r="T1461" i="17"/>
  <c r="T1470" i="17"/>
  <c r="U1470" i="17" s="1"/>
  <c r="T1472" i="17"/>
  <c r="U1472" i="17" s="1"/>
  <c r="T1480" i="17"/>
  <c r="U1480" i="17" s="1"/>
  <c r="S1488" i="17"/>
  <c r="T1488" i="17"/>
  <c r="S1493" i="17"/>
  <c r="T1493" i="17"/>
  <c r="T1500" i="17"/>
  <c r="U1500" i="17" s="1"/>
  <c r="T1510" i="17"/>
  <c r="U1510" i="17" s="1"/>
  <c r="S1518" i="17"/>
  <c r="U1518" i="17" s="1"/>
  <c r="S1526" i="17"/>
  <c r="U1526" i="17" s="1"/>
  <c r="S1534" i="17"/>
  <c r="U1534" i="17" s="1"/>
  <c r="S1542" i="17"/>
  <c r="U1542" i="17" s="1"/>
  <c r="S1550" i="17"/>
  <c r="U1550" i="17" s="1"/>
  <c r="S1558" i="17"/>
  <c r="U1558" i="17" s="1"/>
  <c r="S1566" i="17"/>
  <c r="U1566" i="17" s="1"/>
  <c r="S1574" i="17"/>
  <c r="U1574" i="17" s="1"/>
  <c r="S1377" i="17"/>
  <c r="T1377" i="17"/>
  <c r="S1393" i="17"/>
  <c r="T1393" i="17"/>
  <c r="S1409" i="17"/>
  <c r="T1409" i="17"/>
  <c r="S1425" i="17"/>
  <c r="T1425" i="17"/>
  <c r="S1441" i="17"/>
  <c r="T1441" i="17"/>
  <c r="S1457" i="17"/>
  <c r="T1457" i="17"/>
  <c r="S1473" i="17"/>
  <c r="T1473" i="17"/>
  <c r="S1486" i="17"/>
  <c r="T1486" i="17"/>
  <c r="S1506" i="17"/>
  <c r="T1506" i="17"/>
  <c r="T703" i="17"/>
  <c r="U703" i="17" s="1"/>
  <c r="T711" i="17"/>
  <c r="U711" i="17" s="1"/>
  <c r="T719" i="17"/>
  <c r="U719" i="17" s="1"/>
  <c r="T727" i="17"/>
  <c r="U727" i="17" s="1"/>
  <c r="T735" i="17"/>
  <c r="U735" i="17" s="1"/>
  <c r="T743" i="17"/>
  <c r="U743" i="17" s="1"/>
  <c r="T751" i="17"/>
  <c r="U751" i="17" s="1"/>
  <c r="T759" i="17"/>
  <c r="U759" i="17" s="1"/>
  <c r="T767" i="17"/>
  <c r="U767" i="17" s="1"/>
  <c r="T775" i="17"/>
  <c r="U775" i="17" s="1"/>
  <c r="T783" i="17"/>
  <c r="U783" i="17" s="1"/>
  <c r="T791" i="17"/>
  <c r="U791" i="17" s="1"/>
  <c r="T799" i="17"/>
  <c r="U799" i="17" s="1"/>
  <c r="T807" i="17"/>
  <c r="U807" i="17" s="1"/>
  <c r="T815" i="17"/>
  <c r="U815" i="17" s="1"/>
  <c r="T823" i="17"/>
  <c r="U823" i="17" s="1"/>
  <c r="T831" i="17"/>
  <c r="U831" i="17" s="1"/>
  <c r="T839" i="17"/>
  <c r="U839" i="17" s="1"/>
  <c r="T847" i="17"/>
  <c r="U847" i="17" s="1"/>
  <c r="T855" i="17"/>
  <c r="U855" i="17" s="1"/>
  <c r="T863" i="17"/>
  <c r="U863" i="17" s="1"/>
  <c r="T871" i="17"/>
  <c r="U871" i="17" s="1"/>
  <c r="T879" i="17"/>
  <c r="U879" i="17" s="1"/>
  <c r="T887" i="17"/>
  <c r="U887" i="17" s="1"/>
  <c r="T895" i="17"/>
  <c r="U895" i="17" s="1"/>
  <c r="T903" i="17"/>
  <c r="U903" i="17" s="1"/>
  <c r="T911" i="17"/>
  <c r="U911" i="17" s="1"/>
  <c r="T919" i="17"/>
  <c r="U919" i="17" s="1"/>
  <c r="T927" i="17"/>
  <c r="U927" i="17" s="1"/>
  <c r="T935" i="17"/>
  <c r="U935" i="17" s="1"/>
  <c r="T943" i="17"/>
  <c r="U943" i="17" s="1"/>
  <c r="T951" i="17"/>
  <c r="U951" i="17" s="1"/>
  <c r="T959" i="17"/>
  <c r="U959" i="17" s="1"/>
  <c r="T967" i="17"/>
  <c r="U967" i="17" s="1"/>
  <c r="T975" i="17"/>
  <c r="U975" i="17" s="1"/>
  <c r="T983" i="17"/>
  <c r="U983" i="17" s="1"/>
  <c r="T991" i="17"/>
  <c r="U991" i="17" s="1"/>
  <c r="T999" i="17"/>
  <c r="U999" i="17" s="1"/>
  <c r="T1352" i="17"/>
  <c r="U1352" i="17" s="1"/>
  <c r="T1355" i="17"/>
  <c r="S1355" i="17"/>
  <c r="T1360" i="17"/>
  <c r="U1360" i="17" s="1"/>
  <c r="T1363" i="17"/>
  <c r="S1363" i="17"/>
  <c r="T1368" i="17"/>
  <c r="U1368" i="17" s="1"/>
  <c r="S1373" i="17"/>
  <c r="T1373" i="17"/>
  <c r="T1382" i="17"/>
  <c r="U1382" i="17" s="1"/>
  <c r="T1384" i="17"/>
  <c r="U1384" i="17" s="1"/>
  <c r="S1389" i="17"/>
  <c r="T1389" i="17"/>
  <c r="T1398" i="17"/>
  <c r="U1398" i="17" s="1"/>
  <c r="T1400" i="17"/>
  <c r="U1400" i="17" s="1"/>
  <c r="S1405" i="17"/>
  <c r="T1405" i="17"/>
  <c r="T1414" i="17"/>
  <c r="U1414" i="17" s="1"/>
  <c r="T1416" i="17"/>
  <c r="U1416" i="17" s="1"/>
  <c r="S1421" i="17"/>
  <c r="T1421" i="17"/>
  <c r="T1430" i="17"/>
  <c r="U1430" i="17" s="1"/>
  <c r="T1432" i="17"/>
  <c r="U1432" i="17" s="1"/>
  <c r="S1437" i="17"/>
  <c r="T1437" i="17"/>
  <c r="T1446" i="17"/>
  <c r="U1446" i="17" s="1"/>
  <c r="T1448" i="17"/>
  <c r="U1448" i="17" s="1"/>
  <c r="S1453" i="17"/>
  <c r="T1453" i="17"/>
  <c r="T1462" i="17"/>
  <c r="U1462" i="17" s="1"/>
  <c r="T1464" i="17"/>
  <c r="U1464" i="17" s="1"/>
  <c r="S1469" i="17"/>
  <c r="T1469" i="17"/>
  <c r="T1476" i="17"/>
  <c r="U1476" i="17" s="1"/>
  <c r="S1484" i="17"/>
  <c r="T1484" i="17"/>
  <c r="S1497" i="17"/>
  <c r="T1497" i="17"/>
  <c r="S1504" i="17"/>
  <c r="T1504" i="17"/>
  <c r="S1509" i="17"/>
  <c r="T1509" i="17"/>
  <c r="T1514" i="17"/>
  <c r="U1514" i="17" s="1"/>
  <c r="S1523" i="17"/>
  <c r="U1523" i="17" s="1"/>
  <c r="S1531" i="17"/>
  <c r="U1531" i="17" s="1"/>
  <c r="S1539" i="17"/>
  <c r="U1539" i="17" s="1"/>
  <c r="S1547" i="17"/>
  <c r="U1547" i="17" s="1"/>
  <c r="S1555" i="17"/>
  <c r="U1555" i="17" s="1"/>
  <c r="S1563" i="17"/>
  <c r="U1563" i="17" s="1"/>
  <c r="S1571" i="17"/>
  <c r="U1571" i="17" s="1"/>
  <c r="S1579" i="17"/>
  <c r="U1579" i="17" s="1"/>
  <c r="T1589" i="17"/>
  <c r="U1589" i="17" s="1"/>
  <c r="T1593" i="17"/>
  <c r="S1593" i="17"/>
  <c r="T1597" i="17"/>
  <c r="S1597" i="17"/>
  <c r="T1601" i="17"/>
  <c r="S1601" i="17"/>
  <c r="T1605" i="17"/>
  <c r="S1605" i="17"/>
  <c r="T1609" i="17"/>
  <c r="S1609" i="17"/>
  <c r="T1613" i="17"/>
  <c r="S1613" i="17"/>
  <c r="T1617" i="17"/>
  <c r="S1617" i="17"/>
  <c r="T1621" i="17"/>
  <c r="S1621" i="17"/>
  <c r="T1625" i="17"/>
  <c r="S1625" i="17"/>
  <c r="T1629" i="17"/>
  <c r="S1629" i="17"/>
  <c r="T1633" i="17"/>
  <c r="S1633" i="17"/>
  <c r="T1637" i="17"/>
  <c r="S1637" i="17"/>
  <c r="T1641" i="17"/>
  <c r="S1641" i="17"/>
  <c r="T1645" i="17"/>
  <c r="S1645" i="17"/>
  <c r="T1649" i="17"/>
  <c r="S1649" i="17"/>
  <c r="S1764" i="17"/>
  <c r="T1764" i="17"/>
  <c r="T1771" i="17"/>
  <c r="S1771" i="17"/>
  <c r="T1787" i="17"/>
  <c r="S1787" i="17"/>
  <c r="T1888" i="17"/>
  <c r="S1888" i="17"/>
  <c r="T1899" i="17"/>
  <c r="S1899" i="17"/>
  <c r="T1477" i="17"/>
  <c r="U1477" i="17" s="1"/>
  <c r="T1481" i="17"/>
  <c r="U1481" i="17" s="1"/>
  <c r="T1499" i="17"/>
  <c r="U1499" i="17" s="1"/>
  <c r="T1501" i="17"/>
  <c r="U1501" i="17" s="1"/>
  <c r="T1511" i="17"/>
  <c r="U1511" i="17" s="1"/>
  <c r="T1513" i="17"/>
  <c r="U1513" i="17" s="1"/>
  <c r="S1515" i="17"/>
  <c r="T1515" i="17"/>
  <c r="T1517" i="17"/>
  <c r="U1517" i="17" s="1"/>
  <c r="S1522" i="17"/>
  <c r="U1522" i="17" s="1"/>
  <c r="T1525" i="17"/>
  <c r="U1525" i="17" s="1"/>
  <c r="S1530" i="17"/>
  <c r="U1530" i="17" s="1"/>
  <c r="T1533" i="17"/>
  <c r="U1533" i="17" s="1"/>
  <c r="S1538" i="17"/>
  <c r="U1538" i="17" s="1"/>
  <c r="T1541" i="17"/>
  <c r="U1541" i="17" s="1"/>
  <c r="S1546" i="17"/>
  <c r="U1546" i="17" s="1"/>
  <c r="T1549" i="17"/>
  <c r="U1549" i="17" s="1"/>
  <c r="S1554" i="17"/>
  <c r="U1554" i="17" s="1"/>
  <c r="T1557" i="17"/>
  <c r="U1557" i="17" s="1"/>
  <c r="S1562" i="17"/>
  <c r="U1562" i="17" s="1"/>
  <c r="T1565" i="17"/>
  <c r="U1565" i="17" s="1"/>
  <c r="S1570" i="17"/>
  <c r="U1570" i="17" s="1"/>
  <c r="T1573" i="17"/>
  <c r="U1573" i="17" s="1"/>
  <c r="S1578" i="17"/>
  <c r="U1578" i="17" s="1"/>
  <c r="T1581" i="17"/>
  <c r="U1581" i="17" s="1"/>
  <c r="S1746" i="17"/>
  <c r="T1746" i="17"/>
  <c r="S1689" i="17"/>
  <c r="T1689" i="17"/>
  <c r="S1728" i="17"/>
  <c r="T1728" i="17"/>
  <c r="S1740" i="17"/>
  <c r="T1740" i="17"/>
  <c r="T1585" i="17"/>
  <c r="U1585" i="17" s="1"/>
  <c r="S1686" i="17"/>
  <c r="T1686" i="17"/>
  <c r="S1714" i="17"/>
  <c r="T1714" i="17"/>
  <c r="S1661" i="17"/>
  <c r="T1661" i="17"/>
  <c r="S1669" i="17"/>
  <c r="T1669" i="17"/>
  <c r="S1682" i="17"/>
  <c r="T1682" i="17"/>
  <c r="S1692" i="17"/>
  <c r="T1692" i="17"/>
  <c r="S1721" i="17"/>
  <c r="T1721" i="17"/>
  <c r="S1752" i="17"/>
  <c r="T1752" i="17"/>
  <c r="S1768" i="17"/>
  <c r="T1768" i="17"/>
  <c r="T1881" i="17"/>
  <c r="S1881" i="17"/>
  <c r="T1904" i="17"/>
  <c r="S1904" i="17"/>
  <c r="T1915" i="17"/>
  <c r="S1915" i="17"/>
  <c r="S1927" i="17"/>
  <c r="T1927" i="17"/>
  <c r="S1943" i="17"/>
  <c r="T1943" i="17"/>
  <c r="S1959" i="17"/>
  <c r="T1959" i="17"/>
  <c r="S1975" i="17"/>
  <c r="T1975" i="17"/>
  <c r="S1678" i="17"/>
  <c r="T1678" i="17"/>
  <c r="S1690" i="17"/>
  <c r="T1690" i="17"/>
  <c r="S1744" i="17"/>
  <c r="T1744" i="17"/>
  <c r="S1756" i="17"/>
  <c r="T1756" i="17"/>
  <c r="T1779" i="17"/>
  <c r="S1779" i="17"/>
  <c r="T1810" i="17"/>
  <c r="S1810" i="17"/>
  <c r="T1818" i="17"/>
  <c r="S1818" i="17"/>
  <c r="T1826" i="17"/>
  <c r="S1826" i="17"/>
  <c r="T1834" i="17"/>
  <c r="S1834" i="17"/>
  <c r="T1842" i="17"/>
  <c r="S1842" i="17"/>
  <c r="T1850" i="17"/>
  <c r="S1850" i="17"/>
  <c r="T1858" i="17"/>
  <c r="S1858" i="17"/>
  <c r="T1866" i="17"/>
  <c r="S1866" i="17"/>
  <c r="T1874" i="17"/>
  <c r="S1874" i="17"/>
  <c r="T1890" i="17"/>
  <c r="S1890" i="17"/>
  <c r="T1897" i="17"/>
  <c r="S1897" i="17"/>
  <c r="S1665" i="17"/>
  <c r="T1665" i="17"/>
  <c r="T1672" i="17"/>
  <c r="U1672" i="17" s="1"/>
  <c r="T1674" i="17"/>
  <c r="U1674" i="17" s="1"/>
  <c r="S1688" i="17"/>
  <c r="T1688" i="17"/>
  <c r="T1693" i="17"/>
  <c r="U1693" i="17" s="1"/>
  <c r="T1697" i="17"/>
  <c r="U1697" i="17" s="1"/>
  <c r="T1701" i="17"/>
  <c r="U1701" i="17" s="1"/>
  <c r="T1713" i="17"/>
  <c r="U1713" i="17" s="1"/>
  <c r="T1722" i="17"/>
  <c r="U1722" i="17" s="1"/>
  <c r="T1724" i="17"/>
  <c r="U1724" i="17" s="1"/>
  <c r="S1736" i="17"/>
  <c r="T1736" i="17"/>
  <c r="S1760" i="17"/>
  <c r="T1760" i="17"/>
  <c r="T1883" i="17"/>
  <c r="S1883" i="17"/>
  <c r="T1906" i="17"/>
  <c r="S1906" i="17"/>
  <c r="T1913" i="17"/>
  <c r="S1913" i="17"/>
  <c r="S1919" i="17"/>
  <c r="T1919" i="17"/>
  <c r="S1935" i="17"/>
  <c r="T1935" i="17"/>
  <c r="S1951" i="17"/>
  <c r="T1951" i="17"/>
  <c r="S1967" i="17"/>
  <c r="T1967" i="17"/>
  <c r="S1775" i="17"/>
  <c r="U1775" i="17" s="1"/>
  <c r="S1783" i="17"/>
  <c r="U1783" i="17" s="1"/>
  <c r="S1880" i="17"/>
  <c r="U1880" i="17" s="1"/>
  <c r="S1882" i="17"/>
  <c r="U1882" i="17" s="1"/>
  <c r="S1889" i="17"/>
  <c r="U1889" i="17" s="1"/>
  <c r="S1891" i="17"/>
  <c r="U1891" i="17" s="1"/>
  <c r="S1896" i="17"/>
  <c r="U1896" i="17" s="1"/>
  <c r="S1898" i="17"/>
  <c r="U1898" i="17" s="1"/>
  <c r="S1905" i="17"/>
  <c r="U1905" i="17" s="1"/>
  <c r="S1907" i="17"/>
  <c r="U1907" i="17" s="1"/>
  <c r="S1912" i="17"/>
  <c r="U1912" i="17" s="1"/>
  <c r="S1914" i="17"/>
  <c r="U1914" i="17" s="1"/>
  <c r="T1923" i="17"/>
  <c r="U1923" i="17" s="1"/>
  <c r="T1931" i="17"/>
  <c r="U1931" i="17" s="1"/>
  <c r="T1939" i="17"/>
  <c r="U1939" i="17" s="1"/>
  <c r="T1947" i="17"/>
  <c r="U1947" i="17" s="1"/>
  <c r="T1955" i="17"/>
  <c r="U1955" i="17" s="1"/>
  <c r="T1963" i="17"/>
  <c r="U1963" i="17" s="1"/>
  <c r="T1971" i="17"/>
  <c r="U1971" i="17" s="1"/>
  <c r="T1979" i="17"/>
  <c r="U1979" i="17" s="1"/>
  <c r="S1982" i="17"/>
  <c r="T1982" i="17"/>
  <c r="S1664" i="17"/>
  <c r="T1664" i="17"/>
  <c r="S1683" i="17"/>
  <c r="T1683" i="17"/>
  <c r="S1687" i="17"/>
  <c r="T1687" i="17"/>
  <c r="S1727" i="17"/>
  <c r="T1727" i="17"/>
  <c r="S1735" i="17"/>
  <c r="T1735" i="17"/>
  <c r="S1743" i="17"/>
  <c r="T1743" i="17"/>
  <c r="S1751" i="17"/>
  <c r="T1751" i="17"/>
  <c r="S1759" i="17"/>
  <c r="T1759" i="17"/>
  <c r="S1767" i="17"/>
  <c r="T1767" i="17"/>
  <c r="T1812" i="17"/>
  <c r="S1812" i="17"/>
  <c r="T1820" i="17"/>
  <c r="S1820" i="17"/>
  <c r="T1828" i="17"/>
  <c r="S1828" i="17"/>
  <c r="T1836" i="17"/>
  <c r="S1836" i="17"/>
  <c r="T1844" i="17"/>
  <c r="S1844" i="17"/>
  <c r="T1852" i="17"/>
  <c r="S1852" i="17"/>
  <c r="T1860" i="17"/>
  <c r="S1860" i="17"/>
  <c r="T1868" i="17"/>
  <c r="S1868" i="17"/>
  <c r="T1876" i="17"/>
  <c r="S1876" i="17"/>
  <c r="S1986" i="17"/>
  <c r="T1986" i="17"/>
  <c r="S1990" i="17"/>
  <c r="T1990" i="17"/>
  <c r="S1994" i="17"/>
  <c r="T1994" i="17"/>
  <c r="S1998" i="17"/>
  <c r="T1998" i="17"/>
  <c r="T704" i="17"/>
  <c r="U704" i="17" s="1"/>
  <c r="T708" i="17"/>
  <c r="U708" i="17" s="1"/>
  <c r="T712" i="17"/>
  <c r="U712" i="17" s="1"/>
  <c r="T716" i="17"/>
  <c r="U716" i="17" s="1"/>
  <c r="T720" i="17"/>
  <c r="U720" i="17" s="1"/>
  <c r="T724" i="17"/>
  <c r="U724" i="17" s="1"/>
  <c r="T728" i="17"/>
  <c r="U728" i="17" s="1"/>
  <c r="T732" i="17"/>
  <c r="U732" i="17" s="1"/>
  <c r="T736" i="17"/>
  <c r="U736" i="17" s="1"/>
  <c r="T740" i="17"/>
  <c r="U740" i="17" s="1"/>
  <c r="T744" i="17"/>
  <c r="U744" i="17" s="1"/>
  <c r="T748" i="17"/>
  <c r="U748" i="17" s="1"/>
  <c r="T752" i="17"/>
  <c r="U752" i="17" s="1"/>
  <c r="T756" i="17"/>
  <c r="U756" i="17" s="1"/>
  <c r="T760" i="17"/>
  <c r="U760" i="17" s="1"/>
  <c r="T764" i="17"/>
  <c r="U764" i="17" s="1"/>
  <c r="T768" i="17"/>
  <c r="U768" i="17" s="1"/>
  <c r="T772" i="17"/>
  <c r="U772" i="17" s="1"/>
  <c r="T776" i="17"/>
  <c r="U776" i="17" s="1"/>
  <c r="T780" i="17"/>
  <c r="U780" i="17" s="1"/>
  <c r="T784" i="17"/>
  <c r="U784" i="17" s="1"/>
  <c r="T788" i="17"/>
  <c r="U788" i="17" s="1"/>
  <c r="T792" i="17"/>
  <c r="U792" i="17" s="1"/>
  <c r="T796" i="17"/>
  <c r="U796" i="17" s="1"/>
  <c r="T800" i="17"/>
  <c r="U800" i="17" s="1"/>
  <c r="T804" i="17"/>
  <c r="U804" i="17" s="1"/>
  <c r="T808" i="17"/>
  <c r="U808" i="17" s="1"/>
  <c r="T812" i="17"/>
  <c r="U812" i="17" s="1"/>
  <c r="T816" i="17"/>
  <c r="U816" i="17" s="1"/>
  <c r="T820" i="17"/>
  <c r="U820" i="17" s="1"/>
  <c r="T824" i="17"/>
  <c r="U824" i="17" s="1"/>
  <c r="T828" i="17"/>
  <c r="U828" i="17" s="1"/>
  <c r="T832" i="17"/>
  <c r="U832" i="17" s="1"/>
  <c r="T836" i="17"/>
  <c r="U836" i="17" s="1"/>
  <c r="T840" i="17"/>
  <c r="U840" i="17" s="1"/>
  <c r="T844" i="17"/>
  <c r="U844" i="17" s="1"/>
  <c r="T848" i="17"/>
  <c r="U848" i="17" s="1"/>
  <c r="T852" i="17"/>
  <c r="U852" i="17" s="1"/>
  <c r="T856" i="17"/>
  <c r="U856" i="17" s="1"/>
  <c r="T860" i="17"/>
  <c r="U860" i="17" s="1"/>
  <c r="T864" i="17"/>
  <c r="U864" i="17" s="1"/>
  <c r="T868" i="17"/>
  <c r="U868" i="17" s="1"/>
  <c r="T872" i="17"/>
  <c r="U872" i="17" s="1"/>
  <c r="T876" i="17"/>
  <c r="U876" i="17" s="1"/>
  <c r="T880" i="17"/>
  <c r="U880" i="17" s="1"/>
  <c r="T884" i="17"/>
  <c r="U884" i="17" s="1"/>
  <c r="T888" i="17"/>
  <c r="U888" i="17" s="1"/>
  <c r="T892" i="17"/>
  <c r="U892" i="17" s="1"/>
  <c r="T896" i="17"/>
  <c r="U896" i="17" s="1"/>
  <c r="T900" i="17"/>
  <c r="U900" i="17" s="1"/>
  <c r="T904" i="17"/>
  <c r="U904" i="17" s="1"/>
  <c r="T908" i="17"/>
  <c r="U908" i="17" s="1"/>
  <c r="T912" i="17"/>
  <c r="U912" i="17" s="1"/>
  <c r="T916" i="17"/>
  <c r="U916" i="17" s="1"/>
  <c r="T920" i="17"/>
  <c r="U920" i="17" s="1"/>
  <c r="T924" i="17"/>
  <c r="U924" i="17" s="1"/>
  <c r="T928" i="17"/>
  <c r="U928" i="17" s="1"/>
  <c r="T932" i="17"/>
  <c r="U932" i="17" s="1"/>
  <c r="T936" i="17"/>
  <c r="U936" i="17" s="1"/>
  <c r="T940" i="17"/>
  <c r="U940" i="17" s="1"/>
  <c r="T944" i="17"/>
  <c r="U944" i="17" s="1"/>
  <c r="T948" i="17"/>
  <c r="U948" i="17" s="1"/>
  <c r="T952" i="17"/>
  <c r="U952" i="17" s="1"/>
  <c r="T956" i="17"/>
  <c r="U956" i="17" s="1"/>
  <c r="T960" i="17"/>
  <c r="U960" i="17" s="1"/>
  <c r="T964" i="17"/>
  <c r="U964" i="17" s="1"/>
  <c r="T968" i="17"/>
  <c r="U968" i="17" s="1"/>
  <c r="T972" i="17"/>
  <c r="U972" i="17" s="1"/>
  <c r="T976" i="17"/>
  <c r="U976" i="17" s="1"/>
  <c r="T980" i="17"/>
  <c r="U980" i="17" s="1"/>
  <c r="T984" i="17"/>
  <c r="U984" i="17" s="1"/>
  <c r="T988" i="17"/>
  <c r="U988" i="17" s="1"/>
  <c r="T992" i="17"/>
  <c r="U992" i="17" s="1"/>
  <c r="T996" i="17"/>
  <c r="U996" i="17" s="1"/>
  <c r="T1000" i="17"/>
  <c r="U1000" i="17" s="1"/>
  <c r="T1258" i="17"/>
  <c r="U1258" i="17" s="1"/>
  <c r="T1260" i="17"/>
  <c r="U1260" i="17" s="1"/>
  <c r="T1274" i="17"/>
  <c r="U1274" i="17" s="1"/>
  <c r="T1276" i="17"/>
  <c r="U1276" i="17" s="1"/>
  <c r="T1290" i="17"/>
  <c r="U1290" i="17" s="1"/>
  <c r="T1292" i="17"/>
  <c r="U1292" i="17" s="1"/>
  <c r="T1306" i="17"/>
  <c r="U1306" i="17" s="1"/>
  <c r="T1308" i="17"/>
  <c r="U1308" i="17" s="1"/>
  <c r="T1322" i="17"/>
  <c r="U1322" i="17" s="1"/>
  <c r="T1324" i="17"/>
  <c r="U1324" i="17" s="1"/>
  <c r="T1338" i="17"/>
  <c r="U1338" i="17" s="1"/>
  <c r="T1340" i="17"/>
  <c r="U1340" i="17" s="1"/>
  <c r="T1354" i="17"/>
  <c r="U1354" i="17" s="1"/>
  <c r="T1356" i="17"/>
  <c r="U1356" i="17" s="1"/>
  <c r="S1680" i="17"/>
  <c r="T1680" i="17"/>
  <c r="S1699" i="17"/>
  <c r="T1699" i="17"/>
  <c r="S1703" i="17"/>
  <c r="T1703" i="17"/>
  <c r="S1696" i="17"/>
  <c r="T1696" i="17"/>
  <c r="S1715" i="17"/>
  <c r="T1715" i="17"/>
  <c r="S1719" i="17"/>
  <c r="T1719" i="17"/>
  <c r="T702" i="17"/>
  <c r="U702" i="17" s="1"/>
  <c r="T706" i="17"/>
  <c r="U706" i="17" s="1"/>
  <c r="T710" i="17"/>
  <c r="U710" i="17" s="1"/>
  <c r="T714" i="17"/>
  <c r="U714" i="17" s="1"/>
  <c r="T718" i="17"/>
  <c r="U718" i="17" s="1"/>
  <c r="T722" i="17"/>
  <c r="U722" i="17" s="1"/>
  <c r="T726" i="17"/>
  <c r="U726" i="17" s="1"/>
  <c r="T730" i="17"/>
  <c r="U730" i="17" s="1"/>
  <c r="T734" i="17"/>
  <c r="U734" i="17" s="1"/>
  <c r="T738" i="17"/>
  <c r="U738" i="17" s="1"/>
  <c r="T742" i="17"/>
  <c r="U742" i="17" s="1"/>
  <c r="T746" i="17"/>
  <c r="U746" i="17" s="1"/>
  <c r="T750" i="17"/>
  <c r="U750" i="17" s="1"/>
  <c r="T754" i="17"/>
  <c r="U754" i="17" s="1"/>
  <c r="T758" i="17"/>
  <c r="U758" i="17" s="1"/>
  <c r="T762" i="17"/>
  <c r="U762" i="17" s="1"/>
  <c r="T766" i="17"/>
  <c r="U766" i="17" s="1"/>
  <c r="T770" i="17"/>
  <c r="U770" i="17" s="1"/>
  <c r="T774" i="17"/>
  <c r="U774" i="17" s="1"/>
  <c r="T778" i="17"/>
  <c r="U778" i="17" s="1"/>
  <c r="T782" i="17"/>
  <c r="U782" i="17" s="1"/>
  <c r="T786" i="17"/>
  <c r="U786" i="17" s="1"/>
  <c r="T790" i="17"/>
  <c r="U790" i="17" s="1"/>
  <c r="T794" i="17"/>
  <c r="U794" i="17" s="1"/>
  <c r="T798" i="17"/>
  <c r="U798" i="17" s="1"/>
  <c r="T802" i="17"/>
  <c r="U802" i="17" s="1"/>
  <c r="T806" i="17"/>
  <c r="U806" i="17" s="1"/>
  <c r="T810" i="17"/>
  <c r="U810" i="17" s="1"/>
  <c r="T814" i="17"/>
  <c r="U814" i="17" s="1"/>
  <c r="T818" i="17"/>
  <c r="U818" i="17" s="1"/>
  <c r="T822" i="17"/>
  <c r="U822" i="17" s="1"/>
  <c r="T826" i="17"/>
  <c r="U826" i="17" s="1"/>
  <c r="T830" i="17"/>
  <c r="U830" i="17" s="1"/>
  <c r="T834" i="17"/>
  <c r="U834" i="17" s="1"/>
  <c r="T838" i="17"/>
  <c r="U838" i="17" s="1"/>
  <c r="T842" i="17"/>
  <c r="U842" i="17" s="1"/>
  <c r="T846" i="17"/>
  <c r="U846" i="17" s="1"/>
  <c r="T850" i="17"/>
  <c r="U850" i="17" s="1"/>
  <c r="T854" i="17"/>
  <c r="U854" i="17" s="1"/>
  <c r="T858" i="17"/>
  <c r="U858" i="17" s="1"/>
  <c r="T862" i="17"/>
  <c r="U862" i="17" s="1"/>
  <c r="T866" i="17"/>
  <c r="U866" i="17" s="1"/>
  <c r="T870" i="17"/>
  <c r="U870" i="17" s="1"/>
  <c r="T874" i="17"/>
  <c r="U874" i="17" s="1"/>
  <c r="T878" i="17"/>
  <c r="U878" i="17" s="1"/>
  <c r="T882" i="17"/>
  <c r="U882" i="17" s="1"/>
  <c r="T886" i="17"/>
  <c r="U886" i="17" s="1"/>
  <c r="T890" i="17"/>
  <c r="U890" i="17" s="1"/>
  <c r="T894" i="17"/>
  <c r="U894" i="17" s="1"/>
  <c r="T898" i="17"/>
  <c r="U898" i="17" s="1"/>
  <c r="T902" i="17"/>
  <c r="U902" i="17" s="1"/>
  <c r="T906" i="17"/>
  <c r="U906" i="17" s="1"/>
  <c r="T910" i="17"/>
  <c r="U910" i="17" s="1"/>
  <c r="T914" i="17"/>
  <c r="U914" i="17" s="1"/>
  <c r="T918" i="17"/>
  <c r="U918" i="17" s="1"/>
  <c r="T922" i="17"/>
  <c r="U922" i="17" s="1"/>
  <c r="T926" i="17"/>
  <c r="U926" i="17" s="1"/>
  <c r="T930" i="17"/>
  <c r="U930" i="17" s="1"/>
  <c r="T934" i="17"/>
  <c r="U934" i="17" s="1"/>
  <c r="T938" i="17"/>
  <c r="U938" i="17" s="1"/>
  <c r="T942" i="17"/>
  <c r="U942" i="17" s="1"/>
  <c r="T946" i="17"/>
  <c r="U946" i="17" s="1"/>
  <c r="T950" i="17"/>
  <c r="U950" i="17" s="1"/>
  <c r="T954" i="17"/>
  <c r="U954" i="17" s="1"/>
  <c r="T958" i="17"/>
  <c r="U958" i="17" s="1"/>
  <c r="T962" i="17"/>
  <c r="U962" i="17" s="1"/>
  <c r="T966" i="17"/>
  <c r="U966" i="17" s="1"/>
  <c r="T970" i="17"/>
  <c r="U970" i="17" s="1"/>
  <c r="T974" i="17"/>
  <c r="U974" i="17" s="1"/>
  <c r="T978" i="17"/>
  <c r="U978" i="17" s="1"/>
  <c r="T982" i="17"/>
  <c r="U982" i="17" s="1"/>
  <c r="T986" i="17"/>
  <c r="U986" i="17" s="1"/>
  <c r="T990" i="17"/>
  <c r="U990" i="17" s="1"/>
  <c r="T994" i="17"/>
  <c r="U994" i="17" s="1"/>
  <c r="T998" i="17"/>
  <c r="U998" i="17" s="1"/>
  <c r="T1250" i="17"/>
  <c r="U1250" i="17" s="1"/>
  <c r="T1252" i="17"/>
  <c r="U1252" i="17" s="1"/>
  <c r="T1266" i="17"/>
  <c r="U1266" i="17" s="1"/>
  <c r="T1268" i="17"/>
  <c r="U1268" i="17" s="1"/>
  <c r="T1282" i="17"/>
  <c r="U1282" i="17" s="1"/>
  <c r="T1284" i="17"/>
  <c r="U1284" i="17" s="1"/>
  <c r="T1298" i="17"/>
  <c r="U1298" i="17" s="1"/>
  <c r="T1300" i="17"/>
  <c r="U1300" i="17" s="1"/>
  <c r="T1314" i="17"/>
  <c r="U1314" i="17" s="1"/>
  <c r="T1316" i="17"/>
  <c r="U1316" i="17" s="1"/>
  <c r="T1330" i="17"/>
  <c r="U1330" i="17" s="1"/>
  <c r="T1332" i="17"/>
  <c r="U1332" i="17" s="1"/>
  <c r="T1346" i="17"/>
  <c r="U1346" i="17" s="1"/>
  <c r="T1348" i="17"/>
  <c r="U1348" i="17" s="1"/>
  <c r="T1362" i="17"/>
  <c r="U1362" i="17" s="1"/>
  <c r="T1364" i="17"/>
  <c r="U1364" i="17" s="1"/>
  <c r="S1667" i="17"/>
  <c r="T1667" i="17"/>
  <c r="S1671" i="17"/>
  <c r="T1671" i="17"/>
  <c r="S1712" i="17"/>
  <c r="T1712" i="17"/>
  <c r="S1371" i="17"/>
  <c r="T1371" i="17"/>
  <c r="S1379" i="17"/>
  <c r="T1379" i="17"/>
  <c r="S1387" i="17"/>
  <c r="T1387" i="17"/>
  <c r="S1395" i="17"/>
  <c r="T1395" i="17"/>
  <c r="S1403" i="17"/>
  <c r="T1403" i="17"/>
  <c r="S1411" i="17"/>
  <c r="T1411" i="17"/>
  <c r="S1419" i="17"/>
  <c r="T1419" i="17"/>
  <c r="S1427" i="17"/>
  <c r="T1427" i="17"/>
  <c r="S1435" i="17"/>
  <c r="T1435" i="17"/>
  <c r="S1443" i="17"/>
  <c r="T1443" i="17"/>
  <c r="S1451" i="17"/>
  <c r="T1451" i="17"/>
  <c r="S1459" i="17"/>
  <c r="T1459" i="17"/>
  <c r="S1467" i="17"/>
  <c r="T1467" i="17"/>
  <c r="S1475" i="17"/>
  <c r="T1475" i="17"/>
  <c r="S1663" i="17"/>
  <c r="T1663" i="17"/>
  <c r="S1684" i="17"/>
  <c r="T1684" i="17"/>
  <c r="S1695" i="17"/>
  <c r="T1695" i="17"/>
  <c r="S1716" i="17"/>
  <c r="T1716" i="17"/>
  <c r="S1729" i="17"/>
  <c r="T1729" i="17"/>
  <c r="S1737" i="17"/>
  <c r="T1737" i="17"/>
  <c r="S1745" i="17"/>
  <c r="T1745" i="17"/>
  <c r="S1753" i="17"/>
  <c r="T1753" i="17"/>
  <c r="S1761" i="17"/>
  <c r="T1761" i="17"/>
  <c r="S1769" i="17"/>
  <c r="T1769" i="17"/>
  <c r="T1809" i="17"/>
  <c r="S1809" i="17"/>
  <c r="T1817" i="17"/>
  <c r="S1817" i="17"/>
  <c r="T1825" i="17"/>
  <c r="S1825" i="17"/>
  <c r="T1833" i="17"/>
  <c r="S1833" i="17"/>
  <c r="T1841" i="17"/>
  <c r="S1841" i="17"/>
  <c r="T1849" i="17"/>
  <c r="S1849" i="17"/>
  <c r="T1857" i="17"/>
  <c r="S1857" i="17"/>
  <c r="T1865" i="17"/>
  <c r="S1865" i="17"/>
  <c r="T1873" i="17"/>
  <c r="S1873" i="17"/>
  <c r="S1375" i="17"/>
  <c r="T1375" i="17"/>
  <c r="S1383" i="17"/>
  <c r="T1383" i="17"/>
  <c r="S1391" i="17"/>
  <c r="T1391" i="17"/>
  <c r="S1399" i="17"/>
  <c r="T1399" i="17"/>
  <c r="S1407" i="17"/>
  <c r="T1407" i="17"/>
  <c r="S1415" i="17"/>
  <c r="T1415" i="17"/>
  <c r="S1423" i="17"/>
  <c r="T1423" i="17"/>
  <c r="S1431" i="17"/>
  <c r="T1431" i="17"/>
  <c r="S1439" i="17"/>
  <c r="T1439" i="17"/>
  <c r="S1447" i="17"/>
  <c r="T1447" i="17"/>
  <c r="S1455" i="17"/>
  <c r="T1455" i="17"/>
  <c r="S1463" i="17"/>
  <c r="T1463" i="17"/>
  <c r="S1471" i="17"/>
  <c r="T1471" i="17"/>
  <c r="S1479" i="17"/>
  <c r="T1479" i="17"/>
  <c r="S1668" i="17"/>
  <c r="T1668" i="17"/>
  <c r="S1679" i="17"/>
  <c r="T1679" i="17"/>
  <c r="S1700" i="17"/>
  <c r="T1700" i="17"/>
  <c r="S1711" i="17"/>
  <c r="T1711" i="17"/>
  <c r="S1725" i="17"/>
  <c r="T1725" i="17"/>
  <c r="S1733" i="17"/>
  <c r="T1733" i="17"/>
  <c r="S1741" i="17"/>
  <c r="T1741" i="17"/>
  <c r="S1749" i="17"/>
  <c r="T1749" i="17"/>
  <c r="S1757" i="17"/>
  <c r="T1757" i="17"/>
  <c r="S1765" i="17"/>
  <c r="T1765" i="17"/>
  <c r="S1659" i="17"/>
  <c r="T1659" i="17"/>
  <c r="S1675" i="17"/>
  <c r="T1675" i="17"/>
  <c r="S1691" i="17"/>
  <c r="T1691" i="17"/>
  <c r="S1707" i="17"/>
  <c r="T1707" i="17"/>
  <c r="S1723" i="17"/>
  <c r="T1723" i="17"/>
  <c r="S1731" i="17"/>
  <c r="T1731" i="17"/>
  <c r="S1739" i="17"/>
  <c r="T1739" i="17"/>
  <c r="S1747" i="17"/>
  <c r="T1747" i="17"/>
  <c r="S1755" i="17"/>
  <c r="T1755" i="17"/>
  <c r="S1763" i="17"/>
  <c r="T1763" i="17"/>
  <c r="T1770" i="17"/>
  <c r="S1770" i="17"/>
  <c r="T1772" i="17"/>
  <c r="S1772" i="17"/>
  <c r="T1774" i="17"/>
  <c r="S1774" i="17"/>
  <c r="T1776" i="17"/>
  <c r="S1776" i="17"/>
  <c r="T1778" i="17"/>
  <c r="S1778" i="17"/>
  <c r="T1780" i="17"/>
  <c r="S1780" i="17"/>
  <c r="T1782" i="17"/>
  <c r="S1782" i="17"/>
  <c r="T1784" i="17"/>
  <c r="S1784" i="17"/>
  <c r="T1786" i="17"/>
  <c r="S1786" i="17"/>
  <c r="T1788" i="17"/>
  <c r="S1788" i="17"/>
  <c r="T1792" i="17"/>
  <c r="S1792" i="17"/>
  <c r="T1800" i="17"/>
  <c r="S1800" i="17"/>
  <c r="T1808" i="17"/>
  <c r="S1808" i="17"/>
  <c r="T1824" i="17"/>
  <c r="S1824" i="17"/>
  <c r="T1840" i="17"/>
  <c r="S1840" i="17"/>
  <c r="T1856" i="17"/>
  <c r="S1856" i="17"/>
  <c r="T1872" i="17"/>
  <c r="S1872" i="17"/>
  <c r="S1983" i="17"/>
  <c r="T1983" i="17"/>
  <c r="S1987" i="17"/>
  <c r="T1987" i="17"/>
  <c r="S1991" i="17"/>
  <c r="T1991" i="17"/>
  <c r="S1995" i="17"/>
  <c r="T1995" i="17"/>
  <c r="S1999" i="17"/>
  <c r="T1999" i="17"/>
  <c r="T1796" i="17"/>
  <c r="S1796" i="17"/>
  <c r="T1804" i="17"/>
  <c r="S1804" i="17"/>
  <c r="T1816" i="17"/>
  <c r="S1816" i="17"/>
  <c r="T1832" i="17"/>
  <c r="S1832" i="17"/>
  <c r="T1848" i="17"/>
  <c r="S1848" i="17"/>
  <c r="T1864" i="17"/>
  <c r="S1864" i="17"/>
  <c r="S1918" i="17"/>
  <c r="T1918" i="17"/>
  <c r="S1920" i="17"/>
  <c r="T1920" i="17"/>
  <c r="S1922" i="17"/>
  <c r="T1922" i="17"/>
  <c r="S1924" i="17"/>
  <c r="T1924" i="17"/>
  <c r="S1926" i="17"/>
  <c r="T1926" i="17"/>
  <c r="S1928" i="17"/>
  <c r="T1928" i="17"/>
  <c r="S1930" i="17"/>
  <c r="T1930" i="17"/>
  <c r="S1932" i="17"/>
  <c r="T1932" i="17"/>
  <c r="S1934" i="17"/>
  <c r="T1934" i="17"/>
  <c r="S1936" i="17"/>
  <c r="T1936" i="17"/>
  <c r="S1938" i="17"/>
  <c r="T1938" i="17"/>
  <c r="S1940" i="17"/>
  <c r="T1940" i="17"/>
  <c r="S1942" i="17"/>
  <c r="T1942" i="17"/>
  <c r="S1944" i="17"/>
  <c r="T1944" i="17"/>
  <c r="S1946" i="17"/>
  <c r="T1946" i="17"/>
  <c r="S1948" i="17"/>
  <c r="T1948" i="17"/>
  <c r="S1950" i="17"/>
  <c r="T1950" i="17"/>
  <c r="S1952" i="17"/>
  <c r="T1952" i="17"/>
  <c r="S1954" i="17"/>
  <c r="T1954" i="17"/>
  <c r="S1956" i="17"/>
  <c r="T1956" i="17"/>
  <c r="S1958" i="17"/>
  <c r="T1958" i="17"/>
  <c r="S1960" i="17"/>
  <c r="T1960" i="17"/>
  <c r="S1962" i="17"/>
  <c r="T1962" i="17"/>
  <c r="S1964" i="17"/>
  <c r="T1964" i="17"/>
  <c r="S1966" i="17"/>
  <c r="T1966" i="17"/>
  <c r="S1968" i="17"/>
  <c r="T1968" i="17"/>
  <c r="S1970" i="17"/>
  <c r="T1970" i="17"/>
  <c r="S1972" i="17"/>
  <c r="T1972" i="17"/>
  <c r="S1974" i="17"/>
  <c r="T1974" i="17"/>
  <c r="S1976" i="17"/>
  <c r="T1976" i="17"/>
  <c r="S1978" i="17"/>
  <c r="T1978" i="17"/>
  <c r="S1980" i="17"/>
  <c r="T1980" i="17"/>
  <c r="S1984" i="17"/>
  <c r="T1984" i="17"/>
  <c r="S1988" i="17"/>
  <c r="T1988" i="17"/>
  <c r="S1992" i="17"/>
  <c r="T1992" i="17"/>
  <c r="S1996" i="17"/>
  <c r="T1996" i="17"/>
  <c r="S2000" i="17"/>
  <c r="T2000" i="17"/>
  <c r="S1981" i="17"/>
  <c r="T1981" i="17"/>
  <c r="S1985" i="17"/>
  <c r="T1985" i="17"/>
  <c r="S1989" i="17"/>
  <c r="T1989" i="17"/>
  <c r="S1993" i="17"/>
  <c r="T1993" i="17"/>
  <c r="S1997" i="17"/>
  <c r="T1997" i="17"/>
  <c r="S2001" i="17"/>
  <c r="T2001" i="17"/>
  <c r="U2001" i="17" l="1"/>
  <c r="U1993" i="17"/>
  <c r="U1985" i="17"/>
  <c r="U2000" i="17"/>
  <c r="U1992" i="17"/>
  <c r="U1984" i="17"/>
  <c r="U1978" i="17"/>
  <c r="U1974" i="17"/>
  <c r="U1970" i="17"/>
  <c r="U1966" i="17"/>
  <c r="U1962" i="17"/>
  <c r="U1958" i="17"/>
  <c r="U1954" i="17"/>
  <c r="U1950" i="17"/>
  <c r="U1946" i="17"/>
  <c r="U1942" i="17"/>
  <c r="U1938" i="17"/>
  <c r="U1934" i="17"/>
  <c r="U1930" i="17"/>
  <c r="U1926" i="17"/>
  <c r="U1922" i="17"/>
  <c r="U1918" i="17"/>
  <c r="U1995" i="17"/>
  <c r="U1987" i="17"/>
  <c r="U1755" i="17"/>
  <c r="U1739" i="17"/>
  <c r="U1723" i="17"/>
  <c r="U1691" i="17"/>
  <c r="U1659" i="17"/>
  <c r="U1757" i="17"/>
  <c r="U1741" i="17"/>
  <c r="U1725" i="17"/>
  <c r="U1700" i="17"/>
  <c r="U1668" i="17"/>
  <c r="U1471" i="17"/>
  <c r="U1455" i="17"/>
  <c r="U1439" i="17"/>
  <c r="U1423" i="17"/>
  <c r="U1407" i="17"/>
  <c r="U1391" i="17"/>
  <c r="U1375" i="17"/>
  <c r="U1769" i="17"/>
  <c r="U1753" i="17"/>
  <c r="U1737" i="17"/>
  <c r="U1716" i="17"/>
  <c r="U1684" i="17"/>
  <c r="U1475" i="17"/>
  <c r="U1459" i="17"/>
  <c r="U1443" i="17"/>
  <c r="U1427" i="17"/>
  <c r="U1411" i="17"/>
  <c r="U1395" i="17"/>
  <c r="U1379" i="17"/>
  <c r="U1712" i="17"/>
  <c r="U1667" i="17"/>
  <c r="U1994" i="17"/>
  <c r="U1986" i="17"/>
  <c r="U1767" i="17"/>
  <c r="U1751" i="17"/>
  <c r="U1735" i="17"/>
  <c r="U1967" i="17"/>
  <c r="U1935" i="17"/>
  <c r="U1736" i="17"/>
  <c r="U1688" i="17"/>
  <c r="U1665" i="17"/>
  <c r="U1744" i="17"/>
  <c r="U1678" i="17"/>
  <c r="U1959" i="17"/>
  <c r="U1927" i="17"/>
  <c r="U1768" i="17"/>
  <c r="U1721" i="17"/>
  <c r="U1682" i="17"/>
  <c r="U1661" i="17"/>
  <c r="U1486" i="17"/>
  <c r="U1457" i="17"/>
  <c r="U1686" i="17"/>
  <c r="U1515" i="17"/>
  <c r="U1764" i="17"/>
  <c r="U1504" i="17"/>
  <c r="U1484" i="17"/>
  <c r="U1425" i="17"/>
  <c r="U1393" i="17"/>
  <c r="U1488" i="17"/>
  <c r="U1502" i="17"/>
  <c r="U1490" i="17"/>
  <c r="U1449" i="17"/>
  <c r="U1417" i="17"/>
  <c r="U1385" i="17"/>
  <c r="U1591" i="17"/>
  <c r="U1551" i="17"/>
  <c r="U1925" i="17"/>
  <c r="U1758" i="17"/>
  <c r="U1676" i="17"/>
  <c r="U1643" i="17"/>
  <c r="U1611" i="17"/>
  <c r="U1535" i="17"/>
  <c r="U1491" i="17"/>
  <c r="U1378" i="17"/>
  <c r="U1603" i="17"/>
  <c r="U1474" i="17"/>
  <c r="U1410" i="17"/>
  <c r="U1587" i="17"/>
  <c r="U1512" i="17"/>
  <c r="U1270" i="17"/>
  <c r="U1231" i="17"/>
  <c r="U1492" i="17"/>
  <c r="U1213" i="17"/>
  <c r="U1181" i="17"/>
  <c r="U1149" i="17"/>
  <c r="U1117" i="17"/>
  <c r="U1949" i="17"/>
  <c r="U1545" i="17"/>
  <c r="U1199" i="17"/>
  <c r="U1167" i="17"/>
  <c r="U1135" i="17"/>
  <c r="U1103" i="17"/>
  <c r="U1225" i="17"/>
  <c r="U1209" i="17"/>
  <c r="U1193" i="17"/>
  <c r="U1177" i="17"/>
  <c r="U1161" i="17"/>
  <c r="U1145" i="17"/>
  <c r="U1129" i="17"/>
  <c r="U1113" i="17"/>
  <c r="U1280" i="17"/>
  <c r="U1355" i="17"/>
  <c r="U1367" i="17"/>
  <c r="U1822" i="17"/>
  <c r="U1622" i="17"/>
  <c r="U1604" i="17"/>
  <c r="U1329" i="17"/>
  <c r="U1219" i="17"/>
  <c r="U1687" i="17"/>
  <c r="U1664" i="17"/>
  <c r="U1997" i="17"/>
  <c r="U1989" i="17"/>
  <c r="U1981" i="17"/>
  <c r="U1996" i="17"/>
  <c r="U1988" i="17"/>
  <c r="U1980" i="17"/>
  <c r="U1976" i="17"/>
  <c r="U1972" i="17"/>
  <c r="U1968" i="17"/>
  <c r="U1964" i="17"/>
  <c r="U1960" i="17"/>
  <c r="U1956" i="17"/>
  <c r="U1952" i="17"/>
  <c r="U1948" i="17"/>
  <c r="U1944" i="17"/>
  <c r="U1940" i="17"/>
  <c r="U1936" i="17"/>
  <c r="U1932" i="17"/>
  <c r="U1928" i="17"/>
  <c r="U1924" i="17"/>
  <c r="U1920" i="17"/>
  <c r="U1999" i="17"/>
  <c r="U1991" i="17"/>
  <c r="U1983" i="17"/>
  <c r="U1763" i="17"/>
  <c r="U1747" i="17"/>
  <c r="U1731" i="17"/>
  <c r="U1707" i="17"/>
  <c r="U1675" i="17"/>
  <c r="U1765" i="17"/>
  <c r="U1749" i="17"/>
  <c r="U1733" i="17"/>
  <c r="U1711" i="17"/>
  <c r="U1679" i="17"/>
  <c r="U1479" i="17"/>
  <c r="U1463" i="17"/>
  <c r="U1447" i="17"/>
  <c r="U1431" i="17"/>
  <c r="U1415" i="17"/>
  <c r="U1399" i="17"/>
  <c r="U1383" i="17"/>
  <c r="U1761" i="17"/>
  <c r="U1745" i="17"/>
  <c r="U1729" i="17"/>
  <c r="U1695" i="17"/>
  <c r="U1663" i="17"/>
  <c r="U1467" i="17"/>
  <c r="U1451" i="17"/>
  <c r="U1435" i="17"/>
  <c r="U1419" i="17"/>
  <c r="U1403" i="17"/>
  <c r="U1387" i="17"/>
  <c r="U1371" i="17"/>
  <c r="U1671" i="17"/>
  <c r="U1998" i="17"/>
  <c r="U1990" i="17"/>
  <c r="U1759" i="17"/>
  <c r="U1743" i="17"/>
  <c r="U1727" i="17"/>
  <c r="U1683" i="17"/>
  <c r="U1982" i="17"/>
  <c r="U1951" i="17"/>
  <c r="U1919" i="17"/>
  <c r="U1760" i="17"/>
  <c r="U1756" i="17"/>
  <c r="U1690" i="17"/>
  <c r="U1975" i="17"/>
  <c r="U1943" i="17"/>
  <c r="U1752" i="17"/>
  <c r="U1692" i="17"/>
  <c r="U1669" i="17"/>
  <c r="U1714" i="17"/>
  <c r="U1509" i="17"/>
  <c r="U1497" i="17"/>
  <c r="U1506" i="17"/>
  <c r="U1473" i="17"/>
  <c r="U1441" i="17"/>
  <c r="U1409" i="17"/>
  <c r="U1377" i="17"/>
  <c r="U1493" i="17"/>
  <c r="U1495" i="17"/>
  <c r="U1465" i="17"/>
  <c r="U1433" i="17"/>
  <c r="U1401" i="17"/>
  <c r="U1369" i="17"/>
  <c r="U1623" i="17"/>
  <c r="U1426" i="17"/>
  <c r="U1957" i="17"/>
  <c r="U1706" i="17"/>
  <c r="U1656" i="17"/>
  <c r="U1627" i="17"/>
  <c r="U1595" i="17"/>
  <c r="U1516" i="17"/>
  <c r="U1442" i="17"/>
  <c r="U1973" i="17"/>
  <c r="U1485" i="17"/>
  <c r="U1418" i="17"/>
  <c r="U1358" i="17"/>
  <c r="U1286" i="17"/>
  <c r="U1243" i="17"/>
  <c r="U1651" i="17"/>
  <c r="U1328" i="17"/>
  <c r="U1229" i="17"/>
  <c r="U1197" i="17"/>
  <c r="U1165" i="17"/>
  <c r="U1133" i="17"/>
  <c r="U1101" i="17"/>
  <c r="U1436" i="17"/>
  <c r="U1263" i="17"/>
  <c r="U1908" i="17"/>
  <c r="U1870" i="17"/>
  <c r="U1790" i="17"/>
  <c r="U1331" i="17"/>
  <c r="U1265" i="17"/>
  <c r="U1910" i="17"/>
  <c r="U1878" i="17"/>
  <c r="U1814" i="17"/>
  <c r="U1262" i="17"/>
  <c r="U1215" i="17"/>
  <c r="U1203" i="17"/>
  <c r="U1183" i="17"/>
  <c r="U1151" i="17"/>
  <c r="U1119" i="17"/>
  <c r="U1536" i="17"/>
  <c r="U1285" i="17"/>
  <c r="U1217" i="17"/>
  <c r="U1201" i="17"/>
  <c r="U1185" i="17"/>
  <c r="U1169" i="17"/>
  <c r="U1153" i="17"/>
  <c r="U1137" i="17"/>
  <c r="U1121" i="17"/>
  <c r="U1105" i="17"/>
  <c r="U1489" i="17"/>
  <c r="U1227" i="17"/>
  <c r="U1211" i="17"/>
  <c r="U1195" i="17"/>
  <c r="U1179" i="17"/>
  <c r="U1163" i="17"/>
  <c r="U1147" i="17"/>
  <c r="U1131" i="17"/>
  <c r="U1115" i="17"/>
  <c r="U1351" i="17"/>
  <c r="U1620" i="17"/>
  <c r="U1365" i="17"/>
  <c r="U1281" i="17"/>
  <c r="U1249" i="17"/>
  <c r="U1892" i="17"/>
  <c r="U1806" i="17"/>
  <c r="U1638" i="17"/>
  <c r="U1606" i="17"/>
  <c r="U1588" i="17"/>
  <c r="U1297" i="17"/>
  <c r="U1894" i="17"/>
  <c r="U1827" i="17"/>
  <c r="U1247" i="17"/>
  <c r="U1838" i="17"/>
  <c r="U1636" i="17"/>
  <c r="U1590" i="17"/>
  <c r="U1299" i="17"/>
  <c r="U1187" i="17"/>
  <c r="U1171" i="17"/>
  <c r="U1715" i="17"/>
  <c r="U1703" i="17"/>
  <c r="U1680" i="17"/>
  <c r="U1740" i="17"/>
  <c r="U1689" i="17"/>
  <c r="U1155" i="17"/>
  <c r="U1139" i="17"/>
  <c r="U1123" i="17"/>
  <c r="U1107" i="17"/>
  <c r="U1832" i="17"/>
  <c r="U1788" i="17"/>
  <c r="U1776" i="17"/>
  <c r="U1825" i="17"/>
  <c r="U1876" i="17"/>
  <c r="U1860" i="17"/>
  <c r="U1844" i="17"/>
  <c r="U1828" i="17"/>
  <c r="U1812" i="17"/>
  <c r="U1906" i="17"/>
  <c r="U1897" i="17"/>
  <c r="U1874" i="17"/>
  <c r="U1858" i="17"/>
  <c r="U1842" i="17"/>
  <c r="U1826" i="17"/>
  <c r="U1810" i="17"/>
  <c r="U1915" i="17"/>
  <c r="U1881" i="17"/>
  <c r="U1888" i="17"/>
  <c r="U1771" i="17"/>
  <c r="U1649" i="17"/>
  <c r="U1641" i="17"/>
  <c r="U1633" i="17"/>
  <c r="U1625" i="17"/>
  <c r="U1617" i="17"/>
  <c r="U1609" i="17"/>
  <c r="U1601" i="17"/>
  <c r="U1593" i="17"/>
  <c r="U1469" i="17"/>
  <c r="U1453" i="17"/>
  <c r="U1437" i="17"/>
  <c r="U1421" i="17"/>
  <c r="U1405" i="17"/>
  <c r="U1389" i="17"/>
  <c r="U1373" i="17"/>
  <c r="U1363" i="17"/>
  <c r="U1582" i="17"/>
  <c r="U1900" i="17"/>
  <c r="U1854" i="17"/>
  <c r="U1742" i="17"/>
  <c r="U1704" i="17"/>
  <c r="U1639" i="17"/>
  <c r="U1483" i="17"/>
  <c r="U1347" i="17"/>
  <c r="U1902" i="17"/>
  <c r="U1862" i="17"/>
  <c r="U1799" i="17"/>
  <c r="U1846" i="17"/>
  <c r="U1720" i="17"/>
  <c r="U1575" i="17"/>
  <c r="U1254" i="17"/>
  <c r="U1496" i="17"/>
  <c r="U1256" i="17"/>
  <c r="U1310" i="17"/>
  <c r="U1921" i="17"/>
  <c r="U1730" i="17"/>
  <c r="U1670" i="17"/>
  <c r="U1342" i="17"/>
  <c r="U1277" i="17"/>
  <c r="U1245" i="17"/>
  <c r="U1953" i="17"/>
  <c r="U1748" i="17"/>
  <c r="U1580" i="17"/>
  <c r="U1458" i="17"/>
  <c r="U1394" i="17"/>
  <c r="U1344" i="17"/>
  <c r="U1327" i="17"/>
  <c r="U1279" i="17"/>
  <c r="U1658" i="17"/>
  <c r="U1615" i="17"/>
  <c r="U1567" i="17"/>
  <c r="U1519" i="17"/>
  <c r="U1349" i="17"/>
  <c r="U1855" i="17"/>
  <c r="U1205" i="17"/>
  <c r="U1173" i="17"/>
  <c r="U1141" i="17"/>
  <c r="U1109" i="17"/>
  <c r="U1869" i="17"/>
  <c r="U1223" i="17"/>
  <c r="U1191" i="17"/>
  <c r="U1159" i="17"/>
  <c r="U1127" i="17"/>
  <c r="U1831" i="17"/>
  <c r="U1864" i="17"/>
  <c r="U1824" i="17"/>
  <c r="U1780" i="17"/>
  <c r="U1841" i="17"/>
  <c r="U1804" i="17"/>
  <c r="U1856" i="17"/>
  <c r="U1800" i="17"/>
  <c r="U1784" i="17"/>
  <c r="U1772" i="17"/>
  <c r="U1873" i="17"/>
  <c r="U1857" i="17"/>
  <c r="U1809" i="17"/>
  <c r="U1848" i="17"/>
  <c r="U1816" i="17"/>
  <c r="U1796" i="17"/>
  <c r="U1872" i="17"/>
  <c r="U1840" i="17"/>
  <c r="U1808" i="17"/>
  <c r="U1792" i="17"/>
  <c r="U1786" i="17"/>
  <c r="U1782" i="17"/>
  <c r="U1778" i="17"/>
  <c r="U1774" i="17"/>
  <c r="U1770" i="17"/>
  <c r="U1865" i="17"/>
  <c r="U1849" i="17"/>
  <c r="U1833" i="17"/>
  <c r="U1817" i="17"/>
  <c r="U1719" i="17"/>
  <c r="U1696" i="17"/>
  <c r="U1699" i="17"/>
  <c r="U1868" i="17"/>
  <c r="U1852" i="17"/>
  <c r="U1836" i="17"/>
  <c r="U1820" i="17"/>
  <c r="U1913" i="17"/>
  <c r="U1883" i="17"/>
  <c r="U1890" i="17"/>
  <c r="U1866" i="17"/>
  <c r="U1850" i="17"/>
  <c r="U1834" i="17"/>
  <c r="U1818" i="17"/>
  <c r="U1779" i="17"/>
  <c r="U1904" i="17"/>
  <c r="U1728" i="17"/>
  <c r="U1746" i="17"/>
  <c r="U1899" i="17"/>
  <c r="U1787" i="17"/>
  <c r="U1645" i="17"/>
  <c r="U1637" i="17"/>
  <c r="U1629" i="17"/>
  <c r="U1621" i="17"/>
  <c r="U1613" i="17"/>
  <c r="U1605" i="17"/>
  <c r="U1597" i="17"/>
  <c r="U1461" i="17"/>
  <c r="U1445" i="17"/>
  <c r="U1429" i="17"/>
  <c r="U1413" i="17"/>
  <c r="U1397" i="17"/>
  <c r="U1381" i="17"/>
  <c r="U1359" i="17"/>
  <c r="U1916" i="17"/>
  <c r="U1884" i="17"/>
  <c r="U1797" i="17"/>
  <c r="U1673" i="17"/>
  <c r="U1653" i="17"/>
  <c r="U1607" i="17"/>
  <c r="U1507" i="17"/>
  <c r="U1886" i="17"/>
  <c r="U1830" i="17"/>
  <c r="U1859" i="17"/>
  <c r="U1781" i="17"/>
  <c r="U1635" i="17"/>
  <c r="U1312" i="17"/>
  <c r="U1295" i="17"/>
  <c r="U1235" i="17"/>
  <c r="U1503" i="17"/>
  <c r="U1428" i="17"/>
  <c r="U1325" i="17"/>
  <c r="U1237" i="17"/>
  <c r="U1293" i="17"/>
  <c r="U1272" i="17"/>
  <c r="U1241" i="17"/>
  <c r="U1698" i="17"/>
  <c r="U1652" i="17"/>
  <c r="U1631" i="17"/>
  <c r="U1599" i="17"/>
  <c r="U1577" i="17"/>
  <c r="U1288" i="17"/>
  <c r="U1261" i="17"/>
  <c r="U1619" i="17"/>
  <c r="U1568" i="17"/>
  <c r="U1239" i="17"/>
  <c r="U1941" i="17"/>
  <c r="U1754" i="17"/>
  <c r="U1647" i="17"/>
  <c r="U1583" i="17"/>
  <c r="U1544" i="17"/>
  <c r="U1482" i="17"/>
  <c r="U1233" i="17"/>
  <c r="U1911" i="17"/>
  <c r="U1271" i="17"/>
  <c r="U1221" i="17"/>
  <c r="U1189" i="17"/>
  <c r="U1157" i="17"/>
  <c r="U1125" i="17"/>
  <c r="U1335" i="17"/>
  <c r="U1207" i="17"/>
  <c r="U1175" i="17"/>
  <c r="U1143" i="17"/>
  <c r="U1111" i="17"/>
  <c r="U1879" i="17"/>
  <c r="U1548" i="17"/>
  <c r="U1345" i="17"/>
  <c r="U1789" i="17"/>
  <c r="T4" i="16" l="1"/>
  <c r="FM114" i="2" l="1"/>
  <c r="FM113" i="2"/>
  <c r="FM112" i="2"/>
  <c r="FM108" i="2"/>
  <c r="FM111" i="2"/>
  <c r="FM110" i="2"/>
  <c r="FM107" i="2"/>
  <c r="FM109" i="2"/>
  <c r="FM104" i="2"/>
  <c r="FM106" i="2"/>
  <c r="FM103" i="2"/>
  <c r="FM105" i="2"/>
  <c r="FM101" i="2"/>
  <c r="FM98" i="2"/>
  <c r="FM100" i="2"/>
  <c r="FM102" i="2"/>
  <c r="FM99" i="2"/>
  <c r="FM96" i="2"/>
  <c r="FM93" i="2"/>
  <c r="FM95" i="2"/>
  <c r="FM97" i="2"/>
  <c r="FM94" i="2"/>
  <c r="FM86" i="2"/>
  <c r="FM88" i="2"/>
  <c r="FM85" i="2"/>
  <c r="FM91" i="2"/>
  <c r="FM87" i="2"/>
  <c r="FM90" i="2"/>
  <c r="FM89" i="2"/>
  <c r="FM81" i="2"/>
  <c r="FM83" i="2"/>
  <c r="FM82" i="2"/>
  <c r="FM80" i="2"/>
  <c r="FM77" i="2"/>
  <c r="FM79" i="2"/>
  <c r="FM76" i="2"/>
  <c r="FM92" i="2"/>
  <c r="FM84" i="2"/>
  <c r="FM75" i="2"/>
  <c r="FM78" i="2"/>
  <c r="FM68" i="2"/>
  <c r="FM70" i="2"/>
  <c r="FM67" i="2"/>
  <c r="FM72" i="2"/>
  <c r="FM71" i="2"/>
  <c r="FM62" i="2"/>
  <c r="FM59" i="2"/>
  <c r="FM74" i="2"/>
  <c r="FM65" i="2"/>
  <c r="FM64" i="2"/>
  <c r="FM73" i="2"/>
  <c r="FM61" i="2"/>
  <c r="FM58" i="2"/>
  <c r="FM66" i="2"/>
  <c r="FM63" i="2"/>
  <c r="FM55" i="2"/>
  <c r="FM52" i="2"/>
  <c r="FM60" i="2"/>
  <c r="FM49" i="2"/>
  <c r="FM69" i="2"/>
  <c r="FM54" i="2"/>
  <c r="FM51" i="2"/>
  <c r="FM53" i="2"/>
  <c r="FM50" i="2"/>
  <c r="FM46" i="2"/>
  <c r="FM48" i="2"/>
  <c r="FM56" i="2"/>
  <c r="FM47" i="2"/>
  <c r="FM57" i="2"/>
  <c r="FM41" i="2"/>
  <c r="FM33" i="2"/>
  <c r="FM38" i="2"/>
  <c r="FM40" i="2"/>
  <c r="FM45" i="2"/>
  <c r="FM43" i="2"/>
  <c r="FM42" i="2"/>
  <c r="FM37" i="2"/>
  <c r="FM34" i="2"/>
  <c r="FM32" i="2"/>
  <c r="FM36" i="2"/>
  <c r="FM39" i="2"/>
  <c r="FM31" i="2"/>
  <c r="FM35" i="2"/>
  <c r="FM44" i="2"/>
  <c r="FM510" i="2"/>
  <c r="R4" i="16"/>
  <c r="S4" i="16"/>
  <c r="Q4" i="16"/>
  <c r="P4" i="16"/>
  <c r="P5" i="16" s="1"/>
  <c r="I4" i="16" s="1"/>
  <c r="M43" i="16" l="1"/>
  <c r="M41" i="16"/>
  <c r="M804" i="1"/>
  <c r="M805" i="1" s="1"/>
  <c r="M806" i="1" s="1"/>
  <c r="M807" i="1" s="1"/>
  <c r="M808" i="1" s="1"/>
  <c r="M809" i="1" s="1"/>
  <c r="M810" i="1" s="1"/>
  <c r="M811" i="1" s="1"/>
  <c r="M812" i="1" s="1"/>
  <c r="M813" i="1" s="1"/>
  <c r="M814" i="1" s="1"/>
  <c r="M815" i="1" s="1"/>
  <c r="M816" i="1" s="1"/>
  <c r="M817" i="1" s="1"/>
  <c r="M818" i="1" s="1"/>
  <c r="M819" i="1" s="1"/>
  <c r="M820" i="1" s="1"/>
  <c r="M821" i="1" s="1"/>
  <c r="M822" i="1" s="1"/>
  <c r="M823" i="1" s="1"/>
  <c r="M802" i="1"/>
  <c r="M801" i="1"/>
  <c r="M800" i="1"/>
  <c r="M799" i="1"/>
  <c r="M798" i="1"/>
  <c r="M797" i="1"/>
  <c r="M796" i="1"/>
  <c r="M795" i="1"/>
  <c r="M794" i="1"/>
  <c r="M793" i="1"/>
  <c r="M792" i="1"/>
  <c r="K823" i="1"/>
  <c r="K822" i="1"/>
  <c r="K821" i="1"/>
  <c r="K820" i="1"/>
  <c r="K819" i="1"/>
  <c r="K818" i="1"/>
  <c r="K817" i="1"/>
  <c r="K816" i="1"/>
  <c r="K815" i="1"/>
  <c r="K814" i="1"/>
  <c r="K813" i="1"/>
  <c r="K812" i="1"/>
  <c r="K811" i="1"/>
  <c r="K810" i="1"/>
  <c r="K809" i="1"/>
  <c r="K808" i="1"/>
  <c r="K807" i="1"/>
  <c r="K806" i="1"/>
  <c r="K805" i="1"/>
  <c r="K804" i="1"/>
  <c r="K803" i="1"/>
  <c r="K802" i="1"/>
  <c r="K801" i="1"/>
  <c r="K800" i="1"/>
  <c r="K799" i="1"/>
  <c r="K798" i="1"/>
  <c r="K797" i="1"/>
  <c r="K796" i="1"/>
  <c r="K795" i="1"/>
  <c r="K794" i="1"/>
  <c r="K793" i="1"/>
  <c r="K792" i="1"/>
  <c r="K791" i="1"/>
  <c r="D3" i="19"/>
  <c r="R700" i="17"/>
  <c r="S700" i="17" s="1"/>
  <c r="R699" i="17"/>
  <c r="R698" i="17"/>
  <c r="T698" i="17" s="1"/>
  <c r="R697" i="17"/>
  <c r="T697" i="17" s="1"/>
  <c r="R696" i="17"/>
  <c r="S696" i="17" s="1"/>
  <c r="R695" i="17"/>
  <c r="R694" i="17"/>
  <c r="S694" i="17" s="1"/>
  <c r="R693" i="17"/>
  <c r="T693" i="17" s="1"/>
  <c r="R692" i="17"/>
  <c r="R691" i="17"/>
  <c r="R690" i="17"/>
  <c r="S690" i="17" s="1"/>
  <c r="R689" i="17"/>
  <c r="S689" i="17" s="1"/>
  <c r="R688" i="17"/>
  <c r="S688" i="17" s="1"/>
  <c r="R687" i="17"/>
  <c r="S687" i="17" s="1"/>
  <c r="R686" i="17"/>
  <c r="S686" i="17" s="1"/>
  <c r="R685" i="17"/>
  <c r="T685" i="17" s="1"/>
  <c r="R684" i="17"/>
  <c r="R683" i="17"/>
  <c r="S683" i="17" s="1"/>
  <c r="R682" i="17"/>
  <c r="R681" i="17"/>
  <c r="S681" i="17" s="1"/>
  <c r="R680" i="17"/>
  <c r="T680" i="17" s="1"/>
  <c r="R679" i="17"/>
  <c r="R678" i="17"/>
  <c r="T678" i="17" s="1"/>
  <c r="R677" i="17"/>
  <c r="S677" i="17" s="1"/>
  <c r="R676" i="17"/>
  <c r="S676" i="17" s="1"/>
  <c r="R675" i="17"/>
  <c r="S675" i="17" s="1"/>
  <c r="R674" i="17"/>
  <c r="S674" i="17" s="1"/>
  <c r="R673" i="17"/>
  <c r="R672" i="17"/>
  <c r="S672" i="17" s="1"/>
  <c r="R671" i="17"/>
  <c r="R670" i="17"/>
  <c r="R669" i="17"/>
  <c r="S669" i="17" s="1"/>
  <c r="R668" i="17"/>
  <c r="S668" i="17" s="1"/>
  <c r="R667" i="17"/>
  <c r="T667" i="17" s="1"/>
  <c r="R666" i="17"/>
  <c r="T666" i="17" s="1"/>
  <c r="R665" i="17"/>
  <c r="S665" i="17" s="1"/>
  <c r="R664" i="17"/>
  <c r="R663" i="17"/>
  <c r="S663" i="17" s="1"/>
  <c r="R662" i="17"/>
  <c r="S662" i="17" s="1"/>
  <c r="R661" i="17"/>
  <c r="R660" i="17"/>
  <c r="T660" i="17" s="1"/>
  <c r="R659" i="17"/>
  <c r="R658" i="17"/>
  <c r="S658" i="17" s="1"/>
  <c r="R657" i="17"/>
  <c r="R656" i="17"/>
  <c r="S656" i="17" s="1"/>
  <c r="R655" i="17"/>
  <c r="R654" i="17"/>
  <c r="S654" i="17" s="1"/>
  <c r="R653" i="17"/>
  <c r="S653" i="17" s="1"/>
  <c r="R652" i="17"/>
  <c r="T652" i="17" s="1"/>
  <c r="R651" i="17"/>
  <c r="R650" i="17"/>
  <c r="S650" i="17" s="1"/>
  <c r="R649" i="17"/>
  <c r="R648" i="17"/>
  <c r="R647" i="17"/>
  <c r="R646" i="17"/>
  <c r="T646" i="17" s="1"/>
  <c r="R645" i="17"/>
  <c r="T645" i="17" s="1"/>
  <c r="R644" i="17"/>
  <c r="S644" i="17" s="1"/>
  <c r="R643" i="17"/>
  <c r="T643" i="17" s="1"/>
  <c r="R642" i="17"/>
  <c r="S642" i="17" s="1"/>
  <c r="R641" i="17"/>
  <c r="R640" i="17"/>
  <c r="S640" i="17" s="1"/>
  <c r="R639" i="17"/>
  <c r="S639" i="17" s="1"/>
  <c r="R638" i="17"/>
  <c r="T638" i="17" s="1"/>
  <c r="R637" i="17"/>
  <c r="S637" i="17" s="1"/>
  <c r="R636" i="17"/>
  <c r="R635" i="17"/>
  <c r="R634" i="17"/>
  <c r="S634" i="17" s="1"/>
  <c r="R633" i="17"/>
  <c r="T633" i="17" s="1"/>
  <c r="R632" i="17"/>
  <c r="R631" i="17"/>
  <c r="R630" i="17"/>
  <c r="T630" i="17" s="1"/>
  <c r="R629" i="17"/>
  <c r="R628" i="17"/>
  <c r="R627" i="17"/>
  <c r="R626" i="17"/>
  <c r="S626" i="17" s="1"/>
  <c r="R625" i="17"/>
  <c r="R624" i="17"/>
  <c r="S624" i="17" s="1"/>
  <c r="R623" i="17"/>
  <c r="R622" i="17"/>
  <c r="T622" i="17" s="1"/>
  <c r="R621" i="17"/>
  <c r="R620" i="17"/>
  <c r="T620" i="17" s="1"/>
  <c r="R619" i="17"/>
  <c r="R618" i="17"/>
  <c r="S618" i="17" s="1"/>
  <c r="R617" i="17"/>
  <c r="S617" i="17" s="1"/>
  <c r="R616" i="17"/>
  <c r="T616" i="17" s="1"/>
  <c r="R615" i="17"/>
  <c r="R614" i="17"/>
  <c r="T614" i="17" s="1"/>
  <c r="R613" i="17"/>
  <c r="T613" i="17" s="1"/>
  <c r="R612" i="17"/>
  <c r="R611" i="17"/>
  <c r="R610" i="17"/>
  <c r="T610" i="17" s="1"/>
  <c r="R609" i="17"/>
  <c r="R608" i="17"/>
  <c r="T608" i="17" s="1"/>
  <c r="R607" i="17"/>
  <c r="R606" i="17"/>
  <c r="S606" i="17" s="1"/>
  <c r="R605" i="17"/>
  <c r="R604" i="17"/>
  <c r="T604" i="17" s="1"/>
  <c r="R603" i="17"/>
  <c r="R602" i="17"/>
  <c r="T602" i="17" s="1"/>
  <c r="R601" i="17"/>
  <c r="R600" i="17"/>
  <c r="T600" i="17" s="1"/>
  <c r="R599" i="17"/>
  <c r="S599" i="17" s="1"/>
  <c r="R598" i="17"/>
  <c r="S598" i="17" s="1"/>
  <c r="R597" i="17"/>
  <c r="T597" i="17" s="1"/>
  <c r="R596" i="17"/>
  <c r="S596" i="17" s="1"/>
  <c r="R595" i="17"/>
  <c r="S595" i="17" s="1"/>
  <c r="R594" i="17"/>
  <c r="R593" i="17"/>
  <c r="R592" i="17"/>
  <c r="S592" i="17" s="1"/>
  <c r="R591" i="17"/>
  <c r="R590" i="17"/>
  <c r="R589" i="17"/>
  <c r="S589" i="17" s="1"/>
  <c r="R588" i="17"/>
  <c r="S588" i="17" s="1"/>
  <c r="R587" i="17"/>
  <c r="R586" i="17"/>
  <c r="S586" i="17" s="1"/>
  <c r="R585" i="17"/>
  <c r="R584" i="17"/>
  <c r="T584" i="17" s="1"/>
  <c r="R583" i="17"/>
  <c r="R582" i="17"/>
  <c r="S582" i="17" s="1"/>
  <c r="R581" i="17"/>
  <c r="R580" i="17"/>
  <c r="R579" i="17"/>
  <c r="R578" i="17"/>
  <c r="S578" i="17" s="1"/>
  <c r="R577" i="17"/>
  <c r="R576" i="17"/>
  <c r="S576" i="17" s="1"/>
  <c r="R575" i="17"/>
  <c r="R574" i="17"/>
  <c r="S574" i="17" s="1"/>
  <c r="R573" i="17"/>
  <c r="T573" i="17" s="1"/>
  <c r="R572" i="17"/>
  <c r="R571" i="17"/>
  <c r="S571" i="17" s="1"/>
  <c r="R570" i="17"/>
  <c r="S570" i="17" s="1"/>
  <c r="R569" i="17"/>
  <c r="R568" i="17"/>
  <c r="R567" i="17"/>
  <c r="R566" i="17"/>
  <c r="T566" i="17" s="1"/>
  <c r="R565" i="17"/>
  <c r="R564" i="17"/>
  <c r="R563" i="17"/>
  <c r="R562" i="17"/>
  <c r="S562" i="17" s="1"/>
  <c r="R561" i="17"/>
  <c r="R560" i="17"/>
  <c r="R559" i="17"/>
  <c r="R558" i="17"/>
  <c r="S558" i="17" s="1"/>
  <c r="R557" i="17"/>
  <c r="R556" i="17"/>
  <c r="S556" i="17" s="1"/>
  <c r="R555" i="17"/>
  <c r="R554" i="17"/>
  <c r="T554" i="17" s="1"/>
  <c r="R553" i="17"/>
  <c r="T553" i="17" s="1"/>
  <c r="R552" i="17"/>
  <c r="S552" i="17" s="1"/>
  <c r="R551" i="17"/>
  <c r="T551" i="17" s="1"/>
  <c r="R550" i="17"/>
  <c r="S550" i="17" s="1"/>
  <c r="R549" i="17"/>
  <c r="S549" i="17" s="1"/>
  <c r="R548" i="17"/>
  <c r="T548" i="17" s="1"/>
  <c r="R547" i="17"/>
  <c r="R546" i="17"/>
  <c r="S546" i="17" s="1"/>
  <c r="R545" i="17"/>
  <c r="R544" i="17"/>
  <c r="T544" i="17" s="1"/>
  <c r="R543" i="17"/>
  <c r="R542" i="17"/>
  <c r="S542" i="17" s="1"/>
  <c r="R541" i="17"/>
  <c r="R540" i="17"/>
  <c r="R539" i="17"/>
  <c r="T539" i="17" s="1"/>
  <c r="R538" i="17"/>
  <c r="S538" i="17" s="1"/>
  <c r="R537" i="17"/>
  <c r="R536" i="17"/>
  <c r="R535" i="17"/>
  <c r="R534" i="17"/>
  <c r="S534" i="17" s="1"/>
  <c r="R533" i="17"/>
  <c r="R532" i="17"/>
  <c r="S532" i="17" s="1"/>
  <c r="R531" i="17"/>
  <c r="R530" i="17"/>
  <c r="T530" i="17" s="1"/>
  <c r="R529" i="17"/>
  <c r="T529" i="17" s="1"/>
  <c r="R528" i="17"/>
  <c r="T528" i="17" s="1"/>
  <c r="R527" i="17"/>
  <c r="R526" i="17"/>
  <c r="S526" i="17" s="1"/>
  <c r="R525" i="17"/>
  <c r="R524" i="17"/>
  <c r="R523" i="17"/>
  <c r="T523" i="17" s="1"/>
  <c r="R522" i="17"/>
  <c r="T522" i="17" s="1"/>
  <c r="R521" i="17"/>
  <c r="R520" i="17"/>
  <c r="S520" i="17" s="1"/>
  <c r="R519" i="17"/>
  <c r="R518" i="17"/>
  <c r="T518" i="17" s="1"/>
  <c r="R517" i="17"/>
  <c r="R516" i="17"/>
  <c r="T516" i="17" s="1"/>
  <c r="R515" i="17"/>
  <c r="R514" i="17"/>
  <c r="S514" i="17" s="1"/>
  <c r="R513" i="17"/>
  <c r="R512" i="17"/>
  <c r="T512" i="17" s="1"/>
  <c r="R511" i="17"/>
  <c r="R510" i="17"/>
  <c r="S510" i="17" s="1"/>
  <c r="R509" i="17"/>
  <c r="R508" i="17"/>
  <c r="S508" i="17" s="1"/>
  <c r="R507" i="17"/>
  <c r="R506" i="17"/>
  <c r="S506" i="17" s="1"/>
  <c r="R505" i="17"/>
  <c r="R504" i="17"/>
  <c r="T504" i="17" s="1"/>
  <c r="R503" i="17"/>
  <c r="R502" i="17"/>
  <c r="T502" i="17" s="1"/>
  <c r="R501" i="17"/>
  <c r="R500" i="17"/>
  <c r="R499" i="17"/>
  <c r="R498" i="17"/>
  <c r="T498" i="17" s="1"/>
  <c r="R497" i="17"/>
  <c r="R496" i="17"/>
  <c r="T496" i="17" s="1"/>
  <c r="R495" i="17"/>
  <c r="R494" i="17"/>
  <c r="S494" i="17" s="1"/>
  <c r="R493" i="17"/>
  <c r="R492" i="17"/>
  <c r="S492" i="17" s="1"/>
  <c r="R491" i="17"/>
  <c r="R490" i="17"/>
  <c r="S490" i="17" s="1"/>
  <c r="R489" i="17"/>
  <c r="S489" i="17" s="1"/>
  <c r="R488" i="17"/>
  <c r="S488" i="17" s="1"/>
  <c r="R487" i="17"/>
  <c r="S487" i="17" s="1"/>
  <c r="R486" i="17"/>
  <c r="S486" i="17" s="1"/>
  <c r="R485" i="17"/>
  <c r="R484" i="17"/>
  <c r="T484" i="17" s="1"/>
  <c r="R483" i="17"/>
  <c r="T483" i="17" s="1"/>
  <c r="R482" i="17"/>
  <c r="T482" i="17" s="1"/>
  <c r="R481" i="17"/>
  <c r="R480" i="17"/>
  <c r="T480" i="17" s="1"/>
  <c r="R479" i="17"/>
  <c r="R478" i="17"/>
  <c r="T478" i="17" s="1"/>
  <c r="R477" i="17"/>
  <c r="R476" i="17"/>
  <c r="T476" i="17" s="1"/>
  <c r="R475" i="17"/>
  <c r="R474" i="17"/>
  <c r="S474" i="17" s="1"/>
  <c r="R473" i="17"/>
  <c r="R472" i="17"/>
  <c r="S472" i="17" s="1"/>
  <c r="R471" i="17"/>
  <c r="S471" i="17" s="1"/>
  <c r="R470" i="17"/>
  <c r="T470" i="17" s="1"/>
  <c r="R469" i="17"/>
  <c r="R468" i="17"/>
  <c r="T468" i="17" s="1"/>
  <c r="R467" i="17"/>
  <c r="T467" i="17" s="1"/>
  <c r="R466" i="17"/>
  <c r="S466" i="17" s="1"/>
  <c r="R465" i="17"/>
  <c r="R464" i="17"/>
  <c r="T464" i="17" s="1"/>
  <c r="R463" i="17"/>
  <c r="R462" i="17"/>
  <c r="S462" i="17" s="1"/>
  <c r="R461" i="17"/>
  <c r="R460" i="17"/>
  <c r="S460" i="17" s="1"/>
  <c r="R459" i="17"/>
  <c r="R458" i="17"/>
  <c r="T458" i="17" s="1"/>
  <c r="R457" i="17"/>
  <c r="R456" i="17"/>
  <c r="R455" i="17"/>
  <c r="R454" i="17"/>
  <c r="T454" i="17" s="1"/>
  <c r="R453" i="17"/>
  <c r="R452" i="17"/>
  <c r="T452" i="17" s="1"/>
  <c r="R451" i="17"/>
  <c r="T451" i="17" s="1"/>
  <c r="R450" i="17"/>
  <c r="T450" i="17" s="1"/>
  <c r="R449" i="17"/>
  <c r="T449" i="17" s="1"/>
  <c r="R448" i="17"/>
  <c r="T448" i="17" s="1"/>
  <c r="R447" i="17"/>
  <c r="T447" i="17" s="1"/>
  <c r="R446" i="17"/>
  <c r="T446" i="17" s="1"/>
  <c r="R445" i="17"/>
  <c r="R444" i="17"/>
  <c r="T444" i="17" s="1"/>
  <c r="R443" i="17"/>
  <c r="R442" i="17"/>
  <c r="T442" i="17" s="1"/>
  <c r="R441" i="17"/>
  <c r="R440" i="17"/>
  <c r="R439" i="17"/>
  <c r="R438" i="17"/>
  <c r="T438" i="17" s="1"/>
  <c r="R437" i="17"/>
  <c r="R436" i="17"/>
  <c r="R435" i="17"/>
  <c r="R434" i="17"/>
  <c r="S434" i="17" s="1"/>
  <c r="R433" i="17"/>
  <c r="R432" i="17"/>
  <c r="S432" i="17" s="1"/>
  <c r="R431" i="17"/>
  <c r="S431" i="17" s="1"/>
  <c r="R430" i="17"/>
  <c r="T430" i="17" s="1"/>
  <c r="R429" i="17"/>
  <c r="R428" i="17"/>
  <c r="S428" i="17" s="1"/>
  <c r="R427" i="17"/>
  <c r="S427" i="17" s="1"/>
  <c r="R426" i="17"/>
  <c r="S426" i="17" s="1"/>
  <c r="R425" i="17"/>
  <c r="T425" i="17" s="1"/>
  <c r="R424" i="17"/>
  <c r="T424" i="17" s="1"/>
  <c r="R423" i="17"/>
  <c r="T423" i="17" s="1"/>
  <c r="R422" i="17"/>
  <c r="T422" i="17" s="1"/>
  <c r="R421" i="17"/>
  <c r="R420" i="17"/>
  <c r="R419" i="17"/>
  <c r="R418" i="17"/>
  <c r="T418" i="17" s="1"/>
  <c r="R417" i="17"/>
  <c r="T417" i="17" s="1"/>
  <c r="R416" i="17"/>
  <c r="S416" i="17" s="1"/>
  <c r="R415" i="17"/>
  <c r="R414" i="17"/>
  <c r="S414" i="17" s="1"/>
  <c r="R413" i="17"/>
  <c r="R412" i="17"/>
  <c r="S412" i="17" s="1"/>
  <c r="R411" i="17"/>
  <c r="R410" i="17"/>
  <c r="R409" i="17"/>
  <c r="R408" i="17"/>
  <c r="S408" i="17" s="1"/>
  <c r="R407" i="17"/>
  <c r="S407" i="17" s="1"/>
  <c r="R406" i="17"/>
  <c r="R405" i="17"/>
  <c r="S405" i="17" s="1"/>
  <c r="R404" i="17"/>
  <c r="R403" i="17"/>
  <c r="T403" i="17" s="1"/>
  <c r="R402" i="17"/>
  <c r="S402" i="17" s="1"/>
  <c r="R401" i="17"/>
  <c r="R400" i="17"/>
  <c r="S400" i="17" s="1"/>
  <c r="R399" i="17"/>
  <c r="R398" i="17"/>
  <c r="S398" i="17" s="1"/>
  <c r="R397" i="17"/>
  <c r="R396" i="17"/>
  <c r="T396" i="17" s="1"/>
  <c r="R395" i="17"/>
  <c r="S395" i="17" s="1"/>
  <c r="R394" i="17"/>
  <c r="T394" i="17" s="1"/>
  <c r="R393" i="17"/>
  <c r="R392" i="17"/>
  <c r="R391" i="17"/>
  <c r="R390" i="17"/>
  <c r="R389" i="17"/>
  <c r="S389" i="17" s="1"/>
  <c r="R388" i="17"/>
  <c r="T388" i="17" s="1"/>
  <c r="R387" i="17"/>
  <c r="R386" i="17"/>
  <c r="S386" i="17" s="1"/>
  <c r="R385" i="17"/>
  <c r="R384" i="17"/>
  <c r="T384" i="17" s="1"/>
  <c r="R383" i="17"/>
  <c r="R382" i="17"/>
  <c r="S382" i="17" s="1"/>
  <c r="R381" i="17"/>
  <c r="T381" i="17" s="1"/>
  <c r="R380" i="17"/>
  <c r="R379" i="17"/>
  <c r="T379" i="17" s="1"/>
  <c r="R378" i="17"/>
  <c r="R377" i="17"/>
  <c r="R376" i="17"/>
  <c r="T376" i="17" s="1"/>
  <c r="R375" i="17"/>
  <c r="R374" i="17"/>
  <c r="T374" i="17" s="1"/>
  <c r="R373" i="17"/>
  <c r="T373" i="17" s="1"/>
  <c r="R372" i="17"/>
  <c r="S372" i="17" s="1"/>
  <c r="R371" i="17"/>
  <c r="R370" i="17"/>
  <c r="R369" i="17"/>
  <c r="R368" i="17"/>
  <c r="S368" i="17" s="1"/>
  <c r="R367" i="17"/>
  <c r="R366" i="17"/>
  <c r="R365" i="17"/>
  <c r="S365" i="17" s="1"/>
  <c r="R364" i="17"/>
  <c r="T364" i="17" s="1"/>
  <c r="R363" i="17"/>
  <c r="T363" i="17" s="1"/>
  <c r="R362" i="17"/>
  <c r="R361" i="17"/>
  <c r="R360" i="17"/>
  <c r="R359" i="17"/>
  <c r="R358" i="17"/>
  <c r="S358" i="17" s="1"/>
  <c r="R357" i="17"/>
  <c r="R356" i="17"/>
  <c r="T356" i="17" s="1"/>
  <c r="R355" i="17"/>
  <c r="R354" i="17"/>
  <c r="T354" i="17" s="1"/>
  <c r="R353" i="17"/>
  <c r="R352" i="17"/>
  <c r="S352" i="17" s="1"/>
  <c r="R351" i="17"/>
  <c r="R350" i="17"/>
  <c r="T350" i="17" s="1"/>
  <c r="R349" i="17"/>
  <c r="T349" i="17" s="1"/>
  <c r="R348" i="17"/>
  <c r="R347" i="17"/>
  <c r="R346" i="17"/>
  <c r="S346" i="17" s="1"/>
  <c r="R345" i="17"/>
  <c r="R344" i="17"/>
  <c r="T344" i="17" s="1"/>
  <c r="R343" i="17"/>
  <c r="R342" i="17"/>
  <c r="T342" i="17" s="1"/>
  <c r="R341" i="17"/>
  <c r="R340" i="17"/>
  <c r="R339" i="17"/>
  <c r="R338" i="17"/>
  <c r="T338" i="17" s="1"/>
  <c r="R337" i="17"/>
  <c r="R336" i="17"/>
  <c r="S336" i="17" s="1"/>
  <c r="R335" i="17"/>
  <c r="R334" i="17"/>
  <c r="T334" i="17" s="1"/>
  <c r="R333" i="17"/>
  <c r="T333" i="17" s="1"/>
  <c r="R332" i="17"/>
  <c r="S332" i="17" s="1"/>
  <c r="R331" i="17"/>
  <c r="S331" i="17" s="1"/>
  <c r="R330" i="17"/>
  <c r="S330" i="17" s="1"/>
  <c r="R329" i="17"/>
  <c r="R328" i="17"/>
  <c r="S328" i="17" s="1"/>
  <c r="R327" i="17"/>
  <c r="R326" i="17"/>
  <c r="T326" i="17" s="1"/>
  <c r="R325" i="17"/>
  <c r="T325" i="17" s="1"/>
  <c r="R324" i="17"/>
  <c r="R323" i="17"/>
  <c r="R322" i="17"/>
  <c r="S322" i="17" s="1"/>
  <c r="R321" i="17"/>
  <c r="T321" i="17" s="1"/>
  <c r="R320" i="17"/>
  <c r="T320" i="17" s="1"/>
  <c r="R319" i="17"/>
  <c r="R318" i="17"/>
  <c r="S318" i="17" s="1"/>
  <c r="R317" i="17"/>
  <c r="R316" i="17"/>
  <c r="S316" i="17" s="1"/>
  <c r="R315" i="17"/>
  <c r="R314" i="17"/>
  <c r="S314" i="17" s="1"/>
  <c r="R313" i="17"/>
  <c r="R312" i="17"/>
  <c r="T312" i="17" s="1"/>
  <c r="R311" i="17"/>
  <c r="R310" i="17"/>
  <c r="T310" i="17" s="1"/>
  <c r="R309" i="17"/>
  <c r="R308" i="17"/>
  <c r="S308" i="17" s="1"/>
  <c r="R307" i="17"/>
  <c r="S307" i="17" s="1"/>
  <c r="R306" i="17"/>
  <c r="R305" i="17"/>
  <c r="R304" i="17"/>
  <c r="T304" i="17" s="1"/>
  <c r="R303" i="17"/>
  <c r="R302" i="17"/>
  <c r="T302" i="17" s="1"/>
  <c r="R301" i="17"/>
  <c r="R300" i="17"/>
  <c r="S300" i="17" s="1"/>
  <c r="R299" i="17"/>
  <c r="T299" i="17" s="1"/>
  <c r="R298" i="17"/>
  <c r="T298" i="17" s="1"/>
  <c r="R297" i="17"/>
  <c r="R296" i="17"/>
  <c r="T296" i="17" s="1"/>
  <c r="R295" i="17"/>
  <c r="R294" i="17"/>
  <c r="T294" i="17" s="1"/>
  <c r="R293" i="17"/>
  <c r="T293" i="17" s="1"/>
  <c r="R292" i="17"/>
  <c r="S292" i="17" s="1"/>
  <c r="R291" i="17"/>
  <c r="T291" i="17" s="1"/>
  <c r="R290" i="17"/>
  <c r="S290" i="17" s="1"/>
  <c r="R289" i="17"/>
  <c r="R288" i="17"/>
  <c r="S288" i="17" s="1"/>
  <c r="R287" i="17"/>
  <c r="R286" i="17"/>
  <c r="T286" i="17" s="1"/>
  <c r="R285" i="17"/>
  <c r="R284" i="17"/>
  <c r="T284" i="17" s="1"/>
  <c r="R283" i="17"/>
  <c r="R282" i="17"/>
  <c r="T282" i="17" s="1"/>
  <c r="R281" i="17"/>
  <c r="T281" i="17" s="1"/>
  <c r="R280" i="17"/>
  <c r="R279" i="17"/>
  <c r="R278" i="17"/>
  <c r="R277" i="17"/>
  <c r="T277" i="17" s="1"/>
  <c r="R276" i="17"/>
  <c r="R275" i="17"/>
  <c r="R274" i="17"/>
  <c r="R273" i="17"/>
  <c r="R272" i="17"/>
  <c r="T272" i="17" s="1"/>
  <c r="R271" i="17"/>
  <c r="R270" i="17"/>
  <c r="T270" i="17" s="1"/>
  <c r="R269" i="17"/>
  <c r="R268" i="17"/>
  <c r="S268" i="17" s="1"/>
  <c r="R267" i="17"/>
  <c r="R266" i="17"/>
  <c r="S266" i="17" s="1"/>
  <c r="R265" i="17"/>
  <c r="R264" i="17"/>
  <c r="S264" i="17" s="1"/>
  <c r="R263" i="17"/>
  <c r="R262" i="17"/>
  <c r="T262" i="17" s="1"/>
  <c r="R261" i="17"/>
  <c r="S261" i="17" s="1"/>
  <c r="R260" i="17"/>
  <c r="S260" i="17" s="1"/>
  <c r="R259" i="17"/>
  <c r="R258" i="17"/>
  <c r="T258" i="17" s="1"/>
  <c r="R257" i="17"/>
  <c r="R256" i="17"/>
  <c r="S256" i="17" s="1"/>
  <c r="R255" i="17"/>
  <c r="R254" i="17"/>
  <c r="T254" i="17" s="1"/>
  <c r="R253" i="17"/>
  <c r="R252" i="17"/>
  <c r="S252" i="17" s="1"/>
  <c r="R251" i="17"/>
  <c r="T251" i="17" s="1"/>
  <c r="R250" i="17"/>
  <c r="T250" i="17" s="1"/>
  <c r="R249" i="17"/>
  <c r="T249" i="17" s="1"/>
  <c r="R248" i="17"/>
  <c r="S248" i="17" s="1"/>
  <c r="R247" i="17"/>
  <c r="R246" i="17"/>
  <c r="T246" i="17" s="1"/>
  <c r="R245" i="17"/>
  <c r="T245" i="17" s="1"/>
  <c r="R244" i="17"/>
  <c r="T244" i="17" s="1"/>
  <c r="R243" i="17"/>
  <c r="R242" i="17"/>
  <c r="T242" i="17" s="1"/>
  <c r="R241" i="17"/>
  <c r="R240" i="17"/>
  <c r="T240" i="17" s="1"/>
  <c r="R239" i="17"/>
  <c r="R238" i="17"/>
  <c r="T238" i="17" s="1"/>
  <c r="R237" i="17"/>
  <c r="R236" i="17"/>
  <c r="S236" i="17" s="1"/>
  <c r="R235" i="17"/>
  <c r="R234" i="17"/>
  <c r="T234" i="17" s="1"/>
  <c r="R233" i="17"/>
  <c r="R232" i="17"/>
  <c r="S232" i="17" s="1"/>
  <c r="R231" i="17"/>
  <c r="R230" i="17"/>
  <c r="S230" i="17" s="1"/>
  <c r="R229" i="17"/>
  <c r="S229" i="17" s="1"/>
  <c r="R228" i="17"/>
  <c r="T228" i="17" s="1"/>
  <c r="R227" i="17"/>
  <c r="S227" i="17" s="1"/>
  <c r="R226" i="17"/>
  <c r="R225" i="17"/>
  <c r="S225" i="17" s="1"/>
  <c r="R224" i="17"/>
  <c r="R223" i="17"/>
  <c r="R222" i="17"/>
  <c r="S222" i="17" s="1"/>
  <c r="R221" i="17"/>
  <c r="T221" i="17" s="1"/>
  <c r="R220" i="17"/>
  <c r="S220" i="17" s="1"/>
  <c r="R219" i="17"/>
  <c r="R218" i="17"/>
  <c r="T218" i="17" s="1"/>
  <c r="R217" i="17"/>
  <c r="S217" i="17" s="1"/>
  <c r="R216" i="17"/>
  <c r="S216" i="17" s="1"/>
  <c r="R215" i="17"/>
  <c r="R214" i="17"/>
  <c r="S214" i="17" s="1"/>
  <c r="R213" i="17"/>
  <c r="R212" i="17"/>
  <c r="S212" i="17" s="1"/>
  <c r="R211" i="17"/>
  <c r="R210" i="17"/>
  <c r="T210" i="17" s="1"/>
  <c r="R209" i="17"/>
  <c r="R208" i="17"/>
  <c r="S208" i="17" s="1"/>
  <c r="R207" i="17"/>
  <c r="R206" i="17"/>
  <c r="T206" i="17" s="1"/>
  <c r="R205" i="17"/>
  <c r="R204" i="17"/>
  <c r="R203" i="17"/>
  <c r="R202" i="17"/>
  <c r="T202" i="17" s="1"/>
  <c r="R201" i="17"/>
  <c r="S201" i="17" s="1"/>
  <c r="R200" i="17"/>
  <c r="S200" i="17" s="1"/>
  <c r="R199" i="17"/>
  <c r="R198" i="17"/>
  <c r="T198" i="17" s="1"/>
  <c r="R197" i="17"/>
  <c r="R196" i="17"/>
  <c r="S196" i="17" s="1"/>
  <c r="R195" i="17"/>
  <c r="R194" i="17"/>
  <c r="T194" i="17" s="1"/>
  <c r="R193" i="17"/>
  <c r="S193" i="17" s="1"/>
  <c r="R192" i="17"/>
  <c r="R191" i="17"/>
  <c r="R190" i="17"/>
  <c r="S190" i="17" s="1"/>
  <c r="R189" i="17"/>
  <c r="R188" i="17"/>
  <c r="S188" i="17" s="1"/>
  <c r="R187" i="17"/>
  <c r="R186" i="17"/>
  <c r="S186" i="17" s="1"/>
  <c r="R185" i="17"/>
  <c r="R184" i="17"/>
  <c r="T184" i="17" s="1"/>
  <c r="R183" i="17"/>
  <c r="R182" i="17"/>
  <c r="S182" i="17" s="1"/>
  <c r="R181" i="17"/>
  <c r="R180" i="17"/>
  <c r="S180" i="17" s="1"/>
  <c r="R179" i="17"/>
  <c r="R178" i="17"/>
  <c r="R177" i="17"/>
  <c r="R176" i="17"/>
  <c r="R175" i="17"/>
  <c r="R174" i="17"/>
  <c r="T174" i="17" s="1"/>
  <c r="R173" i="17"/>
  <c r="R172" i="17"/>
  <c r="S172" i="17" s="1"/>
  <c r="R171" i="17"/>
  <c r="R170" i="17"/>
  <c r="R169" i="17"/>
  <c r="R168" i="17"/>
  <c r="R167" i="17"/>
  <c r="S167" i="17" s="1"/>
  <c r="R166" i="17"/>
  <c r="R165" i="17"/>
  <c r="R164" i="17"/>
  <c r="S164" i="17" s="1"/>
  <c r="R163" i="17"/>
  <c r="R162" i="17"/>
  <c r="S162" i="17" s="1"/>
  <c r="R161" i="17"/>
  <c r="R160" i="17"/>
  <c r="T160" i="17" s="1"/>
  <c r="R159" i="17"/>
  <c r="R158" i="17"/>
  <c r="R157" i="17"/>
  <c r="R156" i="17"/>
  <c r="S156" i="17" s="1"/>
  <c r="R155" i="17"/>
  <c r="R154" i="17"/>
  <c r="R153" i="17"/>
  <c r="R152" i="17"/>
  <c r="T152" i="17" s="1"/>
  <c r="R151" i="17"/>
  <c r="R150" i="17"/>
  <c r="R149" i="17"/>
  <c r="R148" i="17"/>
  <c r="R147" i="17"/>
  <c r="R146" i="17"/>
  <c r="S146" i="17" s="1"/>
  <c r="R145" i="17"/>
  <c r="R144" i="17"/>
  <c r="S144" i="17" s="1"/>
  <c r="R143" i="17"/>
  <c r="R142" i="17"/>
  <c r="R141" i="17"/>
  <c r="R140" i="17"/>
  <c r="R139" i="17"/>
  <c r="R138" i="17"/>
  <c r="R137" i="17"/>
  <c r="R136" i="17"/>
  <c r="T136" i="17" s="1"/>
  <c r="R135" i="17"/>
  <c r="R134" i="17"/>
  <c r="T134" i="17" s="1"/>
  <c r="R133" i="17"/>
  <c r="R132" i="17"/>
  <c r="R131" i="17"/>
  <c r="T131" i="17" s="1"/>
  <c r="R130" i="17"/>
  <c r="R129" i="17"/>
  <c r="S129" i="17" s="1"/>
  <c r="R128" i="17"/>
  <c r="S128" i="17" s="1"/>
  <c r="R127" i="17"/>
  <c r="R126" i="17"/>
  <c r="R125" i="17"/>
  <c r="T125" i="17" s="1"/>
  <c r="R124" i="17"/>
  <c r="S124" i="17" s="1"/>
  <c r="R123" i="17"/>
  <c r="R122" i="17"/>
  <c r="R121" i="17"/>
  <c r="S121" i="17" s="1"/>
  <c r="R120" i="17"/>
  <c r="S120" i="17" s="1"/>
  <c r="R119" i="17"/>
  <c r="R118" i="17"/>
  <c r="R117" i="17"/>
  <c r="R116" i="17"/>
  <c r="T116" i="17" s="1"/>
  <c r="R115" i="17"/>
  <c r="R114" i="17"/>
  <c r="R113" i="17"/>
  <c r="R112" i="17"/>
  <c r="T112" i="17" s="1"/>
  <c r="R111" i="17"/>
  <c r="R110" i="17"/>
  <c r="S110" i="17" s="1"/>
  <c r="R109" i="17"/>
  <c r="S109" i="17" s="1"/>
  <c r="R108" i="17"/>
  <c r="S108" i="17" s="1"/>
  <c r="R107" i="17"/>
  <c r="R106" i="17"/>
  <c r="T106" i="17" s="1"/>
  <c r="R105" i="17"/>
  <c r="S105" i="17" s="1"/>
  <c r="R104" i="17"/>
  <c r="T104" i="17" s="1"/>
  <c r="R103" i="17"/>
  <c r="R102" i="17"/>
  <c r="S102" i="17" s="1"/>
  <c r="R101" i="17"/>
  <c r="T101" i="17" s="1"/>
  <c r="R100" i="17"/>
  <c r="T100" i="17" s="1"/>
  <c r="R99" i="17"/>
  <c r="R98" i="17"/>
  <c r="T98" i="17" s="1"/>
  <c r="R97" i="17"/>
  <c r="R96" i="17"/>
  <c r="S96" i="17" s="1"/>
  <c r="R95" i="17"/>
  <c r="R94" i="17"/>
  <c r="S94" i="17" s="1"/>
  <c r="R93" i="17"/>
  <c r="T93" i="17" s="1"/>
  <c r="R92" i="17"/>
  <c r="S92" i="17" s="1"/>
  <c r="R91" i="17"/>
  <c r="T91" i="17" s="1"/>
  <c r="R90" i="17"/>
  <c r="S90" i="17" s="1"/>
  <c r="R89" i="17"/>
  <c r="T89" i="17" s="1"/>
  <c r="R88" i="17"/>
  <c r="T88" i="17" s="1"/>
  <c r="R87" i="17"/>
  <c r="S87" i="17" s="1"/>
  <c r="R86" i="17"/>
  <c r="S86" i="17" s="1"/>
  <c r="R85" i="17"/>
  <c r="R84" i="17"/>
  <c r="S84" i="17" s="1"/>
  <c r="R83" i="17"/>
  <c r="S83" i="17" s="1"/>
  <c r="R82" i="17"/>
  <c r="S82" i="17" s="1"/>
  <c r="R81" i="17"/>
  <c r="R80" i="17"/>
  <c r="S80" i="17" s="1"/>
  <c r="R79" i="17"/>
  <c r="R78" i="17"/>
  <c r="T78" i="17" s="1"/>
  <c r="R77" i="17"/>
  <c r="R76" i="17"/>
  <c r="T76" i="17" s="1"/>
  <c r="R75" i="17"/>
  <c r="T75" i="17" s="1"/>
  <c r="R74" i="17"/>
  <c r="R73" i="17"/>
  <c r="R72" i="17"/>
  <c r="T72" i="17" s="1"/>
  <c r="R71" i="17"/>
  <c r="R70" i="17"/>
  <c r="S70" i="17" s="1"/>
  <c r="R69" i="17"/>
  <c r="R68" i="17"/>
  <c r="R67" i="17"/>
  <c r="R66" i="17"/>
  <c r="T66" i="17" s="1"/>
  <c r="R65" i="17"/>
  <c r="S65" i="17" s="1"/>
  <c r="R64" i="17"/>
  <c r="S64" i="17" s="1"/>
  <c r="R63" i="17"/>
  <c r="R62" i="17"/>
  <c r="S62" i="17" s="1"/>
  <c r="R61" i="17"/>
  <c r="R60" i="17"/>
  <c r="T60" i="17" s="1"/>
  <c r="R59" i="17"/>
  <c r="R58" i="17"/>
  <c r="S58" i="17" s="1"/>
  <c r="R57" i="17"/>
  <c r="R56" i="17"/>
  <c r="S56" i="17" s="1"/>
  <c r="R55" i="17"/>
  <c r="R54" i="17"/>
  <c r="T54" i="17" s="1"/>
  <c r="R53" i="17"/>
  <c r="R52" i="17"/>
  <c r="S52" i="17" s="1"/>
  <c r="R51" i="17"/>
  <c r="R50" i="17"/>
  <c r="R49" i="17"/>
  <c r="S49" i="17" s="1"/>
  <c r="R48" i="17"/>
  <c r="T48" i="17" s="1"/>
  <c r="R47" i="17"/>
  <c r="R46" i="17"/>
  <c r="R45" i="17"/>
  <c r="R44" i="17"/>
  <c r="S44" i="17" s="1"/>
  <c r="R43" i="17"/>
  <c r="S43" i="17" s="1"/>
  <c r="R42" i="17"/>
  <c r="S42" i="17" s="1"/>
  <c r="R41" i="17"/>
  <c r="R40" i="17"/>
  <c r="S40" i="17" s="1"/>
  <c r="R39" i="17"/>
  <c r="R38" i="17"/>
  <c r="S38" i="17" s="1"/>
  <c r="R37" i="17"/>
  <c r="R36" i="17"/>
  <c r="R35" i="17"/>
  <c r="T35" i="17" s="1"/>
  <c r="R34" i="17"/>
  <c r="R33" i="17"/>
  <c r="S33" i="17" s="1"/>
  <c r="R32" i="17"/>
  <c r="R31" i="17"/>
  <c r="R30" i="17"/>
  <c r="T30" i="17" s="1"/>
  <c r="R29" i="17"/>
  <c r="R28" i="17"/>
  <c r="S28" i="17" s="1"/>
  <c r="R27" i="17"/>
  <c r="R26" i="17"/>
  <c r="S26" i="17" s="1"/>
  <c r="R25" i="17"/>
  <c r="R24" i="17"/>
  <c r="T24" i="17" s="1"/>
  <c r="R23" i="17"/>
  <c r="R22" i="17"/>
  <c r="R21" i="17"/>
  <c r="T21" i="17" s="1"/>
  <c r="R20" i="17"/>
  <c r="S20" i="17" s="1"/>
  <c r="R19" i="17"/>
  <c r="R18" i="17"/>
  <c r="R17" i="17"/>
  <c r="R2" i="17"/>
  <c r="R16" i="17"/>
  <c r="R15" i="17"/>
  <c r="R14" i="17"/>
  <c r="R13" i="17"/>
  <c r="T13" i="17" s="1"/>
  <c r="R12" i="17"/>
  <c r="R11" i="17"/>
  <c r="R10" i="17"/>
  <c r="R9" i="17"/>
  <c r="T9" i="17" s="1"/>
  <c r="R8" i="17"/>
  <c r="R7" i="17"/>
  <c r="T7" i="17" s="1"/>
  <c r="R6" i="17"/>
  <c r="R5" i="17"/>
  <c r="R4" i="17"/>
  <c r="T4" i="17" s="1"/>
  <c r="R3" i="17"/>
  <c r="T3" i="17" s="1"/>
  <c r="AO528" i="1"/>
  <c r="AO532" i="1" s="1"/>
  <c r="AP560" i="1"/>
  <c r="AP559" i="1"/>
  <c r="AP558" i="1"/>
  <c r="AP557" i="1"/>
  <c r="AP556" i="1"/>
  <c r="AP555" i="1"/>
  <c r="AP554" i="1"/>
  <c r="AP553" i="1"/>
  <c r="AP552" i="1"/>
  <c r="AP549" i="1"/>
  <c r="AP548" i="1"/>
  <c r="AP547" i="1"/>
  <c r="AP546" i="1"/>
  <c r="AP545" i="1"/>
  <c r="AP544" i="1"/>
  <c r="AP543" i="1"/>
  <c r="AP542" i="1"/>
  <c r="AP541" i="1"/>
  <c r="AP538" i="1"/>
  <c r="AP537" i="1"/>
  <c r="AP536" i="1"/>
  <c r="AP535" i="1"/>
  <c r="AP534" i="1"/>
  <c r="AP533" i="1"/>
  <c r="AP532" i="1"/>
  <c r="AP531" i="1"/>
  <c r="AP530" i="1"/>
  <c r="N20" i="16"/>
  <c r="G21" i="2" s="1"/>
  <c r="N19" i="16"/>
  <c r="F21" i="2" s="1"/>
  <c r="C1" i="1"/>
  <c r="D1" i="1"/>
  <c r="D20" i="1"/>
  <c r="D18" i="1"/>
  <c r="H9" i="16"/>
  <c r="D19" i="1"/>
  <c r="D11" i="1"/>
  <c r="K9" i="1"/>
  <c r="B570" i="1" s="1"/>
  <c r="D5" i="1"/>
  <c r="D7" i="1"/>
  <c r="D8" i="1"/>
  <c r="Q528" i="1"/>
  <c r="Q535" i="1" s="1"/>
  <c r="D17" i="1"/>
  <c r="J9" i="1"/>
  <c r="R81" i="1"/>
  <c r="R82" i="1"/>
  <c r="R83" i="1"/>
  <c r="R84" i="1"/>
  <c r="R85" i="1"/>
  <c r="R86" i="1"/>
  <c r="R87" i="1"/>
  <c r="R88" i="1"/>
  <c r="R89" i="1"/>
  <c r="R90" i="1"/>
  <c r="R91" i="1"/>
  <c r="R92" i="1"/>
  <c r="R94" i="1"/>
  <c r="R96" i="1"/>
  <c r="R97" i="1"/>
  <c r="R98" i="1"/>
  <c r="R99" i="1"/>
  <c r="R100" i="1"/>
  <c r="R101" i="1"/>
  <c r="E1" i="1"/>
  <c r="D2" i="19"/>
  <c r="DM116" i="2" a="1"/>
  <c r="DM122" i="2" a="1"/>
  <c r="DM118" i="2" a="1"/>
  <c r="DM126" i="2" a="1"/>
  <c r="DM128" i="2" a="1"/>
  <c r="DM124" i="2" a="1"/>
  <c r="DM120" i="2" a="1"/>
  <c r="DM530" i="2" a="1"/>
  <c r="DM518" i="2" a="1"/>
  <c r="DM520" i="2" a="1"/>
  <c r="DM528" i="2" a="1"/>
  <c r="DM524" i="2" a="1"/>
  <c r="DM526" i="2" a="1"/>
  <c r="DM522" i="2" a="1"/>
  <c r="DM120" i="2" l="1"/>
  <c r="EG120" i="2" s="1"/>
  <c r="DM124" i="2"/>
  <c r="EG124" i="2" s="1"/>
  <c r="DM128" i="2"/>
  <c r="EG128" i="2" s="1"/>
  <c r="DM126" i="2"/>
  <c r="EG126" i="2" s="1"/>
  <c r="DM118" i="2"/>
  <c r="EG118" i="2" s="1"/>
  <c r="DM122" i="2"/>
  <c r="EG122" i="2" s="1"/>
  <c r="DM116" i="2"/>
  <c r="DM530" i="2"/>
  <c r="EG530" i="2" s="1"/>
  <c r="DM528" i="2"/>
  <c r="EG528" i="2" s="1"/>
  <c r="DM526" i="2"/>
  <c r="EG526" i="2" s="1"/>
  <c r="DM524" i="2"/>
  <c r="EG524" i="2" s="1"/>
  <c r="DM522" i="2"/>
  <c r="EG522" i="2" s="1"/>
  <c r="DM520" i="2"/>
  <c r="EG520" i="2" s="1"/>
  <c r="DM518" i="2"/>
  <c r="EG518" i="2" s="1"/>
  <c r="S685" i="17"/>
  <c r="U685" i="17" s="1"/>
  <c r="AH19" i="28"/>
  <c r="S553" i="17"/>
  <c r="U553" i="17" s="1"/>
  <c r="T665" i="17"/>
  <c r="U665" i="17" s="1"/>
  <c r="D12" i="1"/>
  <c r="D6" i="1"/>
  <c r="A812" i="1"/>
  <c r="AO556" i="1"/>
  <c r="D9" i="1"/>
  <c r="E686" i="1" s="1"/>
  <c r="AO547" i="1"/>
  <c r="AO546" i="1"/>
  <c r="AO550" i="1"/>
  <c r="AO536" i="1"/>
  <c r="AO557" i="1"/>
  <c r="AO548" i="1"/>
  <c r="AO553" i="1"/>
  <c r="T549" i="17"/>
  <c r="U549" i="17" s="1"/>
  <c r="CF1" i="1"/>
  <c r="S452" i="17"/>
  <c r="U452" i="17" s="1"/>
  <c r="S101" i="17"/>
  <c r="U101" i="17" s="1"/>
  <c r="T637" i="17"/>
  <c r="U637" i="17" s="1"/>
  <c r="S325" i="17"/>
  <c r="U325" i="17" s="1"/>
  <c r="S449" i="17"/>
  <c r="U449" i="17" s="1"/>
  <c r="T389" i="17"/>
  <c r="U389" i="17" s="1"/>
  <c r="S645" i="17"/>
  <c r="U645" i="17" s="1"/>
  <c r="S693" i="17"/>
  <c r="U693" i="17" s="1"/>
  <c r="T49" i="17"/>
  <c r="U49" i="17" s="1"/>
  <c r="T201" i="17"/>
  <c r="U201" i="17" s="1"/>
  <c r="T617" i="17"/>
  <c r="U617" i="17" s="1"/>
  <c r="S633" i="17"/>
  <c r="U633" i="17" s="1"/>
  <c r="T681" i="17"/>
  <c r="U681" i="17" s="1"/>
  <c r="T653" i="17"/>
  <c r="U653" i="17" s="1"/>
  <c r="S373" i="17"/>
  <c r="U373" i="17" s="1"/>
  <c r="T261" i="17"/>
  <c r="U261" i="17" s="1"/>
  <c r="T677" i="17"/>
  <c r="U677" i="17" s="1"/>
  <c r="T489" i="17"/>
  <c r="U489" i="17" s="1"/>
  <c r="S425" i="17"/>
  <c r="U425" i="17" s="1"/>
  <c r="S613" i="17"/>
  <c r="U613" i="17" s="1"/>
  <c r="S381" i="17"/>
  <c r="U381" i="17" s="1"/>
  <c r="S417" i="17"/>
  <c r="U417" i="17" s="1"/>
  <c r="S697" i="17"/>
  <c r="U697" i="17" s="1"/>
  <c r="T689" i="17"/>
  <c r="U689" i="17" s="1"/>
  <c r="S597" i="17"/>
  <c r="U597" i="17" s="1"/>
  <c r="T669" i="17"/>
  <c r="U669" i="17" s="1"/>
  <c r="T121" i="17"/>
  <c r="U121" i="17" s="1"/>
  <c r="D66" i="18" s="1"/>
  <c r="S573" i="17"/>
  <c r="U573" i="17" s="1"/>
  <c r="S321" i="17"/>
  <c r="U321" i="17" s="1"/>
  <c r="T365" i="17"/>
  <c r="U365" i="17" s="1"/>
  <c r="T405" i="17"/>
  <c r="U405" i="17" s="1"/>
  <c r="T589" i="17"/>
  <c r="U589" i="17" s="1"/>
  <c r="S447" i="17"/>
  <c r="U447" i="17" s="1"/>
  <c r="D68" i="18" s="1"/>
  <c r="S604" i="17"/>
  <c r="U604" i="17" s="1"/>
  <c r="S652" i="17"/>
  <c r="U652" i="17" s="1"/>
  <c r="T676" i="17"/>
  <c r="U676" i="17" s="1"/>
  <c r="T644" i="17"/>
  <c r="U644" i="17" s="1"/>
  <c r="T520" i="17"/>
  <c r="U520" i="17" s="1"/>
  <c r="T552" i="17"/>
  <c r="U552" i="17" s="1"/>
  <c r="T472" i="17"/>
  <c r="U472" i="17" s="1"/>
  <c r="S21" i="17"/>
  <c r="U21" i="17" s="1"/>
  <c r="D183" i="18" s="1"/>
  <c r="S608" i="17"/>
  <c r="U608" i="17" s="1"/>
  <c r="T656" i="17"/>
  <c r="U656" i="17" s="1"/>
  <c r="S484" i="17"/>
  <c r="U484" i="17" s="1"/>
  <c r="T592" i="17"/>
  <c r="U592" i="17" s="1"/>
  <c r="S620" i="17"/>
  <c r="U620" i="17" s="1"/>
  <c r="T488" i="17"/>
  <c r="U488" i="17" s="1"/>
  <c r="S376" i="17"/>
  <c r="U376" i="17" s="1"/>
  <c r="T672" i="17"/>
  <c r="U672" i="17" s="1"/>
  <c r="S584" i="17"/>
  <c r="U584" i="17" s="1"/>
  <c r="T668" i="17"/>
  <c r="U668" i="17" s="1"/>
  <c r="S512" i="17"/>
  <c r="U512" i="17" s="1"/>
  <c r="S464" i="17"/>
  <c r="U464" i="17" s="1"/>
  <c r="T640" i="17"/>
  <c r="U640" i="17" s="1"/>
  <c r="T193" i="17"/>
  <c r="U193" i="17" s="1"/>
  <c r="D139" i="18" s="1"/>
  <c r="T33" i="17"/>
  <c r="U33" i="17" s="1"/>
  <c r="D122" i="18" s="1"/>
  <c r="S245" i="17"/>
  <c r="U245" i="17" s="1"/>
  <c r="T105" i="17"/>
  <c r="U105" i="17" s="1"/>
  <c r="T225" i="17"/>
  <c r="U225" i="17" s="1"/>
  <c r="S333" i="17"/>
  <c r="U333" i="17" s="1"/>
  <c r="T129" i="17"/>
  <c r="U129" i="17" s="1"/>
  <c r="S293" i="17"/>
  <c r="U293" i="17" s="1"/>
  <c r="S184" i="17"/>
  <c r="U184" i="17" s="1"/>
  <c r="S312" i="17"/>
  <c r="U312" i="17" s="1"/>
  <c r="S152" i="17"/>
  <c r="U152" i="17" s="1"/>
  <c r="T128" i="17"/>
  <c r="U128" i="17" s="1"/>
  <c r="S48" i="17"/>
  <c r="U48" i="17" s="1"/>
  <c r="T190" i="17"/>
  <c r="U190" i="17" s="1"/>
  <c r="D142" i="18" s="1"/>
  <c r="T556" i="17"/>
  <c r="U556" i="17" s="1"/>
  <c r="T216" i="17"/>
  <c r="U216" i="17" s="1"/>
  <c r="T196" i="17"/>
  <c r="U196" i="17" s="1"/>
  <c r="T368" i="17"/>
  <c r="U368" i="17" s="1"/>
  <c r="S299" i="17"/>
  <c r="U299" i="17" s="1"/>
  <c r="T146" i="17"/>
  <c r="U146" i="17" s="1"/>
  <c r="D113" i="18" s="1"/>
  <c r="S374" i="17"/>
  <c r="U374" i="17" s="1"/>
  <c r="S24" i="17"/>
  <c r="U24" i="17" s="1"/>
  <c r="T124" i="17"/>
  <c r="U124" i="17" s="1"/>
  <c r="S530" i="17"/>
  <c r="U530" i="17" s="1"/>
  <c r="T578" i="17"/>
  <c r="U578" i="17" s="1"/>
  <c r="S566" i="17"/>
  <c r="U566" i="17" s="1"/>
  <c r="T486" i="17"/>
  <c r="U486" i="17" s="1"/>
  <c r="S246" i="17"/>
  <c r="U246" i="17" s="1"/>
  <c r="S326" i="17"/>
  <c r="U326" i="17" s="1"/>
  <c r="S174" i="17"/>
  <c r="U174" i="17" s="1"/>
  <c r="T674" i="17"/>
  <c r="U674" i="17" s="1"/>
  <c r="T84" i="17"/>
  <c r="U84" i="17" s="1"/>
  <c r="S630" i="17"/>
  <c r="U630" i="17" s="1"/>
  <c r="S13" i="17"/>
  <c r="U13" i="17" s="1"/>
  <c r="D174" i="18" s="1"/>
  <c r="S210" i="17"/>
  <c r="U210" i="17" s="1"/>
  <c r="D168" i="18" s="1"/>
  <c r="T186" i="17"/>
  <c r="U186" i="17" s="1"/>
  <c r="S418" i="17"/>
  <c r="U418" i="17" s="1"/>
  <c r="T546" i="17"/>
  <c r="U546" i="17" s="1"/>
  <c r="T466" i="17"/>
  <c r="U466" i="17" s="1"/>
  <c r="S467" i="17"/>
  <c r="U467" i="17" s="1"/>
  <c r="T642" i="17"/>
  <c r="U642" i="17" s="1"/>
  <c r="S91" i="17"/>
  <c r="U91" i="17" s="1"/>
  <c r="D82" i="18" s="1"/>
  <c r="T414" i="17"/>
  <c r="U414" i="17" s="1"/>
  <c r="T595" i="17"/>
  <c r="U595" i="17" s="1"/>
  <c r="T598" i="17"/>
  <c r="U598" i="17" s="1"/>
  <c r="S254" i="17"/>
  <c r="U254" i="17" s="1"/>
  <c r="S54" i="17"/>
  <c r="U54" i="17" s="1"/>
  <c r="D163" i="18" s="1"/>
  <c r="S198" i="17"/>
  <c r="U198" i="17" s="1"/>
  <c r="S270" i="17"/>
  <c r="U270" i="17" s="1"/>
  <c r="T694" i="17"/>
  <c r="U694" i="17" s="1"/>
  <c r="T182" i="17"/>
  <c r="U182" i="17" s="1"/>
  <c r="S602" i="17"/>
  <c r="U602" i="17" s="1"/>
  <c r="S394" i="17"/>
  <c r="U394" i="17" s="1"/>
  <c r="S286" i="17"/>
  <c r="U286" i="17" s="1"/>
  <c r="S522" i="17"/>
  <c r="U522" i="17" s="1"/>
  <c r="S442" i="17"/>
  <c r="U442" i="17" s="1"/>
  <c r="S206" i="17"/>
  <c r="U206" i="17" s="1"/>
  <c r="D136" i="18" s="1"/>
  <c r="T94" i="17"/>
  <c r="U94" i="17" s="1"/>
  <c r="S544" i="17"/>
  <c r="U544" i="17" s="1"/>
  <c r="T490" i="17"/>
  <c r="U490" i="17" s="1"/>
  <c r="S678" i="17"/>
  <c r="U678" i="17" s="1"/>
  <c r="T316" i="17"/>
  <c r="U316" i="17" s="1"/>
  <c r="T582" i="17"/>
  <c r="U582" i="17" s="1"/>
  <c r="S344" i="17"/>
  <c r="U344" i="17" s="1"/>
  <c r="T686" i="17"/>
  <c r="U686" i="17" s="1"/>
  <c r="T416" i="17"/>
  <c r="U416" i="17" s="1"/>
  <c r="T56" i="17"/>
  <c r="U56" i="17" s="1"/>
  <c r="D161" i="18" s="1"/>
  <c r="T90" i="17"/>
  <c r="U90" i="17" s="1"/>
  <c r="D83" i="18" s="1"/>
  <c r="S502" i="17"/>
  <c r="U502" i="17" s="1"/>
  <c r="T431" i="17"/>
  <c r="U431" i="17" s="1"/>
  <c r="T232" i="17"/>
  <c r="U232" i="17" s="1"/>
  <c r="T212" i="17"/>
  <c r="U212" i="17" s="1"/>
  <c r="T626" i="17"/>
  <c r="U626" i="17" s="1"/>
  <c r="T662" i="17"/>
  <c r="U662" i="17" s="1"/>
  <c r="S610" i="17"/>
  <c r="U610" i="17" s="1"/>
  <c r="S614" i="17"/>
  <c r="U614" i="17" s="1"/>
  <c r="T487" i="17"/>
  <c r="U487" i="17" s="1"/>
  <c r="S516" i="17"/>
  <c r="U516" i="17" s="1"/>
  <c r="T82" i="17"/>
  <c r="U82" i="17" s="1"/>
  <c r="S160" i="17"/>
  <c r="U160" i="17" s="1"/>
  <c r="T574" i="17"/>
  <c r="U574" i="17" s="1"/>
  <c r="S302" i="17"/>
  <c r="U302" i="17" s="1"/>
  <c r="S470" i="17"/>
  <c r="U470" i="17" s="1"/>
  <c r="D25" i="18" s="1"/>
  <c r="T108" i="17"/>
  <c r="U108" i="17" s="1"/>
  <c r="S458" i="17"/>
  <c r="U458" i="17" s="1"/>
  <c r="S446" i="17"/>
  <c r="U446" i="17" s="1"/>
  <c r="T402" i="17"/>
  <c r="U402" i="17" s="1"/>
  <c r="S354" i="17"/>
  <c r="U354" i="17" s="1"/>
  <c r="S98" i="17"/>
  <c r="U98" i="17" s="1"/>
  <c r="T144" i="17"/>
  <c r="U144" i="17" s="1"/>
  <c r="S384" i="17"/>
  <c r="U384" i="17" s="1"/>
  <c r="T514" i="17"/>
  <c r="U514" i="17" s="1"/>
  <c r="S450" i="17"/>
  <c r="U450" i="17" s="1"/>
  <c r="T542" i="17"/>
  <c r="U542" i="17" s="1"/>
  <c r="S518" i="17"/>
  <c r="U518" i="17" s="1"/>
  <c r="S482" i="17"/>
  <c r="U482" i="17" s="1"/>
  <c r="T462" i="17"/>
  <c r="U462" i="17" s="1"/>
  <c r="S554" i="17"/>
  <c r="U554" i="17" s="1"/>
  <c r="S698" i="17"/>
  <c r="U698" i="17" s="1"/>
  <c r="T322" i="17"/>
  <c r="U322" i="17" s="1"/>
  <c r="S250" i="17"/>
  <c r="U250" i="17" s="1"/>
  <c r="T220" i="17"/>
  <c r="U220" i="17" s="1"/>
  <c r="T690" i="17"/>
  <c r="U690" i="17" s="1"/>
  <c r="T634" i="17"/>
  <c r="U634" i="17" s="1"/>
  <c r="S304" i="17"/>
  <c r="U304" i="17" s="1"/>
  <c r="S262" i="17"/>
  <c r="U262" i="17" s="1"/>
  <c r="T658" i="17"/>
  <c r="U658" i="17" s="1"/>
  <c r="S430" i="17"/>
  <c r="U430" i="17" s="1"/>
  <c r="S666" i="17"/>
  <c r="U666" i="17" s="1"/>
  <c r="T426" i="17"/>
  <c r="U426" i="17" s="1"/>
  <c r="S480" i="17"/>
  <c r="U480" i="17" s="1"/>
  <c r="S422" i="17"/>
  <c r="U422" i="17" s="1"/>
  <c r="T290" i="17"/>
  <c r="U290" i="17" s="1"/>
  <c r="T330" i="17"/>
  <c r="U330" i="17" s="1"/>
  <c r="D153" i="18" s="1"/>
  <c r="S218" i="17"/>
  <c r="U218" i="17" s="1"/>
  <c r="T550" i="17"/>
  <c r="U550" i="17" s="1"/>
  <c r="T538" i="17"/>
  <c r="U538" i="17" s="1"/>
  <c r="D14" i="18" s="1"/>
  <c r="S498" i="17"/>
  <c r="U498" i="17" s="1"/>
  <c r="T474" i="17"/>
  <c r="U474" i="17" s="1"/>
  <c r="T434" i="17"/>
  <c r="U434" i="17" s="1"/>
  <c r="S282" i="17"/>
  <c r="U282" i="17" s="1"/>
  <c r="T558" i="17"/>
  <c r="U558" i="17" s="1"/>
  <c r="S78" i="17"/>
  <c r="U78" i="17" s="1"/>
  <c r="T42" i="17"/>
  <c r="U42" i="17" s="1"/>
  <c r="S438" i="17"/>
  <c r="U438" i="17" s="1"/>
  <c r="S478" i="17"/>
  <c r="U478" i="17" s="1"/>
  <c r="S350" i="17"/>
  <c r="U350" i="17" s="1"/>
  <c r="T70" i="17"/>
  <c r="U70" i="17" s="1"/>
  <c r="S298" i="17"/>
  <c r="U298" i="17" s="1"/>
  <c r="S342" i="17"/>
  <c r="U342" i="17" s="1"/>
  <c r="S334" i="17"/>
  <c r="U334" i="17" s="1"/>
  <c r="T534" i="17"/>
  <c r="U534" i="17" s="1"/>
  <c r="T650" i="17"/>
  <c r="U650" i="17" s="1"/>
  <c r="T562" i="17"/>
  <c r="U562" i="17" s="1"/>
  <c r="S294" i="17"/>
  <c r="U294" i="17" s="1"/>
  <c r="S258" i="17"/>
  <c r="U258" i="17" s="1"/>
  <c r="T86" i="17"/>
  <c r="U86" i="17" s="1"/>
  <c r="T20" i="17"/>
  <c r="U20" i="17" s="1"/>
  <c r="D182" i="18" s="1"/>
  <c r="T260" i="17"/>
  <c r="U260" i="17" s="1"/>
  <c r="S228" i="17"/>
  <c r="U228" i="17" s="1"/>
  <c r="T214" i="17"/>
  <c r="U214" i="17" s="1"/>
  <c r="D132" i="18" s="1"/>
  <c r="T570" i="17"/>
  <c r="U570" i="17" s="1"/>
  <c r="T506" i="17"/>
  <c r="U506" i="17" s="1"/>
  <c r="S454" i="17"/>
  <c r="U454" i="17" s="1"/>
  <c r="D51" i="18" s="1"/>
  <c r="S244" i="17"/>
  <c r="U244" i="17" s="1"/>
  <c r="S238" i="17"/>
  <c r="U238" i="17" s="1"/>
  <c r="T266" i="17"/>
  <c r="U266" i="17" s="1"/>
  <c r="T358" i="17"/>
  <c r="U358" i="17" s="1"/>
  <c r="T208" i="17"/>
  <c r="U208" i="17" s="1"/>
  <c r="D134" i="18" s="1"/>
  <c r="S356" i="17"/>
  <c r="U356" i="17" s="1"/>
  <c r="S646" i="17"/>
  <c r="U646" i="17" s="1"/>
  <c r="T654" i="17"/>
  <c r="U654" i="17" s="1"/>
  <c r="T346" i="17"/>
  <c r="U346" i="17" s="1"/>
  <c r="T618" i="17"/>
  <c r="U618" i="17" s="1"/>
  <c r="S622" i="17"/>
  <c r="U622" i="17" s="1"/>
  <c r="T336" i="17"/>
  <c r="U336" i="17" s="1"/>
  <c r="S66" i="17"/>
  <c r="U66" i="17" s="1"/>
  <c r="T230" i="17"/>
  <c r="U230" i="17" s="1"/>
  <c r="T256" i="17"/>
  <c r="U256" i="17" s="1"/>
  <c r="T222" i="17"/>
  <c r="U222" i="17" s="1"/>
  <c r="D166" i="18" s="1"/>
  <c r="S638" i="17"/>
  <c r="U638" i="17" s="1"/>
  <c r="S504" i="17"/>
  <c r="U504" i="17" s="1"/>
  <c r="S3" i="17"/>
  <c r="U3" i="17" s="1"/>
  <c r="D179" i="18" s="1"/>
  <c r="T588" i="17"/>
  <c r="U588" i="17" s="1"/>
  <c r="T526" i="17"/>
  <c r="U526" i="17" s="1"/>
  <c r="T510" i="17"/>
  <c r="U510" i="17" s="1"/>
  <c r="S364" i="17"/>
  <c r="U364" i="17" s="1"/>
  <c r="S338" i="17"/>
  <c r="U338" i="17" s="1"/>
  <c r="T188" i="17"/>
  <c r="U188" i="17" s="1"/>
  <c r="S310" i="17"/>
  <c r="U310" i="17" s="1"/>
  <c r="T314" i="17"/>
  <c r="U314" i="17" s="1"/>
  <c r="T96" i="17"/>
  <c r="U96" i="17" s="1"/>
  <c r="S88" i="17"/>
  <c r="U88" i="17" s="1"/>
  <c r="S106" i="17"/>
  <c r="U106" i="17" s="1"/>
  <c r="S296" i="17"/>
  <c r="U296" i="17" s="1"/>
  <c r="T494" i="17"/>
  <c r="U494" i="17" s="1"/>
  <c r="S112" i="17"/>
  <c r="U112" i="17" s="1"/>
  <c r="S100" i="17"/>
  <c r="U100" i="17" s="1"/>
  <c r="T586" i="17"/>
  <c r="U586" i="17" s="1"/>
  <c r="T606" i="17"/>
  <c r="U606" i="17" s="1"/>
  <c r="S320" i="17"/>
  <c r="U320" i="17" s="1"/>
  <c r="T110" i="17"/>
  <c r="U110" i="17" s="1"/>
  <c r="T318" i="17"/>
  <c r="U318" i="17" s="1"/>
  <c r="T492" i="17"/>
  <c r="U492" i="17" s="1"/>
  <c r="S242" i="17"/>
  <c r="U242" i="17" s="1"/>
  <c r="S363" i="17"/>
  <c r="U363" i="17" s="1"/>
  <c r="S8" i="17"/>
  <c r="T8" i="17"/>
  <c r="S51" i="17"/>
  <c r="T51" i="17"/>
  <c r="T59" i="17"/>
  <c r="S59" i="17"/>
  <c r="T63" i="17"/>
  <c r="S63" i="17"/>
  <c r="T107" i="17"/>
  <c r="S107" i="17"/>
  <c r="T135" i="17"/>
  <c r="S135" i="17"/>
  <c r="S143" i="17"/>
  <c r="T143" i="17"/>
  <c r="S151" i="17"/>
  <c r="T151" i="17"/>
  <c r="T155" i="17"/>
  <c r="S155" i="17"/>
  <c r="S171" i="17"/>
  <c r="T171" i="17"/>
  <c r="T179" i="17"/>
  <c r="S179" i="17"/>
  <c r="T183" i="17"/>
  <c r="S183" i="17"/>
  <c r="S191" i="17"/>
  <c r="T191" i="17"/>
  <c r="S203" i="17"/>
  <c r="T203" i="17"/>
  <c r="S235" i="17"/>
  <c r="T235" i="17"/>
  <c r="S239" i="17"/>
  <c r="T239" i="17"/>
  <c r="T271" i="17"/>
  <c r="S271" i="17"/>
  <c r="T283" i="17"/>
  <c r="S283" i="17"/>
  <c r="T287" i="17"/>
  <c r="S287" i="17"/>
  <c r="S295" i="17"/>
  <c r="T295" i="17"/>
  <c r="T315" i="17"/>
  <c r="S315" i="17"/>
  <c r="T319" i="17"/>
  <c r="S319" i="17"/>
  <c r="T343" i="17"/>
  <c r="S343" i="17"/>
  <c r="T351" i="17"/>
  <c r="S351" i="17"/>
  <c r="T355" i="17"/>
  <c r="S355" i="17"/>
  <c r="T367" i="17"/>
  <c r="S367" i="17"/>
  <c r="S371" i="17"/>
  <c r="T371" i="17"/>
  <c r="T375" i="17"/>
  <c r="S375" i="17"/>
  <c r="T383" i="17"/>
  <c r="S383" i="17"/>
  <c r="T387" i="17"/>
  <c r="S387" i="17"/>
  <c r="S399" i="17"/>
  <c r="T399" i="17"/>
  <c r="T415" i="17"/>
  <c r="S415" i="17"/>
  <c r="T435" i="17"/>
  <c r="S435" i="17"/>
  <c r="T439" i="17"/>
  <c r="S439" i="17"/>
  <c r="S443" i="17"/>
  <c r="T443" i="17"/>
  <c r="S459" i="17"/>
  <c r="T459" i="17"/>
  <c r="S475" i="17"/>
  <c r="T475" i="17"/>
  <c r="T479" i="17"/>
  <c r="S479" i="17"/>
  <c r="S495" i="17"/>
  <c r="T495" i="17"/>
  <c r="S499" i="17"/>
  <c r="T499" i="17"/>
  <c r="S507" i="17"/>
  <c r="T507" i="17"/>
  <c r="S531" i="17"/>
  <c r="T531" i="17"/>
  <c r="T555" i="17"/>
  <c r="S555" i="17"/>
  <c r="S563" i="17"/>
  <c r="T563" i="17"/>
  <c r="T575" i="17"/>
  <c r="S575" i="17"/>
  <c r="T583" i="17"/>
  <c r="S583" i="17"/>
  <c r="T591" i="17"/>
  <c r="S591" i="17"/>
  <c r="S619" i="17"/>
  <c r="T619" i="17"/>
  <c r="T623" i="17"/>
  <c r="S623" i="17"/>
  <c r="S631" i="17"/>
  <c r="T631" i="17"/>
  <c r="T635" i="17"/>
  <c r="S635" i="17"/>
  <c r="T647" i="17"/>
  <c r="S647" i="17"/>
  <c r="S4" i="17"/>
  <c r="U4" i="17" s="1"/>
  <c r="D186" i="18" s="1"/>
  <c r="T663" i="17"/>
  <c r="U663" i="17" s="1"/>
  <c r="S551" i="17"/>
  <c r="U551" i="17" s="1"/>
  <c r="T407" i="17"/>
  <c r="U407" i="17" s="1"/>
  <c r="T87" i="17"/>
  <c r="U87" i="17" s="1"/>
  <c r="T307" i="17"/>
  <c r="U307" i="17" s="1"/>
  <c r="S32" i="17"/>
  <c r="T32" i="17"/>
  <c r="S291" i="17"/>
  <c r="U291" i="17" s="1"/>
  <c r="T471" i="17"/>
  <c r="U471" i="17" s="1"/>
  <c r="T167" i="17"/>
  <c r="U167" i="17" s="1"/>
  <c r="S483" i="17"/>
  <c r="U483" i="17" s="1"/>
  <c r="S423" i="17"/>
  <c r="U423" i="17" s="1"/>
  <c r="T43" i="17"/>
  <c r="U43" i="17" s="1"/>
  <c r="S539" i="17"/>
  <c r="U539" i="17" s="1"/>
  <c r="T29" i="17"/>
  <c r="S29" i="17"/>
  <c r="S12" i="17"/>
  <c r="T12" i="17"/>
  <c r="S16" i="17"/>
  <c r="T16" i="17"/>
  <c r="T47" i="17"/>
  <c r="S47" i="17"/>
  <c r="S55" i="17"/>
  <c r="T55" i="17"/>
  <c r="S67" i="17"/>
  <c r="T67" i="17"/>
  <c r="S71" i="17"/>
  <c r="T71" i="17"/>
  <c r="S79" i="17"/>
  <c r="T79" i="17"/>
  <c r="T123" i="17"/>
  <c r="S123" i="17"/>
  <c r="T127" i="17"/>
  <c r="S127" i="17"/>
  <c r="T139" i="17"/>
  <c r="S139" i="17"/>
  <c r="S147" i="17"/>
  <c r="T147" i="17"/>
  <c r="S159" i="17"/>
  <c r="T159" i="17"/>
  <c r="T163" i="17"/>
  <c r="S163" i="17"/>
  <c r="S175" i="17"/>
  <c r="T175" i="17"/>
  <c r="S187" i="17"/>
  <c r="T187" i="17"/>
  <c r="S195" i="17"/>
  <c r="T195" i="17"/>
  <c r="T223" i="17"/>
  <c r="S223" i="17"/>
  <c r="S247" i="17"/>
  <c r="T247" i="17"/>
  <c r="S267" i="17"/>
  <c r="T267" i="17"/>
  <c r="S303" i="17"/>
  <c r="T303" i="17"/>
  <c r="S311" i="17"/>
  <c r="T311" i="17"/>
  <c r="S323" i="17"/>
  <c r="T323" i="17"/>
  <c r="S391" i="17"/>
  <c r="T391" i="17"/>
  <c r="S411" i="17"/>
  <c r="T411" i="17"/>
  <c r="S419" i="17"/>
  <c r="T419" i="17"/>
  <c r="S455" i="17"/>
  <c r="T455" i="17"/>
  <c r="S463" i="17"/>
  <c r="T463" i="17"/>
  <c r="T491" i="17"/>
  <c r="S491" i="17"/>
  <c r="T503" i="17"/>
  <c r="S503" i="17"/>
  <c r="T527" i="17"/>
  <c r="S527" i="17"/>
  <c r="S535" i="17"/>
  <c r="T535" i="17"/>
  <c r="S547" i="17"/>
  <c r="T547" i="17"/>
  <c r="T579" i="17"/>
  <c r="S579" i="17"/>
  <c r="S603" i="17"/>
  <c r="T603" i="17"/>
  <c r="T615" i="17"/>
  <c r="S615" i="17"/>
  <c r="T627" i="17"/>
  <c r="S627" i="17"/>
  <c r="S651" i="17"/>
  <c r="T651" i="17"/>
  <c r="S655" i="17"/>
  <c r="T655" i="17"/>
  <c r="S659" i="17"/>
  <c r="T659" i="17"/>
  <c r="S691" i="17"/>
  <c r="T691" i="17"/>
  <c r="S75" i="17"/>
  <c r="U75" i="17" s="1"/>
  <c r="S251" i="17"/>
  <c r="U251" i="17" s="1"/>
  <c r="T571" i="17"/>
  <c r="U571" i="17" s="1"/>
  <c r="S451" i="17"/>
  <c r="U451" i="17" s="1"/>
  <c r="T331" i="17"/>
  <c r="U331" i="17" s="1"/>
  <c r="D149" i="18" s="1"/>
  <c r="T599" i="17"/>
  <c r="U599" i="17" s="1"/>
  <c r="S379" i="17"/>
  <c r="U379" i="17" s="1"/>
  <c r="T227" i="17"/>
  <c r="U227" i="17" s="1"/>
  <c r="S131" i="17"/>
  <c r="U131" i="17" s="1"/>
  <c r="D63" i="18" s="1"/>
  <c r="S643" i="17"/>
  <c r="U643" i="17" s="1"/>
  <c r="S35" i="17"/>
  <c r="U35" i="17" s="1"/>
  <c r="D127" i="18" s="1"/>
  <c r="T395" i="17"/>
  <c r="U395" i="17" s="1"/>
  <c r="T639" i="17"/>
  <c r="U639" i="17" s="1"/>
  <c r="S523" i="17"/>
  <c r="U523" i="17" s="1"/>
  <c r="D18" i="18" s="1"/>
  <c r="T18" i="17"/>
  <c r="S18" i="17"/>
  <c r="T22" i="17"/>
  <c r="S22" i="17"/>
  <c r="S132" i="17"/>
  <c r="T132" i="17"/>
  <c r="T140" i="17"/>
  <c r="S140" i="17"/>
  <c r="T192" i="17"/>
  <c r="S192" i="17"/>
  <c r="S276" i="17"/>
  <c r="T276" i="17"/>
  <c r="S324" i="17"/>
  <c r="T324" i="17"/>
  <c r="S348" i="17"/>
  <c r="T348" i="17"/>
  <c r="T360" i="17"/>
  <c r="S360" i="17"/>
  <c r="T404" i="17"/>
  <c r="S404" i="17"/>
  <c r="S420" i="17"/>
  <c r="T420" i="17"/>
  <c r="S436" i="17"/>
  <c r="T436" i="17"/>
  <c r="T440" i="17"/>
  <c r="S440" i="17"/>
  <c r="T456" i="17"/>
  <c r="S456" i="17"/>
  <c r="S500" i="17"/>
  <c r="T500" i="17"/>
  <c r="T524" i="17"/>
  <c r="S524" i="17"/>
  <c r="S580" i="17"/>
  <c r="T580" i="17"/>
  <c r="S612" i="17"/>
  <c r="T612" i="17"/>
  <c r="T628" i="17"/>
  <c r="S628" i="17"/>
  <c r="S632" i="17"/>
  <c r="T632" i="17"/>
  <c r="S692" i="17"/>
  <c r="T692" i="17"/>
  <c r="S548" i="17"/>
  <c r="U548" i="17" s="1"/>
  <c r="T172" i="17"/>
  <c r="U172" i="17" s="1"/>
  <c r="S136" i="17"/>
  <c r="U136" i="17" s="1"/>
  <c r="T696" i="17"/>
  <c r="U696" i="17" s="1"/>
  <c r="T432" i="17"/>
  <c r="U432" i="17" s="1"/>
  <c r="T40" i="17"/>
  <c r="U40" i="17" s="1"/>
  <c r="D126" i="18" s="1"/>
  <c r="T332" i="17"/>
  <c r="U332" i="17" s="1"/>
  <c r="D152" i="18" s="1"/>
  <c r="T292" i="17"/>
  <c r="U292" i="17" s="1"/>
  <c r="T308" i="17"/>
  <c r="U308" i="17" s="1"/>
  <c r="S660" i="17"/>
  <c r="U660" i="17" s="1"/>
  <c r="S30" i="17"/>
  <c r="U30" i="17" s="1"/>
  <c r="D124" i="18" s="1"/>
  <c r="S616" i="17"/>
  <c r="U616" i="17" s="1"/>
  <c r="T508" i="17"/>
  <c r="U508" i="17" s="1"/>
  <c r="T532" i="17"/>
  <c r="U532" i="17" s="1"/>
  <c r="T64" i="17"/>
  <c r="U64" i="17" s="1"/>
  <c r="S396" i="17"/>
  <c r="U396" i="17" s="1"/>
  <c r="S240" i="17"/>
  <c r="U240" i="17" s="1"/>
  <c r="T248" i="17"/>
  <c r="U248" i="17" s="1"/>
  <c r="T624" i="17"/>
  <c r="U624" i="17" s="1"/>
  <c r="S600" i="17"/>
  <c r="U600" i="17" s="1"/>
  <c r="T26" i="17"/>
  <c r="U26" i="17" s="1"/>
  <c r="T180" i="17"/>
  <c r="U180" i="17" s="1"/>
  <c r="S76" i="17"/>
  <c r="U76" i="17" s="1"/>
  <c r="T408" i="17"/>
  <c r="U408" i="17" s="1"/>
  <c r="T200" i="17"/>
  <c r="U200" i="17" s="1"/>
  <c r="S284" i="17"/>
  <c r="U284" i="17" s="1"/>
  <c r="T400" i="17"/>
  <c r="U400" i="17" s="1"/>
  <c r="T428" i="17"/>
  <c r="U428" i="17" s="1"/>
  <c r="T264" i="17"/>
  <c r="U264" i="17" s="1"/>
  <c r="T52" i="17"/>
  <c r="U52" i="17" s="1"/>
  <c r="D158" i="18" s="1"/>
  <c r="T44" i="17"/>
  <c r="U44" i="17" s="1"/>
  <c r="S72" i="17"/>
  <c r="U72" i="17" s="1"/>
  <c r="S680" i="17"/>
  <c r="U680" i="17" s="1"/>
  <c r="T412" i="17"/>
  <c r="U412" i="17" s="1"/>
  <c r="T700" i="17"/>
  <c r="U700" i="17" s="1"/>
  <c r="T596" i="17"/>
  <c r="U596" i="17" s="1"/>
  <c r="S468" i="17"/>
  <c r="U468" i="17" s="1"/>
  <c r="T300" i="17"/>
  <c r="U300" i="17" s="1"/>
  <c r="T204" i="17"/>
  <c r="S204" i="17"/>
  <c r="T92" i="17"/>
  <c r="U92" i="17" s="1"/>
  <c r="D81" i="18" s="1"/>
  <c r="T268" i="17"/>
  <c r="U268" i="17" s="1"/>
  <c r="T164" i="17"/>
  <c r="U164" i="17" s="1"/>
  <c r="S476" i="17"/>
  <c r="U476" i="17" s="1"/>
  <c r="S116" i="17"/>
  <c r="U116" i="17" s="1"/>
  <c r="S444" i="17"/>
  <c r="U444" i="17" s="1"/>
  <c r="S528" i="17"/>
  <c r="U528" i="17" s="1"/>
  <c r="S388" i="17"/>
  <c r="U388" i="17" s="1"/>
  <c r="T352" i="17"/>
  <c r="U352" i="17" s="1"/>
  <c r="S424" i="17"/>
  <c r="U424" i="17" s="1"/>
  <c r="T236" i="17"/>
  <c r="U236" i="17" s="1"/>
  <c r="T156" i="17"/>
  <c r="U156" i="17" s="1"/>
  <c r="T252" i="17"/>
  <c r="U252" i="17" s="1"/>
  <c r="T120" i="17"/>
  <c r="U120" i="17" s="1"/>
  <c r="S60" i="17"/>
  <c r="U60" i="17" s="1"/>
  <c r="T372" i="17"/>
  <c r="U372" i="17" s="1"/>
  <c r="T328" i="17"/>
  <c r="U328" i="17" s="1"/>
  <c r="T688" i="17"/>
  <c r="U688" i="17" s="1"/>
  <c r="T576" i="17"/>
  <c r="U576" i="17" s="1"/>
  <c r="S496" i="17"/>
  <c r="U496" i="17" s="1"/>
  <c r="T460" i="17"/>
  <c r="U460" i="17" s="1"/>
  <c r="S272" i="17"/>
  <c r="U272" i="17" s="1"/>
  <c r="S50" i="17"/>
  <c r="T50" i="17"/>
  <c r="S202" i="17"/>
  <c r="U202" i="17" s="1"/>
  <c r="S403" i="17"/>
  <c r="U403" i="17" s="1"/>
  <c r="S671" i="17"/>
  <c r="T671" i="17"/>
  <c r="S679" i="17"/>
  <c r="T679" i="17"/>
  <c r="S695" i="17"/>
  <c r="T695" i="17"/>
  <c r="T687" i="17"/>
  <c r="U687" i="17" s="1"/>
  <c r="T683" i="17"/>
  <c r="U683" i="17" s="1"/>
  <c r="S349" i="17"/>
  <c r="U349" i="17" s="1"/>
  <c r="S667" i="17"/>
  <c r="U667" i="17" s="1"/>
  <c r="T664" i="17"/>
  <c r="S664" i="17"/>
  <c r="T675" i="17"/>
  <c r="U675" i="17" s="1"/>
  <c r="T6" i="17"/>
  <c r="S6" i="17"/>
  <c r="S10" i="17"/>
  <c r="T10" i="17"/>
  <c r="S17" i="17"/>
  <c r="T17" i="17"/>
  <c r="T23" i="17"/>
  <c r="S23" i="17"/>
  <c r="S27" i="17"/>
  <c r="T27" i="17"/>
  <c r="S31" i="17"/>
  <c r="T31" i="17"/>
  <c r="S34" i="17"/>
  <c r="T34" i="17"/>
  <c r="S37" i="17"/>
  <c r="T37" i="17"/>
  <c r="T41" i="17"/>
  <c r="S41" i="17"/>
  <c r="T69" i="17"/>
  <c r="S69" i="17"/>
  <c r="T85" i="17"/>
  <c r="S85" i="17"/>
  <c r="S113" i="17"/>
  <c r="T113" i="17"/>
  <c r="S117" i="17"/>
  <c r="T117" i="17"/>
  <c r="T137" i="17"/>
  <c r="S137" i="17"/>
  <c r="T141" i="17"/>
  <c r="S141" i="17"/>
  <c r="S149" i="17"/>
  <c r="T149" i="17"/>
  <c r="T153" i="17"/>
  <c r="S153" i="17"/>
  <c r="S169" i="17"/>
  <c r="T169" i="17"/>
  <c r="S173" i="17"/>
  <c r="T173" i="17"/>
  <c r="S177" i="17"/>
  <c r="T177" i="17"/>
  <c r="T197" i="17"/>
  <c r="S197" i="17"/>
  <c r="S213" i="17"/>
  <c r="T213" i="17"/>
  <c r="T233" i="17"/>
  <c r="S233" i="17"/>
  <c r="T237" i="17"/>
  <c r="S237" i="17"/>
  <c r="T241" i="17"/>
  <c r="S241" i="17"/>
  <c r="S253" i="17"/>
  <c r="T253" i="17"/>
  <c r="T265" i="17"/>
  <c r="S265" i="17"/>
  <c r="T269" i="17"/>
  <c r="S269" i="17"/>
  <c r="S273" i="17"/>
  <c r="T273" i="17"/>
  <c r="S285" i="17"/>
  <c r="T285" i="17"/>
  <c r="T289" i="17"/>
  <c r="S289" i="17"/>
  <c r="S297" i="17"/>
  <c r="T297" i="17"/>
  <c r="S301" i="17"/>
  <c r="T301" i="17"/>
  <c r="T305" i="17"/>
  <c r="S305" i="17"/>
  <c r="T317" i="17"/>
  <c r="S317" i="17"/>
  <c r="T329" i="17"/>
  <c r="S329" i="17"/>
  <c r="T337" i="17"/>
  <c r="S337" i="17"/>
  <c r="T341" i="17"/>
  <c r="S341" i="17"/>
  <c r="S345" i="17"/>
  <c r="T345" i="17"/>
  <c r="T357" i="17"/>
  <c r="S357" i="17"/>
  <c r="T361" i="17"/>
  <c r="S361" i="17"/>
  <c r="S369" i="17"/>
  <c r="T369" i="17"/>
  <c r="S377" i="17"/>
  <c r="T377" i="17"/>
  <c r="T385" i="17"/>
  <c r="S385" i="17"/>
  <c r="S393" i="17"/>
  <c r="T393" i="17"/>
  <c r="T397" i="17"/>
  <c r="S397" i="17"/>
  <c r="T401" i="17"/>
  <c r="S401" i="17"/>
  <c r="T409" i="17"/>
  <c r="S409" i="17"/>
  <c r="S413" i="17"/>
  <c r="T413" i="17"/>
  <c r="T437" i="17"/>
  <c r="S437" i="17"/>
  <c r="S441" i="17"/>
  <c r="T441" i="17"/>
  <c r="T445" i="17"/>
  <c r="S445" i="17"/>
  <c r="S453" i="17"/>
  <c r="T453" i="17"/>
  <c r="S457" i="17"/>
  <c r="T457" i="17"/>
  <c r="S473" i="17"/>
  <c r="T473" i="17"/>
  <c r="S493" i="17"/>
  <c r="T493" i="17"/>
  <c r="S505" i="17"/>
  <c r="T505" i="17"/>
  <c r="T517" i="17"/>
  <c r="S517" i="17"/>
  <c r="T533" i="17"/>
  <c r="S533" i="17"/>
  <c r="T537" i="17"/>
  <c r="S537" i="17"/>
  <c r="S557" i="17"/>
  <c r="T557" i="17"/>
  <c r="T561" i="17"/>
  <c r="S561" i="17"/>
  <c r="S565" i="17"/>
  <c r="T565" i="17"/>
  <c r="S569" i="17"/>
  <c r="T569" i="17"/>
  <c r="T577" i="17"/>
  <c r="S577" i="17"/>
  <c r="T581" i="17"/>
  <c r="S581" i="17"/>
  <c r="S585" i="17"/>
  <c r="T585" i="17"/>
  <c r="S593" i="17"/>
  <c r="T593" i="17"/>
  <c r="T601" i="17"/>
  <c r="S601" i="17"/>
  <c r="S605" i="17"/>
  <c r="T605" i="17"/>
  <c r="T609" i="17"/>
  <c r="S609" i="17"/>
  <c r="T625" i="17"/>
  <c r="S625" i="17"/>
  <c r="T629" i="17"/>
  <c r="S629" i="17"/>
  <c r="S641" i="17"/>
  <c r="T641" i="17"/>
  <c r="T649" i="17"/>
  <c r="S649" i="17"/>
  <c r="T657" i="17"/>
  <c r="S657" i="17"/>
  <c r="S661" i="17"/>
  <c r="T661" i="17"/>
  <c r="S93" i="17"/>
  <c r="U93" i="17" s="1"/>
  <c r="T109" i="17"/>
  <c r="U109" i="17" s="1"/>
  <c r="S125" i="17"/>
  <c r="U125" i="17" s="1"/>
  <c r="D65" i="18" s="1"/>
  <c r="T229" i="17"/>
  <c r="U229" i="17" s="1"/>
  <c r="S277" i="17"/>
  <c r="U277" i="17" s="1"/>
  <c r="S134" i="17"/>
  <c r="U134" i="17" s="1"/>
  <c r="T58" i="17"/>
  <c r="U58" i="17" s="1"/>
  <c r="S234" i="17"/>
  <c r="U234" i="17" s="1"/>
  <c r="S194" i="17"/>
  <c r="U194" i="17" s="1"/>
  <c r="T162" i="17"/>
  <c r="U162" i="17" s="1"/>
  <c r="T62" i="17"/>
  <c r="U62" i="17" s="1"/>
  <c r="T217" i="17"/>
  <c r="U217" i="17" s="1"/>
  <c r="T102" i="17"/>
  <c r="U102" i="17" s="1"/>
  <c r="S281" i="17"/>
  <c r="U281" i="17" s="1"/>
  <c r="S221" i="17"/>
  <c r="U221" i="17" s="1"/>
  <c r="T427" i="17"/>
  <c r="U427" i="17" s="1"/>
  <c r="S89" i="17"/>
  <c r="U89" i="17" s="1"/>
  <c r="D84" i="18" s="1"/>
  <c r="Q552" i="1"/>
  <c r="Q544" i="1"/>
  <c r="B528" i="1"/>
  <c r="B532" i="1" s="1"/>
  <c r="AO543" i="1"/>
  <c r="AO544" i="1"/>
  <c r="AO559" i="1"/>
  <c r="Q541" i="1"/>
  <c r="AO542" i="1"/>
  <c r="AO534" i="1"/>
  <c r="AO531" i="1"/>
  <c r="AO540" i="1"/>
  <c r="Q531" i="1"/>
  <c r="D16" i="1"/>
  <c r="AO530" i="1"/>
  <c r="AO537" i="1"/>
  <c r="D14" i="1"/>
  <c r="Q532" i="1"/>
  <c r="Q553" i="1"/>
  <c r="Q548" i="1"/>
  <c r="Q536" i="1"/>
  <c r="Q554" i="1"/>
  <c r="Q537" i="1"/>
  <c r="Q543" i="1"/>
  <c r="Q534" i="1"/>
  <c r="Q547" i="1"/>
  <c r="Q558" i="1"/>
  <c r="Q533" i="1"/>
  <c r="Q546" i="1"/>
  <c r="Q542" i="1"/>
  <c r="Q560" i="1"/>
  <c r="Q538" i="1"/>
  <c r="Q556" i="1"/>
  <c r="Q545" i="1"/>
  <c r="Q557" i="1"/>
  <c r="Q555" i="1"/>
  <c r="Q549" i="1"/>
  <c r="Q559" i="1"/>
  <c r="Q530" i="1"/>
  <c r="D13" i="1"/>
  <c r="D15" i="1"/>
  <c r="AO558" i="1"/>
  <c r="AO541" i="1"/>
  <c r="AO533" i="1"/>
  <c r="AO535" i="1"/>
  <c r="AO539" i="1"/>
  <c r="AO554" i="1"/>
  <c r="AO545" i="1"/>
  <c r="AO549" i="1"/>
  <c r="AO551" i="1"/>
  <c r="AO560" i="1"/>
  <c r="AO552" i="1"/>
  <c r="AO555" i="1"/>
  <c r="AO538" i="1"/>
  <c r="F10" i="1"/>
  <c r="D10" i="1"/>
  <c r="AC24" i="1" s="1"/>
  <c r="B823" i="1"/>
  <c r="D823" i="1" s="1"/>
  <c r="A815" i="1"/>
  <c r="A797" i="1"/>
  <c r="A801" i="1"/>
  <c r="B798" i="1"/>
  <c r="D798" i="1" s="1"/>
  <c r="A803" i="1"/>
  <c r="B803" i="1"/>
  <c r="D803" i="1" s="1"/>
  <c r="B812" i="1"/>
  <c r="D812" i="1" s="1"/>
  <c r="A807" i="1"/>
  <c r="A794" i="1"/>
  <c r="B791" i="1"/>
  <c r="D791" i="1" s="1"/>
  <c r="A798" i="1"/>
  <c r="A820" i="1"/>
  <c r="B810" i="1"/>
  <c r="D810" i="1" s="1"/>
  <c r="B820" i="1"/>
  <c r="D820" i="1" s="1"/>
  <c r="B796" i="1"/>
  <c r="D796" i="1" s="1"/>
  <c r="A795" i="1"/>
  <c r="A818" i="1"/>
  <c r="A821" i="1"/>
  <c r="B799" i="1"/>
  <c r="D799" i="1" s="1"/>
  <c r="B811" i="1"/>
  <c r="D811" i="1" s="1"/>
  <c r="A822" i="1"/>
  <c r="A793" i="1"/>
  <c r="B793" i="1"/>
  <c r="D793" i="1" s="1"/>
  <c r="B801" i="1"/>
  <c r="D801" i="1" s="1"/>
  <c r="B809" i="1"/>
  <c r="D809" i="1" s="1"/>
  <c r="B817" i="1"/>
  <c r="D817" i="1" s="1"/>
  <c r="B808" i="1"/>
  <c r="D808" i="1" s="1"/>
  <c r="B792" i="1"/>
  <c r="D792" i="1" s="1"/>
  <c r="B822" i="1"/>
  <c r="D822" i="1" s="1"/>
  <c r="A804" i="1"/>
  <c r="B802" i="1"/>
  <c r="D802" i="1" s="1"/>
  <c r="B794" i="1"/>
  <c r="D794" i="1" s="1"/>
  <c r="B814" i="1"/>
  <c r="D814" i="1" s="1"/>
  <c r="A816" i="1"/>
  <c r="A811" i="1"/>
  <c r="A802" i="1"/>
  <c r="A805" i="1"/>
  <c r="B795" i="1"/>
  <c r="D795" i="1" s="1"/>
  <c r="B815" i="1"/>
  <c r="D815" i="1" s="1"/>
  <c r="A806" i="1"/>
  <c r="A809" i="1"/>
  <c r="B797" i="1"/>
  <c r="D797" i="1" s="1"/>
  <c r="B805" i="1"/>
  <c r="D805" i="1" s="1"/>
  <c r="B813" i="1"/>
  <c r="D813" i="1" s="1"/>
  <c r="B821" i="1"/>
  <c r="D821" i="1" s="1"/>
  <c r="B816" i="1"/>
  <c r="D816" i="1" s="1"/>
  <c r="B800" i="1"/>
  <c r="D800" i="1" s="1"/>
  <c r="A808" i="1"/>
  <c r="B806" i="1"/>
  <c r="D806" i="1" s="1"/>
  <c r="B818" i="1"/>
  <c r="D818" i="1" s="1"/>
  <c r="A796" i="1"/>
  <c r="B804" i="1"/>
  <c r="D804" i="1" s="1"/>
  <c r="A800" i="1"/>
  <c r="A819" i="1"/>
  <c r="A810" i="1"/>
  <c r="A813" i="1"/>
  <c r="B807" i="1"/>
  <c r="D807" i="1" s="1"/>
  <c r="B819" i="1"/>
  <c r="D819" i="1" s="1"/>
  <c r="A814" i="1"/>
  <c r="A817" i="1"/>
  <c r="A799" i="1"/>
  <c r="A792" i="1"/>
  <c r="A823" i="1"/>
  <c r="A791" i="1"/>
  <c r="S181" i="17"/>
  <c r="T181" i="17"/>
  <c r="S185" i="17"/>
  <c r="T185" i="17"/>
  <c r="S362" i="17"/>
  <c r="T362" i="17"/>
  <c r="S366" i="17"/>
  <c r="T366" i="17"/>
  <c r="S370" i="17"/>
  <c r="T370" i="17"/>
  <c r="S378" i="17"/>
  <c r="T378" i="17"/>
  <c r="T390" i="17"/>
  <c r="S390" i="17"/>
  <c r="T406" i="17"/>
  <c r="S406" i="17"/>
  <c r="S421" i="17"/>
  <c r="T421" i="17"/>
  <c r="S429" i="17"/>
  <c r="T429" i="17"/>
  <c r="S433" i="17"/>
  <c r="T433" i="17"/>
  <c r="T461" i="17"/>
  <c r="S461" i="17"/>
  <c r="S465" i="17"/>
  <c r="T465" i="17"/>
  <c r="S469" i="17"/>
  <c r="T469" i="17"/>
  <c r="S477" i="17"/>
  <c r="T477" i="17"/>
  <c r="S481" i="17"/>
  <c r="T481" i="17"/>
  <c r="S497" i="17"/>
  <c r="T497" i="17"/>
  <c r="S501" i="17"/>
  <c r="T501" i="17"/>
  <c r="S509" i="17"/>
  <c r="T509" i="17"/>
  <c r="S513" i="17"/>
  <c r="T513" i="17"/>
  <c r="T521" i="17"/>
  <c r="S521" i="17"/>
  <c r="S541" i="17"/>
  <c r="T541" i="17"/>
  <c r="S545" i="17"/>
  <c r="T545" i="17"/>
  <c r="S621" i="17"/>
  <c r="T621" i="17"/>
  <c r="S636" i="17"/>
  <c r="T636" i="17"/>
  <c r="T648" i="17"/>
  <c r="S648" i="17"/>
  <c r="S670" i="17"/>
  <c r="T670" i="17"/>
  <c r="T682" i="17"/>
  <c r="S682" i="17"/>
  <c r="T398" i="17"/>
  <c r="U398" i="17" s="1"/>
  <c r="T386" i="17"/>
  <c r="U386" i="17" s="1"/>
  <c r="S118" i="17"/>
  <c r="T118" i="17"/>
  <c r="S122" i="17"/>
  <c r="T122" i="17"/>
  <c r="S126" i="17"/>
  <c r="T126" i="17"/>
  <c r="T130" i="17"/>
  <c r="S130" i="17"/>
  <c r="T142" i="17"/>
  <c r="S142" i="17"/>
  <c r="T150" i="17"/>
  <c r="S150" i="17"/>
  <c r="T158" i="17"/>
  <c r="S158" i="17"/>
  <c r="T166" i="17"/>
  <c r="S166" i="17"/>
  <c r="T170" i="17"/>
  <c r="S170" i="17"/>
  <c r="T178" i="17"/>
  <c r="S178" i="17"/>
  <c r="T274" i="17"/>
  <c r="S274" i="17"/>
  <c r="T278" i="17"/>
  <c r="S278" i="17"/>
  <c r="S309" i="17"/>
  <c r="T309" i="17"/>
  <c r="S313" i="17"/>
  <c r="T313" i="17"/>
  <c r="T327" i="17"/>
  <c r="S327" i="17"/>
  <c r="T335" i="17"/>
  <c r="S335" i="17"/>
  <c r="T339" i="17"/>
  <c r="S339" i="17"/>
  <c r="T347" i="17"/>
  <c r="S347" i="17"/>
  <c r="T359" i="17"/>
  <c r="S359" i="17"/>
  <c r="T590" i="17"/>
  <c r="S590" i="17"/>
  <c r="S594" i="17"/>
  <c r="T594" i="17"/>
  <c r="S607" i="17"/>
  <c r="T607" i="17"/>
  <c r="T611" i="17"/>
  <c r="S611" i="17"/>
  <c r="T382" i="17"/>
  <c r="U382" i="17" s="1"/>
  <c r="S529" i="17"/>
  <c r="U529" i="17" s="1"/>
  <c r="S115" i="17"/>
  <c r="T115" i="17"/>
  <c r="S199" i="17"/>
  <c r="T199" i="17"/>
  <c r="T207" i="17"/>
  <c r="S207" i="17"/>
  <c r="T211" i="17"/>
  <c r="S211" i="17"/>
  <c r="T215" i="17"/>
  <c r="S215" i="17"/>
  <c r="S219" i="17"/>
  <c r="T219" i="17"/>
  <c r="S231" i="17"/>
  <c r="T231" i="17"/>
  <c r="T255" i="17"/>
  <c r="S255" i="17"/>
  <c r="T259" i="17"/>
  <c r="S259" i="17"/>
  <c r="T263" i="17"/>
  <c r="S263" i="17"/>
  <c r="S306" i="17"/>
  <c r="T306" i="17"/>
  <c r="T587" i="17"/>
  <c r="S587" i="17"/>
  <c r="T11" i="17"/>
  <c r="S11" i="17"/>
  <c r="T15" i="17"/>
  <c r="S15" i="17"/>
  <c r="S45" i="17"/>
  <c r="T45" i="17"/>
  <c r="T73" i="17"/>
  <c r="S73" i="17"/>
  <c r="T81" i="17"/>
  <c r="S81" i="17"/>
  <c r="T97" i="17"/>
  <c r="S97" i="17"/>
  <c r="S564" i="17"/>
  <c r="T564" i="17"/>
  <c r="T572" i="17"/>
  <c r="S572" i="17"/>
  <c r="S9" i="17"/>
  <c r="U9" i="17" s="1"/>
  <c r="D185" i="18" s="1"/>
  <c r="S104" i="17"/>
  <c r="U104" i="17" s="1"/>
  <c r="S249" i="17"/>
  <c r="U249" i="17" s="1"/>
  <c r="T65" i="17"/>
  <c r="U65" i="17" s="1"/>
  <c r="S2" i="17"/>
  <c r="T2" i="17"/>
  <c r="T19" i="17"/>
  <c r="S19" i="17"/>
  <c r="T119" i="17"/>
  <c r="S119" i="17"/>
  <c r="T154" i="17"/>
  <c r="S154" i="17"/>
  <c r="T114" i="17"/>
  <c r="S114" i="17"/>
  <c r="S145" i="17"/>
  <c r="T145" i="17"/>
  <c r="T257" i="17"/>
  <c r="S257" i="17"/>
  <c r="T275" i="17"/>
  <c r="S275" i="17"/>
  <c r="S279" i="17"/>
  <c r="T279" i="17"/>
  <c r="T340" i="17"/>
  <c r="S340" i="17"/>
  <c r="T380" i="17"/>
  <c r="S380" i="17"/>
  <c r="S410" i="17"/>
  <c r="T410" i="17"/>
  <c r="S511" i="17"/>
  <c r="T511" i="17"/>
  <c r="T515" i="17"/>
  <c r="S515" i="17"/>
  <c r="S519" i="17"/>
  <c r="T519" i="17"/>
  <c r="T525" i="17"/>
  <c r="S525" i="17"/>
  <c r="T536" i="17"/>
  <c r="S536" i="17"/>
  <c r="S540" i="17"/>
  <c r="T540" i="17"/>
  <c r="S14" i="17"/>
  <c r="T14" i="17"/>
  <c r="S148" i="17"/>
  <c r="T148" i="17"/>
  <c r="S673" i="17"/>
  <c r="T673" i="17"/>
  <c r="T699" i="17"/>
  <c r="S699" i="17"/>
  <c r="S46" i="17"/>
  <c r="T46" i="17"/>
  <c r="T53" i="17"/>
  <c r="S53" i="17"/>
  <c r="T57" i="17"/>
  <c r="S57" i="17"/>
  <c r="T61" i="17"/>
  <c r="S61" i="17"/>
  <c r="S68" i="17"/>
  <c r="T68" i="17"/>
  <c r="T95" i="17"/>
  <c r="S95" i="17"/>
  <c r="T99" i="17"/>
  <c r="S99" i="17"/>
  <c r="S111" i="17"/>
  <c r="T111" i="17"/>
  <c r="T133" i="17"/>
  <c r="S133" i="17"/>
  <c r="T157" i="17"/>
  <c r="S157" i="17"/>
  <c r="T161" i="17"/>
  <c r="S161" i="17"/>
  <c r="S168" i="17"/>
  <c r="T168" i="17"/>
  <c r="T176" i="17"/>
  <c r="S176" i="17"/>
  <c r="T189" i="17"/>
  <c r="S189" i="17"/>
  <c r="S205" i="17"/>
  <c r="T205" i="17"/>
  <c r="S209" i="17"/>
  <c r="T209" i="17"/>
  <c r="T224" i="17"/>
  <c r="S224" i="17"/>
  <c r="S7" i="17"/>
  <c r="U7" i="17" s="1"/>
  <c r="D107" i="18" s="1"/>
  <c r="T38" i="17"/>
  <c r="U38" i="17" s="1"/>
  <c r="D117" i="18" s="1"/>
  <c r="S543" i="17"/>
  <c r="T543" i="17"/>
  <c r="T165" i="17"/>
  <c r="S165" i="17"/>
  <c r="T226" i="17"/>
  <c r="S226" i="17"/>
  <c r="S392" i="17"/>
  <c r="T392" i="17"/>
  <c r="T559" i="17"/>
  <c r="S559" i="17"/>
  <c r="S567" i="17"/>
  <c r="T567" i="17"/>
  <c r="T288" i="17"/>
  <c r="U288" i="17" s="1"/>
  <c r="T243" i="17"/>
  <c r="S243" i="17"/>
  <c r="S280" i="17"/>
  <c r="T280" i="17"/>
  <c r="T560" i="17"/>
  <c r="S560" i="17"/>
  <c r="T568" i="17"/>
  <c r="S568" i="17"/>
  <c r="S485" i="17"/>
  <c r="T485" i="17"/>
  <c r="S684" i="17"/>
  <c r="T684" i="17"/>
  <c r="T28" i="17"/>
  <c r="U28" i="17" s="1"/>
  <c r="D125" i="18" s="1"/>
  <c r="T83" i="17"/>
  <c r="U83" i="17" s="1"/>
  <c r="T25" i="17"/>
  <c r="S25" i="17"/>
  <c r="S39" i="17"/>
  <c r="T39" i="17"/>
  <c r="T74" i="17"/>
  <c r="S74" i="17"/>
  <c r="S77" i="17"/>
  <c r="T77" i="17"/>
  <c r="S353" i="17"/>
  <c r="T353" i="17"/>
  <c r="S5" i="17"/>
  <c r="T5" i="17"/>
  <c r="T80" i="17"/>
  <c r="U80" i="17" s="1"/>
  <c r="S448" i="17"/>
  <c r="U448" i="17" s="1"/>
  <c r="S36" i="17"/>
  <c r="T36" i="17"/>
  <c r="T103" i="17"/>
  <c r="S103" i="17"/>
  <c r="S138" i="17"/>
  <c r="T138" i="17"/>
  <c r="DM1" i="2" l="1"/>
  <c r="EG116" i="2"/>
  <c r="AY126" i="2"/>
  <c r="AZ126" i="2" s="1"/>
  <c r="AY528" i="2"/>
  <c r="AZ528" i="2" s="1"/>
  <c r="D64" i="18"/>
  <c r="D40" i="18"/>
  <c r="D54" i="18"/>
  <c r="D28" i="18"/>
  <c r="D102" i="18"/>
  <c r="D89" i="18"/>
  <c r="D59" i="18"/>
  <c r="D686" i="1"/>
  <c r="B546" i="1"/>
  <c r="B557" i="1"/>
  <c r="B535" i="1"/>
  <c r="U679" i="17"/>
  <c r="U632" i="17"/>
  <c r="U612" i="17"/>
  <c r="U436" i="17"/>
  <c r="U348" i="17"/>
  <c r="U276" i="17"/>
  <c r="U659" i="17"/>
  <c r="U651" i="17"/>
  <c r="U535" i="17"/>
  <c r="U463" i="17"/>
  <c r="U419" i="17"/>
  <c r="U391" i="17"/>
  <c r="U311" i="17"/>
  <c r="U267" i="17"/>
  <c r="U187" i="17"/>
  <c r="D165" i="18" s="1"/>
  <c r="U147" i="17"/>
  <c r="U79" i="17"/>
  <c r="U67" i="17"/>
  <c r="U12" i="17"/>
  <c r="D176" i="18" s="1"/>
  <c r="U138" i="17"/>
  <c r="U36" i="17"/>
  <c r="D119" i="18" s="1"/>
  <c r="U5" i="17"/>
  <c r="D180" i="18" s="1"/>
  <c r="U77" i="17"/>
  <c r="U39" i="17"/>
  <c r="D116" i="18" s="1"/>
  <c r="U485" i="17"/>
  <c r="D22" i="18" s="1"/>
  <c r="U543" i="17"/>
  <c r="U205" i="17"/>
  <c r="U68" i="17"/>
  <c r="U46" i="17"/>
  <c r="U673" i="17"/>
  <c r="U14" i="17"/>
  <c r="D172" i="18" s="1"/>
  <c r="U519" i="17"/>
  <c r="U511" i="17"/>
  <c r="U279" i="17"/>
  <c r="U61" i="17"/>
  <c r="D155" i="18" s="1"/>
  <c r="U340" i="17"/>
  <c r="U15" i="17"/>
  <c r="D173" i="18" s="1"/>
  <c r="U347" i="17"/>
  <c r="U178" i="17"/>
  <c r="U130" i="17"/>
  <c r="D154" i="18" s="1"/>
  <c r="U581" i="17"/>
  <c r="U537" i="17"/>
  <c r="U445" i="17"/>
  <c r="U397" i="17"/>
  <c r="U329" i="17"/>
  <c r="D150" i="18" s="1"/>
  <c r="U269" i="17"/>
  <c r="U23" i="17"/>
  <c r="D79" i="18" s="1"/>
  <c r="U647" i="17"/>
  <c r="U583" i="17"/>
  <c r="U479" i="17"/>
  <c r="U439" i="17"/>
  <c r="U415" i="17"/>
  <c r="U387" i="17"/>
  <c r="U375" i="17"/>
  <c r="U367" i="17"/>
  <c r="U351" i="17"/>
  <c r="U319" i="17"/>
  <c r="U283" i="17"/>
  <c r="U183" i="17"/>
  <c r="U135" i="17"/>
  <c r="U63" i="17"/>
  <c r="U189" i="17"/>
  <c r="D143" i="18" s="1"/>
  <c r="U699" i="17"/>
  <c r="U515" i="17"/>
  <c r="U154" i="17"/>
  <c r="U572" i="17"/>
  <c r="U587" i="17"/>
  <c r="U335" i="17"/>
  <c r="U166" i="17"/>
  <c r="D104" i="18" s="1"/>
  <c r="U165" i="17"/>
  <c r="D105" i="18" s="1"/>
  <c r="U157" i="17"/>
  <c r="U95" i="17"/>
  <c r="U53" i="17"/>
  <c r="D157" i="18" s="1"/>
  <c r="U525" i="17"/>
  <c r="U275" i="17"/>
  <c r="U19" i="17"/>
  <c r="D184" i="18" s="1"/>
  <c r="U97" i="17"/>
  <c r="U73" i="17"/>
  <c r="U263" i="17"/>
  <c r="U255" i="17"/>
  <c r="U211" i="17"/>
  <c r="U590" i="17"/>
  <c r="U278" i="17"/>
  <c r="U150" i="17"/>
  <c r="U521" i="17"/>
  <c r="U390" i="17"/>
  <c r="U657" i="17"/>
  <c r="U625" i="17"/>
  <c r="U561" i="17"/>
  <c r="U517" i="17"/>
  <c r="U437" i="17"/>
  <c r="U409" i="17"/>
  <c r="U385" i="17"/>
  <c r="U357" i="17"/>
  <c r="U341" i="17"/>
  <c r="U305" i="17"/>
  <c r="U237" i="17"/>
  <c r="U137" i="17"/>
  <c r="U69" i="17"/>
  <c r="U353" i="17"/>
  <c r="U684" i="17"/>
  <c r="U280" i="17"/>
  <c r="U153" i="17"/>
  <c r="U141" i="17"/>
  <c r="U85" i="17"/>
  <c r="U41" i="17"/>
  <c r="D121" i="18" s="1"/>
  <c r="U6" i="17"/>
  <c r="D181" i="18" s="1"/>
  <c r="U695" i="17"/>
  <c r="U671" i="17"/>
  <c r="U50" i="17"/>
  <c r="U692" i="17"/>
  <c r="U580" i="17"/>
  <c r="U500" i="17"/>
  <c r="U420" i="17"/>
  <c r="U324" i="17"/>
  <c r="U132" i="17"/>
  <c r="U691" i="17"/>
  <c r="U655" i="17"/>
  <c r="U603" i="17"/>
  <c r="D46" i="18" s="1"/>
  <c r="U547" i="17"/>
  <c r="D12" i="18" s="1"/>
  <c r="U455" i="17"/>
  <c r="D50" i="18" s="1"/>
  <c r="U411" i="17"/>
  <c r="U323" i="17"/>
  <c r="D92" i="18" s="1"/>
  <c r="U303" i="17"/>
  <c r="U247" i="17"/>
  <c r="U195" i="17"/>
  <c r="U175" i="17"/>
  <c r="U159" i="17"/>
  <c r="U71" i="17"/>
  <c r="D87" i="18" s="1"/>
  <c r="U55" i="17"/>
  <c r="D162" i="18" s="1"/>
  <c r="U16" i="17"/>
  <c r="D171" i="18" s="1"/>
  <c r="U2" i="17"/>
  <c r="D178" i="18" s="1"/>
  <c r="U564" i="17"/>
  <c r="U45" i="17"/>
  <c r="U306" i="17"/>
  <c r="U231" i="17"/>
  <c r="U115" i="17"/>
  <c r="U594" i="17"/>
  <c r="U309" i="17"/>
  <c r="U126" i="17"/>
  <c r="U118" i="17"/>
  <c r="D56" i="18" s="1"/>
  <c r="U621" i="17"/>
  <c r="U541" i="17"/>
  <c r="U513" i="17"/>
  <c r="U501" i="17"/>
  <c r="U481" i="17"/>
  <c r="U469" i="17"/>
  <c r="U429" i="17"/>
  <c r="U378" i="17"/>
  <c r="U366" i="17"/>
  <c r="U185" i="17"/>
  <c r="U661" i="17"/>
  <c r="U585" i="17"/>
  <c r="U565" i="17"/>
  <c r="U557" i="17"/>
  <c r="U505" i="17"/>
  <c r="U473" i="17"/>
  <c r="U453" i="17"/>
  <c r="U441" i="17"/>
  <c r="U413" i="17"/>
  <c r="U393" i="17"/>
  <c r="U377" i="17"/>
  <c r="U345" i="17"/>
  <c r="U301" i="17"/>
  <c r="U273" i="17"/>
  <c r="U173" i="17"/>
  <c r="U635" i="17"/>
  <c r="U623" i="17"/>
  <c r="U591" i="17"/>
  <c r="U575" i="17"/>
  <c r="U555" i="17"/>
  <c r="D11" i="18" s="1"/>
  <c r="U435" i="17"/>
  <c r="U383" i="17"/>
  <c r="U355" i="17"/>
  <c r="U343" i="17"/>
  <c r="U315" i="17"/>
  <c r="U287" i="17"/>
  <c r="U271" i="17"/>
  <c r="U179" i="17"/>
  <c r="U155" i="17"/>
  <c r="U107" i="17"/>
  <c r="D60" i="18" s="1"/>
  <c r="U59" i="17"/>
  <c r="D156" i="18" s="1"/>
  <c r="U117" i="17"/>
  <c r="U34" i="17"/>
  <c r="D120" i="18" s="1"/>
  <c r="U27" i="17"/>
  <c r="U17" i="17"/>
  <c r="D169" i="18" s="1"/>
  <c r="U664" i="17"/>
  <c r="U524" i="17"/>
  <c r="U456" i="17"/>
  <c r="D49" i="18" s="1"/>
  <c r="U404" i="17"/>
  <c r="U140" i="17"/>
  <c r="U22" i="17"/>
  <c r="D80" i="18" s="1"/>
  <c r="U615" i="17"/>
  <c r="U579" i="17"/>
  <c r="U503" i="17"/>
  <c r="U223" i="17"/>
  <c r="D164" i="18" s="1"/>
  <c r="U163" i="17"/>
  <c r="U127" i="17"/>
  <c r="D53" i="18" s="1"/>
  <c r="U47" i="17"/>
  <c r="D91" i="18" s="1"/>
  <c r="U507" i="17"/>
  <c r="U495" i="17"/>
  <c r="U475" i="17"/>
  <c r="U443" i="17"/>
  <c r="U399" i="17"/>
  <c r="U371" i="17"/>
  <c r="U235" i="17"/>
  <c r="U191" i="17"/>
  <c r="D141" i="18" s="1"/>
  <c r="U143" i="17"/>
  <c r="U8" i="17"/>
  <c r="D106" i="18" s="1"/>
  <c r="U559" i="17"/>
  <c r="U226" i="17"/>
  <c r="U224" i="17"/>
  <c r="U176" i="17"/>
  <c r="U161" i="17"/>
  <c r="U133" i="17"/>
  <c r="U99" i="17"/>
  <c r="U57" i="17"/>
  <c r="D160" i="18" s="1"/>
  <c r="U536" i="17"/>
  <c r="U380" i="17"/>
  <c r="U257" i="17"/>
  <c r="U114" i="17"/>
  <c r="U119" i="17"/>
  <c r="D55" i="18" s="1"/>
  <c r="U359" i="17"/>
  <c r="U274" i="17"/>
  <c r="U142" i="17"/>
  <c r="U648" i="17"/>
  <c r="U406" i="17"/>
  <c r="U629" i="17"/>
  <c r="U361" i="17"/>
  <c r="D144" i="18" s="1"/>
  <c r="U317" i="17"/>
  <c r="U265" i="17"/>
  <c r="U197" i="17"/>
  <c r="U560" i="17"/>
  <c r="U243" i="17"/>
  <c r="U81" i="17"/>
  <c r="U11" i="17"/>
  <c r="D175" i="18" s="1"/>
  <c r="U259" i="17"/>
  <c r="U215" i="17"/>
  <c r="U207" i="17"/>
  <c r="D135" i="18" s="1"/>
  <c r="U611" i="17"/>
  <c r="U339" i="17"/>
  <c r="U327" i="17"/>
  <c r="D151" i="18" s="1"/>
  <c r="U170" i="17"/>
  <c r="U158" i="17"/>
  <c r="U682" i="17"/>
  <c r="D37" i="18" s="1"/>
  <c r="U461" i="17"/>
  <c r="U649" i="17"/>
  <c r="U609" i="17"/>
  <c r="U601" i="17"/>
  <c r="D29" i="18" s="1"/>
  <c r="U577" i="17"/>
  <c r="U533" i="17"/>
  <c r="U401" i="17"/>
  <c r="U337" i="17"/>
  <c r="U289" i="17"/>
  <c r="U241" i="17"/>
  <c r="U233" i="17"/>
  <c r="U103" i="17"/>
  <c r="D61" i="18" s="1"/>
  <c r="U74" i="17"/>
  <c r="U25" i="17"/>
  <c r="D108" i="18" s="1"/>
  <c r="U568" i="17"/>
  <c r="U567" i="17"/>
  <c r="U392" i="17"/>
  <c r="U209" i="17"/>
  <c r="D133" i="18" s="1"/>
  <c r="U168" i="17"/>
  <c r="U111" i="17"/>
  <c r="U148" i="17"/>
  <c r="U540" i="17"/>
  <c r="U410" i="17"/>
  <c r="U145" i="17"/>
  <c r="U219" i="17"/>
  <c r="U199" i="17"/>
  <c r="U607" i="17"/>
  <c r="U313" i="17"/>
  <c r="U122" i="17"/>
  <c r="U670" i="17"/>
  <c r="U636" i="17"/>
  <c r="U545" i="17"/>
  <c r="U509" i="17"/>
  <c r="U497" i="17"/>
  <c r="U477" i="17"/>
  <c r="U465" i="17"/>
  <c r="U433" i="17"/>
  <c r="U421" i="17"/>
  <c r="U370" i="17"/>
  <c r="U362" i="17"/>
  <c r="U181" i="17"/>
  <c r="U641" i="17"/>
  <c r="U605" i="17"/>
  <c r="U593" i="17"/>
  <c r="U569" i="17"/>
  <c r="U493" i="17"/>
  <c r="U457" i="17"/>
  <c r="D48" i="18" s="1"/>
  <c r="U369" i="17"/>
  <c r="U297" i="17"/>
  <c r="U285" i="17"/>
  <c r="U253" i="17"/>
  <c r="U213" i="17"/>
  <c r="D167" i="18" s="1"/>
  <c r="U177" i="17"/>
  <c r="U169" i="17"/>
  <c r="U149" i="17"/>
  <c r="U113" i="17"/>
  <c r="U37" i="17"/>
  <c r="D118" i="18" s="1"/>
  <c r="U31" i="17"/>
  <c r="U10" i="17"/>
  <c r="D177" i="18" s="1"/>
  <c r="U204" i="17"/>
  <c r="U628" i="17"/>
  <c r="U440" i="17"/>
  <c r="U360" i="17"/>
  <c r="U192" i="17"/>
  <c r="D140" i="18" s="1"/>
  <c r="U18" i="17"/>
  <c r="D170" i="18" s="1"/>
  <c r="U627" i="17"/>
  <c r="U527" i="17"/>
  <c r="U491" i="17"/>
  <c r="U139" i="17"/>
  <c r="U123" i="17"/>
  <c r="U29" i="17"/>
  <c r="U32" i="17"/>
  <c r="U631" i="17"/>
  <c r="U619" i="17"/>
  <c r="U563" i="17"/>
  <c r="U531" i="17"/>
  <c r="U499" i="17"/>
  <c r="U459" i="17"/>
  <c r="U295" i="17"/>
  <c r="U239" i="17"/>
  <c r="U203" i="17"/>
  <c r="U171" i="17"/>
  <c r="U151" i="17"/>
  <c r="U51" i="17"/>
  <c r="D159" i="18" s="1"/>
  <c r="B555" i="1"/>
  <c r="B543" i="1"/>
  <c r="B545" i="1"/>
  <c r="B554" i="1"/>
  <c r="B538" i="1"/>
  <c r="B537" i="1"/>
  <c r="B531" i="1"/>
  <c r="B558" i="1"/>
  <c r="B560" i="1"/>
  <c r="B553" i="1"/>
  <c r="N528" i="1"/>
  <c r="M530" i="1" s="1"/>
  <c r="B544" i="1"/>
  <c r="B547" i="1"/>
  <c r="B541" i="1"/>
  <c r="B542" i="1"/>
  <c r="B530" i="1"/>
  <c r="B552" i="1"/>
  <c r="B559" i="1"/>
  <c r="B549" i="1"/>
  <c r="B556" i="1"/>
  <c r="B534" i="1"/>
  <c r="B536" i="1"/>
  <c r="B533" i="1"/>
  <c r="B548" i="1"/>
  <c r="G313" i="1"/>
  <c r="G314" i="1"/>
  <c r="G319" i="1"/>
  <c r="G315" i="1"/>
  <c r="G316" i="1"/>
  <c r="G310" i="1"/>
  <c r="G303" i="1"/>
  <c r="G302" i="1"/>
  <c r="G307" i="1"/>
  <c r="G304" i="1"/>
  <c r="G318" i="1"/>
  <c r="G308" i="1"/>
  <c r="G312" i="1"/>
  <c r="G320" i="1"/>
  <c r="G305" i="1"/>
  <c r="G306" i="1"/>
  <c r="G311" i="1"/>
  <c r="G309" i="1"/>
  <c r="G317" i="1"/>
  <c r="AZ128" i="2" l="1"/>
  <c r="BA128" i="2" s="1"/>
  <c r="BA126" i="2"/>
  <c r="AZ530" i="2"/>
  <c r="BA530" i="2" s="1"/>
  <c r="BA528" i="2"/>
  <c r="D30" i="18"/>
  <c r="D27" i="18"/>
  <c r="D26" i="18"/>
  <c r="D85" i="18"/>
  <c r="D47" i="18"/>
  <c r="D19" i="18"/>
  <c r="D98" i="18"/>
  <c r="D93" i="18"/>
  <c r="D42" i="18"/>
  <c r="D67" i="18"/>
  <c r="D13" i="18"/>
  <c r="D24" i="18"/>
  <c r="D45" i="18"/>
  <c r="D41" i="18"/>
  <c r="D101" i="18"/>
  <c r="D97" i="18"/>
  <c r="D90" i="18"/>
  <c r="D137" i="18"/>
  <c r="D44" i="18"/>
  <c r="D95" i="18"/>
  <c r="D70" i="18"/>
  <c r="D96" i="18"/>
  <c r="D148" i="18"/>
  <c r="D115" i="18"/>
  <c r="D74" i="18"/>
  <c r="D21" i="18"/>
  <c r="D147" i="18"/>
  <c r="D39" i="18"/>
  <c r="D20" i="18"/>
  <c r="D15" i="18"/>
  <c r="D103" i="18"/>
  <c r="D129" i="18"/>
  <c r="D16" i="18"/>
  <c r="D33" i="18"/>
  <c r="D72" i="18"/>
  <c r="D36" i="18"/>
  <c r="D128" i="18"/>
  <c r="D34" i="18"/>
  <c r="D100" i="18"/>
  <c r="D111" i="18"/>
  <c r="D131" i="18"/>
  <c r="D78" i="18"/>
  <c r="D35" i="18"/>
  <c r="D138" i="18"/>
  <c r="D77" i="18"/>
  <c r="D52" i="18"/>
  <c r="D75" i="18"/>
  <c r="D43" i="18"/>
  <c r="D130" i="18"/>
  <c r="D114" i="18"/>
  <c r="D88" i="18"/>
  <c r="D69" i="18"/>
  <c r="D110" i="18"/>
  <c r="D109" i="18"/>
  <c r="D38" i="18"/>
  <c r="D23" i="18"/>
  <c r="D76" i="18"/>
  <c r="D71" i="18"/>
  <c r="D17" i="18"/>
  <c r="D86" i="18"/>
  <c r="D58" i="18"/>
  <c r="D123" i="18"/>
  <c r="D57" i="18"/>
  <c r="D62" i="18"/>
  <c r="D112" i="18"/>
  <c r="D32" i="18"/>
  <c r="D94" i="18"/>
  <c r="D31" i="18"/>
  <c r="D73" i="18"/>
  <c r="D145" i="18"/>
  <c r="D99" i="18"/>
  <c r="D146" i="18"/>
  <c r="AG682" i="1"/>
  <c r="B1007" i="1"/>
  <c r="M531" i="1"/>
  <c r="AH454" i="1"/>
  <c r="AG568" i="1"/>
  <c r="AI498" i="1"/>
  <c r="AH387" i="1"/>
  <c r="AI403" i="1"/>
  <c r="C403" i="1" s="1"/>
  <c r="AH562" i="1"/>
  <c r="AI353" i="1"/>
  <c r="C353" i="1" s="1"/>
  <c r="AI17" i="1"/>
  <c r="C17" i="1" s="1"/>
  <c r="AG44" i="1"/>
  <c r="A44" i="1" s="1"/>
  <c r="AH329" i="1"/>
  <c r="B329" i="1" s="1"/>
  <c r="AH483" i="1"/>
  <c r="B483" i="1" s="1"/>
  <c r="AH390" i="1"/>
  <c r="B390" i="1" s="1"/>
  <c r="AI695" i="1"/>
  <c r="C695" i="1" s="1"/>
  <c r="E695" i="1" s="1"/>
  <c r="AH137" i="1"/>
  <c r="B137" i="1" s="1"/>
  <c r="AG501" i="1"/>
  <c r="AG625" i="1"/>
  <c r="A625" i="1" s="1"/>
  <c r="AI568" i="1"/>
  <c r="AI530" i="1"/>
  <c r="C530" i="1" s="1"/>
  <c r="AI216" i="1"/>
  <c r="AG635" i="1"/>
  <c r="A635" i="1" s="1"/>
  <c r="AG15" i="1"/>
  <c r="A15" i="1" s="1"/>
  <c r="AI645" i="1"/>
  <c r="C645" i="1" s="1"/>
  <c r="AG449" i="1"/>
  <c r="AH29" i="1"/>
  <c r="B29" i="1" s="1"/>
  <c r="AH661" i="1"/>
  <c r="AI314" i="1"/>
  <c r="C314" i="1" s="1"/>
  <c r="AI654" i="1"/>
  <c r="C654" i="1" s="1"/>
  <c r="AI32" i="1"/>
  <c r="AH351" i="1"/>
  <c r="B351" i="1" s="1"/>
  <c r="AG716" i="1"/>
  <c r="A716" i="1" s="1"/>
  <c r="AI690" i="1"/>
  <c r="C690" i="1" s="1"/>
  <c r="E690" i="1" s="1"/>
  <c r="AG111" i="1"/>
  <c r="AG270" i="1"/>
  <c r="A270" i="1" s="1"/>
  <c r="AI144" i="1"/>
  <c r="C144" i="1" s="1"/>
  <c r="AH125" i="1"/>
  <c r="B125" i="1" s="1"/>
  <c r="AG250" i="1"/>
  <c r="A250" i="1" s="1"/>
  <c r="AH152" i="1"/>
  <c r="AH428" i="1"/>
  <c r="B428" i="1" s="1"/>
  <c r="AI218" i="1"/>
  <c r="AG477" i="1"/>
  <c r="A477" i="1" s="1"/>
  <c r="AI10" i="1"/>
  <c r="C10" i="1" s="1"/>
  <c r="AG98" i="1"/>
  <c r="A98" i="1" s="1"/>
  <c r="AI84" i="1"/>
  <c r="C84" i="1" s="1"/>
  <c r="AH649" i="1"/>
  <c r="B649" i="1" s="1"/>
  <c r="AH255" i="1"/>
  <c r="B255" i="1" s="1"/>
  <c r="AH575" i="1"/>
  <c r="A179" i="1"/>
  <c r="AH21" i="1"/>
  <c r="AH53" i="1"/>
  <c r="AI315" i="1"/>
  <c r="C315" i="1" s="1"/>
  <c r="AI592" i="1"/>
  <c r="C592" i="1" s="1"/>
  <c r="AI73" i="1"/>
  <c r="AI476" i="1"/>
  <c r="C476" i="1" s="1"/>
  <c r="AG6" i="1"/>
  <c r="A6" i="1" s="1"/>
  <c r="AG345" i="1"/>
  <c r="AI125" i="1"/>
  <c r="C125" i="1" s="1"/>
  <c r="AI47" i="1"/>
  <c r="AH427" i="1"/>
  <c r="B427" i="1" s="1"/>
  <c r="AG159" i="1"/>
  <c r="A159" i="1" s="1"/>
  <c r="AH92" i="1"/>
  <c r="B92" i="1" s="1"/>
  <c r="AI319" i="1"/>
  <c r="C319" i="1" s="1"/>
  <c r="AI454" i="1"/>
  <c r="AG482" i="1"/>
  <c r="A482" i="1" s="1"/>
  <c r="AH369" i="1"/>
  <c r="B369" i="1" s="1"/>
  <c r="AG357" i="1"/>
  <c r="A357" i="1" s="1"/>
  <c r="AI291" i="1"/>
  <c r="C291" i="1" s="1"/>
  <c r="AG572" i="1"/>
  <c r="AI453" i="1"/>
  <c r="AI600" i="1"/>
  <c r="C600" i="1" s="1"/>
  <c r="AI45" i="1"/>
  <c r="C45" i="1" s="1"/>
  <c r="AG766" i="1"/>
  <c r="A766" i="1" s="1"/>
  <c r="AH323" i="1"/>
  <c r="AI24" i="1"/>
  <c r="C24" i="1" s="1"/>
  <c r="AI458" i="1"/>
  <c r="C458" i="1" s="1"/>
  <c r="AI114" i="1"/>
  <c r="AH213" i="1"/>
  <c r="AH672" i="1"/>
  <c r="B672" i="1" s="1"/>
  <c r="D672" i="1" s="1"/>
  <c r="AG372" i="1"/>
  <c r="A372" i="1" s="1"/>
  <c r="AH440" i="1"/>
  <c r="B440" i="1" s="1"/>
  <c r="AG500" i="1"/>
  <c r="AH297" i="1"/>
  <c r="AG566" i="1"/>
  <c r="AH31" i="1"/>
  <c r="AH439" i="1"/>
  <c r="B439" i="1" s="1"/>
  <c r="AH673" i="1"/>
  <c r="B673" i="1" s="1"/>
  <c r="D673" i="1" s="1"/>
  <c r="AI74" i="1"/>
  <c r="AI618" i="1"/>
  <c r="AI599" i="1"/>
  <c r="C599" i="1" s="1"/>
  <c r="AH406" i="1"/>
  <c r="B406" i="1" s="1"/>
  <c r="AI547" i="1"/>
  <c r="C547" i="1" s="1"/>
  <c r="AI497" i="1"/>
  <c r="AG744" i="1"/>
  <c r="A744" i="1" s="1"/>
  <c r="AG107" i="1"/>
  <c r="A107" i="1" s="1"/>
  <c r="AG752" i="1"/>
  <c r="A752" i="1" s="1"/>
  <c r="AH32" i="1"/>
  <c r="AI409" i="1"/>
  <c r="C409" i="1" s="1"/>
  <c r="AI729" i="1"/>
  <c r="C729" i="1" s="1"/>
  <c r="AH50" i="1"/>
  <c r="AG142" i="1"/>
  <c r="A142" i="1" s="1"/>
  <c r="AG631" i="1"/>
  <c r="A631" i="1" s="1"/>
  <c r="AG672" i="1"/>
  <c r="A672" i="1" s="1"/>
  <c r="AG670" i="1"/>
  <c r="A670" i="1" s="1"/>
  <c r="AI655" i="1"/>
  <c r="C655" i="1" s="1"/>
  <c r="AH628" i="1"/>
  <c r="B628" i="1" s="1"/>
  <c r="AG35" i="1"/>
  <c r="AG327" i="1"/>
  <c r="A327" i="1" s="1"/>
  <c r="AI252" i="1"/>
  <c r="C252" i="1" s="1"/>
  <c r="AG392" i="1"/>
  <c r="A392" i="1" s="1"/>
  <c r="AH566" i="1"/>
  <c r="AH767" i="1"/>
  <c r="B767" i="1" s="1"/>
  <c r="AI172" i="1"/>
  <c r="C172" i="1" s="1"/>
  <c r="AG94" i="1"/>
  <c r="A94" i="1" s="1"/>
  <c r="AH399" i="1"/>
  <c r="B399" i="1" s="1"/>
  <c r="AI120" i="1"/>
  <c r="AH162" i="1"/>
  <c r="B162" i="1" s="1"/>
  <c r="AH303" i="1"/>
  <c r="B303" i="1" s="1"/>
  <c r="AG138" i="1"/>
  <c r="A138" i="1" s="1"/>
  <c r="AH581" i="1"/>
  <c r="AH497" i="1"/>
  <c r="AG636" i="1"/>
  <c r="A636" i="1" s="1"/>
  <c r="AH51" i="1"/>
  <c r="AH374" i="1"/>
  <c r="B374" i="1" s="1"/>
  <c r="AG717" i="1"/>
  <c r="A717" i="1" s="1"/>
  <c r="AH335" i="1"/>
  <c r="B335" i="1" s="1"/>
  <c r="AG617" i="1"/>
  <c r="AG277" i="1"/>
  <c r="A277" i="1" s="1"/>
  <c r="AH24" i="1"/>
  <c r="B24" i="1" s="1"/>
  <c r="AG69" i="1"/>
  <c r="A69" i="1" s="1"/>
  <c r="AH677" i="1"/>
  <c r="B677" i="1" s="1"/>
  <c r="D677" i="1" s="1"/>
  <c r="AH190" i="1"/>
  <c r="AH202" i="1"/>
  <c r="AG188" i="1"/>
  <c r="AG623" i="1"/>
  <c r="AG612" i="1"/>
  <c r="A612" i="1" s="1"/>
  <c r="AH135" i="1"/>
  <c r="B135" i="1" s="1"/>
  <c r="AG421" i="1"/>
  <c r="AI223" i="1"/>
  <c r="AI192" i="1"/>
  <c r="C182" i="1"/>
  <c r="AI461" i="1"/>
  <c r="C461" i="1" s="1"/>
  <c r="AG297" i="1"/>
  <c r="AG259" i="1"/>
  <c r="A259" i="1" s="1"/>
  <c r="AI532" i="1"/>
  <c r="C532" i="1" s="1"/>
  <c r="AH438" i="1"/>
  <c r="B438" i="1" s="1"/>
  <c r="AI484" i="1"/>
  <c r="C484" i="1" s="1"/>
  <c r="AG376" i="1"/>
  <c r="A376" i="1" s="1"/>
  <c r="AH743" i="1"/>
  <c r="B743" i="1" s="1"/>
  <c r="AI449" i="1"/>
  <c r="AI744" i="1"/>
  <c r="C744" i="1" s="1"/>
  <c r="AH706" i="1"/>
  <c r="AI390" i="1"/>
  <c r="C390" i="1" s="1"/>
  <c r="AI413" i="1"/>
  <c r="C413" i="1" s="1"/>
  <c r="AH487" i="1"/>
  <c r="AI8" i="1"/>
  <c r="C8" i="1" s="1"/>
  <c r="AI61" i="1"/>
  <c r="AI199" i="1"/>
  <c r="AG252" i="1"/>
  <c r="A252" i="1" s="1"/>
  <c r="AI273" i="1"/>
  <c r="C273" i="1" s="1"/>
  <c r="AH513" i="1"/>
  <c r="AI203" i="1"/>
  <c r="AI747" i="1"/>
  <c r="C747" i="1" s="1"/>
  <c r="AG695" i="1"/>
  <c r="A695" i="1" s="1"/>
  <c r="AG23" i="1"/>
  <c r="AI621" i="1"/>
  <c r="AI373" i="1"/>
  <c r="C373" i="1" s="1"/>
  <c r="AI750" i="1"/>
  <c r="C750" i="1" s="1"/>
  <c r="AG582" i="1"/>
  <c r="A582" i="1" s="1"/>
  <c r="AI692" i="1"/>
  <c r="C692" i="1" s="1"/>
  <c r="E692" i="1" s="1"/>
  <c r="AG346" i="1"/>
  <c r="AI644" i="1"/>
  <c r="C644" i="1" s="1"/>
  <c r="AI450" i="1"/>
  <c r="AI602" i="1"/>
  <c r="C602" i="1" s="1"/>
  <c r="AH298" i="1"/>
  <c r="AI337" i="1"/>
  <c r="C337" i="1" s="1"/>
  <c r="AH198" i="1"/>
  <c r="AH571" i="1"/>
  <c r="AG633" i="1"/>
  <c r="A633" i="1" s="1"/>
  <c r="AG618" i="1"/>
  <c r="AG220" i="1"/>
  <c r="AI740" i="1"/>
  <c r="AI753" i="1"/>
  <c r="C753" i="1" s="1"/>
  <c r="AG102" i="1"/>
  <c r="A102" i="1" s="1"/>
  <c r="AH72" i="1"/>
  <c r="AI440" i="1"/>
  <c r="C440" i="1" s="1"/>
  <c r="AG569" i="1"/>
  <c r="AG29" i="1"/>
  <c r="A29" i="1" s="1"/>
  <c r="AG238" i="1"/>
  <c r="A238" i="1" s="1"/>
  <c r="AH621" i="1"/>
  <c r="AI275" i="1"/>
  <c r="C275" i="1" s="1"/>
  <c r="AH424" i="1"/>
  <c r="B424" i="1" s="1"/>
  <c r="AH644" i="1"/>
  <c r="B644" i="1" s="1"/>
  <c r="AG192" i="1"/>
  <c r="AI234" i="1"/>
  <c r="AH313" i="1"/>
  <c r="B313" i="1" s="1"/>
  <c r="AH108" i="1"/>
  <c r="B108" i="1" s="1"/>
  <c r="AG362" i="1"/>
  <c r="A362" i="1" s="1"/>
  <c r="AG506" i="1"/>
  <c r="AI225" i="1"/>
  <c r="AI565" i="1"/>
  <c r="AG422" i="1"/>
  <c r="AG747" i="1"/>
  <c r="A747" i="1" s="1"/>
  <c r="AG414" i="1"/>
  <c r="A414" i="1" s="1"/>
  <c r="AG56" i="1"/>
  <c r="A56" i="1" s="1"/>
  <c r="AI200" i="1"/>
  <c r="AI612" i="1"/>
  <c r="C612" i="1" s="1"/>
  <c r="AG351" i="1"/>
  <c r="A351" i="1" s="1"/>
  <c r="AI313" i="1"/>
  <c r="C313" i="1" s="1"/>
  <c r="AG163" i="1"/>
  <c r="A163" i="1" s="1"/>
  <c r="AG427" i="1"/>
  <c r="A427" i="1" s="1"/>
  <c r="AH139" i="1"/>
  <c r="B139" i="1" s="1"/>
  <c r="AG168" i="1"/>
  <c r="A168" i="1" s="1"/>
  <c r="AH101" i="1"/>
  <c r="B101" i="1" s="1"/>
  <c r="AI545" i="1"/>
  <c r="C545" i="1" s="1"/>
  <c r="AH468" i="1"/>
  <c r="B468" i="1" s="1"/>
  <c r="AH126" i="1"/>
  <c r="B126" i="1" s="1"/>
  <c r="AI281" i="1"/>
  <c r="C281" i="1" s="1"/>
  <c r="AH744" i="1"/>
  <c r="B744" i="1" s="1"/>
  <c r="AG764" i="1"/>
  <c r="A764" i="1" s="1"/>
  <c r="AH388" i="1"/>
  <c r="B178" i="1"/>
  <c r="AI515" i="1"/>
  <c r="AI533" i="1"/>
  <c r="C533" i="1" s="1"/>
  <c r="AH610" i="1"/>
  <c r="B610" i="1" s="1"/>
  <c r="AH713" i="1"/>
  <c r="B713" i="1" s="1"/>
  <c r="AG231" i="1"/>
  <c r="A231" i="1" s="1"/>
  <c r="AI174" i="1"/>
  <c r="C174" i="1" s="1"/>
  <c r="AH223" i="1"/>
  <c r="AG76" i="1"/>
  <c r="AG759" i="1"/>
  <c r="A759" i="1" s="1"/>
  <c r="AG273" i="1"/>
  <c r="A273" i="1" s="1"/>
  <c r="AI447" i="1"/>
  <c r="AI587" i="1"/>
  <c r="AI606" i="1"/>
  <c r="C606" i="1" s="1"/>
  <c r="AG24" i="1"/>
  <c r="A24" i="1" s="1"/>
  <c r="AH446" i="1"/>
  <c r="B446" i="1" s="1"/>
  <c r="AI138" i="1"/>
  <c r="C138" i="1" s="1"/>
  <c r="AI221" i="1"/>
  <c r="AI721" i="1"/>
  <c r="C721" i="1" s="1"/>
  <c r="AG561" i="1"/>
  <c r="AI720" i="1"/>
  <c r="C720" i="1" s="1"/>
  <c r="AI333" i="1"/>
  <c r="C333" i="1" s="1"/>
  <c r="AH540" i="1"/>
  <c r="AI387" i="1"/>
  <c r="AI627" i="1"/>
  <c r="C627" i="1" s="1"/>
  <c r="AI710" i="1"/>
  <c r="C710" i="1" s="1"/>
  <c r="E710" i="1" s="1"/>
  <c r="AG221" i="1"/>
  <c r="AH220" i="1"/>
  <c r="AG595" i="1"/>
  <c r="A595" i="1" s="1"/>
  <c r="AI617" i="1"/>
  <c r="AH652" i="1"/>
  <c r="B652" i="1" s="1"/>
  <c r="AG662" i="1"/>
  <c r="AH726" i="1"/>
  <c r="B726" i="1" s="1"/>
  <c r="AG502" i="1"/>
  <c r="AI701" i="1"/>
  <c r="C701" i="1" s="1"/>
  <c r="E701" i="1" s="1"/>
  <c r="AI20" i="1"/>
  <c r="C20" i="1" s="1"/>
  <c r="AH357" i="1"/>
  <c r="B357" i="1" s="1"/>
  <c r="AH730" i="1"/>
  <c r="B730" i="1" s="1"/>
  <c r="AI546" i="1"/>
  <c r="C546" i="1" s="1"/>
  <c r="AG89" i="1"/>
  <c r="A89" i="1" s="1"/>
  <c r="AG531" i="1"/>
  <c r="A531" i="1" s="1"/>
  <c r="AI284" i="1"/>
  <c r="C284" i="1" s="1"/>
  <c r="AI51" i="1"/>
  <c r="AI277" i="1"/>
  <c r="C277" i="1" s="1"/>
  <c r="AH245" i="1"/>
  <c r="AH576" i="1"/>
  <c r="AG616" i="1"/>
  <c r="A616" i="1" s="1"/>
  <c r="AG386" i="1"/>
  <c r="AG359" i="1"/>
  <c r="A359" i="1" s="1"/>
  <c r="AG713" i="1"/>
  <c r="A713" i="1" s="1"/>
  <c r="AG27" i="1"/>
  <c r="A27" i="1" s="1"/>
  <c r="AH451" i="1"/>
  <c r="AH256" i="1"/>
  <c r="B256" i="1" s="1"/>
  <c r="AI201" i="1"/>
  <c r="AG143" i="1"/>
  <c r="A143" i="1" s="1"/>
  <c r="AI478" i="1"/>
  <c r="C478" i="1" s="1"/>
  <c r="AI619" i="1"/>
  <c r="AG52" i="1"/>
  <c r="AH103" i="1"/>
  <c r="B103" i="1" s="1"/>
  <c r="AG333" i="1"/>
  <c r="A333" i="1" s="1"/>
  <c r="AI681" i="1"/>
  <c r="AH662" i="1"/>
  <c r="AH598" i="1"/>
  <c r="B598" i="1" s="1"/>
  <c r="AH530" i="1"/>
  <c r="AI289" i="1"/>
  <c r="C289" i="1" s="1"/>
  <c r="AG734" i="1"/>
  <c r="AG483" i="1"/>
  <c r="A483" i="1" s="1"/>
  <c r="AH295" i="1"/>
  <c r="B295" i="1" s="1"/>
  <c r="AH506" i="1"/>
  <c r="AI501" i="1"/>
  <c r="AH712" i="1"/>
  <c r="B712" i="1" s="1"/>
  <c r="AG686" i="1"/>
  <c r="AI255" i="1"/>
  <c r="C255" i="1" s="1"/>
  <c r="AI607" i="1"/>
  <c r="C607" i="1" s="1"/>
  <c r="AH254" i="1"/>
  <c r="B254" i="1" s="1"/>
  <c r="AH396" i="1"/>
  <c r="B396" i="1" s="1"/>
  <c r="AG590" i="1"/>
  <c r="AI500" i="1"/>
  <c r="AI327" i="1"/>
  <c r="C327" i="1" s="1"/>
  <c r="AH426" i="1"/>
  <c r="B426" i="1" s="1"/>
  <c r="AG350" i="1"/>
  <c r="A350" i="1" s="1"/>
  <c r="AH230" i="1"/>
  <c r="AG391" i="1"/>
  <c r="A391" i="1" s="1"/>
  <c r="AI377" i="1"/>
  <c r="C377" i="1" s="1"/>
  <c r="AI164" i="1"/>
  <c r="C164" i="1" s="1"/>
  <c r="AH122" i="1"/>
  <c r="AG387" i="1"/>
  <c r="AI706" i="1"/>
  <c r="C706" i="1" s="1"/>
  <c r="E706" i="1" s="1"/>
  <c r="AG280" i="1"/>
  <c r="A280" i="1" s="1"/>
  <c r="AH238" i="1"/>
  <c r="AI339" i="1"/>
  <c r="AH501" i="1"/>
  <c r="AH120" i="1"/>
  <c r="B120" i="1" s="1"/>
  <c r="AH140" i="1"/>
  <c r="B140" i="1" s="1"/>
  <c r="AI345" i="1"/>
  <c r="AH408" i="1"/>
  <c r="B408" i="1" s="1"/>
  <c r="AH607" i="1"/>
  <c r="B607" i="1" s="1"/>
  <c r="AG331" i="1"/>
  <c r="A331" i="1" s="1"/>
  <c r="AI736" i="1"/>
  <c r="AG330" i="1"/>
  <c r="A330" i="1" s="1"/>
  <c r="AH337" i="1"/>
  <c r="B337" i="1" s="1"/>
  <c r="AG253" i="1"/>
  <c r="A253" i="1" s="1"/>
  <c r="AG361" i="1"/>
  <c r="A361" i="1" s="1"/>
  <c r="AH592" i="1"/>
  <c r="B592" i="1" s="1"/>
  <c r="AH463" i="1"/>
  <c r="B463" i="1" s="1"/>
  <c r="AI56" i="1"/>
  <c r="C56" i="1" s="1"/>
  <c r="AI356" i="1"/>
  <c r="C356" i="1" s="1"/>
  <c r="AH682" i="1"/>
  <c r="AI397" i="1"/>
  <c r="C397" i="1" s="1"/>
  <c r="AI538" i="1"/>
  <c r="C538" i="1" s="1"/>
  <c r="C179" i="1"/>
  <c r="AI555" i="1"/>
  <c r="C555" i="1" s="1"/>
  <c r="AI329" i="1"/>
  <c r="C329" i="1" s="1"/>
  <c r="AI83" i="1"/>
  <c r="C83" i="1" s="1"/>
  <c r="AH133" i="1"/>
  <c r="AI323" i="1"/>
  <c r="AG335" i="1"/>
  <c r="A335" i="1" s="1"/>
  <c r="AI103" i="1"/>
  <c r="C103" i="1" s="1"/>
  <c r="AH748" i="1"/>
  <c r="B748" i="1" s="1"/>
  <c r="AG705" i="1"/>
  <c r="A705" i="1" s="1"/>
  <c r="AI52" i="1"/>
  <c r="AH485" i="1"/>
  <c r="B485" i="1" s="1"/>
  <c r="AI455" i="1"/>
  <c r="AI157" i="1"/>
  <c r="C157" i="1" s="1"/>
  <c r="AH402" i="1"/>
  <c r="B402" i="1" s="1"/>
  <c r="AI330" i="1"/>
  <c r="C330" i="1" s="1"/>
  <c r="AG103" i="1"/>
  <c r="A103" i="1" s="1"/>
  <c r="AI36" i="1"/>
  <c r="C36" i="1" s="1"/>
  <c r="AG128" i="1"/>
  <c r="A128" i="1" s="1"/>
  <c r="AG380" i="1"/>
  <c r="A380" i="1" s="1"/>
  <c r="AI379" i="1"/>
  <c r="C379" i="1" s="1"/>
  <c r="AI535" i="1"/>
  <c r="C535" i="1" s="1"/>
  <c r="AI303" i="1"/>
  <c r="C303" i="1" s="1"/>
  <c r="AI438" i="1"/>
  <c r="C438" i="1" s="1"/>
  <c r="AH52" i="1"/>
  <c r="AI110" i="1"/>
  <c r="AI410" i="1"/>
  <c r="C410" i="1" s="1"/>
  <c r="AI445" i="1"/>
  <c r="C445" i="1" s="1"/>
  <c r="AH10" i="1"/>
  <c r="B10" i="1" s="1"/>
  <c r="AH480" i="1"/>
  <c r="B480" i="1" s="1"/>
  <c r="AH123" i="1"/>
  <c r="AH698" i="1"/>
  <c r="AI402" i="1"/>
  <c r="C402" i="1" s="1"/>
  <c r="AI263" i="1"/>
  <c r="AH484" i="1"/>
  <c r="B484" i="1" s="1"/>
  <c r="AH409" i="1"/>
  <c r="B409" i="1" s="1"/>
  <c r="AG755" i="1"/>
  <c r="A755" i="1" s="1"/>
  <c r="AH642" i="1"/>
  <c r="B642" i="1" s="1"/>
  <c r="AI482" i="1"/>
  <c r="C482" i="1" s="1"/>
  <c r="AH54" i="1"/>
  <c r="B54" i="1" s="1"/>
  <c r="AH711" i="1"/>
  <c r="B711" i="1" s="1"/>
  <c r="AG471" i="1"/>
  <c r="A471" i="1" s="1"/>
  <c r="AH293" i="1"/>
  <c r="B293" i="1" s="1"/>
  <c r="AI133" i="1"/>
  <c r="C133" i="1" s="1"/>
  <c r="AG767" i="1"/>
  <c r="A767" i="1" s="1"/>
  <c r="AI88" i="1"/>
  <c r="C88" i="1" s="1"/>
  <c r="AH376" i="1"/>
  <c r="B376" i="1" s="1"/>
  <c r="AH380" i="1"/>
  <c r="B380" i="1" s="1"/>
  <c r="AG592" i="1"/>
  <c r="A592" i="1" s="1"/>
  <c r="AG426" i="1"/>
  <c r="A426" i="1" s="1"/>
  <c r="AI253" i="1"/>
  <c r="C253" i="1" s="1"/>
  <c r="AG756" i="1"/>
  <c r="A756" i="1" s="1"/>
  <c r="AI306" i="1"/>
  <c r="C306" i="1" s="1"/>
  <c r="AH411" i="1"/>
  <c r="B411" i="1" s="1"/>
  <c r="AH495" i="1"/>
  <c r="AH666" i="1"/>
  <c r="AI700" i="1"/>
  <c r="C700" i="1" s="1"/>
  <c r="E700" i="1" s="1"/>
  <c r="AG419" i="1"/>
  <c r="AH678" i="1"/>
  <c r="B678" i="1" s="1"/>
  <c r="D678" i="1" s="1"/>
  <c r="AG75" i="1"/>
  <c r="AG570" i="1"/>
  <c r="AG428" i="1"/>
  <c r="A428" i="1" s="1"/>
  <c r="AH384" i="1"/>
  <c r="AI748" i="1"/>
  <c r="C748" i="1" s="1"/>
  <c r="AH268" i="1"/>
  <c r="B268" i="1" s="1"/>
  <c r="AH762" i="1"/>
  <c r="B762" i="1" s="1"/>
  <c r="AH312" i="1"/>
  <c r="B312" i="1" s="1"/>
  <c r="AI285" i="1"/>
  <c r="C285" i="1" s="1"/>
  <c r="AI503" i="1"/>
  <c r="AG295" i="1"/>
  <c r="A295" i="1" s="1"/>
  <c r="AH13" i="1"/>
  <c r="B13" i="1" s="1"/>
  <c r="AG412" i="1"/>
  <c r="A412" i="1" s="1"/>
  <c r="AH750" i="1"/>
  <c r="B750" i="1" s="1"/>
  <c r="AH412" i="1"/>
  <c r="B412" i="1" s="1"/>
  <c r="AG316" i="1"/>
  <c r="A316" i="1" s="1"/>
  <c r="AH271" i="1"/>
  <c r="B271" i="1" s="1"/>
  <c r="AG5" i="1"/>
  <c r="A5" i="1" s="1"/>
  <c r="AG626" i="1"/>
  <c r="A626" i="1" s="1"/>
  <c r="AI271" i="1"/>
  <c r="C271" i="1" s="1"/>
  <c r="AG266" i="1"/>
  <c r="A266" i="1" s="1"/>
  <c r="AG732" i="1"/>
  <c r="A732" i="1" s="1"/>
  <c r="AH107" i="1"/>
  <c r="B107" i="1" s="1"/>
  <c r="AH63" i="1"/>
  <c r="AH469" i="1"/>
  <c r="B469" i="1" s="1"/>
  <c r="AI363" i="1"/>
  <c r="C363" i="1" s="1"/>
  <c r="AG488" i="1"/>
  <c r="AI54" i="1"/>
  <c r="C54" i="1" s="1"/>
  <c r="AG690" i="1"/>
  <c r="A690" i="1" s="1"/>
  <c r="AH314" i="1"/>
  <c r="B314" i="1" s="1"/>
  <c r="AI582" i="1"/>
  <c r="C582" i="1" s="1"/>
  <c r="B582" i="1" s="1"/>
  <c r="AI7" i="1"/>
  <c r="C7" i="1" s="1"/>
  <c r="AI308" i="1"/>
  <c r="C308" i="1" s="1"/>
  <c r="AG373" i="1"/>
  <c r="A373" i="1" s="1"/>
  <c r="AH510" i="1"/>
  <c r="AG393" i="1"/>
  <c r="A393" i="1" s="1"/>
  <c r="AH503" i="1"/>
  <c r="AG285" i="1"/>
  <c r="A285" i="1" s="1"/>
  <c r="AH104" i="1"/>
  <c r="B104" i="1" s="1"/>
  <c r="AI752" i="1"/>
  <c r="C752" i="1" s="1"/>
  <c r="AH65" i="1"/>
  <c r="AH185" i="1"/>
  <c r="AG287" i="1"/>
  <c r="A287" i="1" s="1"/>
  <c r="AI637" i="1"/>
  <c r="C637" i="1" s="1"/>
  <c r="AH206" i="1"/>
  <c r="AH542" i="1"/>
  <c r="AH476" i="1"/>
  <c r="B476" i="1" s="1"/>
  <c r="AH82" i="1"/>
  <c r="B82" i="1" s="1"/>
  <c r="AG22" i="1"/>
  <c r="AG768" i="1"/>
  <c r="AI101" i="1"/>
  <c r="C101" i="1" s="1"/>
  <c r="AG383" i="1"/>
  <c r="AI89" i="1"/>
  <c r="C89" i="1" s="1"/>
  <c r="AH127" i="1"/>
  <c r="B127" i="1" s="1"/>
  <c r="AH722" i="1"/>
  <c r="B722" i="1" s="1"/>
  <c r="AI347" i="1"/>
  <c r="C347" i="1" s="1"/>
  <c r="AH636" i="1"/>
  <c r="B636" i="1" s="1"/>
  <c r="AH128" i="1"/>
  <c r="B128" i="1" s="1"/>
  <c r="AH490" i="1"/>
  <c r="AI745" i="1"/>
  <c r="C745" i="1" s="1"/>
  <c r="AG379" i="1"/>
  <c r="A379" i="1" s="1"/>
  <c r="AG444" i="1"/>
  <c r="A444" i="1" s="1"/>
  <c r="AH196" i="1"/>
  <c r="AI566" i="1"/>
  <c r="AG440" i="1"/>
  <c r="A440" i="1" s="1"/>
  <c r="AI451" i="1"/>
  <c r="AG398" i="1"/>
  <c r="A398" i="1" s="1"/>
  <c r="AH45" i="1"/>
  <c r="B45" i="1" s="1"/>
  <c r="AH691" i="1"/>
  <c r="AI579" i="1"/>
  <c r="C579" i="1" s="1"/>
  <c r="B579" i="1" s="1"/>
  <c r="AH160" i="1"/>
  <c r="B160" i="1" s="1"/>
  <c r="AG487" i="1"/>
  <c r="AG650" i="1"/>
  <c r="A650" i="1" s="1"/>
  <c r="AH37" i="1"/>
  <c r="B37" i="1" s="1"/>
  <c r="AG671" i="1"/>
  <c r="A671" i="1" s="1"/>
  <c r="AG541" i="1"/>
  <c r="P541" i="1" s="1"/>
  <c r="AG459" i="1"/>
  <c r="A459" i="1" s="1"/>
  <c r="AI128" i="1"/>
  <c r="C128" i="1" s="1"/>
  <c r="AI662" i="1"/>
  <c r="AH509" i="1"/>
  <c r="AG140" i="1"/>
  <c r="A140" i="1" s="1"/>
  <c r="B181" i="1"/>
  <c r="AI448" i="1"/>
  <c r="AG508" i="1"/>
  <c r="AH281" i="1"/>
  <c r="B281" i="1" s="1"/>
  <c r="AH715" i="1"/>
  <c r="AI523" i="1"/>
  <c r="AI668" i="1"/>
  <c r="AH100" i="1"/>
  <c r="B100" i="1" s="1"/>
  <c r="AH471" i="1"/>
  <c r="B471" i="1" s="1"/>
  <c r="AI336" i="1"/>
  <c r="C336" i="1" s="1"/>
  <c r="AG507" i="1"/>
  <c r="AI127" i="1"/>
  <c r="C127" i="1" s="1"/>
  <c r="AG303" i="1"/>
  <c r="A303" i="1" s="1"/>
  <c r="AG319" i="1"/>
  <c r="A319" i="1" s="1"/>
  <c r="AH118" i="1"/>
  <c r="AG405" i="1"/>
  <c r="A405" i="1" s="1"/>
  <c r="AG235" i="1"/>
  <c r="A235" i="1" s="1"/>
  <c r="AI556" i="1"/>
  <c r="C556" i="1" s="1"/>
  <c r="AH479" i="1"/>
  <c r="B479" i="1" s="1"/>
  <c r="AH27" i="1"/>
  <c r="B27" i="1" s="1"/>
  <c r="AH489" i="1"/>
  <c r="AG48" i="1"/>
  <c r="AI352" i="1"/>
  <c r="C352" i="1" s="1"/>
  <c r="AG666" i="1"/>
  <c r="AH338" i="1"/>
  <c r="B338" i="1" s="1"/>
  <c r="AI147" i="1"/>
  <c r="AG352" i="1"/>
  <c r="A352" i="1" s="1"/>
  <c r="AI140" i="1"/>
  <c r="C140" i="1" s="1"/>
  <c r="AI295" i="1"/>
  <c r="C295" i="1" s="1"/>
  <c r="AI479" i="1"/>
  <c r="C479" i="1" s="1"/>
  <c r="AH285" i="1"/>
  <c r="B285" i="1" s="1"/>
  <c r="AI504" i="1"/>
  <c r="AH534" i="1"/>
  <c r="AH321" i="1"/>
  <c r="AG14" i="1"/>
  <c r="A14" i="1" s="1"/>
  <c r="AI425" i="1"/>
  <c r="C425" i="1" s="1"/>
  <c r="AG213" i="1"/>
  <c r="AI43" i="1"/>
  <c r="C43" i="1" s="1"/>
  <c r="AG374" i="1"/>
  <c r="A374" i="1" s="1"/>
  <c r="AI12" i="1"/>
  <c r="C12" i="1" s="1"/>
  <c r="A183" i="1"/>
  <c r="AI215" i="1"/>
  <c r="AG691" i="1"/>
  <c r="A691" i="1" s="1"/>
  <c r="AH593" i="1"/>
  <c r="B593" i="1" s="1"/>
  <c r="AG396" i="1"/>
  <c r="A396" i="1" s="1"/>
  <c r="AI769" i="1"/>
  <c r="AG454" i="1"/>
  <c r="AH416" i="1"/>
  <c r="B416" i="1" s="1"/>
  <c r="AH41" i="1"/>
  <c r="B41" i="1" s="1"/>
  <c r="AG45" i="1"/>
  <c r="A45" i="1" s="1"/>
  <c r="AH528" i="1"/>
  <c r="AI151" i="1"/>
  <c r="AI207" i="1"/>
  <c r="AI64" i="1"/>
  <c r="AH466" i="1"/>
  <c r="B466" i="1" s="1"/>
  <c r="AG385" i="1"/>
  <c r="AG26" i="1"/>
  <c r="A26" i="1" s="1"/>
  <c r="AG490" i="1"/>
  <c r="AG750" i="1"/>
  <c r="A750" i="1" s="1"/>
  <c r="AI254" i="1"/>
  <c r="C254" i="1" s="1"/>
  <c r="AI649" i="1"/>
  <c r="C649" i="1" s="1"/>
  <c r="AG451" i="1"/>
  <c r="AI188" i="1"/>
  <c r="AG236" i="1"/>
  <c r="A236" i="1" s="1"/>
  <c r="AG557" i="1"/>
  <c r="A557" i="1" s="1"/>
  <c r="AI586" i="1"/>
  <c r="AG494" i="1"/>
  <c r="AH99" i="1"/>
  <c r="B99" i="1" s="1"/>
  <c r="AG464" i="1"/>
  <c r="A464" i="1" s="1"/>
  <c r="AI591" i="1"/>
  <c r="AI30" i="1"/>
  <c r="AI237" i="1"/>
  <c r="AH11" i="1"/>
  <c r="B11" i="1" s="1"/>
  <c r="AG712" i="1"/>
  <c r="A712" i="1" s="1"/>
  <c r="AH55" i="1"/>
  <c r="B55" i="1" s="1"/>
  <c r="AH433" i="1"/>
  <c r="B433" i="1" s="1"/>
  <c r="AI249" i="1"/>
  <c r="C249" i="1" s="1"/>
  <c r="AH400" i="1"/>
  <c r="B400" i="1" s="1"/>
  <c r="AH279" i="1"/>
  <c r="B279" i="1" s="1"/>
  <c r="AI129" i="1"/>
  <c r="C129" i="1" s="1"/>
  <c r="AG598" i="1"/>
  <c r="A598" i="1" s="1"/>
  <c r="AI187" i="1"/>
  <c r="AI446" i="1"/>
  <c r="C446" i="1" s="1"/>
  <c r="AH514" i="1"/>
  <c r="AH582" i="1"/>
  <c r="AG304" i="1"/>
  <c r="A304" i="1" s="1"/>
  <c r="AI186" i="1"/>
  <c r="AI296" i="1"/>
  <c r="C296" i="1" s="1"/>
  <c r="AG149" i="1"/>
  <c r="AI716" i="1"/>
  <c r="C716" i="1" s="1"/>
  <c r="AG104" i="1"/>
  <c r="A104" i="1" s="1"/>
  <c r="AH596" i="1"/>
  <c r="B596" i="1" s="1"/>
  <c r="AG731" i="1"/>
  <c r="A731" i="1" s="1"/>
  <c r="AI87" i="1"/>
  <c r="C87" i="1" s="1"/>
  <c r="AH700" i="1"/>
  <c r="AG726" i="1"/>
  <c r="A726" i="1" s="1"/>
  <c r="AI250" i="1"/>
  <c r="C250" i="1" s="1"/>
  <c r="AH270" i="1"/>
  <c r="B270" i="1" s="1"/>
  <c r="AH360" i="1"/>
  <c r="B360" i="1" s="1"/>
  <c r="AG654" i="1"/>
  <c r="A654" i="1" s="1"/>
  <c r="AG452" i="1"/>
  <c r="AG325" i="1"/>
  <c r="A325" i="1" s="1"/>
  <c r="AI99" i="1"/>
  <c r="C99" i="1" s="1"/>
  <c r="AG218" i="1"/>
  <c r="AG290" i="1"/>
  <c r="A290" i="1" s="1"/>
  <c r="AG540" i="1"/>
  <c r="AH325" i="1"/>
  <c r="B325" i="1" s="1"/>
  <c r="AH163" i="1"/>
  <c r="B163" i="1" s="1"/>
  <c r="AG134" i="1"/>
  <c r="A134" i="1" s="1"/>
  <c r="AG157" i="1"/>
  <c r="A157" i="1" s="1"/>
  <c r="AH389" i="1"/>
  <c r="AH211" i="1"/>
  <c r="AH643" i="1"/>
  <c r="B643" i="1" s="1"/>
  <c r="AG443" i="1"/>
  <c r="A443" i="1" s="1"/>
  <c r="AI541" i="1"/>
  <c r="C541" i="1" s="1"/>
  <c r="AH422" i="1"/>
  <c r="AI552" i="1"/>
  <c r="C552" i="1" s="1"/>
  <c r="AG553" i="1"/>
  <c r="A553" i="1" s="1"/>
  <c r="AH157" i="1"/>
  <c r="B157" i="1" s="1"/>
  <c r="AH414" i="1"/>
  <c r="B414" i="1" s="1"/>
  <c r="AI126" i="1"/>
  <c r="C126" i="1" s="1"/>
  <c r="AI195" i="1"/>
  <c r="AI380" i="1"/>
  <c r="C380" i="1" s="1"/>
  <c r="AH482" i="1"/>
  <c r="B482" i="1" s="1"/>
  <c r="AG441" i="1"/>
  <c r="A441" i="1" s="1"/>
  <c r="AI310" i="1"/>
  <c r="C310" i="1" s="1"/>
  <c r="AI604" i="1"/>
  <c r="C604" i="1" s="1"/>
  <c r="AH331" i="1"/>
  <c r="B331" i="1" s="1"/>
  <c r="AG264" i="1"/>
  <c r="AG602" i="1"/>
  <c r="A602" i="1" s="1"/>
  <c r="AH294" i="1"/>
  <c r="B294" i="1" s="1"/>
  <c r="AI341" i="1"/>
  <c r="AG307" i="1"/>
  <c r="A307" i="1" s="1"/>
  <c r="AG647" i="1"/>
  <c r="A647" i="1" s="1"/>
  <c r="AG87" i="1"/>
  <c r="A87" i="1" s="1"/>
  <c r="AH749" i="1"/>
  <c r="B749" i="1" s="1"/>
  <c r="AH98" i="1"/>
  <c r="B98" i="1" s="1"/>
  <c r="AH734" i="1"/>
  <c r="AH136" i="1"/>
  <c r="B136" i="1" s="1"/>
  <c r="AH84" i="1"/>
  <c r="B84" i="1" s="1"/>
  <c r="AH505" i="1"/>
  <c r="AH289" i="1"/>
  <c r="B289" i="1" s="1"/>
  <c r="AI404" i="1"/>
  <c r="C404" i="1" s="1"/>
  <c r="AH273" i="1"/>
  <c r="B273" i="1" s="1"/>
  <c r="AI441" i="1"/>
  <c r="C441" i="1" s="1"/>
  <c r="AI107" i="1"/>
  <c r="C107" i="1" s="1"/>
  <c r="AG136" i="1"/>
  <c r="A136" i="1" s="1"/>
  <c r="AI316" i="1"/>
  <c r="C316" i="1" s="1"/>
  <c r="AH669" i="1"/>
  <c r="B669" i="1" s="1"/>
  <c r="D669" i="1" s="1"/>
  <c r="AH391" i="1"/>
  <c r="B391" i="1" s="1"/>
  <c r="AH382" i="1"/>
  <c r="AI401" i="1"/>
  <c r="C401" i="1" s="1"/>
  <c r="AI512" i="1"/>
  <c r="AG305" i="1"/>
  <c r="A305" i="1" s="1"/>
  <c r="AG162" i="1"/>
  <c r="A162" i="1" s="1"/>
  <c r="AG133" i="1"/>
  <c r="A133" i="1" s="1"/>
  <c r="AI436" i="1"/>
  <c r="C436" i="1" s="1"/>
  <c r="AI444" i="1"/>
  <c r="C444" i="1" s="1"/>
  <c r="AH435" i="1"/>
  <c r="B435" i="1" s="1"/>
  <c r="AI71" i="1"/>
  <c r="AI759" i="1"/>
  <c r="C759" i="1" s="1"/>
  <c r="AI159" i="1"/>
  <c r="C159" i="1" s="1"/>
  <c r="AG355" i="1"/>
  <c r="A355" i="1" s="1"/>
  <c r="B182" i="1"/>
  <c r="AH317" i="1"/>
  <c r="B317" i="1" s="1"/>
  <c r="AG283" i="1"/>
  <c r="A283" i="1" s="1"/>
  <c r="AI684" i="1"/>
  <c r="AH286" i="1"/>
  <c r="B286" i="1" s="1"/>
  <c r="AH640" i="1"/>
  <c r="B640" i="1" s="1"/>
  <c r="AH373" i="1"/>
  <c r="B373" i="1" s="1"/>
  <c r="AG668" i="1"/>
  <c r="AI53" i="1"/>
  <c r="AG733" i="1"/>
  <c r="AH629" i="1"/>
  <c r="B629" i="1" s="1"/>
  <c r="AI262" i="1"/>
  <c r="AI168" i="1"/>
  <c r="C168" i="1" s="1"/>
  <c r="AI563" i="1"/>
  <c r="AG165" i="1"/>
  <c r="A165" i="1" s="1"/>
  <c r="AG513" i="1"/>
  <c r="AG634" i="1"/>
  <c r="A634" i="1" s="1"/>
  <c r="AH258" i="1"/>
  <c r="B258" i="1" s="1"/>
  <c r="AI233" i="1"/>
  <c r="AH247" i="1"/>
  <c r="AI718" i="1"/>
  <c r="C718" i="1" s="1"/>
  <c r="AH605" i="1"/>
  <c r="B605" i="1" s="1"/>
  <c r="AG9" i="1"/>
  <c r="A9" i="1" s="1"/>
  <c r="AG519" i="1"/>
  <c r="AI755" i="1"/>
  <c r="C755" i="1" s="1"/>
  <c r="AG201" i="1"/>
  <c r="AG326" i="1"/>
  <c r="A326" i="1" s="1"/>
  <c r="AG246" i="1"/>
  <c r="A246" i="1" s="1"/>
  <c r="AI620" i="1"/>
  <c r="AG559" i="1"/>
  <c r="A559" i="1" s="1"/>
  <c r="AH85" i="1"/>
  <c r="B85" i="1" s="1"/>
  <c r="AH252" i="1"/>
  <c r="B252" i="1" s="1"/>
  <c r="AH89" i="1"/>
  <c r="B89" i="1" s="1"/>
  <c r="AH235" i="1"/>
  <c r="AI685" i="1"/>
  <c r="AG19" i="1"/>
  <c r="A19" i="1" s="1"/>
  <c r="AI161" i="1"/>
  <c r="C161" i="1" s="1"/>
  <c r="AI130" i="1"/>
  <c r="C130" i="1" s="1"/>
  <c r="AH91" i="1"/>
  <c r="B91" i="1" s="1"/>
  <c r="AH681" i="1"/>
  <c r="AI433" i="1"/>
  <c r="C433" i="1" s="1"/>
  <c r="AH574" i="1"/>
  <c r="AG311" i="1"/>
  <c r="A311" i="1" s="1"/>
  <c r="AH64" i="1"/>
  <c r="B183" i="1"/>
  <c r="AG743" i="1"/>
  <c r="A743" i="1" s="1"/>
  <c r="AG516" i="1"/>
  <c r="AH121" i="1"/>
  <c r="AG761" i="1"/>
  <c r="A761" i="1" s="1"/>
  <c r="AH158" i="1"/>
  <c r="B158" i="1" s="1"/>
  <c r="AI79" i="1"/>
  <c r="C79" i="1" s="1"/>
  <c r="AG522" i="1"/>
  <c r="AG152" i="1"/>
  <c r="AG478" i="1"/>
  <c r="A478" i="1" s="1"/>
  <c r="AH585" i="1"/>
  <c r="AI108" i="1"/>
  <c r="C108" i="1" s="1"/>
  <c r="AH552" i="1"/>
  <c r="AG749" i="1"/>
  <c r="A749" i="1" s="1"/>
  <c r="AI297" i="1"/>
  <c r="AI754" i="1"/>
  <c r="C754" i="1" s="1"/>
  <c r="AI298" i="1"/>
  <c r="AG50" i="1"/>
  <c r="AH655" i="1"/>
  <c r="B655" i="1" s="1"/>
  <c r="AH40" i="1"/>
  <c r="B40" i="1" s="1"/>
  <c r="AH401" i="1"/>
  <c r="B401" i="1" s="1"/>
  <c r="AI439" i="1"/>
  <c r="C439" i="1" s="1"/>
  <c r="AH477" i="1"/>
  <c r="B477" i="1" s="1"/>
  <c r="AH577" i="1"/>
  <c r="AG628" i="1"/>
  <c r="A628" i="1" s="1"/>
  <c r="AG645" i="1"/>
  <c r="A645" i="1" s="1"/>
  <c r="AI464" i="1"/>
  <c r="C464" i="1" s="1"/>
  <c r="AH707" i="1"/>
  <c r="AH635" i="1"/>
  <c r="B635" i="1" s="1"/>
  <c r="AH175" i="1"/>
  <c r="B175" i="1" s="1"/>
  <c r="AG450" i="1"/>
  <c r="AI231" i="1"/>
  <c r="AH630" i="1"/>
  <c r="B630" i="1" s="1"/>
  <c r="AH109" i="1"/>
  <c r="AI355" i="1"/>
  <c r="C355" i="1" s="1"/>
  <c r="AI419" i="1"/>
  <c r="AH381" i="1"/>
  <c r="AG525" i="1"/>
  <c r="AG101" i="1"/>
  <c r="A101" i="1" s="1"/>
  <c r="AG551" i="1"/>
  <c r="AH326" i="1"/>
  <c r="B326" i="1" s="1"/>
  <c r="AI459" i="1"/>
  <c r="C459" i="1" s="1"/>
  <c r="AI564" i="1"/>
  <c r="AG621" i="1"/>
  <c r="AI456" i="1"/>
  <c r="AG721" i="1"/>
  <c r="A721" i="1" s="1"/>
  <c r="AG611" i="1"/>
  <c r="A611" i="1" s="1"/>
  <c r="AI443" i="1"/>
  <c r="C443" i="1" s="1"/>
  <c r="AI717" i="1"/>
  <c r="C717" i="1" s="1"/>
  <c r="AG234" i="1"/>
  <c r="A234" i="1" s="1"/>
  <c r="AG515" i="1"/>
  <c r="AI417" i="1"/>
  <c r="AH648" i="1"/>
  <c r="B648" i="1" s="1"/>
  <c r="AH492" i="1"/>
  <c r="AH266" i="1"/>
  <c r="B266" i="1" s="1"/>
  <c r="AI210" i="1"/>
  <c r="AG261" i="1"/>
  <c r="AI472" i="1"/>
  <c r="C472" i="1" s="1"/>
  <c r="AH693" i="1"/>
  <c r="AH39" i="1"/>
  <c r="B39" i="1" s="1"/>
  <c r="AG573" i="1"/>
  <c r="A573" i="1" s="1"/>
  <c r="AH591" i="1"/>
  <c r="AI18" i="1"/>
  <c r="C18" i="1" s="1"/>
  <c r="AI213" i="1"/>
  <c r="AG151" i="1"/>
  <c r="AG758" i="1"/>
  <c r="A758" i="1" s="1"/>
  <c r="AI75" i="1"/>
  <c r="AI475" i="1"/>
  <c r="C475" i="1" s="1"/>
  <c r="AH240" i="1"/>
  <c r="AH14" i="1"/>
  <c r="B14" i="1" s="1"/>
  <c r="AG719" i="1"/>
  <c r="A719" i="1" s="1"/>
  <c r="AH404" i="1"/>
  <c r="B404" i="1" s="1"/>
  <c r="AG543" i="1"/>
  <c r="A543" i="1" s="1"/>
  <c r="AG466" i="1"/>
  <c r="A466" i="1" s="1"/>
  <c r="AG150" i="1"/>
  <c r="AI570" i="1"/>
  <c r="AI243" i="1"/>
  <c r="AI50" i="1"/>
  <c r="AI152" i="1"/>
  <c r="AG532" i="1"/>
  <c r="P532" i="1" s="1"/>
  <c r="AG685" i="1"/>
  <c r="C178" i="1"/>
  <c r="AH70" i="1"/>
  <c r="B70" i="1" s="1"/>
  <c r="AH170" i="1"/>
  <c r="B170" i="1" s="1"/>
  <c r="AH217" i="1"/>
  <c r="AG276" i="1"/>
  <c r="A276" i="1" s="1"/>
  <c r="AG40" i="1"/>
  <c r="A40" i="1" s="1"/>
  <c r="AG718" i="1"/>
  <c r="A718" i="1" s="1"/>
  <c r="AG117" i="1"/>
  <c r="AG687" i="1"/>
  <c r="A687" i="1" s="1"/>
  <c r="AI173" i="1"/>
  <c r="C173" i="1" s="1"/>
  <c r="AG581" i="1"/>
  <c r="A581" i="1" s="1"/>
  <c r="AG74" i="1"/>
  <c r="AH291" i="1"/>
  <c r="B291" i="1" s="1"/>
  <c r="AG474" i="1"/>
  <c r="A474" i="1" s="1"/>
  <c r="AI732" i="1"/>
  <c r="C732" i="1" s="1"/>
  <c r="AI224" i="1"/>
  <c r="AG13" i="1"/>
  <c r="A13" i="1" s="1"/>
  <c r="AG465" i="1"/>
  <c r="A465" i="1" s="1"/>
  <c r="AH671" i="1"/>
  <c r="B671" i="1" s="1"/>
  <c r="D671" i="1" s="1"/>
  <c r="AH8" i="1"/>
  <c r="B8" i="1" s="1"/>
  <c r="AI597" i="1"/>
  <c r="C597" i="1" s="1"/>
  <c r="AG703" i="1"/>
  <c r="A703" i="1" s="1"/>
  <c r="AI658" i="1"/>
  <c r="C658" i="1" s="1"/>
  <c r="AG762" i="1"/>
  <c r="A762" i="1" s="1"/>
  <c r="AH33" i="1"/>
  <c r="AG31" i="1"/>
  <c r="AH114" i="1"/>
  <c r="AG38" i="1"/>
  <c r="A38" i="1" s="1"/>
  <c r="AG651" i="1"/>
  <c r="A651" i="1" s="1"/>
  <c r="AG571" i="1"/>
  <c r="AI507" i="1"/>
  <c r="AG64" i="1"/>
  <c r="AH30" i="1"/>
  <c r="AH5" i="1"/>
  <c r="B5" i="1" s="1"/>
  <c r="AI631" i="1"/>
  <c r="C631" i="1" s="1"/>
  <c r="AG547" i="1"/>
  <c r="A547" i="1" s="1"/>
  <c r="AG55" i="1"/>
  <c r="A55" i="1" s="1"/>
  <c r="AI25" i="1"/>
  <c r="C25" i="1" s="1"/>
  <c r="AI165" i="1"/>
  <c r="C165" i="1" s="1"/>
  <c r="AH129" i="1"/>
  <c r="B129" i="1" s="1"/>
  <c r="AH719" i="1"/>
  <c r="B719" i="1" s="1"/>
  <c r="AI338" i="1"/>
  <c r="C338" i="1" s="1"/>
  <c r="AG462" i="1"/>
  <c r="A462" i="1" s="1"/>
  <c r="AH684" i="1"/>
  <c r="AH543" i="1"/>
  <c r="AI381" i="1"/>
  <c r="AH222" i="1"/>
  <c r="AI60" i="1"/>
  <c r="AH342" i="1"/>
  <c r="AH602" i="1"/>
  <c r="B602" i="1" s="1"/>
  <c r="AG196" i="1"/>
  <c r="AI656" i="1"/>
  <c r="C656" i="1" s="1"/>
  <c r="AG678" i="1"/>
  <c r="A678" i="1" s="1"/>
  <c r="AH344" i="1"/>
  <c r="AI470" i="1"/>
  <c r="C470" i="1" s="1"/>
  <c r="AG409" i="1"/>
  <c r="A409" i="1" s="1"/>
  <c r="AH764" i="1"/>
  <c r="B764" i="1" s="1"/>
  <c r="AG226" i="1"/>
  <c r="AG308" i="1"/>
  <c r="A308" i="1" s="1"/>
  <c r="AI562" i="1"/>
  <c r="AH300" i="1"/>
  <c r="AI11" i="1"/>
  <c r="C11" i="1" s="1"/>
  <c r="AG20" i="1"/>
  <c r="A20" i="1" s="1"/>
  <c r="AG653" i="1"/>
  <c r="A653" i="1" s="1"/>
  <c r="AI596" i="1"/>
  <c r="C596" i="1" s="1"/>
  <c r="AI712" i="1"/>
  <c r="C712" i="1" s="1"/>
  <c r="E712" i="1" s="1"/>
  <c r="AI34" i="1"/>
  <c r="AH620" i="1"/>
  <c r="AH246" i="1"/>
  <c r="AH57" i="1"/>
  <c r="B57" i="1" s="1"/>
  <c r="AG267" i="1"/>
  <c r="A267" i="1" s="1"/>
  <c r="AH6" i="1"/>
  <c r="B6" i="1" s="1"/>
  <c r="AI646" i="1"/>
  <c r="C646" i="1" s="1"/>
  <c r="AI331" i="1"/>
  <c r="C331" i="1" s="1"/>
  <c r="AI756" i="1"/>
  <c r="C756" i="1" s="1"/>
  <c r="AI561" i="1"/>
  <c r="AG565" i="1"/>
  <c r="AI227" i="1"/>
  <c r="AH28" i="1"/>
  <c r="B28" i="1" s="1"/>
  <c r="AG153" i="1"/>
  <c r="AG699" i="1"/>
  <c r="A699" i="1" s="1"/>
  <c r="AH176" i="1"/>
  <c r="B176" i="1" s="1"/>
  <c r="AG416" i="1"/>
  <c r="A416" i="1" s="1"/>
  <c r="AI335" i="1"/>
  <c r="C335" i="1" s="1"/>
  <c r="AH200" i="1"/>
  <c r="AH687" i="1"/>
  <c r="AI589" i="1"/>
  <c r="AH257" i="1"/>
  <c r="B257" i="1" s="1"/>
  <c r="AH770" i="1"/>
  <c r="AG58" i="1"/>
  <c r="A58" i="1" s="1"/>
  <c r="AI698" i="1"/>
  <c r="C698" i="1" s="1"/>
  <c r="E698" i="1" s="1"/>
  <c r="AG544" i="1"/>
  <c r="P544" i="1" s="1"/>
  <c r="AG36" i="1"/>
  <c r="A36" i="1" s="1"/>
  <c r="AI260" i="1"/>
  <c r="AI362" i="1"/>
  <c r="C362" i="1" s="1"/>
  <c r="AH452" i="1"/>
  <c r="AH215" i="1"/>
  <c r="AG535" i="1"/>
  <c r="A535" i="1" s="1"/>
  <c r="A177" i="1"/>
  <c r="AH12" i="1"/>
  <c r="B12" i="1" s="1"/>
  <c r="AH327" i="1"/>
  <c r="B327" i="1" s="1"/>
  <c r="AH459" i="1"/>
  <c r="B459" i="1" s="1"/>
  <c r="AI746" i="1"/>
  <c r="C746" i="1" s="1"/>
  <c r="AI636" i="1"/>
  <c r="C636" i="1" s="1"/>
  <c r="AH692" i="1"/>
  <c r="AG556" i="1"/>
  <c r="P556" i="1" s="1"/>
  <c r="AG272" i="1"/>
  <c r="A272" i="1" s="1"/>
  <c r="AG499" i="1"/>
  <c r="AH115" i="1"/>
  <c r="AI708" i="1"/>
  <c r="C708" i="1" s="1"/>
  <c r="E708" i="1" s="1"/>
  <c r="AG210" i="1"/>
  <c r="AH578" i="1"/>
  <c r="AH535" i="1"/>
  <c r="AG665" i="1"/>
  <c r="AH755" i="1"/>
  <c r="B755" i="1" s="1"/>
  <c r="AI688" i="1"/>
  <c r="C688" i="1" s="1"/>
  <c r="E688" i="1" s="1"/>
  <c r="AI431" i="1"/>
  <c r="C431" i="1" s="1"/>
  <c r="AI149" i="1"/>
  <c r="AI366" i="1"/>
  <c r="C366" i="1" s="1"/>
  <c r="AI435" i="1"/>
  <c r="C435" i="1" s="1"/>
  <c r="AG546" i="1"/>
  <c r="A546" i="1" s="1"/>
  <c r="AG208" i="1"/>
  <c r="AG711" i="1"/>
  <c r="A711" i="1" s="1"/>
  <c r="AI499" i="1"/>
  <c r="AG302" i="1"/>
  <c r="A302" i="1" s="1"/>
  <c r="AG741" i="1"/>
  <c r="A741" i="1" s="1"/>
  <c r="AG742" i="1"/>
  <c r="A742" i="1" s="1"/>
  <c r="AG498" i="1"/>
  <c r="A182" i="1"/>
  <c r="AH544" i="1"/>
  <c r="AH664" i="1"/>
  <c r="AI485" i="1"/>
  <c r="C485" i="1" s="1"/>
  <c r="AG664" i="1"/>
  <c r="AH116" i="1"/>
  <c r="AI657" i="1"/>
  <c r="C657" i="1" s="1"/>
  <c r="AI624" i="1"/>
  <c r="C624" i="1" s="1"/>
  <c r="AG486" i="1"/>
  <c r="AH250" i="1"/>
  <c r="B250" i="1" s="1"/>
  <c r="AG627" i="1"/>
  <c r="A627" i="1" s="1"/>
  <c r="AH394" i="1"/>
  <c r="B394" i="1" s="1"/>
  <c r="AI193" i="1"/>
  <c r="AI150" i="1"/>
  <c r="AG698" i="1"/>
  <c r="A698" i="1" s="1"/>
  <c r="AH725" i="1"/>
  <c r="B725" i="1" s="1"/>
  <c r="AG172" i="1"/>
  <c r="AI396" i="1"/>
  <c r="C396" i="1" s="1"/>
  <c r="AI615" i="1"/>
  <c r="C615" i="1" s="1"/>
  <c r="AH284" i="1"/>
  <c r="B284" i="1" s="1"/>
  <c r="AG289" i="1"/>
  <c r="A289" i="1" s="1"/>
  <c r="AG675" i="1"/>
  <c r="A675" i="1" s="1"/>
  <c r="AI158" i="1"/>
  <c r="C158" i="1" s="1"/>
  <c r="AG28" i="1"/>
  <c r="A28" i="1" s="1"/>
  <c r="AH229" i="1"/>
  <c r="AI414" i="1"/>
  <c r="C414" i="1" s="1"/>
  <c r="AH496" i="1"/>
  <c r="AI667" i="1"/>
  <c r="AG34" i="1"/>
  <c r="AG402" i="1"/>
  <c r="A402" i="1" s="1"/>
  <c r="AI540" i="1"/>
  <c r="AG323" i="1"/>
  <c r="AG344" i="1"/>
  <c r="AG224" i="1"/>
  <c r="AI376" i="1"/>
  <c r="C376" i="1" s="1"/>
  <c r="AI577" i="1"/>
  <c r="C577" i="1" s="1"/>
  <c r="B577" i="1" s="1"/>
  <c r="AI703" i="1"/>
  <c r="C703" i="1" s="1"/>
  <c r="E703" i="1" s="1"/>
  <c r="AI660" i="1"/>
  <c r="AH147" i="1"/>
  <c r="AG86" i="1"/>
  <c r="A86" i="1" s="1"/>
  <c r="AH502" i="1"/>
  <c r="AH563" i="1"/>
  <c r="AG395" i="1"/>
  <c r="A395" i="1" s="1"/>
  <c r="AG312" i="1"/>
  <c r="A312" i="1" s="1"/>
  <c r="AG54" i="1"/>
  <c r="A54" i="1" s="1"/>
  <c r="AI761" i="1"/>
  <c r="C761" i="1" s="1"/>
  <c r="AH547" i="1"/>
  <c r="AI155" i="1"/>
  <c r="C155" i="1" s="1"/>
  <c r="AG539" i="1"/>
  <c r="AH356" i="1"/>
  <c r="B356" i="1" s="1"/>
  <c r="AH86" i="1"/>
  <c r="B86" i="1" s="1"/>
  <c r="AH71" i="1"/>
  <c r="AH204" i="1"/>
  <c r="AG77" i="1"/>
  <c r="AI664" i="1"/>
  <c r="AH226" i="1"/>
  <c r="AG300" i="1"/>
  <c r="AG347" i="1"/>
  <c r="A347" i="1" s="1"/>
  <c r="AH418" i="1"/>
  <c r="AG375" i="1"/>
  <c r="A375" i="1" s="1"/>
  <c r="AG185" i="1"/>
  <c r="AI576" i="1"/>
  <c r="C576" i="1" s="1"/>
  <c r="B576" i="1" s="1"/>
  <c r="AG659" i="1"/>
  <c r="A659" i="1" s="1"/>
  <c r="AH119" i="1"/>
  <c r="AI287" i="1"/>
  <c r="C287" i="1" s="1"/>
  <c r="AG597" i="1"/>
  <c r="A597" i="1" s="1"/>
  <c r="AG657" i="1"/>
  <c r="A657" i="1" s="1"/>
  <c r="AH557" i="1"/>
  <c r="AI510" i="1"/>
  <c r="AH538" i="1"/>
  <c r="AI584" i="1"/>
  <c r="AI608" i="1"/>
  <c r="C608" i="1" s="1"/>
  <c r="AH18" i="1"/>
  <c r="B18" i="1" s="1"/>
  <c r="AG639" i="1"/>
  <c r="AH430" i="1"/>
  <c r="B430" i="1" s="1"/>
  <c r="AH721" i="1"/>
  <c r="B721" i="1" s="1"/>
  <c r="AG247" i="1"/>
  <c r="A247" i="1" s="1"/>
  <c r="AI278" i="1"/>
  <c r="C278" i="1" s="1"/>
  <c r="AH90" i="1"/>
  <c r="B90" i="1" s="1"/>
  <c r="AH172" i="1"/>
  <c r="B172" i="1" s="1"/>
  <c r="C180" i="1"/>
  <c r="AG332" i="1"/>
  <c r="A332" i="1" s="1"/>
  <c r="AG161" i="1"/>
  <c r="A161" i="1" s="1"/>
  <c r="AI614" i="1"/>
  <c r="C614" i="1" s="1"/>
  <c r="AI65" i="1"/>
  <c r="AG456" i="1"/>
  <c r="AG190" i="1"/>
  <c r="AI558" i="1"/>
  <c r="C558" i="1" s="1"/>
  <c r="AH731" i="1"/>
  <c r="B731" i="1" s="1"/>
  <c r="AH287" i="1"/>
  <c r="B287" i="1" s="1"/>
  <c r="AG481" i="1"/>
  <c r="A481" i="1" s="1"/>
  <c r="AG207" i="1"/>
  <c r="AG560" i="1"/>
  <c r="A560" i="1" s="1"/>
  <c r="AG198" i="1"/>
  <c r="AI239" i="1"/>
  <c r="AG660" i="1"/>
  <c r="AG166" i="1"/>
  <c r="A166" i="1" s="1"/>
  <c r="AH208" i="1"/>
  <c r="AG258" i="1"/>
  <c r="A258" i="1" s="1"/>
  <c r="AG663" i="1"/>
  <c r="AI491" i="1"/>
  <c r="AH76" i="1"/>
  <c r="AG125" i="1"/>
  <c r="A125" i="1" s="1"/>
  <c r="AI190" i="1"/>
  <c r="AI691" i="1"/>
  <c r="C691" i="1" s="1"/>
  <c r="E691" i="1" s="1"/>
  <c r="AG145" i="1"/>
  <c r="A145" i="1" s="1"/>
  <c r="AH423" i="1"/>
  <c r="B423" i="1" s="1"/>
  <c r="AH302" i="1"/>
  <c r="B302" i="1" s="1"/>
  <c r="AG418" i="1"/>
  <c r="AG164" i="1"/>
  <c r="A164" i="1" s="1"/>
  <c r="AH745" i="1"/>
  <c r="B745" i="1" s="1"/>
  <c r="AI346" i="1"/>
  <c r="AH696" i="1"/>
  <c r="AI57" i="1"/>
  <c r="C57" i="1" s="1"/>
  <c r="AG294" i="1"/>
  <c r="A294" i="1" s="1"/>
  <c r="AI320" i="1"/>
  <c r="C320" i="1" s="1"/>
  <c r="AI364" i="1"/>
  <c r="C364" i="1" s="1"/>
  <c r="AH19" i="1"/>
  <c r="B19" i="1" s="1"/>
  <c r="AH526" i="1"/>
  <c r="AG365" i="1"/>
  <c r="A365" i="1" s="1"/>
  <c r="AG420" i="1"/>
  <c r="AI219" i="1"/>
  <c r="AH631" i="1"/>
  <c r="B631" i="1" s="1"/>
  <c r="AI460" i="1"/>
  <c r="C460" i="1" s="1"/>
  <c r="AG72" i="1"/>
  <c r="AH457" i="1"/>
  <c r="AG461" i="1"/>
  <c r="A461" i="1" s="1"/>
  <c r="AH277" i="1"/>
  <c r="B277" i="1" s="1"/>
  <c r="AI625" i="1"/>
  <c r="C625" i="1" s="1"/>
  <c r="AH149" i="1"/>
  <c r="AH728" i="1"/>
  <c r="B728" i="1" s="1"/>
  <c r="AI553" i="1"/>
  <c r="C553" i="1" s="1"/>
  <c r="AI757" i="1"/>
  <c r="C757" i="1" s="1"/>
  <c r="AI154" i="1"/>
  <c r="AI648" i="1"/>
  <c r="C648" i="1" s="1"/>
  <c r="AH330" i="1"/>
  <c r="B330" i="1" s="1"/>
  <c r="AG430" i="1"/>
  <c r="A430" i="1" s="1"/>
  <c r="AG274" i="1"/>
  <c r="A274" i="1" s="1"/>
  <c r="AH278" i="1"/>
  <c r="B278" i="1" s="1"/>
  <c r="AG696" i="1"/>
  <c r="A696" i="1" s="1"/>
  <c r="AH556" i="1"/>
  <c r="AH739" i="1"/>
  <c r="AH392" i="1"/>
  <c r="B392" i="1" s="1"/>
  <c r="AG363" i="1"/>
  <c r="A363" i="1" s="1"/>
  <c r="AG596" i="1"/>
  <c r="A596" i="1" s="1"/>
  <c r="AG729" i="1"/>
  <c r="A729" i="1" s="1"/>
  <c r="AG110" i="1"/>
  <c r="AI251" i="1"/>
  <c r="C251" i="1" s="1"/>
  <c r="AG105" i="1"/>
  <c r="A105" i="1" s="1"/>
  <c r="AG141" i="1"/>
  <c r="A141" i="1" s="1"/>
  <c r="AI483" i="1"/>
  <c r="C483" i="1" s="1"/>
  <c r="AH727" i="1"/>
  <c r="B727" i="1" s="1"/>
  <c r="AG21" i="1"/>
  <c r="AG62" i="1"/>
  <c r="AH701" i="1"/>
  <c r="AH769" i="1"/>
  <c r="AG360" i="1"/>
  <c r="A360" i="1" s="1"/>
  <c r="AI480" i="1"/>
  <c r="C480" i="1" s="1"/>
  <c r="AH224" i="1"/>
  <c r="AI383" i="1"/>
  <c r="AG154" i="1"/>
  <c r="AH553" i="1"/>
  <c r="AI206" i="1"/>
  <c r="AH589" i="1"/>
  <c r="AH613" i="1"/>
  <c r="B613" i="1" s="1"/>
  <c r="AH646" i="1"/>
  <c r="B646" i="1" s="1"/>
  <c r="AG306" i="1"/>
  <c r="A306" i="1" s="1"/>
  <c r="AG415" i="1"/>
  <c r="A415" i="1" s="1"/>
  <c r="AH35" i="1"/>
  <c r="AI571" i="1"/>
  <c r="AI581" i="1"/>
  <c r="C581" i="1" s="1"/>
  <c r="B581" i="1" s="1"/>
  <c r="AH61" i="1"/>
  <c r="AG397" i="1"/>
  <c r="A397" i="1" s="1"/>
  <c r="AG354" i="1"/>
  <c r="A354" i="1" s="1"/>
  <c r="AI490" i="1"/>
  <c r="AG679" i="1"/>
  <c r="A679" i="1" s="1"/>
  <c r="AH365" i="1"/>
  <c r="B365" i="1" s="1"/>
  <c r="AI590" i="1"/>
  <c r="AG42" i="1"/>
  <c r="A42" i="1" s="1"/>
  <c r="AI244" i="1"/>
  <c r="AH570" i="1"/>
  <c r="AG18" i="1"/>
  <c r="A18" i="1" s="1"/>
  <c r="AH436" i="1"/>
  <c r="B436" i="1" s="1"/>
  <c r="AI27" i="1"/>
  <c r="C27" i="1" s="1"/>
  <c r="AG195" i="1"/>
  <c r="AH690" i="1"/>
  <c r="D690" i="1" s="1"/>
  <c r="AH615" i="1"/>
  <c r="B615" i="1" s="1"/>
  <c r="AI269" i="1"/>
  <c r="C269" i="1" s="1"/>
  <c r="AH20" i="1"/>
  <c r="B20" i="1" s="1"/>
  <c r="AI14" i="1"/>
  <c r="C14" i="1" s="1"/>
  <c r="AH315" i="1"/>
  <c r="B315" i="1" s="1"/>
  <c r="AG248" i="1"/>
  <c r="A248" i="1" s="1"/>
  <c r="AI395" i="1"/>
  <c r="C395" i="1" s="1"/>
  <c r="A180" i="1"/>
  <c r="AH68" i="1"/>
  <c r="B68" i="1" s="1"/>
  <c r="AH47" i="1"/>
  <c r="AI141" i="1"/>
  <c r="C141" i="1" s="1"/>
  <c r="AG204" i="1"/>
  <c r="AI623" i="1"/>
  <c r="AH554" i="1"/>
  <c r="AH519" i="1"/>
  <c r="AH569" i="1"/>
  <c r="AH25" i="1"/>
  <c r="B25" i="1" s="1"/>
  <c r="AG473" i="1"/>
  <c r="A473" i="1" s="1"/>
  <c r="AG673" i="1"/>
  <c r="A673" i="1" s="1"/>
  <c r="AG144" i="1"/>
  <c r="A144" i="1" s="1"/>
  <c r="AG233" i="1"/>
  <c r="A233" i="1" s="1"/>
  <c r="AG203" i="1"/>
  <c r="AH186" i="1"/>
  <c r="AI768" i="1"/>
  <c r="AI191" i="1"/>
  <c r="AG504" i="1"/>
  <c r="AH205" i="1"/>
  <c r="AH80" i="1"/>
  <c r="B80" i="1" s="1"/>
  <c r="AI198" i="1"/>
  <c r="AH280" i="1"/>
  <c r="B280" i="1" s="1"/>
  <c r="AI765" i="1"/>
  <c r="C765" i="1" s="1"/>
  <c r="AI603" i="1"/>
  <c r="C603" i="1" s="1"/>
  <c r="AI400" i="1"/>
  <c r="C400" i="1" s="1"/>
  <c r="AI694" i="1"/>
  <c r="C694" i="1" s="1"/>
  <c r="E694" i="1" s="1"/>
  <c r="AI148" i="1"/>
  <c r="AH97" i="1"/>
  <c r="B97" i="1" s="1"/>
  <c r="AG578" i="1"/>
  <c r="A578" i="1" s="1"/>
  <c r="AH486" i="1"/>
  <c r="AI38" i="1"/>
  <c r="C38" i="1" s="1"/>
  <c r="AG674" i="1"/>
  <c r="A674" i="1" s="1"/>
  <c r="AG503" i="1"/>
  <c r="AH461" i="1"/>
  <c r="B461" i="1" s="1"/>
  <c r="AH515" i="1"/>
  <c r="AH710" i="1"/>
  <c r="B710" i="1" s="1"/>
  <c r="AI242" i="1"/>
  <c r="AI550" i="1"/>
  <c r="AH339" i="1"/>
  <c r="AG315" i="1"/>
  <c r="A315" i="1" s="1"/>
  <c r="AI651" i="1"/>
  <c r="C651" i="1" s="1"/>
  <c r="AG600" i="1"/>
  <c r="A600" i="1" s="1"/>
  <c r="AI693" i="1"/>
  <c r="C693" i="1" s="1"/>
  <c r="E693" i="1" s="1"/>
  <c r="AI365" i="1"/>
  <c r="C365" i="1" s="1"/>
  <c r="AI66" i="1"/>
  <c r="AG460" i="1"/>
  <c r="A460" i="1" s="1"/>
  <c r="AH741" i="1"/>
  <c r="B741" i="1" s="1"/>
  <c r="AG552" i="1"/>
  <c r="P552" i="1" s="1"/>
  <c r="AG453" i="1"/>
  <c r="AI334" i="1"/>
  <c r="C334" i="1" s="1"/>
  <c r="AH259" i="1"/>
  <c r="B259" i="1" s="1"/>
  <c r="AG433" i="1"/>
  <c r="A433" i="1" s="1"/>
  <c r="AH58" i="1"/>
  <c r="B58" i="1" s="1"/>
  <c r="AI268" i="1"/>
  <c r="C268" i="1" s="1"/>
  <c r="AG156" i="1"/>
  <c r="A156" i="1" s="1"/>
  <c r="AH686" i="1"/>
  <c r="AI370" i="1"/>
  <c r="C370" i="1" s="1"/>
  <c r="AG640" i="1"/>
  <c r="A640" i="1" s="1"/>
  <c r="AI588" i="1"/>
  <c r="AG655" i="1"/>
  <c r="A655" i="1" s="1"/>
  <c r="AG603" i="1"/>
  <c r="A603" i="1" s="1"/>
  <c r="AG727" i="1"/>
  <c r="A727" i="1" s="1"/>
  <c r="AH647" i="1"/>
  <c r="B647" i="1" s="1"/>
  <c r="AI360" i="1"/>
  <c r="C360" i="1" s="1"/>
  <c r="AG424" i="1"/>
  <c r="A424" i="1" s="1"/>
  <c r="AG90" i="1"/>
  <c r="A90" i="1" s="1"/>
  <c r="AH572" i="1"/>
  <c r="AI68" i="1"/>
  <c r="C68" i="1" s="1"/>
  <c r="AG468" i="1"/>
  <c r="A468" i="1" s="1"/>
  <c r="AI116" i="1"/>
  <c r="AG384" i="1"/>
  <c r="AH641" i="1"/>
  <c r="B641" i="1" s="1"/>
  <c r="AH165" i="1"/>
  <c r="B165" i="1" s="1"/>
  <c r="AG574" i="1"/>
  <c r="A574" i="1" s="1"/>
  <c r="AH685" i="1"/>
  <c r="AI595" i="1"/>
  <c r="C595" i="1" s="1"/>
  <c r="AH491" i="1"/>
  <c r="AG404" i="1"/>
  <c r="A404" i="1" s="1"/>
  <c r="AH604" i="1"/>
  <c r="B604" i="1" s="1"/>
  <c r="AI382" i="1"/>
  <c r="AH587" i="1"/>
  <c r="AG576" i="1"/>
  <c r="A576" i="1" s="1"/>
  <c r="AI423" i="1"/>
  <c r="C423" i="1" s="1"/>
  <c r="AG63" i="1"/>
  <c r="AG33" i="1"/>
  <c r="AG403" i="1"/>
  <c r="A403" i="1" s="1"/>
  <c r="AG41" i="1"/>
  <c r="A41" i="1" s="1"/>
  <c r="AI69" i="1"/>
  <c r="C69" i="1" s="1"/>
  <c r="AG593" i="1"/>
  <c r="A593" i="1" s="1"/>
  <c r="AI575" i="1"/>
  <c r="C575" i="1" s="1"/>
  <c r="B575" i="1" s="1"/>
  <c r="AH141" i="1"/>
  <c r="B141" i="1" s="1"/>
  <c r="AG413" i="1"/>
  <c r="A413" i="1" s="1"/>
  <c r="AH493" i="1"/>
  <c r="AG400" i="1"/>
  <c r="A400" i="1" s="1"/>
  <c r="AH79" i="1"/>
  <c r="B79" i="1" s="1"/>
  <c r="AG358" i="1"/>
  <c r="A358" i="1" s="1"/>
  <c r="AI160" i="1"/>
  <c r="C160" i="1" s="1"/>
  <c r="AI228" i="1"/>
  <c r="AH561" i="1"/>
  <c r="AH305" i="1"/>
  <c r="B305" i="1" s="1"/>
  <c r="AG356" i="1"/>
  <c r="A356" i="1" s="1"/>
  <c r="AH167" i="1"/>
  <c r="B167" i="1" s="1"/>
  <c r="AG630" i="1"/>
  <c r="A630" i="1" s="1"/>
  <c r="AG46" i="1"/>
  <c r="AI137" i="1"/>
  <c r="C137" i="1" s="1"/>
  <c r="AH274" i="1"/>
  <c r="AH15" i="1"/>
  <c r="B15" i="1" s="1"/>
  <c r="AI117" i="1"/>
  <c r="AG605" i="1"/>
  <c r="A605" i="1" s="1"/>
  <c r="AH448" i="1"/>
  <c r="AH676" i="1"/>
  <c r="B676" i="1" s="1"/>
  <c r="D676" i="1" s="1"/>
  <c r="AI259" i="1"/>
  <c r="C259" i="1" s="1"/>
  <c r="AI762" i="1"/>
  <c r="C762" i="1" s="1"/>
  <c r="AH81" i="1"/>
  <c r="B81" i="1" s="1"/>
  <c r="AH421" i="1"/>
  <c r="AG12" i="1"/>
  <c r="A12" i="1" s="1"/>
  <c r="AI473" i="1"/>
  <c r="C473" i="1" s="1"/>
  <c r="AI466" i="1"/>
  <c r="C466" i="1" s="1"/>
  <c r="AG229" i="1"/>
  <c r="A229" i="1" s="1"/>
  <c r="AH212" i="1"/>
  <c r="AI62" i="1"/>
  <c r="AG222" i="1"/>
  <c r="AG652" i="1"/>
  <c r="A652" i="1" s="1"/>
  <c r="AH199" i="1"/>
  <c r="AH43" i="1"/>
  <c r="B43" i="1" s="1"/>
  <c r="AG348" i="1"/>
  <c r="A348" i="1" s="1"/>
  <c r="AG244" i="1"/>
  <c r="A244" i="1" s="1"/>
  <c r="AH316" i="1"/>
  <c r="B316" i="1" s="1"/>
  <c r="AH444" i="1"/>
  <c r="B444" i="1" s="1"/>
  <c r="AH601" i="1"/>
  <c r="B601" i="1" s="1"/>
  <c r="AI488" i="1"/>
  <c r="AG390" i="1"/>
  <c r="A390" i="1" s="1"/>
  <c r="AH350" i="1"/>
  <c r="B350" i="1" s="1"/>
  <c r="AH679" i="1"/>
  <c r="B679" i="1" s="1"/>
  <c r="D679" i="1" s="1"/>
  <c r="AG343" i="1"/>
  <c r="AG754" i="1"/>
  <c r="A754" i="1" s="1"/>
  <c r="AH517" i="1"/>
  <c r="AH413" i="1"/>
  <c r="B413" i="1" s="1"/>
  <c r="AG60" i="1"/>
  <c r="AH17" i="1"/>
  <c r="B17" i="1" s="1"/>
  <c r="AG514" i="1"/>
  <c r="AH73" i="1"/>
  <c r="AI368" i="1"/>
  <c r="C368" i="1" s="1"/>
  <c r="AI722" i="1"/>
  <c r="C722" i="1" s="1"/>
  <c r="AH262" i="1"/>
  <c r="AH142" i="1"/>
  <c r="B142" i="1" s="1"/>
  <c r="AH174" i="1"/>
  <c r="B174" i="1" s="1"/>
  <c r="AG367" i="1"/>
  <c r="A367" i="1" s="1"/>
  <c r="AH189" i="1"/>
  <c r="AH272" i="1"/>
  <c r="B272" i="1" s="1"/>
  <c r="AH26" i="1"/>
  <c r="B26" i="1" s="1"/>
  <c r="AG334" i="1"/>
  <c r="A334" i="1" s="1"/>
  <c r="AI516" i="1"/>
  <c r="AG291" i="1"/>
  <c r="A291" i="1" s="1"/>
  <c r="AH67" i="1"/>
  <c r="AI506" i="1"/>
  <c r="AH366" i="1"/>
  <c r="B366" i="1" s="1"/>
  <c r="AH393" i="1"/>
  <c r="B393" i="1" s="1"/>
  <c r="AH134" i="1"/>
  <c r="B134" i="1" s="1"/>
  <c r="AH216" i="1"/>
  <c r="AG112" i="1"/>
  <c r="AG388" i="1"/>
  <c r="AH269" i="1"/>
  <c r="B269" i="1" s="1"/>
  <c r="AH112" i="1"/>
  <c r="AH195" i="1"/>
  <c r="AG370" i="1"/>
  <c r="A370" i="1" s="1"/>
  <c r="AI351" i="1"/>
  <c r="C351" i="1" s="1"/>
  <c r="AI276" i="1"/>
  <c r="C276" i="1" s="1"/>
  <c r="AG472" i="1"/>
  <c r="A472" i="1" s="1"/>
  <c r="AH66" i="1"/>
  <c r="AG215" i="1"/>
  <c r="AI288" i="1"/>
  <c r="C288" i="1" s="1"/>
  <c r="AH590" i="1"/>
  <c r="AG241" i="1"/>
  <c r="A241" i="1" s="1"/>
  <c r="AI408" i="1"/>
  <c r="C408" i="1" s="1"/>
  <c r="AI378" i="1"/>
  <c r="C378" i="1" s="1"/>
  <c r="AI23" i="1"/>
  <c r="AH253" i="1"/>
  <c r="B253" i="1" s="1"/>
  <c r="AH766" i="1"/>
  <c r="B766" i="1" s="1"/>
  <c r="AH465" i="1"/>
  <c r="B465" i="1" s="1"/>
  <c r="AH225" i="1"/>
  <c r="AH233" i="1"/>
  <c r="AG643" i="1"/>
  <c r="A643" i="1" s="1"/>
  <c r="AI427" i="1"/>
  <c r="C427" i="1" s="1"/>
  <c r="AG256" i="1"/>
  <c r="A256" i="1" s="1"/>
  <c r="AH251" i="1"/>
  <c r="B251" i="1" s="1"/>
  <c r="AG135" i="1"/>
  <c r="A135" i="1" s="1"/>
  <c r="AI82" i="1"/>
  <c r="C82" i="1" s="1"/>
  <c r="AI415" i="1"/>
  <c r="C415" i="1" s="1"/>
  <c r="AG298" i="1"/>
  <c r="AG189" i="1"/>
  <c r="AI112" i="1"/>
  <c r="AH346" i="1"/>
  <c r="AG120" i="1"/>
  <c r="A120" i="1" s="1"/>
  <c r="AI518" i="1"/>
  <c r="AI567" i="1"/>
  <c r="AG407" i="1"/>
  <c r="A407" i="1" s="1"/>
  <c r="AI212" i="1"/>
  <c r="AH567" i="1"/>
  <c r="AG80" i="1"/>
  <c r="A80" i="1" s="1"/>
  <c r="AI6" i="1"/>
  <c r="C6" i="1" s="1"/>
  <c r="AH153" i="1"/>
  <c r="AG97" i="1"/>
  <c r="A97" i="1" s="1"/>
  <c r="AI80" i="1"/>
  <c r="C80" i="1" s="1"/>
  <c r="AI763" i="1"/>
  <c r="C763" i="1" s="1"/>
  <c r="AH143" i="1"/>
  <c r="B143" i="1" s="1"/>
  <c r="AI709" i="1"/>
  <c r="C709" i="1" s="1"/>
  <c r="E709" i="1" s="1"/>
  <c r="AG437" i="1"/>
  <c r="A437" i="1" s="1"/>
  <c r="AG676" i="1"/>
  <c r="A676" i="1" s="1"/>
  <c r="AH377" i="1"/>
  <c r="B377" i="1" s="1"/>
  <c r="AI724" i="1"/>
  <c r="C724" i="1" s="1"/>
  <c r="AG594" i="1"/>
  <c r="A594" i="1" s="1"/>
  <c r="AG223" i="1"/>
  <c r="AG575" i="1"/>
  <c r="A575" i="1" s="1"/>
  <c r="AH348" i="1"/>
  <c r="B348" i="1" s="1"/>
  <c r="AG49" i="1"/>
  <c r="AG455" i="1"/>
  <c r="AH619" i="1"/>
  <c r="AG641" i="1"/>
  <c r="A641" i="1" s="1"/>
  <c r="AH364" i="1"/>
  <c r="B364" i="1" s="1"/>
  <c r="AG624" i="1"/>
  <c r="A624" i="1" s="1"/>
  <c r="AH524" i="1"/>
  <c r="AI493" i="1"/>
  <c r="AG113" i="1"/>
  <c r="AI767" i="1"/>
  <c r="C767" i="1" s="1"/>
  <c r="AG299" i="1"/>
  <c r="AH341" i="1"/>
  <c r="AI59" i="1"/>
  <c r="C59" i="1" s="1"/>
  <c r="AH674" i="1"/>
  <c r="B674" i="1" s="1"/>
  <c r="D674" i="1" s="1"/>
  <c r="AI111" i="1"/>
  <c r="AH689" i="1"/>
  <c r="AG637" i="1"/>
  <c r="A637" i="1" s="1"/>
  <c r="AI258" i="1"/>
  <c r="C258" i="1" s="1"/>
  <c r="AI241" i="1"/>
  <c r="AH145" i="1"/>
  <c r="B145" i="1" s="1"/>
  <c r="AG669" i="1"/>
  <c r="A669" i="1" s="1"/>
  <c r="AG349" i="1"/>
  <c r="A349" i="1" s="1"/>
  <c r="AI699" i="1"/>
  <c r="C699" i="1" s="1"/>
  <c r="E699" i="1" s="1"/>
  <c r="AG629" i="1"/>
  <c r="A629" i="1" s="1"/>
  <c r="AG493" i="1"/>
  <c r="AG53" i="1"/>
  <c r="AG281" i="1"/>
  <c r="A281" i="1" s="1"/>
  <c r="AG715" i="1"/>
  <c r="AH210" i="1"/>
  <c r="AH102" i="1"/>
  <c r="B102" i="1" s="1"/>
  <c r="AG463" i="1"/>
  <c r="A463" i="1" s="1"/>
  <c r="AI551" i="1"/>
  <c r="AI632" i="1"/>
  <c r="C632" i="1" s="1"/>
  <c r="AH375" i="1"/>
  <c r="B375" i="1" s="1"/>
  <c r="AI471" i="1"/>
  <c r="C471" i="1" s="1"/>
  <c r="AH263" i="1"/>
  <c r="AI145" i="1"/>
  <c r="C145" i="1" s="1"/>
  <c r="AG609" i="1"/>
  <c r="A609" i="1" s="1"/>
  <c r="AI15" i="1"/>
  <c r="C15" i="1" s="1"/>
  <c r="AG601" i="1"/>
  <c r="A601" i="1" s="1"/>
  <c r="AG32" i="1"/>
  <c r="AG589" i="1"/>
  <c r="AI524" i="1"/>
  <c r="AH218" i="1"/>
  <c r="AG554" i="1"/>
  <c r="P554" i="1" s="1"/>
  <c r="AG237" i="1"/>
  <c r="A237" i="1" s="1"/>
  <c r="AI430" i="1"/>
  <c r="C430" i="1" s="1"/>
  <c r="AI67" i="1"/>
  <c r="AH34" i="1"/>
  <c r="AI481" i="1"/>
  <c r="C481" i="1" s="1"/>
  <c r="AI349" i="1"/>
  <c r="C349" i="1" s="1"/>
  <c r="AG378" i="1"/>
  <c r="A378" i="1" s="1"/>
  <c r="AH623" i="1"/>
  <c r="AG638" i="1"/>
  <c r="AH403" i="1"/>
  <c r="B403" i="1" s="1"/>
  <c r="AH658" i="1"/>
  <c r="B658" i="1" s="1"/>
  <c r="AG310" i="1"/>
  <c r="A310" i="1" s="1"/>
  <c r="AH516" i="1"/>
  <c r="AI48" i="1"/>
  <c r="AI727" i="1"/>
  <c r="C727" i="1" s="1"/>
  <c r="AI462" i="1"/>
  <c r="C462" i="1" s="1"/>
  <c r="AI118" i="1"/>
  <c r="AG697" i="1"/>
  <c r="A697" i="1" s="1"/>
  <c r="AH752" i="1"/>
  <c r="B752" i="1" s="1"/>
  <c r="AH111" i="1"/>
  <c r="AI734" i="1"/>
  <c r="AH699" i="1"/>
  <c r="AI185" i="1"/>
  <c r="AG607" i="1"/>
  <c r="A607" i="1" s="1"/>
  <c r="AI142" i="1"/>
  <c r="C142" i="1" s="1"/>
  <c r="AH161" i="1"/>
  <c r="B161" i="1" s="1"/>
  <c r="AI557" i="1"/>
  <c r="C557" i="1" s="1"/>
  <c r="AG656" i="1"/>
  <c r="A656" i="1" s="1"/>
  <c r="AG591" i="1"/>
  <c r="AH398" i="1"/>
  <c r="B398" i="1" s="1"/>
  <c r="AI246" i="1"/>
  <c r="AH260" i="1"/>
  <c r="AI226" i="1"/>
  <c r="AI715" i="1"/>
  <c r="AI104" i="1"/>
  <c r="C104" i="1" s="1"/>
  <c r="AI280" i="1"/>
  <c r="C280" i="1" s="1"/>
  <c r="AI534" i="1"/>
  <c r="C534" i="1" s="1"/>
  <c r="AH187" i="1"/>
  <c r="AI33" i="1"/>
  <c r="AI764" i="1"/>
  <c r="C764" i="1" s="1"/>
  <c r="AI739" i="1"/>
  <c r="AI124" i="1"/>
  <c r="C124" i="1" s="1"/>
  <c r="AI578" i="1"/>
  <c r="C578" i="1" s="1"/>
  <c r="B578" i="1" s="1"/>
  <c r="AI311" i="1"/>
  <c r="C311" i="1" s="1"/>
  <c r="AI719" i="1"/>
  <c r="C719" i="1" s="1"/>
  <c r="AG523" i="1"/>
  <c r="AI705" i="1"/>
  <c r="C705" i="1" s="1"/>
  <c r="E705" i="1" s="1"/>
  <c r="AH541" i="1"/>
  <c r="AH504" i="1"/>
  <c r="AI21" i="1"/>
  <c r="AH453" i="1"/>
  <c r="AH651" i="1"/>
  <c r="B651" i="1" s="1"/>
  <c r="AH193" i="1"/>
  <c r="AG251" i="1"/>
  <c r="A251" i="1" s="1"/>
  <c r="AI696" i="1"/>
  <c r="C696" i="1" s="1"/>
  <c r="E696" i="1" s="1"/>
  <c r="AH637" i="1"/>
  <c r="B637" i="1" s="1"/>
  <c r="AI707" i="1"/>
  <c r="C707" i="1" s="1"/>
  <c r="E707" i="1" s="1"/>
  <c r="AI105" i="1"/>
  <c r="C105" i="1" s="1"/>
  <c r="AI702" i="1"/>
  <c r="C702" i="1" s="1"/>
  <c r="E702" i="1" s="1"/>
  <c r="AG753" i="1"/>
  <c r="A753" i="1" s="1"/>
  <c r="AH474" i="1"/>
  <c r="B474" i="1" s="1"/>
  <c r="AH22" i="1"/>
  <c r="AG533" i="1"/>
  <c r="A533" i="1" s="1"/>
  <c r="AG542" i="1"/>
  <c r="A542" i="1" s="1"/>
  <c r="AH148" i="1"/>
  <c r="AH498" i="1"/>
  <c r="AH537" i="1"/>
  <c r="AH276" i="1"/>
  <c r="B276" i="1" s="1"/>
  <c r="AI452" i="1"/>
  <c r="AH304" i="1"/>
  <c r="B304" i="1" s="1"/>
  <c r="AI328" i="1"/>
  <c r="C328" i="1" s="1"/>
  <c r="AI616" i="1"/>
  <c r="C616" i="1" s="1"/>
  <c r="AG71" i="1"/>
  <c r="AG646" i="1"/>
  <c r="A646" i="1" s="1"/>
  <c r="AG769" i="1"/>
  <c r="AG214" i="1"/>
  <c r="AH243" i="1"/>
  <c r="AH74" i="1"/>
  <c r="AH760" i="1"/>
  <c r="B760" i="1" s="1"/>
  <c r="AH765" i="1"/>
  <c r="B765" i="1" s="1"/>
  <c r="AG116" i="1"/>
  <c r="AH599" i="1"/>
  <c r="B599" i="1" s="1"/>
  <c r="AH415" i="1"/>
  <c r="B415" i="1" s="1"/>
  <c r="AG106" i="1"/>
  <c r="A106" i="1" s="1"/>
  <c r="AI758" i="1"/>
  <c r="C758" i="1" s="1"/>
  <c r="AH657" i="1"/>
  <c r="B657" i="1" s="1"/>
  <c r="AH166" i="1"/>
  <c r="B166" i="1" s="1"/>
  <c r="AH333" i="1"/>
  <c r="B333" i="1" s="1"/>
  <c r="AH236" i="1"/>
  <c r="AH518" i="1"/>
  <c r="AH481" i="1"/>
  <c r="B481" i="1" s="1"/>
  <c r="AI286" i="1"/>
  <c r="C286" i="1" s="1"/>
  <c r="AG746" i="1"/>
  <c r="A746" i="1" s="1"/>
  <c r="AI102" i="1"/>
  <c r="C102" i="1" s="1"/>
  <c r="AG340" i="1"/>
  <c r="AG337" i="1"/>
  <c r="A337" i="1" s="1"/>
  <c r="AH467" i="1"/>
  <c r="B467" i="1" s="1"/>
  <c r="AH464" i="1"/>
  <c r="B464" i="1" s="1"/>
  <c r="AI261" i="1"/>
  <c r="AI90" i="1"/>
  <c r="C90" i="1" s="1"/>
  <c r="AH757" i="1"/>
  <c r="B757" i="1" s="1"/>
  <c r="AH207" i="1"/>
  <c r="AG174" i="1"/>
  <c r="A174" i="1" s="1"/>
  <c r="AH349" i="1"/>
  <c r="B349" i="1" s="1"/>
  <c r="AI72" i="1"/>
  <c r="AH138" i="1"/>
  <c r="B138" i="1" s="1"/>
  <c r="AH154" i="1"/>
  <c r="AH265" i="1"/>
  <c r="B265" i="1" s="1"/>
  <c r="AH361" i="1"/>
  <c r="B361" i="1" s="1"/>
  <c r="AI639" i="1"/>
  <c r="AI131" i="1"/>
  <c r="C131" i="1" s="1"/>
  <c r="AG475" i="1"/>
  <c r="A475" i="1" s="1"/>
  <c r="AG230" i="1"/>
  <c r="A230" i="1" s="1"/>
  <c r="AG394" i="1"/>
  <c r="A394" i="1" s="1"/>
  <c r="AG632" i="1"/>
  <c r="A632" i="1" s="1"/>
  <c r="AH358" i="1"/>
  <c r="B358" i="1" s="1"/>
  <c r="AG108" i="1"/>
  <c r="A108" i="1" s="1"/>
  <c r="AG293" i="1"/>
  <c r="A293" i="1" s="1"/>
  <c r="AG484" i="1"/>
  <c r="A484" i="1" s="1"/>
  <c r="AI437" i="1"/>
  <c r="C437" i="1" s="1"/>
  <c r="AH385" i="1"/>
  <c r="AH83" i="1"/>
  <c r="B83" i="1" s="1"/>
  <c r="AG147" i="1"/>
  <c r="AI301" i="1"/>
  <c r="AI495" i="1"/>
  <c r="B177" i="1"/>
  <c r="AI76" i="1"/>
  <c r="AI386" i="1"/>
  <c r="AI652" i="1"/>
  <c r="C652" i="1" s="1"/>
  <c r="AI539" i="1"/>
  <c r="AH694" i="1"/>
  <c r="AG423" i="1"/>
  <c r="A423" i="1" s="1"/>
  <c r="AI143" i="1"/>
  <c r="C143" i="1" s="1"/>
  <c r="AI741" i="1"/>
  <c r="C741" i="1" s="1"/>
  <c r="AI517" i="1"/>
  <c r="AG548" i="1"/>
  <c r="A548" i="1" s="1"/>
  <c r="AH441" i="1"/>
  <c r="B441" i="1" s="1"/>
  <c r="AH405" i="1"/>
  <c r="B405" i="1" s="1"/>
  <c r="AI46" i="1"/>
  <c r="AG447" i="1"/>
  <c r="AG30" i="1"/>
  <c r="AG649" i="1"/>
  <c r="A649" i="1" s="1"/>
  <c r="AI525" i="1"/>
  <c r="AI324" i="1"/>
  <c r="C324" i="1" s="1"/>
  <c r="AI78" i="1"/>
  <c r="AH164" i="1"/>
  <c r="B164" i="1" s="1"/>
  <c r="AH447" i="1"/>
  <c r="AG692" i="1"/>
  <c r="A692" i="1" s="1"/>
  <c r="AG381" i="1"/>
  <c r="AG550" i="1"/>
  <c r="AG382" i="1"/>
  <c r="AI638" i="1"/>
  <c r="AH663" i="1"/>
  <c r="AG282" i="1"/>
  <c r="A282" i="1" s="1"/>
  <c r="AH343" i="1"/>
  <c r="AG275" i="1"/>
  <c r="A275" i="1" s="1"/>
  <c r="AI85" i="1"/>
  <c r="C85" i="1" s="1"/>
  <c r="AG127" i="1"/>
  <c r="A127" i="1" s="1"/>
  <c r="AH703" i="1"/>
  <c r="AH560" i="1"/>
  <c r="AH352" i="1"/>
  <c r="B352" i="1" s="1"/>
  <c r="AG723" i="1"/>
  <c r="A723" i="1" s="1"/>
  <c r="AI292" i="1"/>
  <c r="C292" i="1" s="1"/>
  <c r="AH69" i="1"/>
  <c r="B69" i="1" s="1"/>
  <c r="AH110" i="1"/>
  <c r="AI332" i="1"/>
  <c r="C332" i="1" s="1"/>
  <c r="AG194" i="1"/>
  <c r="AH675" i="1"/>
  <c r="B675" i="1" s="1"/>
  <c r="D675" i="1" s="1"/>
  <c r="AI572" i="1"/>
  <c r="AH546" i="1"/>
  <c r="AG429" i="1"/>
  <c r="A429" i="1" s="1"/>
  <c r="AI465" i="1"/>
  <c r="C465" i="1" s="1"/>
  <c r="AI598" i="1"/>
  <c r="C598" i="1" s="1"/>
  <c r="AI422" i="1"/>
  <c r="AH36" i="1"/>
  <c r="B36" i="1" s="1"/>
  <c r="AI167" i="1"/>
  <c r="C167" i="1" s="1"/>
  <c r="AG115" i="1"/>
  <c r="AH747" i="1"/>
  <c r="B747" i="1" s="1"/>
  <c r="AG338" i="1"/>
  <c r="A338" i="1" s="1"/>
  <c r="AG279" i="1"/>
  <c r="A279" i="1" s="1"/>
  <c r="AG411" i="1"/>
  <c r="A411" i="1" s="1"/>
  <c r="AG538" i="1"/>
  <c r="A538" i="1" s="1"/>
  <c r="AI122" i="1"/>
  <c r="C122" i="1" s="1"/>
  <c r="AI302" i="1"/>
  <c r="C302" i="1" s="1"/>
  <c r="AH740" i="1"/>
  <c r="AG368" i="1"/>
  <c r="A368" i="1" s="1"/>
  <c r="AI407" i="1"/>
  <c r="C407" i="1" s="1"/>
  <c r="AI153" i="1"/>
  <c r="AH237" i="1"/>
  <c r="AI16" i="1"/>
  <c r="C16" i="1" s="1"/>
  <c r="AI629" i="1"/>
  <c r="C629" i="1" s="1"/>
  <c r="AG748" i="1"/>
  <c r="A748" i="1" s="1"/>
  <c r="AG492" i="1"/>
  <c r="AI641" i="1"/>
  <c r="C641" i="1" s="1"/>
  <c r="AI548" i="1"/>
  <c r="C548" i="1" s="1"/>
  <c r="AH309" i="1"/>
  <c r="B309" i="1" s="1"/>
  <c r="AG322" i="1"/>
  <c r="AG431" i="1"/>
  <c r="A431" i="1" s="1"/>
  <c r="AI35" i="1"/>
  <c r="AH359" i="1"/>
  <c r="B359" i="1" s="1"/>
  <c r="AI665" i="1"/>
  <c r="AI394" i="1"/>
  <c r="C394" i="1" s="1"/>
  <c r="AH378" i="1"/>
  <c r="B378" i="1" s="1"/>
  <c r="AI391" i="1"/>
  <c r="C391" i="1" s="1"/>
  <c r="AG622" i="1"/>
  <c r="AI175" i="1"/>
  <c r="C175" i="1" s="1"/>
  <c r="AI326" i="1"/>
  <c r="C326" i="1" s="1"/>
  <c r="AG497" i="1"/>
  <c r="AI325" i="1"/>
  <c r="C325" i="1" s="1"/>
  <c r="AI37" i="1"/>
  <c r="C37" i="1" s="1"/>
  <c r="AI371" i="1"/>
  <c r="C371" i="1" s="1"/>
  <c r="AG146" i="1"/>
  <c r="AG284" i="1"/>
  <c r="A284" i="1" s="1"/>
  <c r="AG16" i="1"/>
  <c r="A16" i="1" s="1"/>
  <c r="AH425" i="1"/>
  <c r="B425" i="1" s="1"/>
  <c r="AG642" i="1"/>
  <c r="A642" i="1" s="1"/>
  <c r="AG309" i="1"/>
  <c r="A309" i="1" s="1"/>
  <c r="AH523" i="1"/>
  <c r="AI270" i="1"/>
  <c r="C270" i="1" s="1"/>
  <c r="AI63" i="1"/>
  <c r="AG96" i="1"/>
  <c r="A96" i="1" s="1"/>
  <c r="AH87" i="1"/>
  <c r="B87" i="1" s="1"/>
  <c r="AH106" i="1"/>
  <c r="B106" i="1" s="1"/>
  <c r="AH508" i="1"/>
  <c r="AI723" i="1"/>
  <c r="C723" i="1" s="1"/>
  <c r="AI220" i="1"/>
  <c r="AG740" i="1"/>
  <c r="AH478" i="1"/>
  <c r="B478" i="1" s="1"/>
  <c r="AH683" i="1"/>
  <c r="AG85" i="1"/>
  <c r="A85" i="1" s="1"/>
  <c r="AH638" i="1"/>
  <c r="AG271" i="1"/>
  <c r="A271" i="1" s="1"/>
  <c r="AI554" i="1"/>
  <c r="C554" i="1" s="1"/>
  <c r="AI98" i="1"/>
  <c r="C98" i="1" s="1"/>
  <c r="AG667" i="1"/>
  <c r="AH536" i="1"/>
  <c r="AG736" i="1"/>
  <c r="AH445" i="1"/>
  <c r="B445" i="1" s="1"/>
  <c r="AH397" i="1"/>
  <c r="B397" i="1" s="1"/>
  <c r="AI583" i="1"/>
  <c r="C583" i="1" s="1"/>
  <c r="B583" i="1" s="1"/>
  <c r="AI730" i="1"/>
  <c r="C730" i="1" s="1"/>
  <c r="AH301" i="1"/>
  <c r="AG457" i="1"/>
  <c r="AG191" i="1"/>
  <c r="AI236" i="1"/>
  <c r="AI511" i="1"/>
  <c r="AH723" i="1"/>
  <c r="B723" i="1" s="1"/>
  <c r="AH736" i="1"/>
  <c r="AG249" i="1"/>
  <c r="A249" i="1" s="1"/>
  <c r="AI513" i="1"/>
  <c r="AH455" i="1"/>
  <c r="AI217" i="1"/>
  <c r="AI509" i="1"/>
  <c r="AH520" i="1"/>
  <c r="AI222" i="1"/>
  <c r="AI496" i="1"/>
  <c r="AG448" i="1"/>
  <c r="AI113" i="1"/>
  <c r="AI421" i="1"/>
  <c r="AI738" i="1"/>
  <c r="AI44" i="1"/>
  <c r="C44" i="1" s="1"/>
  <c r="AG240" i="1"/>
  <c r="A240" i="1" s="1"/>
  <c r="AG205" i="1"/>
  <c r="AG66" i="1"/>
  <c r="AI549" i="1"/>
  <c r="C549" i="1" s="1"/>
  <c r="AH539" i="1"/>
  <c r="AH521" i="1"/>
  <c r="AI358" i="1"/>
  <c r="C358" i="1" s="1"/>
  <c r="AI585" i="1"/>
  <c r="AI299" i="1"/>
  <c r="AG509" i="1"/>
  <c r="AG228" i="1"/>
  <c r="AG445" i="1"/>
  <c r="A445" i="1" s="1"/>
  <c r="AH609" i="1"/>
  <c r="B609" i="1" s="1"/>
  <c r="AI340" i="1"/>
  <c r="AH627" i="1"/>
  <c r="B627" i="1" s="1"/>
  <c r="AG329" i="1"/>
  <c r="A329" i="1" s="1"/>
  <c r="AI399" i="1"/>
  <c r="C399" i="1" s="1"/>
  <c r="AH131" i="1"/>
  <c r="B131" i="1" s="1"/>
  <c r="AH633" i="1"/>
  <c r="B633" i="1" s="1"/>
  <c r="AH306" i="1"/>
  <c r="B306" i="1" s="1"/>
  <c r="AH759" i="1"/>
  <c r="B759" i="1" s="1"/>
  <c r="AG613" i="1"/>
  <c r="A613" i="1" s="1"/>
  <c r="AI348" i="1"/>
  <c r="C348" i="1" s="1"/>
  <c r="AI737" i="1"/>
  <c r="AH130" i="1"/>
  <c r="B130" i="1" s="1"/>
  <c r="AI367" i="1"/>
  <c r="C367" i="1" s="1"/>
  <c r="AI613" i="1"/>
  <c r="C613" i="1" s="1"/>
  <c r="AI121" i="1"/>
  <c r="C121" i="1" s="1"/>
  <c r="AG176" i="1"/>
  <c r="A176" i="1" s="1"/>
  <c r="AH370" i="1"/>
  <c r="B370" i="1" s="1"/>
  <c r="AI610" i="1"/>
  <c r="C610" i="1" s="1"/>
  <c r="AI139" i="1"/>
  <c r="C139" i="1" s="1"/>
  <c r="AG704" i="1"/>
  <c r="A704" i="1" s="1"/>
  <c r="AH345" i="1"/>
  <c r="AG37" i="1"/>
  <c r="A37" i="1" s="1"/>
  <c r="AH168" i="1"/>
  <c r="B168" i="1" s="1"/>
  <c r="AI40" i="1"/>
  <c r="C40" i="1" s="1"/>
  <c r="AG10" i="1"/>
  <c r="A10" i="1" s="1"/>
  <c r="AI416" i="1"/>
  <c r="C416" i="1" s="1"/>
  <c r="AH763" i="1"/>
  <c r="B763" i="1" s="1"/>
  <c r="AI531" i="1"/>
  <c r="C531" i="1" s="1"/>
  <c r="AH555" i="1"/>
  <c r="AH379" i="1"/>
  <c r="B379" i="1" s="1"/>
  <c r="AG119" i="1"/>
  <c r="AH192" i="1"/>
  <c r="AG263" i="1"/>
  <c r="AH75" i="1"/>
  <c r="C177" i="1"/>
  <c r="AI474" i="1"/>
  <c r="C474" i="1" s="1"/>
  <c r="AI322" i="1"/>
  <c r="AI359" i="1"/>
  <c r="C359" i="1" s="1"/>
  <c r="AG175" i="1"/>
  <c r="A175" i="1" s="1"/>
  <c r="AH639" i="1"/>
  <c r="AG278" i="1"/>
  <c r="A278" i="1" s="1"/>
  <c r="AG336" i="1"/>
  <c r="A336" i="1" s="1"/>
  <c r="AI683" i="1"/>
  <c r="AH395" i="1"/>
  <c r="B395" i="1" s="1"/>
  <c r="AH617" i="1"/>
  <c r="AH363" i="1"/>
  <c r="B363" i="1" s="1"/>
  <c r="AG644" i="1"/>
  <c r="A644" i="1" s="1"/>
  <c r="AH597" i="1"/>
  <c r="B597" i="1" s="1"/>
  <c r="AH494" i="1"/>
  <c r="AG92" i="1"/>
  <c r="A92" i="1" s="1"/>
  <c r="AG677" i="1"/>
  <c r="A677" i="1" s="1"/>
  <c r="AG314" i="1"/>
  <c r="A314" i="1" s="1"/>
  <c r="AG485" i="1"/>
  <c r="A485" i="1" s="1"/>
  <c r="AH249" i="1"/>
  <c r="B249" i="1" s="1"/>
  <c r="AH156" i="1"/>
  <c r="B156" i="1" s="1"/>
  <c r="AH729" i="1"/>
  <c r="B729" i="1" s="1"/>
  <c r="AH232" i="1"/>
  <c r="AH282" i="1"/>
  <c r="B282" i="1" s="1"/>
  <c r="AI247" i="1"/>
  <c r="AH626" i="1"/>
  <c r="B626" i="1" s="1"/>
  <c r="AG688" i="1"/>
  <c r="A688" i="1" s="1"/>
  <c r="AG342" i="1"/>
  <c r="AG88" i="1"/>
  <c r="A88" i="1" s="1"/>
  <c r="AI265" i="1"/>
  <c r="C265" i="1" s="1"/>
  <c r="AI156" i="1"/>
  <c r="C156" i="1" s="1"/>
  <c r="AH632" i="1"/>
  <c r="B632" i="1" s="1"/>
  <c r="AG318" i="1"/>
  <c r="A318" i="1" s="1"/>
  <c r="AH94" i="1"/>
  <c r="AH618" i="1"/>
  <c r="AG216" i="1"/>
  <c r="AI279" i="1"/>
  <c r="C279" i="1" s="1"/>
  <c r="AI630" i="1"/>
  <c r="C630" i="1" s="1"/>
  <c r="AI749" i="1"/>
  <c r="C749" i="1" s="1"/>
  <c r="AG11" i="1"/>
  <c r="A11" i="1" s="1"/>
  <c r="AH443" i="1"/>
  <c r="B443" i="1" s="1"/>
  <c r="AI634" i="1"/>
  <c r="C634" i="1" s="1"/>
  <c r="AG739" i="1"/>
  <c r="AI317" i="1"/>
  <c r="C317" i="1" s="1"/>
  <c r="AH533" i="1"/>
  <c r="AG476" i="1"/>
  <c r="A476" i="1" s="1"/>
  <c r="AI728" i="1"/>
  <c r="C728" i="1" s="1"/>
  <c r="AH9" i="1"/>
  <c r="B9" i="1" s="1"/>
  <c r="AH318" i="1"/>
  <c r="B318" i="1" s="1"/>
  <c r="AG751" i="1"/>
  <c r="A751" i="1" s="1"/>
  <c r="AI194" i="1"/>
  <c r="AI257" i="1"/>
  <c r="C257" i="1" s="1"/>
  <c r="AH717" i="1"/>
  <c r="B717" i="1" s="1"/>
  <c r="AH214" i="1"/>
  <c r="AG580" i="1"/>
  <c r="A580" i="1" s="1"/>
  <c r="AI272" i="1"/>
  <c r="C272" i="1" s="1"/>
  <c r="AG720" i="1"/>
  <c r="A720" i="1" s="1"/>
  <c r="AI442" i="1"/>
  <c r="C442" i="1" s="1"/>
  <c r="AG57" i="1"/>
  <c r="A57" i="1" s="1"/>
  <c r="AI469" i="1"/>
  <c r="C469" i="1" s="1"/>
  <c r="AG528" i="1"/>
  <c r="AH371" i="1"/>
  <c r="B371" i="1" s="1"/>
  <c r="AH512" i="1"/>
  <c r="AH336" i="1"/>
  <c r="B336" i="1" s="1"/>
  <c r="AG212" i="1"/>
  <c r="AH88" i="1"/>
  <c r="B88" i="1" s="1"/>
  <c r="AI424" i="1"/>
  <c r="C424" i="1" s="1"/>
  <c r="AG446" i="1"/>
  <c r="A446" i="1" s="1"/>
  <c r="AG59" i="1"/>
  <c r="A59" i="1" s="1"/>
  <c r="AG689" i="1"/>
  <c r="A689" i="1" s="1"/>
  <c r="AG242" i="1"/>
  <c r="A242" i="1" s="1"/>
  <c r="AH419" i="1"/>
  <c r="AH362" i="1"/>
  <c r="B362" i="1" s="1"/>
  <c r="AG534" i="1"/>
  <c r="P534" i="1" s="1"/>
  <c r="AH124" i="1"/>
  <c r="B124" i="1" s="1"/>
  <c r="AI622" i="1"/>
  <c r="AI536" i="1"/>
  <c r="C536" i="1" s="1"/>
  <c r="AG730" i="1"/>
  <c r="A730" i="1" s="1"/>
  <c r="AG79" i="1"/>
  <c r="A79" i="1" s="1"/>
  <c r="AG67" i="1"/>
  <c r="AH332" i="1"/>
  <c r="B332" i="1" s="1"/>
  <c r="AI115" i="1"/>
  <c r="AH545" i="1"/>
  <c r="AI689" i="1"/>
  <c r="C689" i="1" s="1"/>
  <c r="E689" i="1" s="1"/>
  <c r="AG577" i="1"/>
  <c r="A577" i="1" s="1"/>
  <c r="AG78" i="1"/>
  <c r="AI650" i="1"/>
  <c r="C650" i="1" s="1"/>
  <c r="AG709" i="1"/>
  <c r="A709" i="1" s="1"/>
  <c r="AH634" i="1"/>
  <c r="B634" i="1" s="1"/>
  <c r="AI39" i="1"/>
  <c r="C39" i="1" s="1"/>
  <c r="AI580" i="1"/>
  <c r="C580" i="1" s="1"/>
  <c r="B580" i="1" s="1"/>
  <c r="AG558" i="1"/>
  <c r="P558" i="1" s="1"/>
  <c r="AI574" i="1"/>
  <c r="C574" i="1" s="1"/>
  <c r="B574" i="1" s="1"/>
  <c r="AH606" i="1"/>
  <c r="B606" i="1" s="1"/>
  <c r="AH434" i="1"/>
  <c r="B434" i="1" s="1"/>
  <c r="AH146" i="1"/>
  <c r="AG81" i="1"/>
  <c r="A81" i="1" s="1"/>
  <c r="AH299" i="1"/>
  <c r="AI135" i="1"/>
  <c r="C135" i="1" s="1"/>
  <c r="AI49" i="1"/>
  <c r="AG491" i="1"/>
  <c r="AG432" i="1"/>
  <c r="A432" i="1" s="1"/>
  <c r="AH714" i="1"/>
  <c r="AI502" i="1"/>
  <c r="AH197" i="1"/>
  <c r="AG469" i="1"/>
  <c r="A469" i="1" s="1"/>
  <c r="AI492" i="1"/>
  <c r="AH458" i="1"/>
  <c r="B458" i="1" s="1"/>
  <c r="AH16" i="1"/>
  <c r="B16" i="1" s="1"/>
  <c r="AH42" i="1"/>
  <c r="B42" i="1" s="1"/>
  <c r="AH372" i="1"/>
  <c r="B372" i="1" s="1"/>
  <c r="AH290" i="1"/>
  <c r="B290" i="1" s="1"/>
  <c r="AI307" i="1"/>
  <c r="C307" i="1" s="1"/>
  <c r="A178" i="1"/>
  <c r="AH368" i="1"/>
  <c r="B368" i="1" s="1"/>
  <c r="AG410" i="1"/>
  <c r="A410" i="1" s="1"/>
  <c r="AI318" i="1"/>
  <c r="C318" i="1" s="1"/>
  <c r="AG389" i="1"/>
  <c r="AI146" i="1"/>
  <c r="AG518" i="1"/>
  <c r="AI248" i="1"/>
  <c r="C248" i="1" s="1"/>
  <c r="AG496" i="1"/>
  <c r="AG129" i="1"/>
  <c r="A129" i="1" s="1"/>
  <c r="AI426" i="1"/>
  <c r="C426" i="1" s="1"/>
  <c r="AI55" i="1"/>
  <c r="C55" i="1" s="1"/>
  <c r="AG219" i="1"/>
  <c r="AI94" i="1"/>
  <c r="C94" i="1" s="1"/>
  <c r="AH670" i="1"/>
  <c r="B670" i="1" s="1"/>
  <c r="D670" i="1" s="1"/>
  <c r="AG167" i="1"/>
  <c r="A167" i="1" s="1"/>
  <c r="AI420" i="1"/>
  <c r="AI267" i="1"/>
  <c r="C267" i="1" s="1"/>
  <c r="AG328" i="1"/>
  <c r="A328" i="1" s="1"/>
  <c r="AG489" i="1"/>
  <c r="AG479" i="1"/>
  <c r="A479" i="1" s="1"/>
  <c r="AH742" i="1"/>
  <c r="B742" i="1" s="1"/>
  <c r="AI661" i="1"/>
  <c r="AI537" i="1"/>
  <c r="C537" i="1" s="1"/>
  <c r="AG286" i="1"/>
  <c r="A286" i="1" s="1"/>
  <c r="AI412" i="1"/>
  <c r="C412" i="1" s="1"/>
  <c r="AH716" i="1"/>
  <c r="B716" i="1" s="1"/>
  <c r="AG155" i="1"/>
  <c r="A155" i="1" s="1"/>
  <c r="AI214" i="1"/>
  <c r="AI344" i="1"/>
  <c r="AH568" i="1"/>
  <c r="AI428" i="1"/>
  <c r="C428" i="1" s="1"/>
  <c r="AG91" i="1"/>
  <c r="A91" i="1" s="1"/>
  <c r="AI31" i="1"/>
  <c r="AH564" i="1"/>
  <c r="AG579" i="1"/>
  <c r="A579" i="1" s="1"/>
  <c r="AG211" i="1"/>
  <c r="AG683" i="1"/>
  <c r="AH737" i="1"/>
  <c r="AG585" i="1"/>
  <c r="AG366" i="1"/>
  <c r="A366" i="1" s="1"/>
  <c r="AI342" i="1"/>
  <c r="AI385" i="1"/>
  <c r="AI569" i="1"/>
  <c r="AI528" i="1"/>
  <c r="AH758" i="1"/>
  <c r="B758" i="1" s="1"/>
  <c r="AH311" i="1"/>
  <c r="B311" i="1" s="1"/>
  <c r="AG202" i="1"/>
  <c r="AH522" i="1"/>
  <c r="AG511" i="1"/>
  <c r="AG158" i="1"/>
  <c r="A158" i="1" s="1"/>
  <c r="AI751" i="1"/>
  <c r="C751" i="1" s="1"/>
  <c r="AG257" i="1"/>
  <c r="A257" i="1" s="1"/>
  <c r="AH665" i="1"/>
  <c r="AG529" i="1"/>
  <c r="AI398" i="1"/>
  <c r="C398" i="1" s="1"/>
  <c r="AH532" i="1"/>
  <c r="AG269" i="1"/>
  <c r="A269" i="1" s="1"/>
  <c r="AG694" i="1"/>
  <c r="A694" i="1" s="1"/>
  <c r="AG408" i="1"/>
  <c r="A408" i="1" s="1"/>
  <c r="AG268" i="1"/>
  <c r="A268" i="1" s="1"/>
  <c r="AG232" i="1"/>
  <c r="A232" i="1" s="1"/>
  <c r="AG173" i="1"/>
  <c r="A173" i="1" s="1"/>
  <c r="AG17" i="1"/>
  <c r="A17" i="1" s="1"/>
  <c r="AH754" i="1"/>
  <c r="B754" i="1" s="1"/>
  <c r="AH159" i="1"/>
  <c r="B159" i="1" s="1"/>
  <c r="AG604" i="1"/>
  <c r="A604" i="1" s="1"/>
  <c r="AI726" i="1"/>
  <c r="C726" i="1" s="1"/>
  <c r="AI176" i="1"/>
  <c r="C176" i="1" s="1"/>
  <c r="AH340" i="1"/>
  <c r="AH697" i="1"/>
  <c r="AI166" i="1"/>
  <c r="C166" i="1" s="1"/>
  <c r="AH708" i="1"/>
  <c r="B708" i="1" s="1"/>
  <c r="AI81" i="1"/>
  <c r="C81" i="1" s="1"/>
  <c r="AH431" i="1"/>
  <c r="B431" i="1" s="1"/>
  <c r="AH261" i="1"/>
  <c r="AG434" i="1"/>
  <c r="A434" i="1" s="1"/>
  <c r="AH267" i="1"/>
  <c r="B267" i="1" s="1"/>
  <c r="AG123" i="1"/>
  <c r="A123" i="1" s="1"/>
  <c r="AG51" i="1"/>
  <c r="AG526" i="1"/>
  <c r="AI486" i="1"/>
  <c r="AI733" i="1"/>
  <c r="AG262" i="1"/>
  <c r="AH595" i="1"/>
  <c r="B595" i="1" s="1"/>
  <c r="AH173" i="1"/>
  <c r="B173" i="1" s="1"/>
  <c r="AG364" i="1"/>
  <c r="A364" i="1" s="1"/>
  <c r="AI704" i="1"/>
  <c r="C704" i="1" s="1"/>
  <c r="E704" i="1" s="1"/>
  <c r="AH188" i="1"/>
  <c r="AH248" i="1"/>
  <c r="B248" i="1" s="1"/>
  <c r="AI357" i="1"/>
  <c r="C357" i="1" s="1"/>
  <c r="AG126" i="1"/>
  <c r="A126" i="1" s="1"/>
  <c r="AG7" i="1"/>
  <c r="A7" i="1" s="1"/>
  <c r="AG341" i="1"/>
  <c r="AH500" i="1"/>
  <c r="AG737" i="1"/>
  <c r="AI626" i="1"/>
  <c r="C626" i="1" s="1"/>
  <c r="AI593" i="1"/>
  <c r="C593" i="1" s="1"/>
  <c r="B180" i="1"/>
  <c r="AH328" i="1"/>
  <c r="B328" i="1" s="1"/>
  <c r="AI256" i="1"/>
  <c r="C256" i="1" s="1"/>
  <c r="AG530" i="1"/>
  <c r="A530" i="1" s="1"/>
  <c r="AI389" i="1"/>
  <c r="AH751" i="1"/>
  <c r="B751" i="1" s="1"/>
  <c r="AH600" i="1"/>
  <c r="B600" i="1" s="1"/>
  <c r="AI711" i="1"/>
  <c r="C711" i="1" s="1"/>
  <c r="E711" i="1" s="1"/>
  <c r="AH49" i="1"/>
  <c r="AI686" i="1"/>
  <c r="AH353" i="1"/>
  <c r="B353" i="1" s="1"/>
  <c r="AH450" i="1"/>
  <c r="AH244" i="1"/>
  <c r="AI208" i="1"/>
  <c r="AI605" i="1"/>
  <c r="C605" i="1" s="1"/>
  <c r="AH460" i="1"/>
  <c r="B460" i="1" s="1"/>
  <c r="AI290" i="1"/>
  <c r="C290" i="1" s="1"/>
  <c r="AI283" i="1"/>
  <c r="C283" i="1" s="1"/>
  <c r="AG369" i="1"/>
  <c r="A369" i="1" s="1"/>
  <c r="AH583" i="1"/>
  <c r="AI119" i="1"/>
  <c r="AG148" i="1"/>
  <c r="AG100" i="1"/>
  <c r="A100" i="1" s="1"/>
  <c r="AH234" i="1"/>
  <c r="AG114" i="1"/>
  <c r="AH150" i="1"/>
  <c r="AI542" i="1"/>
  <c r="C542" i="1" s="1"/>
  <c r="AI70" i="1"/>
  <c r="C70" i="1" s="1"/>
  <c r="AI642" i="1"/>
  <c r="C642" i="1" s="1"/>
  <c r="AH442" i="1"/>
  <c r="B442" i="1" s="1"/>
  <c r="AI742" i="1"/>
  <c r="C742" i="1" s="1"/>
  <c r="AI714" i="1"/>
  <c r="AG714" i="1"/>
  <c r="AI305" i="1"/>
  <c r="C305" i="1" s="1"/>
  <c r="AI240" i="1"/>
  <c r="AI682" i="1"/>
  <c r="AG288" i="1"/>
  <c r="A288" i="1" s="1"/>
  <c r="AG724" i="1"/>
  <c r="A724" i="1" s="1"/>
  <c r="AI601" i="1"/>
  <c r="C601" i="1" s="1"/>
  <c r="AH59" i="1"/>
  <c r="B59" i="1" s="1"/>
  <c r="AH650" i="1"/>
  <c r="B650" i="1" s="1"/>
  <c r="AG661" i="1"/>
  <c r="AH586" i="1"/>
  <c r="AH239" i="1"/>
  <c r="AH499" i="1"/>
  <c r="AG648" i="1"/>
  <c r="A648" i="1" s="1"/>
  <c r="AI659" i="1"/>
  <c r="C659" i="1" s="1"/>
  <c r="AG706" i="1"/>
  <c r="A706" i="1" s="1"/>
  <c r="AG186" i="1"/>
  <c r="AI13" i="1"/>
  <c r="C13" i="1" s="1"/>
  <c r="AH488" i="1"/>
  <c r="AG684" i="1"/>
  <c r="AG438" i="1"/>
  <c r="A438" i="1" s="1"/>
  <c r="AI611" i="1"/>
  <c r="C611" i="1" s="1"/>
  <c r="AH7" i="1"/>
  <c r="B7" i="1" s="1"/>
  <c r="AI162" i="1"/>
  <c r="C162" i="1" s="1"/>
  <c r="AG495" i="1"/>
  <c r="AI97" i="1"/>
  <c r="C97" i="1" s="1"/>
  <c r="AI487" i="1"/>
  <c r="AG738" i="1"/>
  <c r="AI100" i="1"/>
  <c r="C100" i="1" s="1"/>
  <c r="AG760" i="1"/>
  <c r="A760" i="1" s="1"/>
  <c r="AH654" i="1"/>
  <c r="B654" i="1" s="1"/>
  <c r="AG225" i="1"/>
  <c r="AI666" i="1"/>
  <c r="AH347" i="1"/>
  <c r="B347" i="1" s="1"/>
  <c r="AH732" i="1"/>
  <c r="B732" i="1" s="1"/>
  <c r="AH203" i="1"/>
  <c r="AI393" i="1"/>
  <c r="C393" i="1" s="1"/>
  <c r="AG680" i="1"/>
  <c r="A680" i="1" s="1"/>
  <c r="AH529" i="1"/>
  <c r="AH105" i="1"/>
  <c r="B105" i="1" s="1"/>
  <c r="AG439" i="1"/>
  <c r="A439" i="1" s="1"/>
  <c r="AH242" i="1"/>
  <c r="AI735" i="1"/>
  <c r="AH768" i="1"/>
  <c r="AG537" i="1"/>
  <c r="P537" i="1" s="1"/>
  <c r="AG43" i="1"/>
  <c r="A43" i="1" s="1"/>
  <c r="AI136" i="1"/>
  <c r="C136" i="1" s="1"/>
  <c r="AI573" i="1"/>
  <c r="C573" i="1" s="1"/>
  <c r="B573" i="1" s="1"/>
  <c r="AH548" i="1"/>
  <c r="AH573" i="1"/>
  <c r="AG435" i="1"/>
  <c r="A435" i="1" s="1"/>
  <c r="AH429" i="1"/>
  <c r="B429" i="1" s="1"/>
  <c r="AI205" i="1"/>
  <c r="AH588" i="1"/>
  <c r="AH308" i="1"/>
  <c r="B308" i="1" s="1"/>
  <c r="AG68" i="1"/>
  <c r="A68" i="1" s="1"/>
  <c r="AH354" i="1"/>
  <c r="B354" i="1" s="1"/>
  <c r="AG84" i="1"/>
  <c r="A84" i="1" s="1"/>
  <c r="AG193" i="1"/>
  <c r="AI134" i="1"/>
  <c r="C134" i="1" s="1"/>
  <c r="AI22" i="1"/>
  <c r="AG587" i="1"/>
  <c r="AG239" i="1"/>
  <c r="A239" i="1" s="1"/>
  <c r="AI41" i="1"/>
  <c r="C41" i="1" s="1"/>
  <c r="AI519" i="1"/>
  <c r="AG82" i="1"/>
  <c r="A82" i="1" s="1"/>
  <c r="AH724" i="1"/>
  <c r="B724" i="1" s="1"/>
  <c r="AI544" i="1"/>
  <c r="C544" i="1" s="1"/>
  <c r="AG254" i="1"/>
  <c r="A254" i="1" s="1"/>
  <c r="AI123" i="1"/>
  <c r="C123" i="1" s="1"/>
  <c r="AG480" i="1"/>
  <c r="A480" i="1" s="1"/>
  <c r="AI560" i="1"/>
  <c r="C560" i="1" s="1"/>
  <c r="AG296" i="1"/>
  <c r="A296" i="1" s="1"/>
  <c r="AI760" i="1"/>
  <c r="C760" i="1" s="1"/>
  <c r="AI28" i="1"/>
  <c r="C28" i="1" s="1"/>
  <c r="AI687" i="1"/>
  <c r="C687" i="1" s="1"/>
  <c r="E687" i="1" s="1"/>
  <c r="AH507" i="1"/>
  <c r="AI312" i="1"/>
  <c r="C312" i="1" s="1"/>
  <c r="AH549" i="1"/>
  <c r="AH322" i="1"/>
  <c r="AI463" i="1"/>
  <c r="C463" i="1" s="1"/>
  <c r="AI197" i="1"/>
  <c r="AI640" i="1"/>
  <c r="C640" i="1" s="1"/>
  <c r="AI628" i="1"/>
  <c r="C628" i="1" s="1"/>
  <c r="AH410" i="1"/>
  <c r="B410" i="1" s="1"/>
  <c r="AI235" i="1"/>
  <c r="AG99" i="1"/>
  <c r="A99" i="1" s="1"/>
  <c r="AG245" i="1"/>
  <c r="A245" i="1" s="1"/>
  <c r="AG170" i="1"/>
  <c r="AI559" i="1"/>
  <c r="C559" i="1" s="1"/>
  <c r="C183" i="1"/>
  <c r="AH612" i="1"/>
  <c r="B612" i="1" s="1"/>
  <c r="AH23" i="1"/>
  <c r="AI369" i="1"/>
  <c r="C369" i="1" s="1"/>
  <c r="AH462" i="1"/>
  <c r="B462" i="1" s="1"/>
  <c r="AG371" i="1"/>
  <c r="A371" i="1" s="1"/>
  <c r="AG728" i="1"/>
  <c r="A728" i="1" s="1"/>
  <c r="AH667" i="1"/>
  <c r="AG470" i="1"/>
  <c r="A470" i="1" s="1"/>
  <c r="AH584" i="1"/>
  <c r="AH614" i="1"/>
  <c r="B614" i="1" s="1"/>
  <c r="AH292" i="1"/>
  <c r="B292" i="1" s="1"/>
  <c r="AG545" i="1"/>
  <c r="A545" i="1" s="1"/>
  <c r="AH695" i="1"/>
  <c r="AG658" i="1"/>
  <c r="A658" i="1" s="1"/>
  <c r="AH558" i="1"/>
  <c r="AG757" i="1"/>
  <c r="A757" i="1" s="1"/>
  <c r="AI643" i="1"/>
  <c r="C643" i="1" s="1"/>
  <c r="AG199" i="1"/>
  <c r="AH738" i="1"/>
  <c r="AI300" i="1"/>
  <c r="AI245" i="1"/>
  <c r="AG608" i="1"/>
  <c r="A608" i="1" s="1"/>
  <c r="AH355" i="1"/>
  <c r="B355" i="1" s="1"/>
  <c r="AG588" i="1"/>
  <c r="AI543" i="1"/>
  <c r="C543" i="1" s="1"/>
  <c r="AG118" i="1"/>
  <c r="AG124" i="1"/>
  <c r="A124" i="1" s="1"/>
  <c r="AG619" i="1"/>
  <c r="AI229" i="1"/>
  <c r="AI266" i="1"/>
  <c r="C266" i="1" s="1"/>
  <c r="AG567" i="1"/>
  <c r="AH77" i="1"/>
  <c r="AI725" i="1"/>
  <c r="C725" i="1" s="1"/>
  <c r="AG620" i="1"/>
  <c r="AI432" i="1"/>
  <c r="C432" i="1" s="1"/>
  <c r="AG425" i="1"/>
  <c r="A425" i="1" s="1"/>
  <c r="AG47" i="1"/>
  <c r="AI731" i="1"/>
  <c r="C731" i="1" s="1"/>
  <c r="AH456" i="1"/>
  <c r="AH191" i="1"/>
  <c r="AI304" i="1"/>
  <c r="C304" i="1" s="1"/>
  <c r="AH320" i="1"/>
  <c r="B320" i="1" s="1"/>
  <c r="AH709" i="1"/>
  <c r="B709" i="1" s="1"/>
  <c r="AG73" i="1"/>
  <c r="AH241" i="1"/>
  <c r="AG765" i="1"/>
  <c r="A765" i="1" s="1"/>
  <c r="AH144" i="1"/>
  <c r="B144" i="1" s="1"/>
  <c r="AI468" i="1"/>
  <c r="C468" i="1" s="1"/>
  <c r="AH201" i="1"/>
  <c r="AG584" i="1"/>
  <c r="AI375" i="1"/>
  <c r="C375" i="1" s="1"/>
  <c r="AI434" i="1"/>
  <c r="C434" i="1" s="1"/>
  <c r="AI372" i="1"/>
  <c r="C372" i="1" s="1"/>
  <c r="AH420" i="1"/>
  <c r="AH702" i="1"/>
  <c r="AG436" i="1"/>
  <c r="A436" i="1" s="1"/>
  <c r="AG745" i="1"/>
  <c r="A745" i="1" s="1"/>
  <c r="AI713" i="1"/>
  <c r="C713" i="1" s="1"/>
  <c r="E713" i="1" s="1"/>
  <c r="AH383" i="1"/>
  <c r="AH46" i="1"/>
  <c r="AH756" i="1"/>
  <c r="B756" i="1" s="1"/>
  <c r="AG121" i="1"/>
  <c r="A121" i="1" s="1"/>
  <c r="AH60" i="1"/>
  <c r="AI86" i="1"/>
  <c r="C86" i="1" s="1"/>
  <c r="AH608" i="1"/>
  <c r="B608" i="1" s="1"/>
  <c r="AG200" i="1"/>
  <c r="AH622" i="1"/>
  <c r="AI232" i="1"/>
  <c r="AI374" i="1"/>
  <c r="C374" i="1" s="1"/>
  <c r="AI294" i="1"/>
  <c r="C294" i="1" s="1"/>
  <c r="AI58" i="1"/>
  <c r="C58" i="1" s="1"/>
  <c r="AI163" i="1"/>
  <c r="C163" i="1" s="1"/>
  <c r="AG510" i="1"/>
  <c r="AH527" i="1"/>
  <c r="AI522" i="1"/>
  <c r="AH525" i="1"/>
  <c r="AI189" i="1"/>
  <c r="AG693" i="1"/>
  <c r="A693" i="1" s="1"/>
  <c r="AH449" i="1"/>
  <c r="AG255" i="1"/>
  <c r="A255" i="1" s="1"/>
  <c r="AG701" i="1"/>
  <c r="A701" i="1" s="1"/>
  <c r="AH735" i="1"/>
  <c r="AG324" i="1"/>
  <c r="A324" i="1" s="1"/>
  <c r="AG8" i="1"/>
  <c r="A8" i="1" s="1"/>
  <c r="AI388" i="1"/>
  <c r="AH62" i="1"/>
  <c r="AH625" i="1"/>
  <c r="B625" i="1" s="1"/>
  <c r="AG442" i="1"/>
  <c r="A442" i="1" s="1"/>
  <c r="AG401" i="1"/>
  <c r="A401" i="1" s="1"/>
  <c r="AG702" i="1"/>
  <c r="A702" i="1" s="1"/>
  <c r="AH559" i="1"/>
  <c r="AG512" i="1"/>
  <c r="AI293" i="1"/>
  <c r="C293" i="1" s="1"/>
  <c r="AI766" i="1"/>
  <c r="C766" i="1" s="1"/>
  <c r="AH407" i="1"/>
  <c r="B407" i="1" s="1"/>
  <c r="AG467" i="1"/>
  <c r="A467" i="1" s="1"/>
  <c r="AH565" i="1"/>
  <c r="AH472" i="1"/>
  <c r="B472" i="1" s="1"/>
  <c r="AG139" i="1"/>
  <c r="A139" i="1" s="1"/>
  <c r="AH228" i="1"/>
  <c r="AG130" i="1"/>
  <c r="A130" i="1" s="1"/>
  <c r="AH117" i="1"/>
  <c r="AH688" i="1"/>
  <c r="AI19" i="1"/>
  <c r="C19" i="1" s="1"/>
  <c r="AG615" i="1"/>
  <c r="A615" i="1" s="1"/>
  <c r="AI91" i="1"/>
  <c r="C91" i="1" s="1"/>
  <c r="AG292" i="1"/>
  <c r="A292" i="1" s="1"/>
  <c r="AH221" i="1"/>
  <c r="AH437" i="1"/>
  <c r="B437" i="1" s="1"/>
  <c r="AH616" i="1"/>
  <c r="B616" i="1" s="1"/>
  <c r="AG260" i="1"/>
  <c r="AI170" i="1"/>
  <c r="C170" i="1" s="1"/>
  <c r="AI77" i="1"/>
  <c r="B179" i="1"/>
  <c r="AG521" i="1"/>
  <c r="AH319" i="1"/>
  <c r="B319" i="1" s="1"/>
  <c r="AG520" i="1"/>
  <c r="AI238" i="1"/>
  <c r="AI354" i="1"/>
  <c r="C354" i="1" s="1"/>
  <c r="AG265" i="1"/>
  <c r="A265" i="1" s="1"/>
  <c r="AH432" i="1"/>
  <c r="B432" i="1" s="1"/>
  <c r="AG320" i="1"/>
  <c r="A320" i="1" s="1"/>
  <c r="AH579" i="1"/>
  <c r="AH720" i="1"/>
  <c r="B720" i="1" s="1"/>
  <c r="AI609" i="1"/>
  <c r="C609" i="1" s="1"/>
  <c r="AG555" i="1"/>
  <c r="A555" i="1" s="1"/>
  <c r="AG763" i="1"/>
  <c r="A763" i="1" s="1"/>
  <c r="AI467" i="1"/>
  <c r="C467" i="1" s="1"/>
  <c r="AI529" i="1"/>
  <c r="AG458" i="1"/>
  <c r="A458" i="1" s="1"/>
  <c r="AH113" i="1"/>
  <c r="AH753" i="1"/>
  <c r="B753" i="1" s="1"/>
  <c r="AH155" i="1"/>
  <c r="B155" i="1" s="1"/>
  <c r="AG610" i="1"/>
  <c r="A610" i="1" s="1"/>
  <c r="AI411" i="1"/>
  <c r="C411" i="1" s="1"/>
  <c r="AI92" i="1"/>
  <c r="C92" i="1" s="1"/>
  <c r="AG217" i="1"/>
  <c r="AH733" i="1"/>
  <c r="AI653" i="1"/>
  <c r="C653" i="1" s="1"/>
  <c r="AG197" i="1"/>
  <c r="AI361" i="1"/>
  <c r="C361" i="1" s="1"/>
  <c r="AH38" i="1"/>
  <c r="B38" i="1" s="1"/>
  <c r="AH231" i="1"/>
  <c r="AG25" i="1"/>
  <c r="A25" i="1" s="1"/>
  <c r="AI109" i="1"/>
  <c r="AG725" i="1"/>
  <c r="A725" i="1" s="1"/>
  <c r="AI384" i="1"/>
  <c r="AH531" i="1"/>
  <c r="AI697" i="1"/>
  <c r="C697" i="1" s="1"/>
  <c r="E697" i="1" s="1"/>
  <c r="AH283" i="1"/>
  <c r="B283" i="1" s="1"/>
  <c r="AH44" i="1"/>
  <c r="B44" i="1" s="1"/>
  <c r="AH296" i="1"/>
  <c r="B296" i="1" s="1"/>
  <c r="AG524" i="1"/>
  <c r="AI42" i="1"/>
  <c r="C42" i="1" s="1"/>
  <c r="AH227" i="1"/>
  <c r="AG770" i="1"/>
  <c r="AG406" i="1"/>
  <c r="A406" i="1" s="1"/>
  <c r="AH470" i="1"/>
  <c r="B470" i="1" s="1"/>
  <c r="AG527" i="1"/>
  <c r="AG583" i="1"/>
  <c r="A583" i="1" s="1"/>
  <c r="AH310" i="1"/>
  <c r="B310" i="1" s="1"/>
  <c r="AG586" i="1"/>
  <c r="AH473" i="1"/>
  <c r="B473" i="1" s="1"/>
  <c r="AI521" i="1"/>
  <c r="AI29" i="1"/>
  <c r="C29" i="1" s="1"/>
  <c r="AG549" i="1"/>
  <c r="A549" i="1" s="1"/>
  <c r="AI647" i="1"/>
  <c r="C647" i="1" s="1"/>
  <c r="C181" i="1"/>
  <c r="AH668" i="1"/>
  <c r="AH386" i="1"/>
  <c r="AI9" i="1"/>
  <c r="C9" i="1" s="1"/>
  <c r="AH659" i="1"/>
  <c r="B659" i="1" s="1"/>
  <c r="AI309" i="1"/>
  <c r="C309" i="1" s="1"/>
  <c r="AH624" i="1"/>
  <c r="B624" i="1" s="1"/>
  <c r="AG321" i="1"/>
  <c r="AI520" i="1"/>
  <c r="AI211" i="1"/>
  <c r="AG599" i="1"/>
  <c r="A599" i="1" s="1"/>
  <c r="AG39" i="1"/>
  <c r="A39" i="1" s="1"/>
  <c r="AI527" i="1"/>
  <c r="AI635" i="1"/>
  <c r="C635" i="1" s="1"/>
  <c r="AI663" i="1"/>
  <c r="AI274" i="1"/>
  <c r="C274" i="1" s="1"/>
  <c r="AG313" i="1"/>
  <c r="A313" i="1" s="1"/>
  <c r="AH718" i="1"/>
  <c r="B718" i="1" s="1"/>
  <c r="AG317" i="1"/>
  <c r="A317" i="1" s="1"/>
  <c r="AG562" i="1"/>
  <c r="AG417" i="1"/>
  <c r="AG65" i="1"/>
  <c r="AG735" i="1"/>
  <c r="AH746" i="1"/>
  <c r="B746" i="1" s="1"/>
  <c r="AI770" i="1"/>
  <c r="AH288" i="1"/>
  <c r="B288" i="1" s="1"/>
  <c r="AG377" i="1"/>
  <c r="A377" i="1" s="1"/>
  <c r="AG708" i="1"/>
  <c r="A708" i="1" s="1"/>
  <c r="AG227" i="1"/>
  <c r="AG722" i="1"/>
  <c r="A722" i="1" s="1"/>
  <c r="AI594" i="1"/>
  <c r="C594" i="1" s="1"/>
  <c r="AH551" i="1"/>
  <c r="AI230" i="1"/>
  <c r="AH603" i="1"/>
  <c r="B603" i="1" s="1"/>
  <c r="AH307" i="1"/>
  <c r="B307" i="1" s="1"/>
  <c r="AG563" i="1"/>
  <c r="AH324" i="1"/>
  <c r="B324" i="1" s="1"/>
  <c r="AI508" i="1"/>
  <c r="AG681" i="1"/>
  <c r="AI429" i="1"/>
  <c r="C429" i="1" s="1"/>
  <c r="AG160" i="1"/>
  <c r="A160" i="1" s="1"/>
  <c r="AH151" i="1"/>
  <c r="AG399" i="1"/>
  <c r="A399" i="1" s="1"/>
  <c r="AH194" i="1"/>
  <c r="AH275" i="1"/>
  <c r="B275" i="1" s="1"/>
  <c r="AI343" i="1"/>
  <c r="AH550" i="1"/>
  <c r="AG564" i="1"/>
  <c r="AI5" i="1"/>
  <c r="C5" i="1" s="1"/>
  <c r="AG505" i="1"/>
  <c r="AI106" i="1"/>
  <c r="C106" i="1" s="1"/>
  <c r="AI282" i="1"/>
  <c r="C282" i="1" s="1"/>
  <c r="AH705" i="1"/>
  <c r="AG700" i="1"/>
  <c r="A700" i="1" s="1"/>
  <c r="AI26" i="1"/>
  <c r="C26" i="1" s="1"/>
  <c r="AI350" i="1"/>
  <c r="C350" i="1" s="1"/>
  <c r="AH580" i="1"/>
  <c r="AH219" i="1"/>
  <c r="AH334" i="1"/>
  <c r="B334" i="1" s="1"/>
  <c r="AG339" i="1"/>
  <c r="AI196" i="1"/>
  <c r="AI406" i="1"/>
  <c r="C406" i="1" s="1"/>
  <c r="AH660" i="1"/>
  <c r="AH56" i="1"/>
  <c r="B56" i="1" s="1"/>
  <c r="AG61" i="1"/>
  <c r="AH680" i="1"/>
  <c r="B680" i="1" s="1"/>
  <c r="D680" i="1" s="1"/>
  <c r="AI392" i="1"/>
  <c r="C392" i="1" s="1"/>
  <c r="AG206" i="1"/>
  <c r="AH78" i="1"/>
  <c r="AG131" i="1"/>
  <c r="A131" i="1" s="1"/>
  <c r="AI477" i="1"/>
  <c r="C477" i="1" s="1"/>
  <c r="AI202" i="1"/>
  <c r="AG83" i="1"/>
  <c r="A83" i="1" s="1"/>
  <c r="AG517" i="1"/>
  <c r="AG536" i="1"/>
  <c r="P536" i="1" s="1"/>
  <c r="AG137" i="1"/>
  <c r="A137" i="1" s="1"/>
  <c r="AG70" i="1"/>
  <c r="A70" i="1" s="1"/>
  <c r="AH653" i="1"/>
  <c r="B653" i="1" s="1"/>
  <c r="AG707" i="1"/>
  <c r="A707" i="1" s="1"/>
  <c r="AG243" i="1"/>
  <c r="A243" i="1" s="1"/>
  <c r="AI204" i="1"/>
  <c r="AH594" i="1"/>
  <c r="B594" i="1" s="1"/>
  <c r="AH417" i="1"/>
  <c r="AI514" i="1"/>
  <c r="AG301" i="1"/>
  <c r="AH645" i="1"/>
  <c r="B645" i="1" s="1"/>
  <c r="AI505" i="1"/>
  <c r="AG353" i="1"/>
  <c r="A353" i="1" s="1"/>
  <c r="AH367" i="1"/>
  <c r="B367" i="1" s="1"/>
  <c r="AG122" i="1"/>
  <c r="A122" i="1" s="1"/>
  <c r="AH48" i="1"/>
  <c r="AI457" i="1"/>
  <c r="AG109" i="1"/>
  <c r="AI264" i="1"/>
  <c r="A181" i="1"/>
  <c r="AG710" i="1"/>
  <c r="A710" i="1" s="1"/>
  <c r="AI321" i="1"/>
  <c r="AI418" i="1"/>
  <c r="AH264" i="1"/>
  <c r="AH704" i="1"/>
  <c r="AI633" i="1"/>
  <c r="C633" i="1" s="1"/>
  <c r="AI96" i="1"/>
  <c r="C96" i="1" s="1"/>
  <c r="AG187" i="1"/>
  <c r="AG614" i="1"/>
  <c r="A614" i="1" s="1"/>
  <c r="AI743" i="1"/>
  <c r="C743" i="1" s="1"/>
  <c r="AH656" i="1"/>
  <c r="B656" i="1" s="1"/>
  <c r="AH475" i="1"/>
  <c r="B475" i="1" s="1"/>
  <c r="AI489" i="1"/>
  <c r="AH96" i="1"/>
  <c r="AH611" i="1"/>
  <c r="B611" i="1" s="1"/>
  <c r="AG606" i="1"/>
  <c r="A606" i="1" s="1"/>
  <c r="AI405" i="1"/>
  <c r="C405" i="1" s="1"/>
  <c r="AH511" i="1"/>
  <c r="AH761" i="1"/>
  <c r="B761" i="1" s="1"/>
  <c r="AI526" i="1"/>
  <c r="M532" i="1"/>
  <c r="AZ122" i="2" l="1"/>
  <c r="AY118" i="2"/>
  <c r="AZ118" i="2" s="1"/>
  <c r="CS114" i="2"/>
  <c r="CS61" i="2"/>
  <c r="CS70" i="2"/>
  <c r="CS102" i="2"/>
  <c r="CS91" i="2"/>
  <c r="CS56" i="2"/>
  <c r="CS37" i="2"/>
  <c r="CS48" i="2"/>
  <c r="CS43" i="2"/>
  <c r="CS44" i="2"/>
  <c r="CS59" i="2"/>
  <c r="CS105" i="2"/>
  <c r="CS95" i="2"/>
  <c r="CS85" i="2"/>
  <c r="CS93" i="2"/>
  <c r="CS112" i="2"/>
  <c r="CS36" i="2"/>
  <c r="CS45" i="2"/>
  <c r="CS47" i="2"/>
  <c r="CS94" i="2"/>
  <c r="CS110" i="2"/>
  <c r="CS97" i="2"/>
  <c r="CS62" i="2"/>
  <c r="CS53" i="2"/>
  <c r="CS113" i="2"/>
  <c r="CS80" i="2"/>
  <c r="CS35" i="2"/>
  <c r="CS66" i="2"/>
  <c r="CS79" i="2"/>
  <c r="CS81" i="2"/>
  <c r="CS34" i="2"/>
  <c r="CS87" i="2"/>
  <c r="CS72" i="2"/>
  <c r="CS69" i="2"/>
  <c r="CS32" i="2"/>
  <c r="CS106" i="2"/>
  <c r="CS109" i="2"/>
  <c r="CS41" i="2"/>
  <c r="CS83" i="2"/>
  <c r="CS86" i="2"/>
  <c r="CS100" i="2"/>
  <c r="CS60" i="2"/>
  <c r="CS103" i="2"/>
  <c r="CS101" i="2"/>
  <c r="CS50" i="2"/>
  <c r="CS77" i="2"/>
  <c r="CS73" i="2"/>
  <c r="CS98" i="2"/>
  <c r="CS84" i="2"/>
  <c r="CS40" i="2"/>
  <c r="CS49" i="2"/>
  <c r="CS104" i="2"/>
  <c r="CS78" i="2"/>
  <c r="CS82" i="2"/>
  <c r="CS89" i="2"/>
  <c r="CS88" i="2"/>
  <c r="CS63" i="2"/>
  <c r="CS46" i="2"/>
  <c r="CS31" i="2"/>
  <c r="CS65" i="2"/>
  <c r="CS39" i="2"/>
  <c r="CS111" i="2"/>
  <c r="CS90" i="2"/>
  <c r="CS64" i="2"/>
  <c r="CS68" i="2"/>
  <c r="CS33" i="2"/>
  <c r="CS107" i="2"/>
  <c r="CS76" i="2"/>
  <c r="CS54" i="2"/>
  <c r="CS108" i="2"/>
  <c r="CS75" i="2"/>
  <c r="CS57" i="2"/>
  <c r="CS71" i="2"/>
  <c r="CS38" i="2"/>
  <c r="CS42" i="2"/>
  <c r="CS74" i="2"/>
  <c r="CS92" i="2"/>
  <c r="CS96" i="2"/>
  <c r="CS67" i="2"/>
  <c r="CS55" i="2"/>
  <c r="CS99" i="2"/>
  <c r="CS52" i="2"/>
  <c r="CS51" i="2"/>
  <c r="CS58" i="2"/>
  <c r="CS118" i="2"/>
  <c r="CY118" i="2" s="1"/>
  <c r="CS116" i="2"/>
  <c r="CS126" i="2"/>
  <c r="CY126" i="2" s="1"/>
  <c r="CS122" i="2"/>
  <c r="CY122" i="2" s="1"/>
  <c r="CS124" i="2"/>
  <c r="CY124" i="2" s="1"/>
  <c r="CS128" i="2"/>
  <c r="CY128" i="2" s="1"/>
  <c r="CS120" i="2"/>
  <c r="CY120" i="2" s="1"/>
  <c r="AZ524" i="2"/>
  <c r="CA519" i="2"/>
  <c r="CB519" i="2" s="1"/>
  <c r="CS510" i="2"/>
  <c r="CS518" i="2"/>
  <c r="CS520" i="2"/>
  <c r="CY520" i="2" s="1"/>
  <c r="CS522" i="2"/>
  <c r="CY522" i="2" s="1"/>
  <c r="CS524" i="2"/>
  <c r="CY524" i="2" s="1"/>
  <c r="CS526" i="2"/>
  <c r="CY526" i="2" s="1"/>
  <c r="CS528" i="2"/>
  <c r="CY528" i="2" s="1"/>
  <c r="CS530" i="2"/>
  <c r="CY530" i="2" s="1"/>
  <c r="AY520" i="2"/>
  <c r="AZ520" i="2" s="1"/>
  <c r="D694" i="1"/>
  <c r="D710" i="1"/>
  <c r="D701" i="1"/>
  <c r="D703" i="1"/>
  <c r="D708" i="1"/>
  <c r="D695" i="1"/>
  <c r="D704" i="1"/>
  <c r="D702" i="1"/>
  <c r="D706" i="1"/>
  <c r="D705" i="1"/>
  <c r="D692" i="1"/>
  <c r="D700" i="1"/>
  <c r="D709" i="1"/>
  <c r="D697" i="1"/>
  <c r="D687" i="1"/>
  <c r="D693" i="1"/>
  <c r="D707" i="1"/>
  <c r="D711" i="1"/>
  <c r="D712" i="1"/>
  <c r="D713" i="1"/>
  <c r="D688" i="1"/>
  <c r="D699" i="1"/>
  <c r="D689" i="1"/>
  <c r="D696" i="1"/>
  <c r="D691" i="1"/>
  <c r="D698" i="1"/>
  <c r="P531" i="1"/>
  <c r="A554" i="1"/>
  <c r="A544" i="1"/>
  <c r="P542" i="1"/>
  <c r="A556" i="1"/>
  <c r="A558" i="1"/>
  <c r="P535" i="1"/>
  <c r="P533" i="1"/>
  <c r="P557" i="1"/>
  <c r="P559" i="1"/>
  <c r="P543" i="1"/>
  <c r="A532" i="1"/>
  <c r="P548" i="1"/>
  <c r="A534" i="1"/>
  <c r="P547" i="1"/>
  <c r="P553" i="1"/>
  <c r="A537" i="1"/>
  <c r="P538" i="1"/>
  <c r="P560" i="1"/>
  <c r="P546" i="1"/>
  <c r="A541" i="1"/>
  <c r="A552" i="1"/>
  <c r="P530" i="1"/>
  <c r="P545" i="1"/>
  <c r="P549" i="1"/>
  <c r="P555" i="1"/>
  <c r="A536" i="1"/>
  <c r="AZ124" i="2" l="1"/>
  <c r="BA124" i="2" s="1"/>
  <c r="BA122" i="2"/>
  <c r="CY116" i="2"/>
  <c r="CY1" i="2" s="1"/>
  <c r="GA116" i="2"/>
  <c r="CS1" i="2"/>
  <c r="AZ120" i="2"/>
  <c r="BA120" i="2" s="1"/>
  <c r="BA118" i="2"/>
  <c r="CY518" i="2"/>
  <c r="GA518" i="2" s="1"/>
  <c r="AZ526" i="2"/>
  <c r="BA526" i="2" s="1"/>
  <c r="BA524" i="2"/>
  <c r="BA520" i="2"/>
  <c r="AZ522" i="2"/>
  <c r="BA522" i="2" s="1"/>
  <c r="CQ29" i="28"/>
  <c r="CG29" i="28"/>
  <c r="CE29" i="28"/>
  <c r="CF29" i="28"/>
  <c r="AX18" i="28" l="1"/>
  <c r="AS13" i="28" l="1"/>
  <c r="AX23" i="28"/>
  <c r="AM129" i="28" l="1"/>
  <c r="AL129" i="28"/>
  <c r="AO129" i="28"/>
  <c r="AK129" i="28"/>
  <c r="AS129" i="28"/>
  <c r="AK20" i="28" l="1"/>
  <c r="N9" i="16" l="1"/>
  <c r="AH24" i="28" l="1"/>
  <c r="J29" i="28" l="1"/>
  <c r="N29" i="28"/>
  <c r="R29" i="28"/>
  <c r="V29" i="28"/>
  <c r="V117" i="28" s="1"/>
  <c r="V130" i="28" s="1"/>
  <c r="K29" i="28"/>
  <c r="O29" i="28"/>
  <c r="S29" i="28"/>
  <c r="W29" i="28"/>
  <c r="W117" i="28" s="1"/>
  <c r="W130" i="28" s="1"/>
  <c r="AA29" i="28"/>
  <c r="AA117" i="28" s="1"/>
  <c r="AA130" i="28" s="1"/>
  <c r="AE29" i="28"/>
  <c r="AE117" i="28" s="1"/>
  <c r="AE130" i="28" s="1"/>
  <c r="P29" i="28"/>
  <c r="T29" i="28"/>
  <c r="X29" i="28"/>
  <c r="X117" i="28" s="1"/>
  <c r="X130" i="28" s="1"/>
  <c r="AB29" i="28"/>
  <c r="AB117" i="28" s="1"/>
  <c r="AB130" i="28" s="1"/>
  <c r="E29" i="28"/>
  <c r="I29" i="28"/>
  <c r="Q29" i="28"/>
  <c r="Y29" i="28"/>
  <c r="Y117" i="28" s="1"/>
  <c r="Y130" i="28" s="1"/>
  <c r="AG29" i="28"/>
  <c r="AG117" i="28" s="1"/>
  <c r="AG130" i="28" s="1"/>
  <c r="AD29" i="28"/>
  <c r="AD117" i="28" s="1"/>
  <c r="AD130" i="28" s="1"/>
  <c r="L29" i="28"/>
  <c r="AF29" i="28"/>
  <c r="AF117" i="28" s="1"/>
  <c r="AF130" i="28" s="1"/>
  <c r="M29" i="28"/>
  <c r="U29" i="28"/>
  <c r="U117" i="28" s="1"/>
  <c r="U130" i="28" s="1"/>
  <c r="AC29" i="28"/>
  <c r="AC117" i="28" s="1"/>
  <c r="AC130" i="28" s="1"/>
  <c r="Z29" i="28"/>
  <c r="Z117" i="28" s="1"/>
  <c r="Z130" i="28" s="1"/>
  <c r="S117" i="28" l="1"/>
  <c r="CC29" i="28"/>
  <c r="L117" i="28"/>
  <c r="BV29" i="28"/>
  <c r="K117" i="28"/>
  <c r="BU29" i="28"/>
  <c r="M117" i="28"/>
  <c r="BW29" i="28"/>
  <c r="T117" i="28"/>
  <c r="CD29" i="28"/>
  <c r="J117" i="28"/>
  <c r="BT29" i="28"/>
  <c r="I117" i="28"/>
  <c r="BS29" i="28"/>
  <c r="O117" i="28"/>
  <c r="BY29" i="28"/>
  <c r="Q117" i="28"/>
  <c r="CA29" i="28"/>
  <c r="P117" i="28"/>
  <c r="BZ29" i="28"/>
  <c r="R117" i="28"/>
  <c r="CB29" i="28"/>
  <c r="N117" i="28"/>
  <c r="BX29" i="28"/>
  <c r="E117" i="28"/>
  <c r="BO29" i="28"/>
  <c r="G29" i="28"/>
  <c r="D29" i="28"/>
  <c r="GM126" i="2" l="1"/>
  <c r="GM128" i="2"/>
  <c r="L520" i="2"/>
  <c r="L518" i="2"/>
  <c r="L524" i="2"/>
  <c r="L528" i="2"/>
  <c r="L530" i="2"/>
  <c r="L526" i="2"/>
  <c r="L522" i="2"/>
  <c r="M130" i="28"/>
  <c r="BW130" i="28" s="1"/>
  <c r="BW117" i="28"/>
  <c r="K130" i="28"/>
  <c r="BU130" i="28" s="1"/>
  <c r="BU117" i="28"/>
  <c r="J130" i="28"/>
  <c r="BT130" i="28" s="1"/>
  <c r="BT117" i="28"/>
  <c r="L130" i="28"/>
  <c r="BV130" i="28" s="1"/>
  <c r="BV117" i="28"/>
  <c r="T130" i="28"/>
  <c r="CD130" i="28" s="1"/>
  <c r="CD117" i="28"/>
  <c r="S130" i="28"/>
  <c r="CC130" i="28" s="1"/>
  <c r="CC117" i="28"/>
  <c r="N130" i="28"/>
  <c r="BX130" i="28" s="1"/>
  <c r="BX117" i="28"/>
  <c r="P130" i="28"/>
  <c r="BZ130" i="28" s="1"/>
  <c r="BZ117" i="28"/>
  <c r="Q130" i="28"/>
  <c r="CA130" i="28" s="1"/>
  <c r="CA117" i="28"/>
  <c r="O130" i="28"/>
  <c r="BY130" i="28" s="1"/>
  <c r="BY117" i="28"/>
  <c r="I130" i="28"/>
  <c r="BS130" i="28" s="1"/>
  <c r="BS117" i="28"/>
  <c r="R130" i="28"/>
  <c r="CB130" i="28" s="1"/>
  <c r="CB117" i="28"/>
  <c r="G117" i="28"/>
  <c r="BQ29" i="28"/>
  <c r="BN29" i="28"/>
  <c r="D117" i="28"/>
  <c r="BO117" i="28"/>
  <c r="E130" i="28"/>
  <c r="BO130" i="28" s="1"/>
  <c r="BN117" i="28" l="1"/>
  <c r="D130" i="28"/>
  <c r="BN130" i="28" s="1"/>
  <c r="BQ117" i="28"/>
  <c r="G130" i="28"/>
  <c r="BQ130" i="28" s="1"/>
  <c r="GM120" i="2" l="1"/>
  <c r="GM118" i="2"/>
  <c r="H29" i="28"/>
  <c r="BR29" i="28" l="1"/>
  <c r="H117" i="28"/>
  <c r="F29" i="28"/>
  <c r="BA64" i="28" l="1"/>
  <c r="BB64" i="28"/>
  <c r="AZ64" i="28"/>
  <c r="AS64" i="28"/>
  <c r="AL64" i="28"/>
  <c r="AX64" i="28"/>
  <c r="AP64" i="28"/>
  <c r="AY64" i="28"/>
  <c r="AV64" i="28"/>
  <c r="AT64" i="28"/>
  <c r="AW64" i="28"/>
  <c r="AM64" i="28"/>
  <c r="AN64" i="28"/>
  <c r="AO64" i="28"/>
  <c r="AI64" i="28"/>
  <c r="AH64" i="28"/>
  <c r="A64" i="28" s="1"/>
  <c r="AK64" i="28"/>
  <c r="AQ64" i="28"/>
  <c r="AR64" i="28"/>
  <c r="BC64" i="28"/>
  <c r="AZ53" i="28"/>
  <c r="BB53" i="28"/>
  <c r="AP53" i="28"/>
  <c r="BC53" i="28"/>
  <c r="AS53" i="28"/>
  <c r="AK53" i="28"/>
  <c r="AY53" i="28"/>
  <c r="AQ53" i="28"/>
  <c r="AO53" i="28"/>
  <c r="AH53" i="28"/>
  <c r="A53" i="28" s="1"/>
  <c r="AR53" i="28"/>
  <c r="AT53" i="28"/>
  <c r="AN53" i="28"/>
  <c r="AI53" i="28"/>
  <c r="AM53" i="28"/>
  <c r="AL53" i="28"/>
  <c r="BA53" i="28"/>
  <c r="AX53" i="28"/>
  <c r="AW53" i="28"/>
  <c r="AV53" i="28"/>
  <c r="BB31" i="28"/>
  <c r="AH31" i="28"/>
  <c r="AO100" i="28"/>
  <c r="BA100" i="28"/>
  <c r="AZ100" i="28"/>
  <c r="AV100" i="28"/>
  <c r="AS100" i="28"/>
  <c r="AW100" i="28"/>
  <c r="AR100" i="28"/>
  <c r="AX100" i="28"/>
  <c r="BB100" i="28"/>
  <c r="AK100" i="28"/>
  <c r="AP100" i="28"/>
  <c r="AQ100" i="28"/>
  <c r="AY100" i="28"/>
  <c r="BC100" i="28"/>
  <c r="AI100" i="28"/>
  <c r="AM100" i="28"/>
  <c r="AL100" i="28"/>
  <c r="AT100" i="28"/>
  <c r="AN100" i="28"/>
  <c r="AH100" i="28"/>
  <c r="AL97" i="28"/>
  <c r="AX97" i="28"/>
  <c r="AO97" i="28"/>
  <c r="AV97" i="28"/>
  <c r="BC97" i="28"/>
  <c r="AW97" i="28"/>
  <c r="AN97" i="28"/>
  <c r="AH97" i="28"/>
  <c r="AT97" i="28"/>
  <c r="AI97" i="28"/>
  <c r="AR97" i="28"/>
  <c r="AZ97" i="28"/>
  <c r="AM97" i="28"/>
  <c r="BA97" i="28"/>
  <c r="AQ97" i="28"/>
  <c r="AK97" i="28"/>
  <c r="BB97" i="28"/>
  <c r="AS97" i="28"/>
  <c r="AP97" i="28"/>
  <c r="AY97" i="28"/>
  <c r="AX108" i="28"/>
  <c r="AT108" i="28"/>
  <c r="AW108" i="28"/>
  <c r="BC108" i="28"/>
  <c r="AM108" i="28"/>
  <c r="AY108" i="28"/>
  <c r="AL108" i="28"/>
  <c r="AN108" i="28"/>
  <c r="AH108" i="28"/>
  <c r="AR108" i="28"/>
  <c r="AS108" i="28"/>
  <c r="BB108" i="28"/>
  <c r="AV108" i="28"/>
  <c r="AP108" i="28"/>
  <c r="AI108" i="28"/>
  <c r="AZ108" i="28"/>
  <c r="AK108" i="28"/>
  <c r="AO108" i="28"/>
  <c r="AQ108" i="28"/>
  <c r="BA108" i="28"/>
  <c r="AP106" i="28"/>
  <c r="AR106" i="28"/>
  <c r="AM106" i="28"/>
  <c r="AY106" i="28"/>
  <c r="BB106" i="28"/>
  <c r="AS106" i="28"/>
  <c r="AI106" i="28"/>
  <c r="AT106" i="28"/>
  <c r="AW106" i="28"/>
  <c r="AL106" i="28"/>
  <c r="AV106" i="28"/>
  <c r="BC106" i="28"/>
  <c r="AQ106" i="28"/>
  <c r="AK106" i="28"/>
  <c r="AZ106" i="28"/>
  <c r="AO106" i="28"/>
  <c r="AN106" i="28"/>
  <c r="BA106" i="28"/>
  <c r="AX106" i="28"/>
  <c r="AH106" i="28"/>
  <c r="AZ96" i="28"/>
  <c r="AM96" i="28"/>
  <c r="AR96" i="28"/>
  <c r="AW96" i="28"/>
  <c r="AV96" i="28"/>
  <c r="AI96" i="28"/>
  <c r="AO96" i="28"/>
  <c r="AX96" i="28"/>
  <c r="AS96" i="28"/>
  <c r="AK96" i="28"/>
  <c r="AP96" i="28"/>
  <c r="AL96" i="28"/>
  <c r="AQ96" i="28"/>
  <c r="BA96" i="28"/>
  <c r="AH96" i="28"/>
  <c r="AY96" i="28"/>
  <c r="AN96" i="28"/>
  <c r="BC96" i="28"/>
  <c r="AT96" i="28"/>
  <c r="BB96" i="28"/>
  <c r="AL74" i="28"/>
  <c r="AH74" i="28"/>
  <c r="AT74" i="28"/>
  <c r="BA74" i="28"/>
  <c r="AI74" i="28"/>
  <c r="BC74" i="28"/>
  <c r="BB74" i="28"/>
  <c r="AK74" i="28"/>
  <c r="AP74" i="28"/>
  <c r="AM74" i="28"/>
  <c r="AQ74" i="28"/>
  <c r="AV74" i="28"/>
  <c r="AO74" i="28"/>
  <c r="AR74" i="28"/>
  <c r="AN74" i="28"/>
  <c r="AZ74" i="28"/>
  <c r="AW74" i="28"/>
  <c r="AX74" i="28"/>
  <c r="AY74" i="28"/>
  <c r="AS74" i="28"/>
  <c r="BC51" i="28"/>
  <c r="AK51" i="28"/>
  <c r="BB51" i="28"/>
  <c r="AR51" i="28"/>
  <c r="AS51" i="28"/>
  <c r="AM51" i="28"/>
  <c r="AQ51" i="28"/>
  <c r="AT51" i="28"/>
  <c r="AI51" i="28"/>
  <c r="AO51" i="28"/>
  <c r="AX51" i="28"/>
  <c r="AW51" i="28"/>
  <c r="AN51" i="28"/>
  <c r="BA51" i="28"/>
  <c r="AP51" i="28"/>
  <c r="AL51" i="28"/>
  <c r="AH51" i="28"/>
  <c r="A51" i="28" s="1"/>
  <c r="AY51" i="28"/>
  <c r="AZ51" i="28"/>
  <c r="AV51" i="28"/>
  <c r="AZ102" i="28"/>
  <c r="AH102" i="28"/>
  <c r="AL102" i="28"/>
  <c r="AI102" i="28"/>
  <c r="AQ102" i="28"/>
  <c r="AV102" i="28"/>
  <c r="AY102" i="28"/>
  <c r="AW102" i="28"/>
  <c r="AR102" i="28"/>
  <c r="AX102" i="28"/>
  <c r="AP102" i="28"/>
  <c r="AK102" i="28"/>
  <c r="BB102" i="28"/>
  <c r="AN102" i="28"/>
  <c r="AM102" i="28"/>
  <c r="AO102" i="28"/>
  <c r="AT102" i="28"/>
  <c r="AS102" i="28"/>
  <c r="BC102" i="28"/>
  <c r="BA102" i="28"/>
  <c r="AY62" i="28"/>
  <c r="AS62" i="28"/>
  <c r="AW62" i="28"/>
  <c r="AT62" i="28"/>
  <c r="AQ62" i="28"/>
  <c r="BB62" i="28"/>
  <c r="AV62" i="28"/>
  <c r="AH62" i="28"/>
  <c r="A62" i="28" s="1"/>
  <c r="AR62" i="28"/>
  <c r="AL62" i="28"/>
  <c r="AN62" i="28"/>
  <c r="AI62" i="28"/>
  <c r="AX62" i="28"/>
  <c r="BC62" i="28"/>
  <c r="BA62" i="28"/>
  <c r="AM62" i="28"/>
  <c r="AZ62" i="28"/>
  <c r="AP62" i="28"/>
  <c r="AO62" i="28"/>
  <c r="AK62" i="28"/>
  <c r="AP76" i="28"/>
  <c r="AQ76" i="28"/>
  <c r="BB76" i="28"/>
  <c r="AR76" i="28"/>
  <c r="AM76" i="28"/>
  <c r="AW76" i="28"/>
  <c r="AL76" i="28"/>
  <c r="AS76" i="28"/>
  <c r="AH76" i="28"/>
  <c r="AZ76" i="28"/>
  <c r="AI76" i="28"/>
  <c r="AK76" i="28"/>
  <c r="AT76" i="28"/>
  <c r="BA76" i="28"/>
  <c r="AO76" i="28"/>
  <c r="AY76" i="28"/>
  <c r="BC76" i="28"/>
  <c r="AN76" i="28"/>
  <c r="AX76" i="28"/>
  <c r="AV76" i="28"/>
  <c r="AM105" i="28"/>
  <c r="AN105" i="28"/>
  <c r="BC105" i="28"/>
  <c r="AH105" i="28"/>
  <c r="BB105" i="28"/>
  <c r="AR105" i="28"/>
  <c r="AQ105" i="28"/>
  <c r="AY105" i="28"/>
  <c r="AK105" i="28"/>
  <c r="AW105" i="28"/>
  <c r="AZ105" i="28"/>
  <c r="AO105" i="28"/>
  <c r="BA105" i="28"/>
  <c r="AL105" i="28"/>
  <c r="AP105" i="28"/>
  <c r="AV105" i="28"/>
  <c r="AS105" i="28"/>
  <c r="AI105" i="28"/>
  <c r="AX105" i="28"/>
  <c r="AT105" i="28"/>
  <c r="AH89" i="28"/>
  <c r="AM89" i="28"/>
  <c r="AY89" i="28"/>
  <c r="AQ89" i="28"/>
  <c r="BB89" i="28"/>
  <c r="AN89" i="28"/>
  <c r="AK89" i="28"/>
  <c r="AX89" i="28"/>
  <c r="BC89" i="28"/>
  <c r="AR89" i="28"/>
  <c r="AP89" i="28"/>
  <c r="AO89" i="28"/>
  <c r="AI89" i="28"/>
  <c r="AW89" i="28"/>
  <c r="AV89" i="28"/>
  <c r="AT89" i="28"/>
  <c r="BA89" i="28"/>
  <c r="AL89" i="28"/>
  <c r="AZ89" i="28"/>
  <c r="AS89" i="28"/>
  <c r="AI90" i="28"/>
  <c r="AP90" i="28"/>
  <c r="AX90" i="28"/>
  <c r="BB90" i="28"/>
  <c r="AS90" i="28"/>
  <c r="AR90" i="28"/>
  <c r="AQ90" i="28"/>
  <c r="AH90" i="28"/>
  <c r="AN90" i="28"/>
  <c r="AK90" i="28"/>
  <c r="AW90" i="28"/>
  <c r="AM90" i="28"/>
  <c r="BC90" i="28"/>
  <c r="AT90" i="28"/>
  <c r="AY90" i="28"/>
  <c r="AO90" i="28"/>
  <c r="AV90" i="28"/>
  <c r="AZ90" i="28"/>
  <c r="BA90" i="28"/>
  <c r="AL90" i="28"/>
  <c r="AM58" i="28"/>
  <c r="AO58" i="28"/>
  <c r="AV58" i="28"/>
  <c r="AY58" i="28"/>
  <c r="BA58" i="28"/>
  <c r="AI58" i="28"/>
  <c r="AZ58" i="28"/>
  <c r="AH58" i="28"/>
  <c r="A58" i="28" s="1"/>
  <c r="AK58" i="28"/>
  <c r="AP58" i="28"/>
  <c r="AL58" i="28"/>
  <c r="AW58" i="28"/>
  <c r="AS58" i="28"/>
  <c r="AT58" i="28"/>
  <c r="BB58" i="28"/>
  <c r="AR58" i="28"/>
  <c r="BC58" i="28"/>
  <c r="AQ58" i="28"/>
  <c r="AN58" i="28"/>
  <c r="AX58" i="28"/>
  <c r="AV70" i="28"/>
  <c r="AT70" i="28"/>
  <c r="AP70" i="28"/>
  <c r="AK70" i="28"/>
  <c r="AL70" i="28"/>
  <c r="AW70" i="28"/>
  <c r="AN70" i="28"/>
  <c r="AY70" i="28"/>
  <c r="AZ70" i="28"/>
  <c r="BB70" i="28"/>
  <c r="AM70" i="28"/>
  <c r="AI70" i="28"/>
  <c r="AS70" i="28"/>
  <c r="BC70" i="28"/>
  <c r="AH70" i="28"/>
  <c r="AX70" i="28"/>
  <c r="AO70" i="28"/>
  <c r="AQ70" i="28"/>
  <c r="AR70" i="28"/>
  <c r="BA70" i="28"/>
  <c r="AX82" i="28"/>
  <c r="AL82" i="28"/>
  <c r="AZ82" i="28"/>
  <c r="AT82" i="28"/>
  <c r="AS82" i="28"/>
  <c r="AM82" i="28"/>
  <c r="AN82" i="28"/>
  <c r="AP82" i="28"/>
  <c r="AI82" i="28"/>
  <c r="AH82" i="28"/>
  <c r="AQ82" i="28"/>
  <c r="AO82" i="28"/>
  <c r="AV82" i="28"/>
  <c r="AW82" i="28"/>
  <c r="AR82" i="28"/>
  <c r="AY82" i="28"/>
  <c r="BC82" i="28"/>
  <c r="BA82" i="28"/>
  <c r="AK82" i="28"/>
  <c r="BB82" i="28"/>
  <c r="AV43" i="28"/>
  <c r="AO43" i="28"/>
  <c r="BB43" i="28"/>
  <c r="AI43" i="28"/>
  <c r="AY43" i="28"/>
  <c r="AH43" i="28"/>
  <c r="A43" i="28" s="1"/>
  <c r="BA43" i="28"/>
  <c r="AQ43" i="28"/>
  <c r="AW43" i="28"/>
  <c r="BC43" i="28"/>
  <c r="AK43" i="28"/>
  <c r="AR43" i="28"/>
  <c r="AM43" i="28"/>
  <c r="AZ43" i="28"/>
  <c r="AL43" i="28"/>
  <c r="AT43" i="28"/>
  <c r="AN43" i="28"/>
  <c r="AP43" i="28"/>
  <c r="AX43" i="28"/>
  <c r="AS43" i="28"/>
  <c r="AK111" i="28"/>
  <c r="AN111" i="28"/>
  <c r="BC111" i="28"/>
  <c r="AI111" i="28"/>
  <c r="AZ111" i="28"/>
  <c r="AT111" i="28"/>
  <c r="AQ111" i="28"/>
  <c r="AV111" i="28"/>
  <c r="AX111" i="28"/>
  <c r="BA111" i="28"/>
  <c r="AH111" i="28"/>
  <c r="AM111" i="28"/>
  <c r="AP111" i="28"/>
  <c r="AS111" i="28"/>
  <c r="BB111" i="28"/>
  <c r="AW111" i="28"/>
  <c r="AL111" i="28"/>
  <c r="AR111" i="28"/>
  <c r="AO111" i="28"/>
  <c r="AY111" i="28"/>
  <c r="AR33" i="28"/>
  <c r="AI33" i="28"/>
  <c r="AZ33" i="28"/>
  <c r="AY33" i="28"/>
  <c r="AS33" i="28"/>
  <c r="AQ33" i="28"/>
  <c r="AT33" i="28"/>
  <c r="AX33" i="28"/>
  <c r="AM33" i="28"/>
  <c r="AV33" i="28"/>
  <c r="AK33" i="28"/>
  <c r="BC33" i="28"/>
  <c r="AL33" i="28"/>
  <c r="AO33" i="28"/>
  <c r="AW33" i="28"/>
  <c r="AH33" i="28"/>
  <c r="A33" i="28" s="1"/>
  <c r="BA33" i="28"/>
  <c r="AN33" i="28"/>
  <c r="BB33" i="28"/>
  <c r="AP33" i="28"/>
  <c r="AP67" i="28"/>
  <c r="AT67" i="28"/>
  <c r="BB67" i="28"/>
  <c r="AH67" i="28"/>
  <c r="AZ67" i="28"/>
  <c r="AR67" i="28"/>
  <c r="AS67" i="28"/>
  <c r="AM67" i="28"/>
  <c r="AN67" i="28"/>
  <c r="BA67" i="28"/>
  <c r="AV67" i="28"/>
  <c r="AY67" i="28"/>
  <c r="AW67" i="28"/>
  <c r="AX67" i="28"/>
  <c r="AL67" i="28"/>
  <c r="AI67" i="28"/>
  <c r="AO67" i="28"/>
  <c r="AK67" i="28"/>
  <c r="BC67" i="28"/>
  <c r="AQ67" i="28"/>
  <c r="BA112" i="28"/>
  <c r="AY112" i="28"/>
  <c r="AQ112" i="28"/>
  <c r="AP112" i="28"/>
  <c r="AX112" i="28"/>
  <c r="AW112" i="28"/>
  <c r="AS112" i="28"/>
  <c r="BB112" i="28"/>
  <c r="BC112" i="28"/>
  <c r="AV112" i="28"/>
  <c r="AR112" i="28"/>
  <c r="AL112" i="28"/>
  <c r="AZ112" i="28"/>
  <c r="AH112" i="28"/>
  <c r="AI112" i="28"/>
  <c r="AK112" i="28"/>
  <c r="AO112" i="28"/>
  <c r="AN112" i="28"/>
  <c r="AM112" i="28"/>
  <c r="AT112" i="28"/>
  <c r="BP29" i="28"/>
  <c r="F117" i="28"/>
  <c r="AS34" i="28"/>
  <c r="AM34" i="28"/>
  <c r="AL34" i="28"/>
  <c r="AN34" i="28"/>
  <c r="AP34" i="28"/>
  <c r="AI34" i="28"/>
  <c r="AO34" i="28"/>
  <c r="AH34" i="28"/>
  <c r="A34" i="28" s="1"/>
  <c r="AK34" i="28"/>
  <c r="AV99" i="28"/>
  <c r="AL99" i="28"/>
  <c r="AW99" i="28"/>
  <c r="BC99" i="28"/>
  <c r="AQ99" i="28"/>
  <c r="AP99" i="28"/>
  <c r="AK99" i="28"/>
  <c r="AM99" i="28"/>
  <c r="AI99" i="28"/>
  <c r="AN99" i="28"/>
  <c r="AO99" i="28"/>
  <c r="BB99" i="28"/>
  <c r="AX99" i="28"/>
  <c r="AY99" i="28"/>
  <c r="BA99" i="28"/>
  <c r="AH99" i="28"/>
  <c r="AT99" i="28"/>
  <c r="AS99" i="28"/>
  <c r="AR99" i="28"/>
  <c r="AZ99" i="28"/>
  <c r="AR94" i="28"/>
  <c r="AY94" i="28"/>
  <c r="AS94" i="28"/>
  <c r="AT94" i="28"/>
  <c r="AI94" i="28"/>
  <c r="BC94" i="28"/>
  <c r="AN94" i="28"/>
  <c r="AX94" i="28"/>
  <c r="AH94" i="28"/>
  <c r="AP94" i="28"/>
  <c r="AV94" i="28"/>
  <c r="BA94" i="28"/>
  <c r="AZ94" i="28"/>
  <c r="AK94" i="28"/>
  <c r="BB94" i="28"/>
  <c r="AL94" i="28"/>
  <c r="AM94" i="28"/>
  <c r="AW94" i="28"/>
  <c r="AO94" i="28"/>
  <c r="AQ94" i="28"/>
  <c r="BC88" i="28"/>
  <c r="AX88" i="28"/>
  <c r="BB88" i="28"/>
  <c r="AI88" i="28"/>
  <c r="AO88" i="28"/>
  <c r="AP88" i="28"/>
  <c r="AR88" i="28"/>
  <c r="AH88" i="28"/>
  <c r="AQ88" i="28"/>
  <c r="AN88" i="28"/>
  <c r="AL88" i="28"/>
  <c r="AV88" i="28"/>
  <c r="AY88" i="28"/>
  <c r="BA88" i="28"/>
  <c r="AW88" i="28"/>
  <c r="AS88" i="28"/>
  <c r="AM88" i="28"/>
  <c r="AZ88" i="28"/>
  <c r="AK88" i="28"/>
  <c r="AT88" i="28"/>
  <c r="AX81" i="28"/>
  <c r="AZ81" i="28"/>
  <c r="AH81" i="28"/>
  <c r="AN81" i="28"/>
  <c r="AI81" i="28"/>
  <c r="AP81" i="28"/>
  <c r="AR81" i="28"/>
  <c r="BB81" i="28"/>
  <c r="AV81" i="28"/>
  <c r="BC81" i="28"/>
  <c r="AL81" i="28"/>
  <c r="AK81" i="28"/>
  <c r="AM81" i="28"/>
  <c r="AT81" i="28"/>
  <c r="AO81" i="28"/>
  <c r="BA81" i="28"/>
  <c r="AS81" i="28"/>
  <c r="AY81" i="28"/>
  <c r="AQ81" i="28"/>
  <c r="AW81" i="28"/>
  <c r="AS56" i="28"/>
  <c r="AL56" i="28"/>
  <c r="AY56" i="28"/>
  <c r="AZ56" i="28"/>
  <c r="BA56" i="28"/>
  <c r="AK56" i="28"/>
  <c r="AO56" i="28"/>
  <c r="AP56" i="28"/>
  <c r="AI56" i="28"/>
  <c r="AV56" i="28"/>
  <c r="BC56" i="28"/>
  <c r="AH56" i="28"/>
  <c r="A56" i="28" s="1"/>
  <c r="AN56" i="28"/>
  <c r="AQ56" i="28"/>
  <c r="AR56" i="28"/>
  <c r="AM56" i="28"/>
  <c r="AW56" i="28"/>
  <c r="BB56" i="28"/>
  <c r="AX56" i="28"/>
  <c r="AT56" i="28"/>
  <c r="AQ41" i="28"/>
  <c r="BC41" i="28"/>
  <c r="AX41" i="28"/>
  <c r="AY41" i="28"/>
  <c r="AK41" i="28"/>
  <c r="AM41" i="28"/>
  <c r="AR41" i="28"/>
  <c r="AL41" i="28"/>
  <c r="AW41" i="28"/>
  <c r="AN41" i="28"/>
  <c r="AT41" i="28"/>
  <c r="BA41" i="28"/>
  <c r="AZ41" i="28"/>
  <c r="AV41" i="28"/>
  <c r="BB41" i="28"/>
  <c r="AS41" i="28"/>
  <c r="AH41" i="28"/>
  <c r="A41" i="28" s="1"/>
  <c r="AP41" i="28"/>
  <c r="AI41" i="28"/>
  <c r="AO41" i="28"/>
  <c r="AR104" i="28"/>
  <c r="AP104" i="28"/>
  <c r="AK104" i="28"/>
  <c r="AW104" i="28"/>
  <c r="AZ104" i="28"/>
  <c r="AI104" i="28"/>
  <c r="AM104" i="28"/>
  <c r="AX104" i="28"/>
  <c r="BA104" i="28"/>
  <c r="AH104" i="28"/>
  <c r="BC104" i="28"/>
  <c r="AY104" i="28"/>
  <c r="AO104" i="28"/>
  <c r="AV104" i="28"/>
  <c r="AL104" i="28"/>
  <c r="AN104" i="28"/>
  <c r="AT104" i="28"/>
  <c r="AQ104" i="28"/>
  <c r="AS104" i="28"/>
  <c r="BB104" i="28"/>
  <c r="AI73" i="28"/>
  <c r="AQ73" i="28"/>
  <c r="BA73" i="28"/>
  <c r="AM73" i="28"/>
  <c r="AR73" i="28"/>
  <c r="AL73" i="28"/>
  <c r="AV73" i="28"/>
  <c r="AW73" i="28"/>
  <c r="BB73" i="28"/>
  <c r="AN73" i="28"/>
  <c r="AK73" i="28"/>
  <c r="AS73" i="28"/>
  <c r="BC73" i="28"/>
  <c r="AP73" i="28"/>
  <c r="AO73" i="28"/>
  <c r="AZ73" i="28"/>
  <c r="AT73" i="28"/>
  <c r="AH73" i="28"/>
  <c r="AX73" i="28"/>
  <c r="AY73" i="28"/>
  <c r="AX75" i="28"/>
  <c r="AZ75" i="28"/>
  <c r="AT75" i="28"/>
  <c r="AL75" i="28"/>
  <c r="AO75" i="28"/>
  <c r="AK75" i="28"/>
  <c r="BA75" i="28"/>
  <c r="AQ75" i="28"/>
  <c r="AN75" i="28"/>
  <c r="AP75" i="28"/>
  <c r="AW75" i="28"/>
  <c r="AV75" i="28"/>
  <c r="BC75" i="28"/>
  <c r="AH75" i="28"/>
  <c r="AY75" i="28"/>
  <c r="AR75" i="28"/>
  <c r="BB75" i="28"/>
  <c r="AI75" i="28"/>
  <c r="AM75" i="28"/>
  <c r="AS75" i="28"/>
  <c r="BA40" i="28"/>
  <c r="AH40" i="28"/>
  <c r="A40" i="28" s="1"/>
  <c r="BC40" i="28"/>
  <c r="AX40" i="28"/>
  <c r="AP40" i="28"/>
  <c r="AY40" i="28"/>
  <c r="AW40" i="28"/>
  <c r="AV40" i="28"/>
  <c r="AR40" i="28"/>
  <c r="AO40" i="28"/>
  <c r="BB40" i="28"/>
  <c r="AM40" i="28"/>
  <c r="AK40" i="28"/>
  <c r="AQ40" i="28"/>
  <c r="AS40" i="28"/>
  <c r="AL40" i="28"/>
  <c r="AT40" i="28"/>
  <c r="AN40" i="28"/>
  <c r="AZ40" i="28"/>
  <c r="AI40" i="28"/>
  <c r="AY52" i="28"/>
  <c r="AN52" i="28"/>
  <c r="BC52" i="28"/>
  <c r="BA52" i="28"/>
  <c r="AR52" i="28"/>
  <c r="AV52" i="28"/>
  <c r="AX52" i="28"/>
  <c r="AS52" i="28"/>
  <c r="AQ52" i="28"/>
  <c r="AM52" i="28"/>
  <c r="AZ52" i="28"/>
  <c r="AI52" i="28"/>
  <c r="BB52" i="28"/>
  <c r="AT52" i="28"/>
  <c r="AL52" i="28"/>
  <c r="AW52" i="28"/>
  <c r="AH52" i="28"/>
  <c r="A52" i="28" s="1"/>
  <c r="AP52" i="28"/>
  <c r="AK52" i="28"/>
  <c r="AO52" i="28"/>
  <c r="AY101" i="28"/>
  <c r="AL101" i="28"/>
  <c r="AW101" i="28"/>
  <c r="AI101" i="28"/>
  <c r="BA101" i="28"/>
  <c r="BB101" i="28"/>
  <c r="AH101" i="28"/>
  <c r="AK101" i="28"/>
  <c r="AM101" i="28"/>
  <c r="AQ101" i="28"/>
  <c r="AZ101" i="28"/>
  <c r="AN101" i="28"/>
  <c r="AV101" i="28"/>
  <c r="BC101" i="28"/>
  <c r="AR101" i="28"/>
  <c r="AX101" i="28"/>
  <c r="AT101" i="28"/>
  <c r="AS101" i="28"/>
  <c r="AO101" i="28"/>
  <c r="AP101" i="28"/>
  <c r="AS85" i="28"/>
  <c r="AO85" i="28"/>
  <c r="AM85" i="28"/>
  <c r="AQ85" i="28"/>
  <c r="AK85" i="28"/>
  <c r="AL85" i="28"/>
  <c r="AP85" i="28"/>
  <c r="AR85" i="28"/>
  <c r="BC85" i="28"/>
  <c r="AX85" i="28"/>
  <c r="AW85" i="28"/>
  <c r="AY85" i="28"/>
  <c r="AV85" i="28"/>
  <c r="AN85" i="28"/>
  <c r="AZ85" i="28"/>
  <c r="BA85" i="28"/>
  <c r="AI85" i="28"/>
  <c r="BB85" i="28"/>
  <c r="AH85" i="28"/>
  <c r="AT85" i="28"/>
  <c r="AL32" i="28"/>
  <c r="AH32" i="28"/>
  <c r="A32" i="28" s="1"/>
  <c r="BB32" i="28"/>
  <c r="AN32" i="28"/>
  <c r="AP32" i="28"/>
  <c r="BC32" i="28"/>
  <c r="AS32" i="28"/>
  <c r="AK32" i="28"/>
  <c r="AO32" i="28"/>
  <c r="AM32" i="28"/>
  <c r="AT46" i="28"/>
  <c r="AW46" i="28"/>
  <c r="BB46" i="28"/>
  <c r="AM46" i="28"/>
  <c r="AH46" i="28"/>
  <c r="A46" i="28" s="1"/>
  <c r="AK46" i="28"/>
  <c r="AV46" i="28"/>
  <c r="AS46" i="28"/>
  <c r="AX46" i="28"/>
  <c r="AN46" i="28"/>
  <c r="BC46" i="28"/>
  <c r="BA46" i="28"/>
  <c r="AP46" i="28"/>
  <c r="AI46" i="28"/>
  <c r="AO46" i="28"/>
  <c r="AY46" i="28"/>
  <c r="AL46" i="28"/>
  <c r="AQ46" i="28"/>
  <c r="AZ46" i="28"/>
  <c r="AR46" i="28"/>
  <c r="AS50" i="28"/>
  <c r="BC50" i="28"/>
  <c r="AW50" i="28"/>
  <c r="AM50" i="28"/>
  <c r="AV50" i="28"/>
  <c r="AZ50" i="28"/>
  <c r="AH50" i="28"/>
  <c r="A50" i="28" s="1"/>
  <c r="AN50" i="28"/>
  <c r="BB50" i="28"/>
  <c r="AQ50" i="28"/>
  <c r="AY50" i="28"/>
  <c r="BA50" i="28"/>
  <c r="AP50" i="28"/>
  <c r="AX50" i="28"/>
  <c r="AO50" i="28"/>
  <c r="AT50" i="28"/>
  <c r="AK50" i="28"/>
  <c r="AR50" i="28"/>
  <c r="AI50" i="28"/>
  <c r="AL50" i="28"/>
  <c r="AI49" i="28"/>
  <c r="AV49" i="28"/>
  <c r="AQ49" i="28"/>
  <c r="AP49" i="28"/>
  <c r="AY49" i="28"/>
  <c r="AM49" i="28"/>
  <c r="BA49" i="28"/>
  <c r="AL49" i="28"/>
  <c r="AT49" i="28"/>
  <c r="AS49" i="28"/>
  <c r="AW49" i="28"/>
  <c r="BC49" i="28"/>
  <c r="AZ49" i="28"/>
  <c r="AH49" i="28"/>
  <c r="A49" i="28" s="1"/>
  <c r="AK49" i="28"/>
  <c r="AX49" i="28"/>
  <c r="AO49" i="28"/>
  <c r="AR49" i="28"/>
  <c r="BB49" i="28"/>
  <c r="AN49" i="28"/>
  <c r="AR59" i="28"/>
  <c r="AW59" i="28"/>
  <c r="AL59" i="28"/>
  <c r="AM59" i="28"/>
  <c r="AX59" i="28"/>
  <c r="BA59" i="28"/>
  <c r="AT59" i="28"/>
  <c r="AQ59" i="28"/>
  <c r="AK59" i="28"/>
  <c r="AS59" i="28"/>
  <c r="AI59" i="28"/>
  <c r="AP59" i="28"/>
  <c r="BC59" i="28"/>
  <c r="AO59" i="28"/>
  <c r="AN59" i="28"/>
  <c r="AY59" i="28"/>
  <c r="AH59" i="28"/>
  <c r="A59" i="28" s="1"/>
  <c r="BB59" i="28"/>
  <c r="AV59" i="28"/>
  <c r="AZ59" i="28"/>
  <c r="BB48" i="28"/>
  <c r="AL48" i="28"/>
  <c r="AW48" i="28"/>
  <c r="AS48" i="28"/>
  <c r="AH48" i="28"/>
  <c r="A48" i="28" s="1"/>
  <c r="AP48" i="28"/>
  <c r="AO48" i="28"/>
  <c r="BA48" i="28"/>
  <c r="AM48" i="28"/>
  <c r="AX48" i="28"/>
  <c r="AK48" i="28"/>
  <c r="BC48" i="28"/>
  <c r="AZ48" i="28"/>
  <c r="AQ48" i="28"/>
  <c r="AR48" i="28"/>
  <c r="AI48" i="28"/>
  <c r="AV48" i="28"/>
  <c r="AY48" i="28"/>
  <c r="AN48" i="28"/>
  <c r="AT48" i="28"/>
  <c r="AI35" i="28"/>
  <c r="AZ35" i="28"/>
  <c r="AS35" i="28"/>
  <c r="AV35" i="28"/>
  <c r="AM35" i="28"/>
  <c r="AT35" i="28"/>
  <c r="AH35" i="28"/>
  <c r="A35" i="28" s="1"/>
  <c r="BB35" i="28"/>
  <c r="AL35" i="28"/>
  <c r="AQ35" i="28"/>
  <c r="AN35" i="28"/>
  <c r="AR35" i="28"/>
  <c r="AY35" i="28"/>
  <c r="AO35" i="28"/>
  <c r="AX35" i="28"/>
  <c r="AW35" i="28"/>
  <c r="BA35" i="28"/>
  <c r="AK35" i="28"/>
  <c r="AP35" i="28"/>
  <c r="BC35" i="28"/>
  <c r="AV44" i="28"/>
  <c r="AR44" i="28"/>
  <c r="AQ44" i="28"/>
  <c r="AH44" i="28"/>
  <c r="A44" i="28" s="1"/>
  <c r="AT44" i="28"/>
  <c r="AL44" i="28"/>
  <c r="AZ44" i="28"/>
  <c r="AI44" i="28"/>
  <c r="AW44" i="28"/>
  <c r="AS44" i="28"/>
  <c r="BB44" i="28"/>
  <c r="BC44" i="28"/>
  <c r="AX44" i="28"/>
  <c r="AY44" i="28"/>
  <c r="AM44" i="28"/>
  <c r="BA44" i="28"/>
  <c r="AP44" i="28"/>
  <c r="AK44" i="28"/>
  <c r="AN44" i="28"/>
  <c r="AO44" i="28"/>
  <c r="AK69" i="28"/>
  <c r="AX69" i="28"/>
  <c r="BB69" i="28"/>
  <c r="AW69" i="28"/>
  <c r="AP69" i="28"/>
  <c r="AT69" i="28"/>
  <c r="AS69" i="28"/>
  <c r="AQ69" i="28"/>
  <c r="AR69" i="28"/>
  <c r="AZ69" i="28"/>
  <c r="AV69" i="28"/>
  <c r="AN69" i="28"/>
  <c r="AO69" i="28"/>
  <c r="AH69" i="28"/>
  <c r="AI69" i="28"/>
  <c r="BC69" i="28"/>
  <c r="AM69" i="28"/>
  <c r="AY69" i="28"/>
  <c r="AL69" i="28"/>
  <c r="BA69" i="28"/>
  <c r="AO38" i="28"/>
  <c r="AK38" i="28"/>
  <c r="AM38" i="28"/>
  <c r="AN38" i="28"/>
  <c r="AS38" i="28"/>
  <c r="AH38" i="28"/>
  <c r="A38" i="28" s="1"/>
  <c r="AP38" i="28"/>
  <c r="AL38" i="28"/>
  <c r="AN72" i="28"/>
  <c r="AP72" i="28"/>
  <c r="BB72" i="28"/>
  <c r="BA72" i="28"/>
  <c r="AW72" i="28"/>
  <c r="BC72" i="28"/>
  <c r="AS72" i="28"/>
  <c r="AR72" i="28"/>
  <c r="AH72" i="28"/>
  <c r="AY72" i="28"/>
  <c r="AM72" i="28"/>
  <c r="AK72" i="28"/>
  <c r="AV72" i="28"/>
  <c r="AL72" i="28"/>
  <c r="AT72" i="28"/>
  <c r="AX72" i="28"/>
  <c r="AZ72" i="28"/>
  <c r="AQ72" i="28"/>
  <c r="AO72" i="28"/>
  <c r="AI72" i="28"/>
  <c r="AI77" i="28"/>
  <c r="AO77" i="28"/>
  <c r="AN77" i="28"/>
  <c r="AL77" i="28"/>
  <c r="AS77" i="28"/>
  <c r="AQ77" i="28"/>
  <c r="AZ77" i="28"/>
  <c r="AP77" i="28"/>
  <c r="AV77" i="28"/>
  <c r="BB77" i="28"/>
  <c r="BA77" i="28"/>
  <c r="AX77" i="28"/>
  <c r="AM77" i="28"/>
  <c r="BC77" i="28"/>
  <c r="AR77" i="28"/>
  <c r="AH77" i="28"/>
  <c r="AW77" i="28"/>
  <c r="AT77" i="28"/>
  <c r="AY77" i="28"/>
  <c r="AK77" i="28"/>
  <c r="AQ78" i="28"/>
  <c r="BB78" i="28"/>
  <c r="AN78" i="28"/>
  <c r="AI78" i="28"/>
  <c r="AM78" i="28"/>
  <c r="AO78" i="28"/>
  <c r="AK78" i="28"/>
  <c r="AX78" i="28"/>
  <c r="AR78" i="28"/>
  <c r="AL78" i="28"/>
  <c r="AV78" i="28"/>
  <c r="BC78" i="28"/>
  <c r="AY78" i="28"/>
  <c r="AT78" i="28"/>
  <c r="AP78" i="28"/>
  <c r="AW78" i="28"/>
  <c r="BA78" i="28"/>
  <c r="AS78" i="28"/>
  <c r="AH78" i="28"/>
  <c r="AZ78" i="28"/>
  <c r="AM80" i="28"/>
  <c r="BB80" i="28"/>
  <c r="AH80" i="28"/>
  <c r="BC80" i="28"/>
  <c r="AN80" i="28"/>
  <c r="AP80" i="28"/>
  <c r="AO80" i="28"/>
  <c r="AL80" i="28"/>
  <c r="AV80" i="28"/>
  <c r="AQ80" i="28"/>
  <c r="AT80" i="28"/>
  <c r="AK80" i="28"/>
  <c r="AX80" i="28"/>
  <c r="AI80" i="28"/>
  <c r="BA80" i="28"/>
  <c r="AY80" i="28"/>
  <c r="AW80" i="28"/>
  <c r="AZ80" i="28"/>
  <c r="AS80" i="28"/>
  <c r="AR80" i="28"/>
  <c r="AP61" i="28"/>
  <c r="BA61" i="28"/>
  <c r="AL61" i="28"/>
  <c r="AW61" i="28"/>
  <c r="AQ61" i="28"/>
  <c r="AH61" i="28"/>
  <c r="A61" i="28" s="1"/>
  <c r="AZ61" i="28"/>
  <c r="AY61" i="28"/>
  <c r="AO61" i="28"/>
  <c r="BB61" i="28"/>
  <c r="AI61" i="28"/>
  <c r="AX61" i="28"/>
  <c r="BC61" i="28"/>
  <c r="AT61" i="28"/>
  <c r="AV61" i="28"/>
  <c r="AN61" i="28"/>
  <c r="AS61" i="28"/>
  <c r="AM61" i="28"/>
  <c r="AR61" i="28"/>
  <c r="AK61" i="28"/>
  <c r="AM68" i="28"/>
  <c r="AY68" i="28"/>
  <c r="AZ68" i="28"/>
  <c r="AT68" i="28"/>
  <c r="BB68" i="28"/>
  <c r="AR68" i="28"/>
  <c r="AK68" i="28"/>
  <c r="AQ68" i="28"/>
  <c r="AW68" i="28"/>
  <c r="AL68" i="28"/>
  <c r="AV68" i="28"/>
  <c r="AX68" i="28"/>
  <c r="AS68" i="28"/>
  <c r="AI68" i="28"/>
  <c r="AN68" i="28"/>
  <c r="AH68" i="28"/>
  <c r="AP68" i="28"/>
  <c r="AO68" i="28"/>
  <c r="BA68" i="28"/>
  <c r="BC68" i="28"/>
  <c r="AV42" i="28"/>
  <c r="AI42" i="28"/>
  <c r="AZ42" i="28"/>
  <c r="AH42" i="28"/>
  <c r="A42" i="28" s="1"/>
  <c r="AN42" i="28"/>
  <c r="AW42" i="28"/>
  <c r="AS42" i="28"/>
  <c r="AO42" i="28"/>
  <c r="AL42" i="28"/>
  <c r="AX42" i="28"/>
  <c r="AQ42" i="28"/>
  <c r="AT42" i="28"/>
  <c r="BA42" i="28"/>
  <c r="AR42" i="28"/>
  <c r="AK42" i="28"/>
  <c r="AM42" i="28"/>
  <c r="AY42" i="28"/>
  <c r="AP42" i="28"/>
  <c r="BC42" i="28"/>
  <c r="BB42" i="28"/>
  <c r="BA39" i="28"/>
  <c r="BB39" i="28"/>
  <c r="AI39" i="28"/>
  <c r="AZ39" i="28"/>
  <c r="AM39" i="28"/>
  <c r="BC39" i="28"/>
  <c r="AL39" i="28"/>
  <c r="AR39" i="28"/>
  <c r="AX39" i="28"/>
  <c r="AV39" i="28"/>
  <c r="AO39" i="28"/>
  <c r="AH39" i="28"/>
  <c r="A39" i="28" s="1"/>
  <c r="AT39" i="28"/>
  <c r="AP39" i="28"/>
  <c r="AY39" i="28"/>
  <c r="AK39" i="28"/>
  <c r="AQ39" i="28"/>
  <c r="AW39" i="28"/>
  <c r="AS39" i="28"/>
  <c r="AN39" i="28"/>
  <c r="BC65" i="28"/>
  <c r="AN65" i="28"/>
  <c r="AZ65" i="28"/>
  <c r="AV65" i="28"/>
  <c r="AK65" i="28"/>
  <c r="AT65" i="28"/>
  <c r="AS65" i="28"/>
  <c r="AX65" i="28"/>
  <c r="AO65" i="28"/>
  <c r="BA65" i="28"/>
  <c r="AM65" i="28"/>
  <c r="AY65" i="28"/>
  <c r="AL65" i="28"/>
  <c r="AW65" i="28"/>
  <c r="AH65" i="28"/>
  <c r="A65" i="28" s="1"/>
  <c r="AI65" i="28"/>
  <c r="AP65" i="28"/>
  <c r="AQ65" i="28"/>
  <c r="AR65" i="28"/>
  <c r="BB65" i="28"/>
  <c r="AH63" i="28"/>
  <c r="A63" i="28" s="1"/>
  <c r="BB63" i="28"/>
  <c r="AP63" i="28"/>
  <c r="AQ63" i="28"/>
  <c r="AR63" i="28"/>
  <c r="AI63" i="28"/>
  <c r="AL63" i="28"/>
  <c r="BC63" i="28"/>
  <c r="AN63" i="28"/>
  <c r="AM63" i="28"/>
  <c r="AZ63" i="28"/>
  <c r="AW63" i="28"/>
  <c r="AX63" i="28"/>
  <c r="AV63" i="28"/>
  <c r="AT63" i="28"/>
  <c r="AK63" i="28"/>
  <c r="AO63" i="28"/>
  <c r="BA63" i="28"/>
  <c r="AS63" i="28"/>
  <c r="AY63" i="28"/>
  <c r="AT113" i="28"/>
  <c r="AM113" i="28"/>
  <c r="AR113" i="28"/>
  <c r="AW113" i="28"/>
  <c r="AI113" i="28"/>
  <c r="AS113" i="28"/>
  <c r="AK113" i="28"/>
  <c r="BC113" i="28"/>
  <c r="AL113" i="28"/>
  <c r="AN113" i="28"/>
  <c r="AO113" i="28"/>
  <c r="AY113" i="28"/>
  <c r="AH113" i="28"/>
  <c r="BB113" i="28"/>
  <c r="AZ113" i="28"/>
  <c r="BA113" i="28"/>
  <c r="AV113" i="28"/>
  <c r="AX113" i="28"/>
  <c r="AP113" i="28"/>
  <c r="AQ113" i="28"/>
  <c r="AV95" i="28"/>
  <c r="AR95" i="28"/>
  <c r="AL95" i="28"/>
  <c r="BB95" i="28"/>
  <c r="BA95" i="28"/>
  <c r="AY95" i="28"/>
  <c r="AT95" i="28"/>
  <c r="AK95" i="28"/>
  <c r="AP95" i="28"/>
  <c r="AO95" i="28"/>
  <c r="AS95" i="28"/>
  <c r="AH95" i="28"/>
  <c r="AZ95" i="28"/>
  <c r="BC95" i="28"/>
  <c r="AI95" i="28"/>
  <c r="AQ95" i="28"/>
  <c r="AM95" i="28"/>
  <c r="AN95" i="28"/>
  <c r="AX95" i="28"/>
  <c r="AW95" i="28"/>
  <c r="AM92" i="28"/>
  <c r="BC92" i="28"/>
  <c r="AY92" i="28"/>
  <c r="AT92" i="28"/>
  <c r="AH92" i="28"/>
  <c r="AI92" i="28"/>
  <c r="AZ92" i="28"/>
  <c r="AN92" i="28"/>
  <c r="AW92" i="28"/>
  <c r="AX92" i="28"/>
  <c r="AQ92" i="28"/>
  <c r="BA92" i="28"/>
  <c r="AR92" i="28"/>
  <c r="AP92" i="28"/>
  <c r="AL92" i="28"/>
  <c r="AO92" i="28"/>
  <c r="BB92" i="28"/>
  <c r="AS92" i="28"/>
  <c r="AV92" i="28"/>
  <c r="AK92" i="28"/>
  <c r="AM103" i="28"/>
  <c r="AV103" i="28"/>
  <c r="AZ103" i="28"/>
  <c r="AL103" i="28"/>
  <c r="AQ103" i="28"/>
  <c r="AX103" i="28"/>
  <c r="BA103" i="28"/>
  <c r="AW103" i="28"/>
  <c r="AR103" i="28"/>
  <c r="AN103" i="28"/>
  <c r="AK103" i="28"/>
  <c r="AI103" i="28"/>
  <c r="BB103" i="28"/>
  <c r="AS103" i="28"/>
  <c r="BC103" i="28"/>
  <c r="AT103" i="28"/>
  <c r="AY103" i="28"/>
  <c r="AO103" i="28"/>
  <c r="AH103" i="28"/>
  <c r="AP103" i="28"/>
  <c r="AK114" i="28"/>
  <c r="AY114" i="28"/>
  <c r="AI114" i="28"/>
  <c r="AM114" i="28"/>
  <c r="AT114" i="28"/>
  <c r="AL114" i="28"/>
  <c r="AZ114" i="28"/>
  <c r="AS114" i="28"/>
  <c r="AR114" i="28"/>
  <c r="AP114" i="28"/>
  <c r="AO114" i="28"/>
  <c r="AH114" i="28"/>
  <c r="AV114" i="28"/>
  <c r="AX114" i="28"/>
  <c r="BB114" i="28"/>
  <c r="AW114" i="28"/>
  <c r="AN114" i="28"/>
  <c r="BA114" i="28"/>
  <c r="AQ114" i="28"/>
  <c r="BC114" i="28"/>
  <c r="AV54" i="28"/>
  <c r="BA54" i="28"/>
  <c r="AL54" i="28"/>
  <c r="AX54" i="28"/>
  <c r="AH54" i="28"/>
  <c r="A54" i="28" s="1"/>
  <c r="BB54" i="28"/>
  <c r="BC54" i="28"/>
  <c r="AI54" i="28"/>
  <c r="AM54" i="28"/>
  <c r="AK54" i="28"/>
  <c r="AW54" i="28"/>
  <c r="AY54" i="28"/>
  <c r="AO54" i="28"/>
  <c r="AS54" i="28"/>
  <c r="AR54" i="28"/>
  <c r="AQ54" i="28"/>
  <c r="AN54" i="28"/>
  <c r="AT54" i="28"/>
  <c r="AZ54" i="28"/>
  <c r="AP54" i="28"/>
  <c r="AH110" i="28"/>
  <c r="BC110" i="28"/>
  <c r="AV110" i="28"/>
  <c r="AI110" i="28"/>
  <c r="AX110" i="28"/>
  <c r="AQ110" i="28"/>
  <c r="AM110" i="28"/>
  <c r="AT110" i="28"/>
  <c r="AS110" i="28"/>
  <c r="AZ110" i="28"/>
  <c r="AO110" i="28"/>
  <c r="AL110" i="28"/>
  <c r="AK110" i="28"/>
  <c r="AR110" i="28"/>
  <c r="AN110" i="28"/>
  <c r="BB110" i="28"/>
  <c r="AY110" i="28"/>
  <c r="BA110" i="28"/>
  <c r="AP110" i="28"/>
  <c r="AW110" i="28"/>
  <c r="AX93" i="28"/>
  <c r="AT93" i="28"/>
  <c r="AW93" i="28"/>
  <c r="AO93" i="28"/>
  <c r="BA93" i="28"/>
  <c r="BB93" i="28"/>
  <c r="AZ93" i="28"/>
  <c r="AS93" i="28"/>
  <c r="BC93" i="28"/>
  <c r="AN93" i="28"/>
  <c r="AI93" i="28"/>
  <c r="AH93" i="28"/>
  <c r="AQ93" i="28"/>
  <c r="AY93" i="28"/>
  <c r="AK93" i="28"/>
  <c r="AP93" i="28"/>
  <c r="AM93" i="28"/>
  <c r="AR93" i="28"/>
  <c r="AL93" i="28"/>
  <c r="AV93" i="28"/>
  <c r="AW71" i="28"/>
  <c r="AH71" i="28"/>
  <c r="AO71" i="28"/>
  <c r="AR71" i="28"/>
  <c r="AZ71" i="28"/>
  <c r="AX71" i="28"/>
  <c r="AM71" i="28"/>
  <c r="AV71" i="28"/>
  <c r="AY71" i="28"/>
  <c r="AK71" i="28"/>
  <c r="AL71" i="28"/>
  <c r="AS71" i="28"/>
  <c r="AN71" i="28"/>
  <c r="BA71" i="28"/>
  <c r="AQ71" i="28"/>
  <c r="AI71" i="28"/>
  <c r="AP71" i="28"/>
  <c r="BC71" i="28"/>
  <c r="BB71" i="28"/>
  <c r="AT71" i="28"/>
  <c r="AZ109" i="28"/>
  <c r="AI109" i="28"/>
  <c r="AL109" i="28"/>
  <c r="AM109" i="28"/>
  <c r="AN109" i="28"/>
  <c r="AK109" i="28"/>
  <c r="AH109" i="28"/>
  <c r="AP109" i="28"/>
  <c r="BB109" i="28"/>
  <c r="AR109" i="28"/>
  <c r="AV109" i="28"/>
  <c r="BC109" i="28"/>
  <c r="AW109" i="28"/>
  <c r="AO109" i="28"/>
  <c r="AY109" i="28"/>
  <c r="AQ109" i="28"/>
  <c r="AX109" i="28"/>
  <c r="BA109" i="28"/>
  <c r="AT109" i="28"/>
  <c r="AS109" i="28"/>
  <c r="AZ86" i="28"/>
  <c r="AX86" i="28"/>
  <c r="AI86" i="28"/>
  <c r="AL86" i="28"/>
  <c r="AH86" i="28"/>
  <c r="BC86" i="28"/>
  <c r="AQ86" i="28"/>
  <c r="AK86" i="28"/>
  <c r="AS86" i="28"/>
  <c r="BB86" i="28"/>
  <c r="AT86" i="28"/>
  <c r="AR86" i="28"/>
  <c r="AM86" i="28"/>
  <c r="AW86" i="28"/>
  <c r="AY86" i="28"/>
  <c r="AP86" i="28"/>
  <c r="AV86" i="28"/>
  <c r="AN86" i="28"/>
  <c r="AO86" i="28"/>
  <c r="BA86" i="28"/>
  <c r="AP60" i="28"/>
  <c r="AI60" i="28"/>
  <c r="BC60" i="28"/>
  <c r="BA60" i="28"/>
  <c r="AZ60" i="28"/>
  <c r="AR60" i="28"/>
  <c r="AX60" i="28"/>
  <c r="AH60" i="28"/>
  <c r="A60" i="28" s="1"/>
  <c r="AO60" i="28"/>
  <c r="AQ60" i="28"/>
  <c r="AS60" i="28"/>
  <c r="AT60" i="28"/>
  <c r="AY60" i="28"/>
  <c r="AN60" i="28"/>
  <c r="AM60" i="28"/>
  <c r="AV60" i="28"/>
  <c r="BB60" i="28"/>
  <c r="AW60" i="28"/>
  <c r="AK60" i="28"/>
  <c r="AL60" i="28"/>
  <c r="AR107" i="28"/>
  <c r="AT107" i="28"/>
  <c r="AS107" i="28"/>
  <c r="BA107" i="28"/>
  <c r="AN107" i="28"/>
  <c r="AP107" i="28"/>
  <c r="AL107" i="28"/>
  <c r="AH107" i="28"/>
  <c r="AY107" i="28"/>
  <c r="AO107" i="28"/>
  <c r="BC107" i="28"/>
  <c r="AK107" i="28"/>
  <c r="AZ107" i="28"/>
  <c r="AW107" i="28"/>
  <c r="AQ107" i="28"/>
  <c r="AM107" i="28"/>
  <c r="AX107" i="28"/>
  <c r="AV107" i="28"/>
  <c r="AI107" i="28"/>
  <c r="BB107" i="28"/>
  <c r="AY66" i="28"/>
  <c r="AW66" i="28"/>
  <c r="AX66" i="28"/>
  <c r="AK66" i="28"/>
  <c r="BC66" i="28"/>
  <c r="AL66" i="28"/>
  <c r="AS66" i="28"/>
  <c r="AN66" i="28"/>
  <c r="BB66" i="28"/>
  <c r="BA66" i="28"/>
  <c r="AI66" i="28"/>
  <c r="AO66" i="28"/>
  <c r="AP66" i="28"/>
  <c r="AR66" i="28"/>
  <c r="AQ66" i="28"/>
  <c r="AZ66" i="28"/>
  <c r="AM66" i="28"/>
  <c r="AH66" i="28"/>
  <c r="AV66" i="28"/>
  <c r="AT66" i="28"/>
  <c r="AL36" i="28"/>
  <c r="AH36" i="28"/>
  <c r="A36" i="28" s="1"/>
  <c r="AS36" i="28"/>
  <c r="AP36" i="28"/>
  <c r="AK36" i="28"/>
  <c r="AM36" i="28"/>
  <c r="AO36" i="28"/>
  <c r="AN36" i="28"/>
  <c r="AO55" i="28"/>
  <c r="AZ55" i="28"/>
  <c r="AR55" i="28"/>
  <c r="AV55" i="28"/>
  <c r="AX55" i="28"/>
  <c r="AN55" i="28"/>
  <c r="BC55" i="28"/>
  <c r="AY55" i="28"/>
  <c r="BB55" i="28"/>
  <c r="AP55" i="28"/>
  <c r="AM55" i="28"/>
  <c r="AT55" i="28"/>
  <c r="AQ55" i="28"/>
  <c r="BA55" i="28"/>
  <c r="AK55" i="28"/>
  <c r="AH55" i="28"/>
  <c r="A55" i="28" s="1"/>
  <c r="AI55" i="28"/>
  <c r="AL55" i="28"/>
  <c r="AW55" i="28"/>
  <c r="AS55" i="28"/>
  <c r="BR117" i="28"/>
  <c r="H130" i="28"/>
  <c r="BR130" i="28" s="1"/>
  <c r="AY91" i="28"/>
  <c r="AH91" i="28"/>
  <c r="AS91" i="28"/>
  <c r="AN91" i="28"/>
  <c r="AK91" i="28"/>
  <c r="AV91" i="28"/>
  <c r="AM91" i="28"/>
  <c r="AT91" i="28"/>
  <c r="AI91" i="28"/>
  <c r="AX91" i="28"/>
  <c r="AQ91" i="28"/>
  <c r="BA91" i="28"/>
  <c r="AR91" i="28"/>
  <c r="BB91" i="28"/>
  <c r="AP91" i="28"/>
  <c r="AW91" i="28"/>
  <c r="AL91" i="28"/>
  <c r="BC91" i="28"/>
  <c r="AZ91" i="28"/>
  <c r="AO91" i="28"/>
  <c r="AM83" i="28"/>
  <c r="AQ83" i="28"/>
  <c r="AS83" i="28"/>
  <c r="AV83" i="28"/>
  <c r="AP83" i="28"/>
  <c r="AY83" i="28"/>
  <c r="AH83" i="28"/>
  <c r="BA83" i="28"/>
  <c r="AN83" i="28"/>
  <c r="AO83" i="28"/>
  <c r="BC83" i="28"/>
  <c r="AZ83" i="28"/>
  <c r="AW83" i="28"/>
  <c r="AX83" i="28"/>
  <c r="AL83" i="28"/>
  <c r="AK83" i="28"/>
  <c r="AI83" i="28"/>
  <c r="AR83" i="28"/>
  <c r="BB83" i="28"/>
  <c r="AT83" i="28"/>
  <c r="AS98" i="28"/>
  <c r="AX98" i="28"/>
  <c r="AK98" i="28"/>
  <c r="BB98" i="28"/>
  <c r="AO98" i="28"/>
  <c r="AQ98" i="28"/>
  <c r="AM98" i="28"/>
  <c r="AP98" i="28"/>
  <c r="AZ98" i="28"/>
  <c r="AN98" i="28"/>
  <c r="AW98" i="28"/>
  <c r="BC98" i="28"/>
  <c r="AH98" i="28"/>
  <c r="AV98" i="28"/>
  <c r="AL98" i="28"/>
  <c r="BA98" i="28"/>
  <c r="AT98" i="28"/>
  <c r="AY98" i="28"/>
  <c r="AI98" i="28"/>
  <c r="AR98" i="28"/>
  <c r="AZ87" i="28"/>
  <c r="AM87" i="28"/>
  <c r="AQ87" i="28"/>
  <c r="BA87" i="28"/>
  <c r="AI87" i="28"/>
  <c r="BC87" i="28"/>
  <c r="BB87" i="28"/>
  <c r="AS87" i="28"/>
  <c r="AV87" i="28"/>
  <c r="AX87" i="28"/>
  <c r="AY87" i="28"/>
  <c r="AW87" i="28"/>
  <c r="AT87" i="28"/>
  <c r="AP87" i="28"/>
  <c r="AO87" i="28"/>
  <c r="AL87" i="28"/>
  <c r="AN87" i="28"/>
  <c r="AR87" i="28"/>
  <c r="AH87" i="28"/>
  <c r="AK87" i="28"/>
  <c r="AY57" i="28"/>
  <c r="AS57" i="28"/>
  <c r="AT57" i="28"/>
  <c r="AX57" i="28"/>
  <c r="AR57" i="28"/>
  <c r="AQ57" i="28"/>
  <c r="AM57" i="28"/>
  <c r="AZ57" i="28"/>
  <c r="AO57" i="28"/>
  <c r="BC57" i="28"/>
  <c r="AN57" i="28"/>
  <c r="AH57" i="28"/>
  <c r="A57" i="28" s="1"/>
  <c r="BA57" i="28"/>
  <c r="AI57" i="28"/>
  <c r="AL57" i="28"/>
  <c r="BB57" i="28"/>
  <c r="AP57" i="28"/>
  <c r="AK57" i="28"/>
  <c r="AV57" i="28"/>
  <c r="AW57" i="28"/>
  <c r="AM84" i="28"/>
  <c r="AR84" i="28"/>
  <c r="AN84" i="28"/>
  <c r="BB84" i="28"/>
  <c r="AO84" i="28"/>
  <c r="AX84" i="28"/>
  <c r="AS84" i="28"/>
  <c r="AV84" i="28"/>
  <c r="AW84" i="28"/>
  <c r="AP84" i="28"/>
  <c r="BC84" i="28"/>
  <c r="AY84" i="28"/>
  <c r="AT84" i="28"/>
  <c r="AL84" i="28"/>
  <c r="AQ84" i="28"/>
  <c r="AI84" i="28"/>
  <c r="BA84" i="28"/>
  <c r="AK84" i="28"/>
  <c r="AZ84" i="28"/>
  <c r="AH84" i="28"/>
  <c r="AP37" i="28"/>
  <c r="AV37" i="28"/>
  <c r="AT37" i="28"/>
  <c r="AW37" i="28"/>
  <c r="BC37" i="28"/>
  <c r="AM37" i="28"/>
  <c r="AI37" i="28"/>
  <c r="AS37" i="28"/>
  <c r="BA37" i="28"/>
  <c r="AH37" i="28"/>
  <c r="A37" i="28" s="1"/>
  <c r="AK37" i="28"/>
  <c r="BB37" i="28"/>
  <c r="AZ37" i="28"/>
  <c r="AO37" i="28"/>
  <c r="AN37" i="28"/>
  <c r="AL37" i="28"/>
  <c r="AR37" i="28"/>
  <c r="AQ37" i="28"/>
  <c r="AX37" i="28"/>
  <c r="AY37" i="28"/>
  <c r="AQ79" i="28"/>
  <c r="AY79" i="28"/>
  <c r="AM79" i="28"/>
  <c r="AO79" i="28"/>
  <c r="AK79" i="28"/>
  <c r="AR79" i="28"/>
  <c r="AH79" i="28"/>
  <c r="AT79" i="28"/>
  <c r="AN79" i="28"/>
  <c r="AV79" i="28"/>
  <c r="AI79" i="28"/>
  <c r="AS79" i="28"/>
  <c r="AZ79" i="28"/>
  <c r="AL79" i="28"/>
  <c r="AP79" i="28"/>
  <c r="AW79" i="28"/>
  <c r="BB79" i="28"/>
  <c r="AX79" i="28"/>
  <c r="BC79" i="28"/>
  <c r="BA79" i="28"/>
  <c r="AW47" i="28"/>
  <c r="AT47" i="28"/>
  <c r="BA47" i="28"/>
  <c r="AV47" i="28"/>
  <c r="AQ47" i="28"/>
  <c r="AR47" i="28"/>
  <c r="AI47" i="28"/>
  <c r="AX47" i="28"/>
  <c r="BB47" i="28"/>
  <c r="AK47" i="28"/>
  <c r="AL47" i="28"/>
  <c r="AS47" i="28"/>
  <c r="BC47" i="28"/>
  <c r="AM47" i="28"/>
  <c r="AN47" i="28"/>
  <c r="AO47" i="28"/>
  <c r="AZ47" i="28"/>
  <c r="AY47" i="28"/>
  <c r="AP47" i="28"/>
  <c r="AH47" i="28"/>
  <c r="A47" i="28" s="1"/>
  <c r="AK45" i="28"/>
  <c r="AN45" i="28"/>
  <c r="AP45" i="28"/>
  <c r="AZ45" i="28"/>
  <c r="AT45" i="28"/>
  <c r="AI45" i="28"/>
  <c r="BC45" i="28"/>
  <c r="AW45" i="28"/>
  <c r="AR45" i="28"/>
  <c r="AV45" i="28"/>
  <c r="BB45" i="28"/>
  <c r="AO45" i="28"/>
  <c r="AM45" i="28"/>
  <c r="BA45" i="28"/>
  <c r="AH45" i="28"/>
  <c r="A45" i="28" s="1"/>
  <c r="AY45" i="28"/>
  <c r="AX45" i="28"/>
  <c r="AL45" i="28"/>
  <c r="AS45" i="28"/>
  <c r="AQ45" i="28"/>
  <c r="A72" i="28" l="1"/>
  <c r="CU72" i="28" s="1"/>
  <c r="A81" i="28"/>
  <c r="CU81" i="28" s="1"/>
  <c r="A112" i="28"/>
  <c r="CU112" i="28" s="1"/>
  <c r="A82" i="28"/>
  <c r="CU82" i="28" s="1"/>
  <c r="A102" i="28"/>
  <c r="CU102" i="28" s="1"/>
  <c r="A74" i="28"/>
  <c r="CU74" i="28" s="1"/>
  <c r="A83" i="28"/>
  <c r="CU83" i="28" s="1"/>
  <c r="A110" i="28"/>
  <c r="CU110" i="28" s="1"/>
  <c r="A91" i="28"/>
  <c r="CU91" i="28" s="1"/>
  <c r="A107" i="28"/>
  <c r="CU107" i="28" s="1"/>
  <c r="A93" i="28"/>
  <c r="CU93" i="28" s="1"/>
  <c r="A95" i="28"/>
  <c r="CU95" i="28" s="1"/>
  <c r="A75" i="28"/>
  <c r="CU75" i="28" s="1"/>
  <c r="A73" i="28"/>
  <c r="CU73" i="28" s="1"/>
  <c r="A89" i="28"/>
  <c r="CU89" i="28" s="1"/>
  <c r="A76" i="28"/>
  <c r="CU76" i="28" s="1"/>
  <c r="A94" i="28"/>
  <c r="CU94" i="28" s="1"/>
  <c r="A105" i="28"/>
  <c r="CU105" i="28" s="1"/>
  <c r="A97" i="28"/>
  <c r="CU97" i="28" s="1"/>
  <c r="A100" i="28"/>
  <c r="CU100" i="28" s="1"/>
  <c r="A80" i="28"/>
  <c r="CU80" i="28" s="1"/>
  <c r="A84" i="28"/>
  <c r="CU84" i="28" s="1"/>
  <c r="A66" i="28"/>
  <c r="CU66" i="28" s="1"/>
  <c r="A87" i="28"/>
  <c r="CU87" i="28" s="1"/>
  <c r="A86" i="28"/>
  <c r="CU86" i="28" s="1"/>
  <c r="A92" i="28"/>
  <c r="CU92" i="28" s="1"/>
  <c r="A113" i="28"/>
  <c r="CU113" i="28" s="1"/>
  <c r="A85" i="28"/>
  <c r="CU85" i="28" s="1"/>
  <c r="A101" i="28"/>
  <c r="CU101" i="28" s="1"/>
  <c r="A79" i="28"/>
  <c r="CU79" i="28" s="1"/>
  <c r="A114" i="28"/>
  <c r="CU114" i="28" s="1"/>
  <c r="A68" i="28"/>
  <c r="CU68" i="28" s="1"/>
  <c r="A77" i="28"/>
  <c r="CU77" i="28" s="1"/>
  <c r="A104" i="28"/>
  <c r="CU104" i="28" s="1"/>
  <c r="A108" i="28"/>
  <c r="CU108" i="28" s="1"/>
  <c r="A98" i="28"/>
  <c r="CU98" i="28" s="1"/>
  <c r="A109" i="28"/>
  <c r="CU109" i="28" s="1"/>
  <c r="A78" i="28"/>
  <c r="CU78" i="28" s="1"/>
  <c r="A67" i="28"/>
  <c r="CU67" i="28" s="1"/>
  <c r="A90" i="28"/>
  <c r="CU90" i="28" s="1"/>
  <c r="A106" i="28"/>
  <c r="CU106" i="28" s="1"/>
  <c r="A103" i="28"/>
  <c r="CU103" i="28" s="1"/>
  <c r="A71" i="28"/>
  <c r="CU71" i="28" s="1"/>
  <c r="A69" i="28"/>
  <c r="CU69" i="28" s="1"/>
  <c r="A88" i="28"/>
  <c r="CU88" i="28" s="1"/>
  <c r="A99" i="28"/>
  <c r="CU99" i="28" s="1"/>
  <c r="A111" i="28"/>
  <c r="CU111" i="28" s="1"/>
  <c r="A70" i="28"/>
  <c r="CU70" i="28" s="1"/>
  <c r="A96" i="28"/>
  <c r="CU96" i="28" s="1"/>
  <c r="BA36" i="28"/>
  <c r="BB36" i="28"/>
  <c r="AI31" i="28"/>
  <c r="M6" i="16"/>
  <c r="L6" i="16" s="1"/>
  <c r="M19" i="2" s="1"/>
  <c r="A31" i="28" s="1"/>
  <c r="AI32" i="28"/>
  <c r="BA32" i="28"/>
  <c r="BA34" i="28"/>
  <c r="F130" i="28"/>
  <c r="BP130" i="28" s="1"/>
  <c r="BP117" i="28"/>
  <c r="BC36" i="28"/>
  <c r="BA38" i="28"/>
  <c r="BB38" i="28"/>
  <c r="BC38" i="28"/>
  <c r="AI38" i="28"/>
  <c r="CR29" i="28"/>
  <c r="CS29" i="28"/>
  <c r="CT29" i="28" s="1"/>
  <c r="AI36" i="28"/>
  <c r="BC31" i="28"/>
  <c r="GM47" i="2" l="1"/>
  <c r="GM59" i="2"/>
  <c r="GM73" i="2"/>
  <c r="GM83" i="2"/>
  <c r="GM89" i="2"/>
  <c r="GM99" i="2"/>
  <c r="GM107" i="2"/>
  <c r="GM32" i="2"/>
  <c r="GM34" i="2"/>
  <c r="GM36" i="2"/>
  <c r="GM38" i="2"/>
  <c r="GM40" i="2"/>
  <c r="GM42" i="2"/>
  <c r="GM44" i="2"/>
  <c r="GM46" i="2"/>
  <c r="GM48" i="2"/>
  <c r="GM50" i="2"/>
  <c r="GM52" i="2"/>
  <c r="GM54" i="2"/>
  <c r="GM56" i="2"/>
  <c r="GM58" i="2"/>
  <c r="GM60" i="2"/>
  <c r="GM62" i="2"/>
  <c r="GM64" i="2"/>
  <c r="GM66" i="2"/>
  <c r="GM68" i="2"/>
  <c r="GM70" i="2"/>
  <c r="GM72" i="2"/>
  <c r="GM74" i="2"/>
  <c r="GM76" i="2"/>
  <c r="GM78" i="2"/>
  <c r="GM80" i="2"/>
  <c r="GM82" i="2"/>
  <c r="GM84" i="2"/>
  <c r="GM86" i="2"/>
  <c r="GM88" i="2"/>
  <c r="GM90" i="2"/>
  <c r="GM92" i="2"/>
  <c r="GM94" i="2"/>
  <c r="GM96" i="2"/>
  <c r="GM98" i="2"/>
  <c r="GM100" i="2"/>
  <c r="GM102" i="2"/>
  <c r="GM104" i="2"/>
  <c r="GM106" i="2"/>
  <c r="GM108" i="2"/>
  <c r="GM110" i="2"/>
  <c r="GM112" i="2"/>
  <c r="GM114" i="2"/>
  <c r="GM31" i="2"/>
  <c r="GM35" i="2"/>
  <c r="GM37" i="2"/>
  <c r="GM39" i="2"/>
  <c r="GM41" i="2"/>
  <c r="GM43" i="2"/>
  <c r="GM49" i="2"/>
  <c r="GM53" i="2"/>
  <c r="GM57" i="2"/>
  <c r="GM65" i="2"/>
  <c r="GM69" i="2"/>
  <c r="GM77" i="2"/>
  <c r="GM85" i="2"/>
  <c r="GM97" i="2"/>
  <c r="GM103" i="2"/>
  <c r="GM111" i="2"/>
  <c r="GM67" i="2"/>
  <c r="GM95" i="2"/>
  <c r="GM109" i="2"/>
  <c r="GM33" i="2"/>
  <c r="GM51" i="2"/>
  <c r="GM55" i="2"/>
  <c r="GM63" i="2"/>
  <c r="GM75" i="2"/>
  <c r="GM79" i="2"/>
  <c r="GM87" i="2"/>
  <c r="GM93" i="2"/>
  <c r="GM101" i="2"/>
  <c r="GM113" i="2"/>
  <c r="GM45" i="2"/>
  <c r="GM61" i="2"/>
  <c r="GM71" i="2"/>
  <c r="GM81" i="2"/>
  <c r="GM91" i="2"/>
  <c r="GM105" i="2"/>
  <c r="GM510" i="2"/>
  <c r="CU41" i="28"/>
  <c r="BC116" i="28"/>
  <c r="BC129" i="28" s="1"/>
  <c r="AU21" i="28"/>
  <c r="AX10" i="28"/>
  <c r="BB34" i="28"/>
  <c r="BC34" i="28"/>
  <c r="AU17" i="28"/>
  <c r="AV10" i="28"/>
  <c r="CR117" i="28"/>
  <c r="CS117" i="28"/>
  <c r="CT117" i="28" s="1"/>
  <c r="S5" i="16"/>
  <c r="I7" i="16" s="1"/>
  <c r="CS130" i="28"/>
  <c r="CT130" i="28" s="1"/>
  <c r="CR130" i="28"/>
  <c r="AU20" i="28"/>
  <c r="AS11" i="28" s="1"/>
  <c r="AY10" i="28"/>
  <c r="AU22" i="28"/>
  <c r="CU29" i="28"/>
  <c r="GB29" i="2" s="1"/>
  <c r="BA31" i="28"/>
  <c r="CU63" i="28" l="1"/>
  <c r="CU60" i="28"/>
  <c r="CU64" i="28"/>
  <c r="CU65" i="28"/>
  <c r="CU61" i="28"/>
  <c r="CU62" i="28"/>
  <c r="BA116" i="28"/>
  <c r="BA129" i="28" s="1"/>
  <c r="AW10" i="28"/>
  <c r="AS10" i="28" s="1"/>
  <c r="AU19" i="28"/>
  <c r="AY22" i="28"/>
  <c r="CU130" i="28"/>
  <c r="GB130" i="2" s="1"/>
  <c r="AY17" i="28"/>
  <c r="AY21" i="28"/>
  <c r="BA28" i="28"/>
  <c r="N12" i="16"/>
  <c r="AV9" i="28"/>
  <c r="AY18" i="28"/>
  <c r="AY20" i="28"/>
  <c r="A21" i="28"/>
  <c r="AU18" i="28"/>
  <c r="AS9" i="28" s="1"/>
  <c r="BB116" i="28"/>
  <c r="BB129" i="28" s="1"/>
  <c r="CU117" i="28"/>
  <c r="GB117" i="2" s="1"/>
  <c r="AU23" i="28"/>
  <c r="AS12" i="28" s="1"/>
  <c r="AV8" i="28"/>
  <c r="AU16" i="28"/>
  <c r="AS8" i="28" s="1"/>
  <c r="CU35" i="28" l="1"/>
  <c r="CU49" i="28"/>
  <c r="CU57" i="28"/>
  <c r="CU51" i="28"/>
  <c r="CU50" i="28"/>
  <c r="CU39" i="28"/>
  <c r="CU47" i="28"/>
  <c r="CU37" i="28"/>
  <c r="CU53" i="28"/>
  <c r="CU52" i="28"/>
  <c r="CU54" i="28"/>
  <c r="CU46" i="28"/>
  <c r="CU48" i="28"/>
  <c r="CU58" i="28"/>
  <c r="CU59" i="28"/>
  <c r="CU43" i="28"/>
  <c r="CU45" i="28"/>
  <c r="CU44" i="28"/>
  <c r="CU56" i="28"/>
  <c r="CU42" i="28"/>
  <c r="CU40" i="28"/>
  <c r="CU33" i="28"/>
  <c r="CU55" i="28"/>
  <c r="CU36" i="28"/>
  <c r="BJ31" i="28"/>
  <c r="A8" i="28" s="1"/>
  <c r="CU32" i="28"/>
  <c r="AN116" i="28"/>
  <c r="AN129" i="28" s="1"/>
  <c r="AH116" i="28"/>
  <c r="AH129" i="28" s="1"/>
  <c r="AP116" i="28"/>
  <c r="AP129" i="28" s="1"/>
  <c r="CU34" i="28"/>
  <c r="AY16" i="28"/>
  <c r="AY19" i="28"/>
  <c r="CU38" i="28"/>
  <c r="BL30" i="28" l="1"/>
  <c r="AJ116" i="28"/>
  <c r="AJ129" i="28" s="1"/>
  <c r="AS118" i="28"/>
  <c r="AO118" i="28"/>
  <c r="AM118" i="28"/>
  <c r="AL118" i="28"/>
  <c r="AN118" i="28"/>
  <c r="AH118" i="28"/>
  <c r="BB118" i="28"/>
  <c r="BC118" i="28"/>
  <c r="AP118" i="28"/>
  <c r="AK118" i="28"/>
  <c r="BA118" i="28"/>
  <c r="AK122" i="28"/>
  <c r="AP122" i="28"/>
  <c r="AL122" i="28"/>
  <c r="AS122" i="28"/>
  <c r="BA122" i="28"/>
  <c r="AM122" i="28"/>
  <c r="BB122" i="28"/>
  <c r="AH122" i="28"/>
  <c r="AO122" i="28"/>
  <c r="BC122" i="28"/>
  <c r="AN122" i="28"/>
  <c r="AY23" i="28"/>
  <c r="AS14" i="28" s="1"/>
  <c r="AL126" i="28"/>
  <c r="AH126" i="28"/>
  <c r="AN126" i="28"/>
  <c r="AS126" i="28"/>
  <c r="AP126" i="28"/>
  <c r="AO126" i="28"/>
  <c r="BB126" i="28"/>
  <c r="AM126" i="28"/>
  <c r="AK126" i="28"/>
  <c r="BC126" i="28"/>
  <c r="BA126" i="28"/>
  <c r="BL115" i="28" a="1"/>
  <c r="AJ32" i="28" l="1"/>
  <c r="AJ62" i="28"/>
  <c r="BL115" i="28"/>
  <c r="AI118" i="28"/>
  <c r="AJ82" i="28"/>
  <c r="AJ58" i="28"/>
  <c r="AJ76" i="28"/>
  <c r="AJ67" i="28"/>
  <c r="AJ45" i="28"/>
  <c r="AJ105" i="28"/>
  <c r="AJ106" i="28"/>
  <c r="AJ104" i="28"/>
  <c r="AJ36" i="28"/>
  <c r="AJ78" i="28"/>
  <c r="AJ48" i="28"/>
  <c r="AJ35" i="28"/>
  <c r="AJ61" i="28"/>
  <c r="AJ91" i="28"/>
  <c r="AJ107" i="28"/>
  <c r="AJ87" i="28"/>
  <c r="AJ60" i="28"/>
  <c r="AJ110" i="28"/>
  <c r="AJ59" i="28"/>
  <c r="AJ85" i="28"/>
  <c r="AJ99" i="28"/>
  <c r="AJ109" i="28"/>
  <c r="AJ100" i="28"/>
  <c r="AJ68" i="28"/>
  <c r="AJ31" i="28"/>
  <c r="AJ95" i="28"/>
  <c r="AJ102" i="28"/>
  <c r="AJ47" i="28"/>
  <c r="AJ103" i="28"/>
  <c r="AJ44" i="28"/>
  <c r="AJ40" i="28"/>
  <c r="AJ37" i="28"/>
  <c r="AJ108" i="28"/>
  <c r="AJ34" i="28"/>
  <c r="AJ49" i="28"/>
  <c r="AJ33" i="28"/>
  <c r="AJ66" i="28"/>
  <c r="AJ93" i="28"/>
  <c r="AJ88" i="28"/>
  <c r="AJ57" i="28"/>
  <c r="AJ86" i="28"/>
  <c r="AJ73" i="28"/>
  <c r="AJ53" i="28"/>
  <c r="AJ80" i="28"/>
  <c r="AJ56" i="28"/>
  <c r="AJ96" i="28"/>
  <c r="AQ31" i="28"/>
  <c r="AQ34" i="28"/>
  <c r="AQ36" i="28"/>
  <c r="AQ38" i="28"/>
  <c r="AI116" i="28"/>
  <c r="AI129" i="28" s="1"/>
  <c r="AI124" i="28"/>
  <c r="AI126" i="28"/>
  <c r="AI128" i="28"/>
  <c r="AI122" i="28"/>
  <c r="AI120" i="28"/>
  <c r="AQ116" i="28"/>
  <c r="AQ129" i="28" s="1"/>
  <c r="AP124" i="28"/>
  <c r="BB124" i="28"/>
  <c r="AS124" i="28"/>
  <c r="AO124" i="28"/>
  <c r="AK124" i="28"/>
  <c r="AM124" i="28"/>
  <c r="BC124" i="28"/>
  <c r="AH124" i="28"/>
  <c r="BA124" i="28"/>
  <c r="AN124" i="28"/>
  <c r="AL124" i="28"/>
  <c r="AS120" i="28"/>
  <c r="AK120" i="28"/>
  <c r="AP120" i="28"/>
  <c r="AN120" i="28"/>
  <c r="AO120" i="28"/>
  <c r="BA120" i="28"/>
  <c r="BC120" i="28"/>
  <c r="BB120" i="28"/>
  <c r="AL120" i="28"/>
  <c r="AM120" i="28"/>
  <c r="AH120" i="28"/>
  <c r="AH128" i="28"/>
  <c r="AM128" i="28"/>
  <c r="AL128" i="28"/>
  <c r="AO128" i="28"/>
  <c r="AS128" i="28"/>
  <c r="AN128" i="28"/>
  <c r="BB128" i="28"/>
  <c r="AP128" i="28"/>
  <c r="BA128" i="28"/>
  <c r="AK128" i="28"/>
  <c r="BC128" i="28"/>
  <c r="AY122" i="28"/>
  <c r="BL81" i="28" a="1"/>
  <c r="BL44" i="28" a="1"/>
  <c r="BL107" i="28" a="1"/>
  <c r="BL84" i="28" a="1"/>
  <c r="BL67" i="28" a="1"/>
  <c r="BL46" i="28" a="1"/>
  <c r="BL53" i="28" a="1"/>
  <c r="BL50" i="28" a="1"/>
  <c r="BL79" i="28" a="1"/>
  <c r="BL45" i="28" a="1"/>
  <c r="BL112" i="28" a="1"/>
  <c r="BL106" i="28" a="1"/>
  <c r="BL78" i="28" a="1"/>
  <c r="BL73" i="28" a="1"/>
  <c r="BL91" i="28" a="1"/>
  <c r="BL105" i="28" a="1"/>
  <c r="BL93" i="28" a="1"/>
  <c r="BL85" i="28" a="1"/>
  <c r="BL102" i="28" a="1"/>
  <c r="BL43" i="28" a="1"/>
  <c r="BL101" i="28" a="1"/>
  <c r="BL108" i="28" a="1"/>
  <c r="BL76" i="28" a="1"/>
  <c r="BL68" i="28" a="1"/>
  <c r="BL82" i="28" a="1"/>
  <c r="BL62" i="28" a="1"/>
  <c r="BL33" i="28" a="1"/>
  <c r="BL109" i="28" a="1"/>
  <c r="BL86" i="28" a="1"/>
  <c r="BL69" i="28" a="1"/>
  <c r="BL72" i="28" a="1"/>
  <c r="BL89" i="28" a="1"/>
  <c r="BL64" i="28" a="1"/>
  <c r="BL90" i="28" a="1"/>
  <c r="BL58" i="28" a="1"/>
  <c r="BL55" i="28" a="1"/>
  <c r="BL37" i="28" a="1"/>
  <c r="BL99" i="28" a="1"/>
  <c r="BL48" i="28" a="1"/>
  <c r="BL57" i="28" a="1"/>
  <c r="BL70" i="28" a="1"/>
  <c r="BL40" i="28" a="1"/>
  <c r="BL65" i="28" a="1"/>
  <c r="BL59" i="28" a="1"/>
  <c r="BL83" i="28" a="1"/>
  <c r="BL80" i="28" a="1"/>
  <c r="BL87" i="28" a="1"/>
  <c r="BL56" i="28" a="1"/>
  <c r="BL66" i="28" a="1"/>
  <c r="BL88" i="28" a="1"/>
  <c r="BL39" i="28" a="1"/>
  <c r="BL98" i="28" a="1"/>
  <c r="BL61" i="28" a="1"/>
  <c r="BL41" i="28" a="1"/>
  <c r="BL52" i="28" a="1"/>
  <c r="BL35" i="28" a="1"/>
  <c r="BL51" i="28" a="1"/>
  <c r="BL74" i="28" a="1"/>
  <c r="BL75" i="28" a="1"/>
  <c r="BL113" i="28" a="1"/>
  <c r="BL63" i="28" a="1"/>
  <c r="BL49" i="28" a="1"/>
  <c r="BL54" i="28" a="1"/>
  <c r="BL103" i="28" a="1"/>
  <c r="BL114" i="28" a="1"/>
  <c r="BL96" i="28" a="1"/>
  <c r="BL77" i="28" a="1"/>
  <c r="BL110" i="28" a="1"/>
  <c r="BL94" i="28" a="1"/>
  <c r="BL71" i="28" a="1"/>
  <c r="BL42" i="28" a="1"/>
  <c r="BL100" i="28" a="1"/>
  <c r="BL104" i="28" a="1"/>
  <c r="BL95" i="28" a="1"/>
  <c r="BL47" i="28" a="1"/>
  <c r="BL97" i="28" a="1"/>
  <c r="BL60" i="28" a="1"/>
  <c r="BL111" i="28" a="1"/>
  <c r="BL92" i="28" a="1"/>
  <c r="BL107" i="28" l="1"/>
  <c r="BL77" i="28"/>
  <c r="BL110" i="28"/>
  <c r="BL50" i="28"/>
  <c r="BL44" i="28"/>
  <c r="BL40" i="28"/>
  <c r="BL111" i="28"/>
  <c r="BL52" i="28"/>
  <c r="BL56" i="28"/>
  <c r="BL62" i="28"/>
  <c r="BL41" i="28"/>
  <c r="BL39" i="28"/>
  <c r="BL48" i="28"/>
  <c r="BL91" i="28"/>
  <c r="BL108" i="28"/>
  <c r="BL100" i="28"/>
  <c r="BL49" i="28"/>
  <c r="BL51" i="28"/>
  <c r="BL96" i="28"/>
  <c r="BL102" i="28"/>
  <c r="BL86" i="28"/>
  <c r="BL98" i="28"/>
  <c r="BL113" i="28"/>
  <c r="BL112" i="28"/>
  <c r="BL76" i="28"/>
  <c r="BL99" i="28"/>
  <c r="BL71" i="28"/>
  <c r="BL57" i="28"/>
  <c r="BL61" i="28"/>
  <c r="BL73" i="28"/>
  <c r="BL53" i="28"/>
  <c r="BL74" i="28"/>
  <c r="BL60" i="28"/>
  <c r="BL68" i="28"/>
  <c r="BL97" i="28"/>
  <c r="BL43" i="28"/>
  <c r="BL92" i="28"/>
  <c r="BL95" i="28"/>
  <c r="BL75" i="28"/>
  <c r="BL78" i="28"/>
  <c r="BL93" i="28"/>
  <c r="BL88" i="28"/>
  <c r="BL79" i="28"/>
  <c r="BL55" i="28"/>
  <c r="BL82" i="28"/>
  <c r="BL87" i="28"/>
  <c r="BL59" i="28"/>
  <c r="BL47" i="28"/>
  <c r="BL33" i="28"/>
  <c r="BL105" i="28"/>
  <c r="BL80" i="28"/>
  <c r="BL64" i="28"/>
  <c r="BL58" i="28"/>
  <c r="BL46" i="28"/>
  <c r="BL37" i="28"/>
  <c r="BL65" i="28"/>
  <c r="BL90" i="28"/>
  <c r="BL81" i="28"/>
  <c r="BL109" i="28"/>
  <c r="BL67" i="28"/>
  <c r="BL69" i="28"/>
  <c r="BL84" i="28"/>
  <c r="BL42" i="28"/>
  <c r="BL63" i="28"/>
  <c r="BL72" i="28"/>
  <c r="BL103" i="28"/>
  <c r="BL114" i="28"/>
  <c r="BL35" i="28"/>
  <c r="BL66" i="28"/>
  <c r="BL106" i="28"/>
  <c r="BL104" i="28"/>
  <c r="BL89" i="28"/>
  <c r="BL54" i="28"/>
  <c r="BL85" i="28"/>
  <c r="BL101" i="28"/>
  <c r="BL94" i="28"/>
  <c r="BL83" i="28"/>
  <c r="BL70" i="28"/>
  <c r="BL45" i="28"/>
  <c r="AJ77" i="28"/>
  <c r="AJ50" i="28"/>
  <c r="AJ111" i="28"/>
  <c r="AJ52" i="28"/>
  <c r="AJ41" i="28"/>
  <c r="AJ39" i="28"/>
  <c r="AJ51" i="28"/>
  <c r="AJ98" i="28"/>
  <c r="AJ113" i="28"/>
  <c r="AJ112" i="28"/>
  <c r="AJ71" i="28"/>
  <c r="AJ74" i="28"/>
  <c r="AJ97" i="28"/>
  <c r="AJ43" i="28"/>
  <c r="AJ92" i="28"/>
  <c r="AJ75" i="28"/>
  <c r="AJ79" i="28"/>
  <c r="AJ55" i="28"/>
  <c r="AJ64" i="28"/>
  <c r="AJ46" i="28"/>
  <c r="AJ65" i="28"/>
  <c r="AJ90" i="28"/>
  <c r="AJ81" i="28"/>
  <c r="AJ69" i="28"/>
  <c r="AJ84" i="28"/>
  <c r="AJ42" i="28"/>
  <c r="AJ63" i="28"/>
  <c r="AJ72" i="28"/>
  <c r="AJ114" i="28"/>
  <c r="AJ89" i="28"/>
  <c r="AJ38" i="28"/>
  <c r="AJ54" i="28"/>
  <c r="AJ101" i="28"/>
  <c r="AJ94" i="28"/>
  <c r="AJ83" i="28"/>
  <c r="AJ70" i="28"/>
  <c r="C44" i="19"/>
  <c r="C32" i="19"/>
  <c r="AY34" i="28"/>
  <c r="C38" i="19"/>
  <c r="C18" i="19"/>
  <c r="C45" i="19"/>
  <c r="C42" i="19"/>
  <c r="AY38" i="28"/>
  <c r="C48" i="19"/>
  <c r="C31" i="19"/>
  <c r="C37" i="19"/>
  <c r="C12" i="19"/>
  <c r="C36" i="19"/>
  <c r="C30" i="19"/>
  <c r="C28" i="19"/>
  <c r="AY31" i="28"/>
  <c r="C16" i="19"/>
  <c r="C17" i="19"/>
  <c r="C47" i="19"/>
  <c r="C14" i="19"/>
  <c r="C21" i="19"/>
  <c r="C20" i="19"/>
  <c r="C22" i="19"/>
  <c r="C41" i="19"/>
  <c r="C33" i="19"/>
  <c r="C26" i="19"/>
  <c r="C25" i="19"/>
  <c r="C19" i="19"/>
  <c r="C35" i="19"/>
  <c r="C49" i="19"/>
  <c r="C29" i="19"/>
  <c r="C23" i="19"/>
  <c r="AY32" i="28"/>
  <c r="C10" i="19"/>
  <c r="C43" i="19"/>
  <c r="C24" i="19"/>
  <c r="C27" i="19"/>
  <c r="AQ32" i="28"/>
  <c r="C40" i="19"/>
  <c r="C34" i="19"/>
  <c r="C39" i="19"/>
  <c r="C46" i="19"/>
  <c r="AY36" i="28"/>
  <c r="AR38" i="28"/>
  <c r="AR36" i="28"/>
  <c r="AR34" i="28"/>
  <c r="AR31" i="28"/>
  <c r="AJ122" i="28"/>
  <c r="AJ128" i="28"/>
  <c r="AJ126" i="28"/>
  <c r="AQ124" i="28"/>
  <c r="I12" i="16"/>
  <c r="I14" i="16" s="1"/>
  <c r="W10" i="2" s="1"/>
  <c r="FO1" i="2" s="1"/>
  <c r="AJ118" i="28"/>
  <c r="AQ118" i="28"/>
  <c r="AY124" i="28"/>
  <c r="AJ124" i="28" l="1"/>
  <c r="E41" i="19"/>
  <c r="D41" i="19"/>
  <c r="E34" i="19"/>
  <c r="D34" i="19"/>
  <c r="D43" i="19"/>
  <c r="E43" i="19"/>
  <c r="E23" i="19"/>
  <c r="D23" i="19"/>
  <c r="E14" i="19"/>
  <c r="D14" i="19"/>
  <c r="D28" i="19"/>
  <c r="E28" i="19"/>
  <c r="D45" i="19"/>
  <c r="E45" i="19"/>
  <c r="E33" i="19"/>
  <c r="D33" i="19"/>
  <c r="D31" i="19"/>
  <c r="E31" i="19"/>
  <c r="E16" i="19"/>
  <c r="D16" i="19"/>
  <c r="D35" i="19"/>
  <c r="E35" i="19"/>
  <c r="E20" i="19"/>
  <c r="D20" i="19"/>
  <c r="E21" i="19"/>
  <c r="D21" i="19"/>
  <c r="D12" i="19"/>
  <c r="E12" i="19"/>
  <c r="D42" i="19"/>
  <c r="E42" i="19"/>
  <c r="AR32" i="28"/>
  <c r="D46" i="19"/>
  <c r="E46" i="19"/>
  <c r="D40" i="19"/>
  <c r="E40" i="19"/>
  <c r="E37" i="19"/>
  <c r="D37" i="19"/>
  <c r="D32" i="19"/>
  <c r="E32" i="19"/>
  <c r="D10" i="19"/>
  <c r="E10" i="19"/>
  <c r="E18" i="19"/>
  <c r="D18" i="19"/>
  <c r="D27" i="19"/>
  <c r="E27" i="19"/>
  <c r="D29" i="19"/>
  <c r="E29" i="19"/>
  <c r="E19" i="19"/>
  <c r="D19" i="19"/>
  <c r="E25" i="19"/>
  <c r="D25" i="19"/>
  <c r="E26" i="19"/>
  <c r="D26" i="19"/>
  <c r="E47" i="19"/>
  <c r="D47" i="19"/>
  <c r="E44" i="19"/>
  <c r="D44" i="19"/>
  <c r="D17" i="19"/>
  <c r="E17" i="19"/>
  <c r="D39" i="19"/>
  <c r="E39" i="19"/>
  <c r="E24" i="19"/>
  <c r="D24" i="19"/>
  <c r="E49" i="19"/>
  <c r="D49" i="19"/>
  <c r="E30" i="19"/>
  <c r="D30" i="19"/>
  <c r="E22" i="19"/>
  <c r="D22" i="19"/>
  <c r="E36" i="19"/>
  <c r="D36" i="19"/>
  <c r="D48" i="19"/>
  <c r="E48" i="19"/>
  <c r="E38" i="19"/>
  <c r="D38" i="19"/>
  <c r="AQ128" i="28"/>
  <c r="AQ122" i="28"/>
  <c r="AQ126" i="28"/>
  <c r="AR116" i="28"/>
  <c r="AR129" i="28" s="1"/>
  <c r="AY128" i="28"/>
  <c r="AY126" i="28"/>
  <c r="I17" i="16"/>
  <c r="AZ124" i="28"/>
  <c r="AQ120" i="28"/>
  <c r="AJ120" i="28"/>
  <c r="W13" i="2" l="1"/>
  <c r="CB23" i="2"/>
  <c r="M39" i="16"/>
  <c r="M46" i="16" s="1"/>
  <c r="M47" i="16" s="1"/>
  <c r="CB24" i="2" s="1"/>
  <c r="CB25" i="2" s="1"/>
  <c r="AZ38" i="28"/>
  <c r="C15" i="19"/>
  <c r="AZ32" i="28"/>
  <c r="C9" i="19"/>
  <c r="C13" i="19"/>
  <c r="AZ36" i="28"/>
  <c r="AZ34" i="28"/>
  <c r="C11" i="19"/>
  <c r="R5" i="16"/>
  <c r="I6" i="16" s="1"/>
  <c r="C8" i="19"/>
  <c r="AZ31" i="28"/>
  <c r="AR126" i="28"/>
  <c r="AY120" i="28"/>
  <c r="E405" i="16"/>
  <c r="AY118" i="28"/>
  <c r="AR120" i="28"/>
  <c r="AZ122" i="28"/>
  <c r="AR118" i="28"/>
  <c r="AR124" i="28"/>
  <c r="AZ126" i="28"/>
  <c r="M48" i="16" l="1"/>
  <c r="E9" i="19"/>
  <c r="D9" i="19"/>
  <c r="D11" i="19"/>
  <c r="E11" i="19"/>
  <c r="D13" i="19"/>
  <c r="E13" i="19"/>
  <c r="E15" i="19"/>
  <c r="D15" i="19"/>
  <c r="E8" i="19"/>
  <c r="D8" i="19"/>
  <c r="AR122" i="28"/>
  <c r="AR128" i="28"/>
  <c r="E404" i="16"/>
  <c r="E403" i="16"/>
  <c r="AZ118" i="28"/>
  <c r="D4" i="19" l="1"/>
  <c r="AT38" i="28"/>
  <c r="AT31" i="28"/>
  <c r="AT34" i="28"/>
  <c r="AT36" i="28"/>
  <c r="AZ120" i="28"/>
  <c r="AZ128" i="28"/>
  <c r="AY116" i="28" l="1"/>
  <c r="AY129" i="28" s="1"/>
  <c r="AT32" i="28"/>
  <c r="Q54" i="16" l="1"/>
  <c r="E402" i="16"/>
  <c r="EP118" i="2" s="1"/>
  <c r="EP120" i="2" s="1"/>
  <c r="L9" i="16"/>
  <c r="Q5" i="16"/>
  <c r="I5" i="16" s="1"/>
  <c r="D5" i="19"/>
  <c r="AZ116" i="28"/>
  <c r="AZ129" i="28" s="1"/>
  <c r="P54" i="16"/>
  <c r="AV34" i="28"/>
  <c r="AV38" i="28"/>
  <c r="AV36" i="28"/>
  <c r="AV31" i="28"/>
  <c r="EP520" i="2" l="1"/>
  <c r="P181" i="16"/>
  <c r="P132" i="16"/>
  <c r="P90" i="16"/>
  <c r="P64" i="16"/>
  <c r="P211" i="16"/>
  <c r="P185" i="16"/>
  <c r="P135" i="16"/>
  <c r="FM116" i="2" s="1"/>
  <c r="P121" i="16"/>
  <c r="P214" i="16"/>
  <c r="P194" i="16"/>
  <c r="P120" i="16"/>
  <c r="P146" i="16"/>
  <c r="P187" i="16"/>
  <c r="P89" i="16"/>
  <c r="P215" i="16"/>
  <c r="P190" i="16"/>
  <c r="P96" i="16"/>
  <c r="P98" i="16"/>
  <c r="P207" i="16"/>
  <c r="P95" i="16"/>
  <c r="P192" i="16"/>
  <c r="P167" i="16"/>
  <c r="P104" i="16"/>
  <c r="P217" i="16"/>
  <c r="P125" i="16"/>
  <c r="P74" i="16"/>
  <c r="P133" i="16"/>
  <c r="P210" i="16"/>
  <c r="P152" i="16"/>
  <c r="P61" i="16"/>
  <c r="P165" i="16"/>
  <c r="P103" i="16"/>
  <c r="P94" i="16"/>
  <c r="P82" i="16"/>
  <c r="P70" i="16"/>
  <c r="P79" i="16"/>
  <c r="P72" i="16"/>
  <c r="P77" i="16"/>
  <c r="P155" i="16"/>
  <c r="P204" i="16"/>
  <c r="P166" i="16"/>
  <c r="P106" i="16"/>
  <c r="P160" i="16"/>
  <c r="P227" i="16"/>
  <c r="P91" i="16"/>
  <c r="P81" i="16"/>
  <c r="P173" i="16"/>
  <c r="P107" i="16"/>
  <c r="P128" i="16"/>
  <c r="P66" i="16"/>
  <c r="P156" i="16"/>
  <c r="P84" i="16"/>
  <c r="P159" i="16"/>
  <c r="P145" i="16"/>
  <c r="P177" i="16"/>
  <c r="P86" i="16"/>
  <c r="P87" i="16"/>
  <c r="P109" i="16"/>
  <c r="P179" i="16"/>
  <c r="P174" i="16"/>
  <c r="P198" i="16"/>
  <c r="P183" i="16"/>
  <c r="P71" i="16"/>
  <c r="P180" i="16"/>
  <c r="P114" i="16"/>
  <c r="P93" i="16"/>
  <c r="P213" i="16"/>
  <c r="P112" i="16"/>
  <c r="P143" i="16"/>
  <c r="P138" i="16"/>
  <c r="P171" i="16"/>
  <c r="P68" i="16"/>
  <c r="P76" i="16"/>
  <c r="P134" i="16"/>
  <c r="P88" i="16"/>
  <c r="P196" i="16"/>
  <c r="P131" i="16"/>
  <c r="P200" i="16"/>
  <c r="P172" i="16"/>
  <c r="P136" i="16"/>
  <c r="P63" i="16"/>
  <c r="P206" i="16"/>
  <c r="P186" i="16"/>
  <c r="P157" i="16"/>
  <c r="P59" i="16"/>
  <c r="P205" i="16"/>
  <c r="P139" i="16"/>
  <c r="P127" i="16"/>
  <c r="P191" i="16"/>
  <c r="P199" i="16"/>
  <c r="P216" i="16"/>
  <c r="P161" i="16"/>
  <c r="P209" i="16"/>
  <c r="P115" i="16"/>
  <c r="P164" i="16"/>
  <c r="P141" i="16"/>
  <c r="P69" i="16"/>
  <c r="P101" i="16"/>
  <c r="P97" i="16"/>
  <c r="P151" i="16"/>
  <c r="P176" i="16"/>
  <c r="P75" i="16"/>
  <c r="P129" i="16"/>
  <c r="P178" i="16"/>
  <c r="P85" i="16"/>
  <c r="P142" i="16"/>
  <c r="P80" i="16"/>
  <c r="P92" i="16"/>
  <c r="P78" i="16"/>
  <c r="P111" i="16"/>
  <c r="P126" i="16"/>
  <c r="P193" i="16"/>
  <c r="P163" i="16"/>
  <c r="P113" i="16"/>
  <c r="P60" i="16"/>
  <c r="P218" i="16"/>
  <c r="P102" i="16"/>
  <c r="P169" i="16"/>
  <c r="P62" i="16"/>
  <c r="P182" i="16"/>
  <c r="P67" i="16"/>
  <c r="P108" i="16"/>
  <c r="P150" i="16"/>
  <c r="P195" i="16"/>
  <c r="P137" i="16"/>
  <c r="P170" i="16"/>
  <c r="P116" i="16"/>
  <c r="P162" i="16"/>
  <c r="P110" i="16"/>
  <c r="P148" i="16"/>
  <c r="P175" i="16"/>
  <c r="P119" i="16"/>
  <c r="P189" i="16"/>
  <c r="P124" i="16"/>
  <c r="P123" i="16"/>
  <c r="P153" i="16"/>
  <c r="P117" i="16"/>
  <c r="P122" i="16"/>
  <c r="P140" i="16"/>
  <c r="P58" i="16"/>
  <c r="P158" i="16"/>
  <c r="P201" i="16"/>
  <c r="P202" i="16"/>
  <c r="P147" i="16"/>
  <c r="P73" i="16"/>
  <c r="P105" i="16"/>
  <c r="P65" i="16"/>
  <c r="AV32" i="28"/>
  <c r="AW31" i="28"/>
  <c r="AW36" i="28"/>
  <c r="AW38" i="28"/>
  <c r="AW34" i="28"/>
  <c r="FM124" i="2" l="1"/>
  <c r="FM122" i="2"/>
  <c r="FM118" i="2"/>
  <c r="FM126" i="2"/>
  <c r="GA29" i="2"/>
  <c r="FX29" i="2" s="1"/>
  <c r="EP522" i="2"/>
  <c r="AH22" i="28"/>
  <c r="BL29" i="28"/>
  <c r="AW32" i="28"/>
  <c r="BL38" i="28" a="1"/>
  <c r="BL31" i="28" a="1"/>
  <c r="BL36" i="28" a="1"/>
  <c r="BL34" i="28" a="1"/>
  <c r="BL36" i="28" l="1"/>
  <c r="BL31" i="28"/>
  <c r="AX36" i="28"/>
  <c r="AX31" i="28"/>
  <c r="BL34" i="28"/>
  <c r="BL38" i="28"/>
  <c r="AX34" i="28"/>
  <c r="AX38" i="28"/>
  <c r="BL32" i="28" a="1"/>
  <c r="BL32" i="28" l="1"/>
  <c r="AX32" i="28"/>
  <c r="AT122" i="28" l="1"/>
  <c r="AT118" i="28"/>
  <c r="AT126" i="28"/>
  <c r="AT124" i="28"/>
  <c r="AT128" i="28"/>
  <c r="AT120" i="28"/>
  <c r="AT116" i="28" l="1"/>
  <c r="AT129" i="28" s="1"/>
  <c r="AV120" i="28" l="1"/>
  <c r="AV122" i="28"/>
  <c r="AV126" i="28"/>
  <c r="AV118" i="28"/>
  <c r="AV128" i="28"/>
  <c r="AV124" i="28"/>
  <c r="AW126" i="28" l="1"/>
  <c r="AW122" i="28"/>
  <c r="AW120" i="28"/>
  <c r="AW124" i="28"/>
  <c r="AW128" i="28"/>
  <c r="AW118" i="28"/>
  <c r="AV116" i="28" l="1"/>
  <c r="AV129" i="28" s="1"/>
  <c r="AW116" i="28" l="1"/>
  <c r="AW129" i="28" s="1"/>
  <c r="AX126" i="28" l="1"/>
  <c r="AX120" i="28"/>
  <c r="AX122" i="28"/>
  <c r="AX118" i="28"/>
  <c r="AX128" i="28"/>
  <c r="AX124" i="28"/>
  <c r="AX116" i="28" l="1"/>
  <c r="AX129" i="28" s="1"/>
  <c r="BL116" i="2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<sst xmlns="http://schemas.openxmlformats.org/spreadsheetml/2006/main" count="7403" uniqueCount="2033">
  <si>
    <t>1/0</t>
  </si>
  <si>
    <t>2/0</t>
  </si>
  <si>
    <t>3/0</t>
  </si>
  <si>
    <t>4/0</t>
  </si>
  <si>
    <t>CIRCUITO</t>
  </si>
  <si>
    <t>FASES</t>
  </si>
  <si>
    <t>HILOS</t>
  </si>
  <si>
    <t>CABLE</t>
  </si>
  <si>
    <t>TIERRA</t>
  </si>
  <si>
    <t>DUCTO</t>
  </si>
  <si>
    <t>C</t>
  </si>
  <si>
    <t>B</t>
  </si>
  <si>
    <t>A</t>
  </si>
  <si>
    <t>ALIMENTADOR</t>
  </si>
  <si>
    <t>BLOQUE</t>
  </si>
  <si>
    <t>DESCRIPCION</t>
  </si>
  <si>
    <t>DATO</t>
  </si>
  <si>
    <t>X</t>
  </si>
  <si>
    <t>Y</t>
  </si>
  <si>
    <t>Z</t>
  </si>
  <si>
    <t>W</t>
  </si>
  <si>
    <t>VA</t>
  </si>
  <si>
    <t>HP</t>
  </si>
  <si>
    <t>CORRIENTE</t>
  </si>
  <si>
    <t>VOLTAJE</t>
  </si>
  <si>
    <t>DISTANCIA</t>
  </si>
  <si>
    <t>AREA</t>
  </si>
  <si>
    <t>XTAB</t>
  </si>
  <si>
    <t>YTAB</t>
  </si>
  <si>
    <t>DIST.TAB</t>
  </si>
  <si>
    <t>TAB-HE</t>
  </si>
  <si>
    <t>TAB-EMERGENCIA</t>
  </si>
  <si>
    <t>PONER DESCRIPCION</t>
  </si>
  <si>
    <t>TAB-HN</t>
  </si>
  <si>
    <t>TAB-NORMAL</t>
  </si>
  <si>
    <t>TAB-QN</t>
  </si>
  <si>
    <t>TAB-JE</t>
  </si>
  <si>
    <t>TAB-JN</t>
  </si>
  <si>
    <t>ES-02</t>
  </si>
  <si>
    <t>CONTACTO-ESPECIAL</t>
  </si>
  <si>
    <t>RECEPTACULO ESPECIAL</t>
  </si>
  <si>
    <t>CONMUTADOR EDIFICIO 2</t>
  </si>
  <si>
    <t>ES-01</t>
  </si>
  <si>
    <t>TAB-PE</t>
  </si>
  <si>
    <t>TAB-ES</t>
  </si>
  <si>
    <t>TAB-SEGURIDAD</t>
  </si>
  <si>
    <t>TAB-EE</t>
  </si>
  <si>
    <t>TAB-EN</t>
  </si>
  <si>
    <t>TAB-CS</t>
  </si>
  <si>
    <t>TAB-CE</t>
  </si>
  <si>
    <t>TAB-CN</t>
  </si>
  <si>
    <t>TAB-AS</t>
  </si>
  <si>
    <t>TAB-AE</t>
  </si>
  <si>
    <t>TAB-AN</t>
  </si>
  <si>
    <t>TAB-MS</t>
  </si>
  <si>
    <t>TAB-ME</t>
  </si>
  <si>
    <t>TAB-MN</t>
  </si>
  <si>
    <t>CS-02</t>
  </si>
  <si>
    <t>CS-01</t>
  </si>
  <si>
    <t>HE-01</t>
  </si>
  <si>
    <t>REC-MURO-E</t>
  </si>
  <si>
    <t>DETENCION Y EXPLORACION</t>
  </si>
  <si>
    <t>JE-11</t>
  </si>
  <si>
    <t>REC-E-ESP</t>
  </si>
  <si>
    <t>GUARDA DE LOZA NUEVA</t>
  </si>
  <si>
    <t>JE-13,15</t>
  </si>
  <si>
    <t>SAL-ESP-3F</t>
  </si>
  <si>
    <t>LAVADO DE EQUIPO</t>
  </si>
  <si>
    <t>INT-TERM-3X15AMP</t>
  </si>
  <si>
    <t>JE-12,14,16</t>
  </si>
  <si>
    <t>ZONA ADEREZO FINAL</t>
  </si>
  <si>
    <t>JE-10</t>
  </si>
  <si>
    <t>ZONA DE AUTOSERVICIO</t>
  </si>
  <si>
    <t>JE-08</t>
  </si>
  <si>
    <t>SAL-ESP-1F-E</t>
  </si>
  <si>
    <t>ZONA DE COCCION</t>
  </si>
  <si>
    <t>JE-7,9</t>
  </si>
  <si>
    <t>NUTRICION Y DIETETICA</t>
  </si>
  <si>
    <t>JE-06</t>
  </si>
  <si>
    <t>JE-05</t>
  </si>
  <si>
    <t>ZONA DE PREPARACION</t>
  </si>
  <si>
    <t>JE-04</t>
  </si>
  <si>
    <t>JE-03</t>
  </si>
  <si>
    <t>ALMACEN DE SECOS</t>
  </si>
  <si>
    <t>JE-2</t>
  </si>
  <si>
    <t>INT-NAV-2X15A</t>
  </si>
  <si>
    <t>CTO BOMBAS</t>
  </si>
  <si>
    <t>JE-1</t>
  </si>
  <si>
    <t>EE-10</t>
  </si>
  <si>
    <t>REC-MURO-EFT</t>
  </si>
  <si>
    <t>TRABAJO SOCIAL</t>
  </si>
  <si>
    <t>TRANSFUSION AMBULATORIA</t>
  </si>
  <si>
    <t>EE-11</t>
  </si>
  <si>
    <t>REFECTORIO, DISTRIBUCION DE MUESTRAS</t>
  </si>
  <si>
    <t>PE-15,17</t>
  </si>
  <si>
    <t>REC-E-2F</t>
  </si>
  <si>
    <t>ALMACEN DE SANGRE</t>
  </si>
  <si>
    <t>PE-12,14</t>
  </si>
  <si>
    <t>PE-11,13</t>
  </si>
  <si>
    <t>LAVADO Y ESTERILIZACION</t>
  </si>
  <si>
    <t>PE-8,10</t>
  </si>
  <si>
    <t>PE-7,9</t>
  </si>
  <si>
    <t>PE-4,6</t>
  </si>
  <si>
    <t>PE-3,5</t>
  </si>
  <si>
    <t>COPROS Y ORINAS</t>
  </si>
  <si>
    <t>PE-02</t>
  </si>
  <si>
    <t>BACTEREOLOGIA, COPROS Y ORINAS</t>
  </si>
  <si>
    <t>PE-01</t>
  </si>
  <si>
    <t>BACTEREOLOGIA</t>
  </si>
  <si>
    <t>RECEPTACULO-PFT-E</t>
  </si>
  <si>
    <t>LABORATORIO</t>
  </si>
  <si>
    <t>EE-09</t>
  </si>
  <si>
    <t>REC-E-FAT-20A</t>
  </si>
  <si>
    <t>TRANSFUSION</t>
  </si>
  <si>
    <t>URGENCIAS TRANSFUSION</t>
  </si>
  <si>
    <t>EE-06</t>
  </si>
  <si>
    <t>EE-08</t>
  </si>
  <si>
    <t>EE-07</t>
  </si>
  <si>
    <t>UGENCIAS TRANSFUSION</t>
  </si>
  <si>
    <t>CN-12</t>
  </si>
  <si>
    <t>CONTACTO-MURO</t>
  </si>
  <si>
    <t>RECEPTACULO NORMAL</t>
  </si>
  <si>
    <t>TOMOGRAFO,  CTO  ELECTRICO</t>
  </si>
  <si>
    <t>EN-03</t>
  </si>
  <si>
    <t>REC-MURO-NFT20A</t>
  </si>
  <si>
    <t>T.M.PED, T.M.S 1 Y 2</t>
  </si>
  <si>
    <t>EE-05</t>
  </si>
  <si>
    <t>REC-MURO-EFT20A-2</t>
  </si>
  <si>
    <t>TM PED, TMS</t>
  </si>
  <si>
    <t>CONSULTORIO ULTRASONIDO</t>
  </si>
  <si>
    <t>ULTRASONIDO</t>
  </si>
  <si>
    <t>TMB</t>
  </si>
  <si>
    <t>EE-04</t>
  </si>
  <si>
    <t>FARMACIA</t>
  </si>
  <si>
    <t>EE-03</t>
  </si>
  <si>
    <t>EE-02</t>
  </si>
  <si>
    <t>EE-01</t>
  </si>
  <si>
    <t>PSICOTROPICOS</t>
  </si>
  <si>
    <t>CE-20</t>
  </si>
  <si>
    <t>ESTUDIOS SIMPLES, MASTOGRAFIA</t>
  </si>
  <si>
    <t>JEFE DE SERVICIO</t>
  </si>
  <si>
    <t>CE-19</t>
  </si>
  <si>
    <t>INTERPRETACION CUARTO AZUL</t>
  </si>
  <si>
    <t>CE-18</t>
  </si>
  <si>
    <t>LAVADO DE MATERIAL</t>
  </si>
  <si>
    <t>INMUNO HISTOQUIMICA</t>
  </si>
  <si>
    <t>CE-17</t>
  </si>
  <si>
    <t>LAVADO DE MATERIALES</t>
  </si>
  <si>
    <t>CE-16</t>
  </si>
  <si>
    <t>CE-15</t>
  </si>
  <si>
    <t>CITOLOGIA</t>
  </si>
  <si>
    <t>CE-01</t>
  </si>
  <si>
    <t>CE-14</t>
  </si>
  <si>
    <t>HISTOLOGIA</t>
  </si>
  <si>
    <t>CE-11</t>
  </si>
  <si>
    <t>CE-13</t>
  </si>
  <si>
    <t>CE-12</t>
  </si>
  <si>
    <t>CE-6,8,10</t>
  </si>
  <si>
    <t>220/127</t>
  </si>
  <si>
    <t>IDENT. Y REFRIGERACION DE CADAVERES</t>
  </si>
  <si>
    <t>IDET Y REFRIGERACION DE CADAVERES</t>
  </si>
  <si>
    <t>SALA DE AUPTOPSIAS</t>
  </si>
  <si>
    <t>CE-5,7,9</t>
  </si>
  <si>
    <t>SALA DE AUTOPSIAS</t>
  </si>
  <si>
    <t>DESCRIPCION MACROSCOPICA</t>
  </si>
  <si>
    <t>CE-03</t>
  </si>
  <si>
    <t>MS-02</t>
  </si>
  <si>
    <t>OFICINAS Y TALLER DE CONSERVACION</t>
  </si>
  <si>
    <t>CE-2,4</t>
  </si>
  <si>
    <t>HN-06</t>
  </si>
  <si>
    <t>SEGURIDAD DEL TRABAJO</t>
  </si>
  <si>
    <t>HN-07</t>
  </si>
  <si>
    <t>D</t>
  </si>
  <si>
    <t>SPPSTIMSS</t>
  </si>
  <si>
    <t>HN-05</t>
  </si>
  <si>
    <t>HN-04</t>
  </si>
  <si>
    <t>HN-03</t>
  </si>
  <si>
    <t>OF APOYO ADMINISTRATIVO CON MODULO DE PERSONAL</t>
  </si>
  <si>
    <t>EN-14</t>
  </si>
  <si>
    <t>CONTACTO-pft</t>
  </si>
  <si>
    <t>RECEPTACULO PFT</t>
  </si>
  <si>
    <t>URGENCIAS</t>
  </si>
  <si>
    <t>EN-13</t>
  </si>
  <si>
    <t>EN-12</t>
  </si>
  <si>
    <t>HN-02</t>
  </si>
  <si>
    <t>DPTO APOYO ADMINISTRATIVO</t>
  </si>
  <si>
    <t>HN-01</t>
  </si>
  <si>
    <t>QN-13,15,17</t>
  </si>
  <si>
    <t>PREPARACION PREVIA</t>
  </si>
  <si>
    <t>JN-14</t>
  </si>
  <si>
    <t>ZONA DE PREPARACION PREVIA</t>
  </si>
  <si>
    <t>JN-16</t>
  </si>
  <si>
    <t>JN-15</t>
  </si>
  <si>
    <t>JN-13</t>
  </si>
  <si>
    <t>JN-12</t>
  </si>
  <si>
    <t>JN-11</t>
  </si>
  <si>
    <t>LABORATORIO DE FORMULAS LACTEAS</t>
  </si>
  <si>
    <t>JN-10</t>
  </si>
  <si>
    <t>PREPARACION DE FORMULAS</t>
  </si>
  <si>
    <t>JN-09</t>
  </si>
  <si>
    <t>REC-N-FAT-20A</t>
  </si>
  <si>
    <t>JN-08</t>
  </si>
  <si>
    <t>JN-07</t>
  </si>
  <si>
    <t>ZONA DE ADEREZO</t>
  </si>
  <si>
    <t>JN-06</t>
  </si>
  <si>
    <t>QN-8,10,12</t>
  </si>
  <si>
    <t>ZONA COCCION</t>
  </si>
  <si>
    <t>JN-04</t>
  </si>
  <si>
    <t>COMEDOR , PASILLO</t>
  </si>
  <si>
    <t>QN-7,9,11</t>
  </si>
  <si>
    <t>REC-N-15A-3F</t>
  </si>
  <si>
    <t>ENSAMBLE Y DISTRIBUCION DE ALIMENTOS</t>
  </si>
  <si>
    <t>JN-05</t>
  </si>
  <si>
    <t>REC-ESP-30AMP</t>
  </si>
  <si>
    <t>QN-2,4,6</t>
  </si>
  <si>
    <t>LAVADORA DE LOZA DE HOAPITAL 2</t>
  </si>
  <si>
    <t>QN-1,3,5</t>
  </si>
  <si>
    <t>LAVADORA DE LOZA DE HOAPITAL 1</t>
  </si>
  <si>
    <t>JN-03</t>
  </si>
  <si>
    <t>JN-02</t>
  </si>
  <si>
    <t>OFICINAS NUTRICION</t>
  </si>
  <si>
    <t>JN-01</t>
  </si>
  <si>
    <t>LAVANDERIA, RECCEPCION DE VIVERES</t>
  </si>
  <si>
    <t>EN-11</t>
  </si>
  <si>
    <t>TMS 2, CONSULTORIO</t>
  </si>
  <si>
    <t>EN-10</t>
  </si>
  <si>
    <t>ALMACEN</t>
  </si>
  <si>
    <t>EN-09</t>
  </si>
  <si>
    <t>EN-08</t>
  </si>
  <si>
    <t>T.M.S, TRABAJO SOCIAL DISTRIBUCION DE MUESTRAS</t>
  </si>
  <si>
    <t>EN-07</t>
  </si>
  <si>
    <t>JEFATURA LABORATORIO, T.M.B, CONTROL</t>
  </si>
  <si>
    <t>EN-06</t>
  </si>
  <si>
    <t>EN-05</t>
  </si>
  <si>
    <t>TRANSFUSION, SANGRADO</t>
  </si>
  <si>
    <t>LAVADO Y ESTERILIZADO, MEDIOS DE CULTIVO, SANGRADO</t>
  </si>
  <si>
    <t>EN-04</t>
  </si>
  <si>
    <t>REC-MURO-NFT20A-2</t>
  </si>
  <si>
    <t>EN-02</t>
  </si>
  <si>
    <t>TRABAJO SOCIAL, CONSULTORIO, T.M.B</t>
  </si>
  <si>
    <t>EN-01</t>
  </si>
  <si>
    <t>ULTRASONIDO,  ORTOPANTOGRAFO</t>
  </si>
  <si>
    <t>MN-18,20,22</t>
  </si>
  <si>
    <t>TALLER DE PINTURA</t>
  </si>
  <si>
    <t>MN-13,15,17</t>
  </si>
  <si>
    <t>TALLER EQUIPO MEDICO</t>
  </si>
  <si>
    <t>MN-7,9,11</t>
  </si>
  <si>
    <t>TALLER ELECTRICO</t>
  </si>
  <si>
    <t>MN-12,14,16</t>
  </si>
  <si>
    <t>TALLER DE AIRE ACONDICIONADO</t>
  </si>
  <si>
    <t>MN-6,8,10</t>
  </si>
  <si>
    <t>TALLER DE PLOMERIA</t>
  </si>
  <si>
    <t>MN-05</t>
  </si>
  <si>
    <t>TALLER  GENERAL,  PNTURA</t>
  </si>
  <si>
    <t>MN-04</t>
  </si>
  <si>
    <t>TALLER  A.A,  EQUIPO  MEDICO</t>
  </si>
  <si>
    <t>MN-03</t>
  </si>
  <si>
    <t>TALLER  PLOMERIA,  ELECTRICIDAD</t>
  </si>
  <si>
    <t>MN-02</t>
  </si>
  <si>
    <t>SERVICIOS  BASICOS,  CONSERVACION</t>
  </si>
  <si>
    <t>COCINETA</t>
  </si>
  <si>
    <t>MN-01</t>
  </si>
  <si>
    <t>CN-09</t>
  </si>
  <si>
    <t>ESTUDIOS SIMPLES, AULA</t>
  </si>
  <si>
    <t>CN-11</t>
  </si>
  <si>
    <t>RAYOS  X,  ESTUDIOS  SIMPLES,  PASILLO</t>
  </si>
  <si>
    <t>CN-10</t>
  </si>
  <si>
    <t>TRABAJO SOCIAL, RAYOS X</t>
  </si>
  <si>
    <t>CONTACTO-PISO</t>
  </si>
  <si>
    <t>RECEPTACULO NORMAL EN PISO</t>
  </si>
  <si>
    <t>CN-08</t>
  </si>
  <si>
    <t>JEFE DE SERVICIO, CONTROL</t>
  </si>
  <si>
    <t>CN-07</t>
  </si>
  <si>
    <t>ADMISION  HOSPITALARIA  Y  ALTAS</t>
  </si>
  <si>
    <t>CN-06</t>
  </si>
  <si>
    <t>AULA,  PASILLO</t>
  </si>
  <si>
    <t>CN-05</t>
  </si>
  <si>
    <t>PATOLOGOS,  JEFE  DE  SERVICIO,  SECRETARIA</t>
  </si>
  <si>
    <t>CN-04</t>
  </si>
  <si>
    <t>CITOLOGIA,  HISTOQUIMICA,  LAVADO  DE  MATERIAL</t>
  </si>
  <si>
    <t>CN-03</t>
  </si>
  <si>
    <t>FOTOGRAFIA  MCROSCOPICA,  CITOLOGIA,  HISTOLOG</t>
  </si>
  <si>
    <t>FOTOGRAFIA  MCROSCOPICA,  CITOLOGIA,  HISTOLOGIA</t>
  </si>
  <si>
    <t>CN-01</t>
  </si>
  <si>
    <t>SALA  DE  AUTOPPSIAS,  HISTOLOGIA</t>
  </si>
  <si>
    <t>CN-02</t>
  </si>
  <si>
    <t>REC-N-ESP</t>
  </si>
  <si>
    <t>AS-04</t>
  </si>
  <si>
    <t>TRABAJO SOCIAL EDIFICIO 1</t>
  </si>
  <si>
    <t>AS-03</t>
  </si>
  <si>
    <t>REC-S-PUERTA</t>
  </si>
  <si>
    <t>PUERTA ACCESO</t>
  </si>
  <si>
    <t>AS-02</t>
  </si>
  <si>
    <t>CONMUTADOR EDIFICIO 1</t>
  </si>
  <si>
    <t>AS-01</t>
  </si>
  <si>
    <t>AE-16</t>
  </si>
  <si>
    <t>CONTROL TERMICO</t>
  </si>
  <si>
    <t>AE-14</t>
  </si>
  <si>
    <t>OBSERVACION INTERMEDIA, CONSULTORIO 2</t>
  </si>
  <si>
    <t>AE-15</t>
  </si>
  <si>
    <t>PREPARACION MEDICAMENTOS Y SOLUCIONES OBSERVACION INTERNA</t>
  </si>
  <si>
    <t>AE-13</t>
  </si>
  <si>
    <t>OBSERVACION INTERMEDIA</t>
  </si>
  <si>
    <t>AE-12</t>
  </si>
  <si>
    <t>INHALOTERAPIA</t>
  </si>
  <si>
    <t>AE-11</t>
  </si>
  <si>
    <t>AE-10</t>
  </si>
  <si>
    <t>CTO CHOQUE, CURACIONES</t>
  </si>
  <si>
    <t>AE-06</t>
  </si>
  <si>
    <t>OBSERVACION ADULTOS, CTO CHOQUE</t>
  </si>
  <si>
    <t>AE-09</t>
  </si>
  <si>
    <t>OBSERVACION MENORES</t>
  </si>
  <si>
    <t>AE-07</t>
  </si>
  <si>
    <t>AE-08</t>
  </si>
  <si>
    <t>PREPARACION MEDICAMENTOS Y SOLUCIONES MENORES</t>
  </si>
  <si>
    <t>OBSERVACION ADULTOS</t>
  </si>
  <si>
    <t>AE-05</t>
  </si>
  <si>
    <t>AE-04</t>
  </si>
  <si>
    <t>AE-03</t>
  </si>
  <si>
    <t>AE-02</t>
  </si>
  <si>
    <t>AE-01</t>
  </si>
  <si>
    <t>PREPARACION MEDICAMENTOS Y SOLUCIONES ADULTOS</t>
  </si>
  <si>
    <t>AN-01</t>
  </si>
  <si>
    <t>SEGURIDAD INTEGRAL, JEFE DE SERVICIO</t>
  </si>
  <si>
    <t>AN-20</t>
  </si>
  <si>
    <t>SALA ESPERA, TRIAGE, PASILLO</t>
  </si>
  <si>
    <t>AN-19</t>
  </si>
  <si>
    <t>CURACIONES, CTO CHOQUE, ENFERMERIA, PASILLO</t>
  </si>
  <si>
    <t>AN-18</t>
  </si>
  <si>
    <t>AN-17</t>
  </si>
  <si>
    <t>AN-13</t>
  </si>
  <si>
    <t>AN-16</t>
  </si>
  <si>
    <t>AN-15</t>
  </si>
  <si>
    <t>AN-14</t>
  </si>
  <si>
    <t>AN-03</t>
  </si>
  <si>
    <t>AN-2</t>
  </si>
  <si>
    <t>TRABAJO DE MEDICOS 6</t>
  </si>
  <si>
    <t>AN-12</t>
  </si>
  <si>
    <t>AN-02</t>
  </si>
  <si>
    <t>AN-09</t>
  </si>
  <si>
    <t>CONSULTORIO 1, TRABAJO SOCIAL, CONTROL</t>
  </si>
  <si>
    <t>AN-10</t>
  </si>
  <si>
    <t>AN-08</t>
  </si>
  <si>
    <t>CONSULTORIO 2, CENTRAL DE ENFERMERIA</t>
  </si>
  <si>
    <t>AN-04</t>
  </si>
  <si>
    <t>SALA DE ESPERA, OBSERVACION INTERMEDIA</t>
  </si>
  <si>
    <t>AN-07</t>
  </si>
  <si>
    <t>TRABAJO DE MEDICOS</t>
  </si>
  <si>
    <t>AN-06</t>
  </si>
  <si>
    <t>AN-05</t>
  </si>
  <si>
    <t>AN-11</t>
  </si>
  <si>
    <t>CUADRO DE CARGAS</t>
  </si>
  <si>
    <t>DIST.PROM</t>
  </si>
  <si>
    <t>Total general</t>
  </si>
  <si>
    <t>(en blanco)</t>
  </si>
  <si>
    <t>DATOS DEL TABLERO</t>
  </si>
  <si>
    <t>PROYECTO:</t>
  </si>
  <si>
    <t>TABLERO:</t>
  </si>
  <si>
    <t>UBICACIÓN:</t>
  </si>
  <si>
    <t>ALIMENTADO DE:</t>
  </si>
  <si>
    <t>VOLTAJE:</t>
  </si>
  <si>
    <t>HILOS:</t>
  </si>
  <si>
    <t>FASES:</t>
  </si>
  <si>
    <t>CA. / C.D:</t>
  </si>
  <si>
    <t>INTERRUPTOR/ZAPATAS:</t>
  </si>
  <si>
    <t>TEMP. AMBIENTE:</t>
  </si>
  <si>
    <t>F.P:</t>
  </si>
  <si>
    <t>CONDUCTOR DERIVADOS:</t>
  </si>
  <si>
    <t>CONDUCTOR ALIMENTADOR:</t>
  </si>
  <si>
    <t>CALCULO EN WATTS O VA (KW / KVA):</t>
  </si>
  <si>
    <t>PORCENTAJE DE DISPARO PROT. PPAL:</t>
  </si>
  <si>
    <t>PORCENTAJE DE DISPARO PROT. DERIVADAS:</t>
  </si>
  <si>
    <t>PORCENTAJE DE DISPARO PROT. MOTORES:</t>
  </si>
  <si>
    <t>FORMATO PARA VALIDAR LAS FASES A LAS QUE ESTA CONECTADO EL CIRCUITO</t>
  </si>
  <si>
    <t>RESULTADO</t>
  </si>
  <si>
    <t>FASE</t>
  </si>
  <si>
    <t>TABLA DE FACTORES DE CORRECCION POR TEMPERATURA</t>
  </si>
  <si>
    <t>TABLA 310-15(b)(2)(a)</t>
  </si>
  <si>
    <t>RANGO</t>
  </si>
  <si>
    <t>60°C</t>
  </si>
  <si>
    <t>75°C</t>
  </si>
  <si>
    <t>90°C</t>
  </si>
  <si>
    <t>21-25</t>
  </si>
  <si>
    <t>26-30</t>
  </si>
  <si>
    <t>31-35</t>
  </si>
  <si>
    <t>36-40</t>
  </si>
  <si>
    <t>41-45</t>
  </si>
  <si>
    <t>46-50</t>
  </si>
  <si>
    <t>51-55</t>
  </si>
  <si>
    <t>....</t>
  </si>
  <si>
    <t>56-60</t>
  </si>
  <si>
    <t>61-70</t>
  </si>
  <si>
    <t>71-80</t>
  </si>
  <si>
    <t>TABLA DE FACTORES DE CORRECCION POR AGRUPAMIENTO PARA TUBERIA</t>
  </si>
  <si>
    <t>TABLA 310-15(b)(3)(a)</t>
  </si>
  <si>
    <t>NUMERO DE CONDUCTORES</t>
  </si>
  <si>
    <t>FACTORES DE CORRECCION</t>
  </si>
  <si>
    <t>QUE LLEVAN CORRIENTE</t>
  </si>
  <si>
    <t>POR AGRUPAMIENTO</t>
  </si>
  <si>
    <t>4 A 6</t>
  </si>
  <si>
    <t>7 A 9</t>
  </si>
  <si>
    <t>10 A 20</t>
  </si>
  <si>
    <t>21 A 30</t>
  </si>
  <si>
    <t>31 A 40</t>
  </si>
  <si>
    <t>41 Y MAS</t>
  </si>
  <si>
    <t>TABLA DE FACTORES DE CORRECCION POR AGRUPAMIENTO PARA DUCTO CUADRADO</t>
  </si>
  <si>
    <t>TABLA DE CAPACIDAD DE CORRIENTE DE CONDUCTORES DE COBRE EN TUBO O DUCTO</t>
  </si>
  <si>
    <t>CONSIDERANDO CABLEA S 75°C Y CABLES A 90°C PARA COMPARATIVA DE CORRIENTE</t>
  </si>
  <si>
    <t>CALIBRE</t>
  </si>
  <si>
    <t>CAPACIDAD</t>
  </si>
  <si>
    <t>2X250</t>
  </si>
  <si>
    <t>2X300</t>
  </si>
  <si>
    <t>2X350</t>
  </si>
  <si>
    <t>2X500</t>
  </si>
  <si>
    <t>2X750</t>
  </si>
  <si>
    <t>3X500</t>
  </si>
  <si>
    <t>4X500</t>
  </si>
  <si>
    <t>5X500</t>
  </si>
  <si>
    <t>5X750</t>
  </si>
  <si>
    <t>6X750</t>
  </si>
  <si>
    <t>7X750</t>
  </si>
  <si>
    <t>TABLA DE CAPACIDAD DE CORRIENTE DE CONDUCTORES DE ALUMINIO EN TUBO O DUCTO</t>
  </si>
  <si>
    <t>OPCION 1 Y 6</t>
  </si>
  <si>
    <t>TABLA DE CAPACIDAD DE CORRIENTE DE CONDUCTORES DE COBRE EN CHAROLA</t>
  </si>
  <si>
    <t>OPCION 5</t>
  </si>
  <si>
    <t>OPCION 2</t>
  </si>
  <si>
    <t>OPCION 3</t>
  </si>
  <si>
    <t>OPCION 4</t>
  </si>
  <si>
    <t>TABLA 310-15(b)(17)</t>
  </si>
  <si>
    <t>TABLA 310-15(b)(17), AL 65%</t>
  </si>
  <si>
    <t>TABLA 310-15(b)(17), AL 60%</t>
  </si>
  <si>
    <t>TABLA 310-15(b)(20)</t>
  </si>
  <si>
    <t>TABLA 310-17</t>
  </si>
  <si>
    <t>calibre</t>
  </si>
  <si>
    <t>TABLA DE CAPACIDAD DE CORRIENTE DE CONDUCTORES DE ALUMINIO EN CHAROLA</t>
  </si>
  <si>
    <t>VALORES DE RESISTENCIA Y REACTANCIA EN OHM/Km PARA CONDUCTORES DE COBRE</t>
  </si>
  <si>
    <t>R</t>
  </si>
  <si>
    <t>SECC.MM2</t>
  </si>
  <si>
    <t>DIAM. EXT.</t>
  </si>
  <si>
    <t>I MAX</t>
  </si>
  <si>
    <t>I PROT</t>
  </si>
  <si>
    <t>2X400</t>
  </si>
  <si>
    <t>EQUIVALENTES (RCOS+XSEN)</t>
  </si>
  <si>
    <t>RESISTENCIA Y REACTANCIA DE CONDUCTORES DE ALUMINIO</t>
  </si>
  <si>
    <t>OHMS/1000 FEET</t>
  </si>
  <si>
    <t>OHMS/KM</t>
  </si>
  <si>
    <t>DIAM.C/AISL</t>
  </si>
  <si>
    <t>-</t>
  </si>
  <si>
    <t>SELECCIÓN DEL</t>
  </si>
  <si>
    <t>INT. TERMOMAGNETICO</t>
  </si>
  <si>
    <t>INTERVALO</t>
  </si>
  <si>
    <t>DISPARO</t>
  </si>
  <si>
    <t>SELECCIÓN</t>
  </si>
  <si>
    <t>CAPACIDAD DE CONDUCTORES DE COBRE EN TUBO O DUCTO</t>
  </si>
  <si>
    <t>TABLA 310-16</t>
  </si>
  <si>
    <t>CAPACIDAD DE CONDUCTORES DE ALUMINIO EN TUBO O DUCTO</t>
  </si>
  <si>
    <t>VALORES PARA DETERMINAR EL CALBRE DEL CONDUCTOR MAXIMO</t>
  </si>
  <si>
    <t>COMPARANDO ENTRE CORRIENTE CORREGIDA Y CALCULO POR CAIDA DE TENSION</t>
  </si>
  <si>
    <t>CALIBRE DE CONDUCTOR DE TIERRA</t>
  </si>
  <si>
    <t>PARA CABLE MC STABILOY</t>
  </si>
  <si>
    <t>COBRE</t>
  </si>
  <si>
    <t>ALUMINIO</t>
  </si>
  <si>
    <t>CONDUCTORES DE PUESTA A TIERRA TAB.250-95 NOM-001</t>
  </si>
  <si>
    <t>CU</t>
  </si>
  <si>
    <t>SECC. mm2</t>
  </si>
  <si>
    <t>2,08 (14)</t>
  </si>
  <si>
    <t>---</t>
  </si>
  <si>
    <t>3,31 (12)</t>
  </si>
  <si>
    <t>5,26 (10)</t>
  </si>
  <si>
    <t>8,37 (8)</t>
  </si>
  <si>
    <t>13,3 (6)</t>
  </si>
  <si>
    <t>21,2 (4)</t>
  </si>
  <si>
    <t>33,6 (2)</t>
  </si>
  <si>
    <t>42,4 (1)</t>
  </si>
  <si>
    <t>53,5 (1/0)</t>
  </si>
  <si>
    <t>67,4 (2/0)</t>
  </si>
  <si>
    <t>85,0 (3/0)</t>
  </si>
  <si>
    <t>1 000</t>
  </si>
  <si>
    <t>107 (4/0)</t>
  </si>
  <si>
    <t>1 200</t>
  </si>
  <si>
    <t>127 (250)</t>
  </si>
  <si>
    <t>1 600</t>
  </si>
  <si>
    <t>177 (350)</t>
  </si>
  <si>
    <t>2 000</t>
  </si>
  <si>
    <t>203 (400)</t>
  </si>
  <si>
    <t>2 500</t>
  </si>
  <si>
    <t>304 (600)</t>
  </si>
  <si>
    <t>3 000</t>
  </si>
  <si>
    <t>4 000</t>
  </si>
  <si>
    <t>253 (500)</t>
  </si>
  <si>
    <t>405 (800)</t>
  </si>
  <si>
    <t>5 000</t>
  </si>
  <si>
    <t>354,7 (700)</t>
  </si>
  <si>
    <t>608 (1 200)</t>
  </si>
  <si>
    <t>6 000</t>
  </si>
  <si>
    <t>DIMENSIONES DE TUBERIA Y DUCTOS</t>
  </si>
  <si>
    <t>DIMENSIONES DE TUBO CONDUIT</t>
  </si>
  <si>
    <t>CAPACIDAD EL DUCTO</t>
  </si>
  <si>
    <t>DIMENSIONES DE TUBO CONDUIT CIRCUITOS DERIVADOS</t>
  </si>
  <si>
    <t>vinculo con tablero</t>
  </si>
  <si>
    <t>NOM</t>
  </si>
  <si>
    <t>T-16 mm</t>
  </si>
  <si>
    <t>T-1/2"</t>
  </si>
  <si>
    <t>T-13 mm</t>
  </si>
  <si>
    <t>MC-STABILOY</t>
  </si>
  <si>
    <t>D-6x6cm</t>
  </si>
  <si>
    <t>D-2"</t>
  </si>
  <si>
    <t>1/2</t>
  </si>
  <si>
    <t>T-21 mm</t>
  </si>
  <si>
    <t>T-3/4"</t>
  </si>
  <si>
    <t>T-19 mm</t>
  </si>
  <si>
    <t>D-10x10cm</t>
  </si>
  <si>
    <t>D-4"</t>
  </si>
  <si>
    <t>3/4</t>
  </si>
  <si>
    <t>T-27 mm</t>
  </si>
  <si>
    <t>T-1"</t>
  </si>
  <si>
    <t>T-25 mm</t>
  </si>
  <si>
    <t>D-15x15cm</t>
  </si>
  <si>
    <t>D-6"</t>
  </si>
  <si>
    <t>1</t>
  </si>
  <si>
    <t>T-35 mm</t>
  </si>
  <si>
    <t>T-1-1/4"</t>
  </si>
  <si>
    <t>T-32 mm</t>
  </si>
  <si>
    <t>1-1/4</t>
  </si>
  <si>
    <t>T-41 mm</t>
  </si>
  <si>
    <t>T-1-1/2"</t>
  </si>
  <si>
    <t>T-38 mm</t>
  </si>
  <si>
    <t>1-1/2</t>
  </si>
  <si>
    <t>T-53 mm</t>
  </si>
  <si>
    <t>T-2"</t>
  </si>
  <si>
    <t>T-51 mm</t>
  </si>
  <si>
    <t>2</t>
  </si>
  <si>
    <t>T-63 mm</t>
  </si>
  <si>
    <t>T-2-1/2"</t>
  </si>
  <si>
    <t>2-1/2</t>
  </si>
  <si>
    <t>T-78 mm</t>
  </si>
  <si>
    <t>T-3"</t>
  </si>
  <si>
    <t>T-76 mm</t>
  </si>
  <si>
    <t>3</t>
  </si>
  <si>
    <t>T-103 mm</t>
  </si>
  <si>
    <t>T-4"</t>
  </si>
  <si>
    <t>T-101 mm</t>
  </si>
  <si>
    <t>4</t>
  </si>
  <si>
    <t>DIMENSIONES DE CHAROLAS</t>
  </si>
  <si>
    <t>ANCHOS DE CHAROLA ESCALERA</t>
  </si>
  <si>
    <t>ANCHO</t>
  </si>
  <si>
    <t>CM</t>
  </si>
  <si>
    <t>PLG</t>
  </si>
  <si>
    <t>CH-4"</t>
  </si>
  <si>
    <t>CH-10cm</t>
  </si>
  <si>
    <t>CH-6"</t>
  </si>
  <si>
    <t>CH-15cm</t>
  </si>
  <si>
    <t>CH-9"</t>
  </si>
  <si>
    <t>CH-22cm</t>
  </si>
  <si>
    <t>CH-12"</t>
  </si>
  <si>
    <t>CH-30cm</t>
  </si>
  <si>
    <t>CH-16"</t>
  </si>
  <si>
    <t>CH-40cm</t>
  </si>
  <si>
    <t>CH-18"</t>
  </si>
  <si>
    <t>CH-45cm</t>
  </si>
  <si>
    <t>CH-20"</t>
  </si>
  <si>
    <t>CH-51cm</t>
  </si>
  <si>
    <t>CH-24"</t>
  </si>
  <si>
    <t>CH-61cm</t>
  </si>
  <si>
    <t>CH-30"</t>
  </si>
  <si>
    <t>CH-76cm</t>
  </si>
  <si>
    <t>CH-36"</t>
  </si>
  <si>
    <t>CH-91cm</t>
  </si>
  <si>
    <t>2CH-36"</t>
  </si>
  <si>
    <t>2CH-91cm</t>
  </si>
  <si>
    <t>CAPACIDADES COMERCIALES DE TRANSFORMADORES</t>
  </si>
  <si>
    <t>CAPACIDADES DE TRANSFORMADORES</t>
  </si>
  <si>
    <t>NOMENCLATURA DE CABLES</t>
  </si>
  <si>
    <t>AWG</t>
  </si>
  <si>
    <t>KCM</t>
  </si>
  <si>
    <t>MOTORES DE CORRIENTE ALTERNA</t>
  </si>
  <si>
    <t>MONOFASICOS TABAL 430-148</t>
  </si>
  <si>
    <t>MONOFASICOS TABLA 430-148</t>
  </si>
  <si>
    <t>CP</t>
  </si>
  <si>
    <t>127V</t>
  </si>
  <si>
    <t>220V</t>
  </si>
  <si>
    <t xml:space="preserve">TRIFASICOS 430-150 </t>
  </si>
  <si>
    <t>TRIFASICOS 430-150 CORREGIDA A FP=0.9</t>
  </si>
  <si>
    <t>460V</t>
  </si>
  <si>
    <t/>
  </si>
  <si>
    <t>7-1/2</t>
  </si>
  <si>
    <t>10</t>
  </si>
  <si>
    <t>15</t>
  </si>
  <si>
    <t>20</t>
  </si>
  <si>
    <t>25</t>
  </si>
  <si>
    <t>30</t>
  </si>
  <si>
    <t>40</t>
  </si>
  <si>
    <t>TRE682E</t>
  </si>
  <si>
    <t>50</t>
  </si>
  <si>
    <t>60</t>
  </si>
  <si>
    <t>75</t>
  </si>
  <si>
    <t>100</t>
  </si>
  <si>
    <t>125</t>
  </si>
  <si>
    <t>150</t>
  </si>
  <si>
    <t>200</t>
  </si>
  <si>
    <t>250</t>
  </si>
  <si>
    <t>300</t>
  </si>
  <si>
    <t>350</t>
  </si>
  <si>
    <t>400</t>
  </si>
  <si>
    <t>450</t>
  </si>
  <si>
    <t>500</t>
  </si>
  <si>
    <t>SECCION EN mm2 DEL CONDUCTOR PARA CALCULO POR CORTO CIRCUITO</t>
  </si>
  <si>
    <t>POR CORTO CIRCUITO</t>
  </si>
  <si>
    <t>MARGEN</t>
  </si>
  <si>
    <t>CAL</t>
  </si>
  <si>
    <t>14 AWG</t>
  </si>
  <si>
    <t>12 AWG</t>
  </si>
  <si>
    <t>10 AWG</t>
  </si>
  <si>
    <t>8 AWG</t>
  </si>
  <si>
    <t>6 AWG</t>
  </si>
  <si>
    <t>4 AWG</t>
  </si>
  <si>
    <t>2 AWG</t>
  </si>
  <si>
    <t xml:space="preserve">1/0 </t>
  </si>
  <si>
    <t>1/0 AWG</t>
  </si>
  <si>
    <t xml:space="preserve">2/0 </t>
  </si>
  <si>
    <t>2/0 AWG</t>
  </si>
  <si>
    <t xml:space="preserve">3/0 </t>
  </si>
  <si>
    <t>3/0 AWG</t>
  </si>
  <si>
    <t xml:space="preserve">4/0 </t>
  </si>
  <si>
    <t>4/0 AWG</t>
  </si>
  <si>
    <t>250 MCM</t>
  </si>
  <si>
    <t>300 MCM</t>
  </si>
  <si>
    <t>400 MCM</t>
  </si>
  <si>
    <t>500 MCM</t>
  </si>
  <si>
    <t>750 MCM</t>
  </si>
  <si>
    <t>1000 MCM</t>
  </si>
  <si>
    <t>CAPACIDADES DE PLANTAS DE EMERGENGIA</t>
  </si>
  <si>
    <t>COMERCIALES</t>
  </si>
  <si>
    <r>
      <t>MOTOR</t>
    </r>
    <r>
      <rPr>
        <sz val="10"/>
        <rFont val="Arial"/>
        <family val="2"/>
      </rPr>
      <t> </t>
    </r>
  </si>
  <si>
    <r>
      <t>CAPACIDAD CONTINUA APLICACIÓN EMERGENCIA KW.</t>
    </r>
    <r>
      <rPr>
        <sz val="10"/>
        <rFont val="Arial"/>
        <family val="2"/>
      </rPr>
      <t> </t>
    </r>
  </si>
  <si>
    <r>
      <t>POTENCIA MAXIMA 1800 RPM H.P.</t>
    </r>
    <r>
      <rPr>
        <sz val="10"/>
        <rFont val="Arial"/>
        <family val="2"/>
      </rPr>
      <t> </t>
    </r>
  </si>
  <si>
    <t>CONSUMO COMBUSTIBLE PLENA</t>
  </si>
  <si>
    <t>DIMENSIONES MAXIMAS APROX. (CMS</t>
  </si>
  <si>
    <r>
      <t>PESO APROX. Kgs.</t>
    </r>
    <r>
      <rPr>
        <sz val="10"/>
        <rFont val="Arial"/>
        <family val="2"/>
      </rPr>
      <t> </t>
    </r>
  </si>
  <si>
    <t>MOTOR </t>
  </si>
  <si>
    <t>CAPACIDAD CONTINUA APLICACIÓN EMERGENCIA KW. </t>
  </si>
  <si>
    <t>CARGA lts/hora</t>
  </si>
  <si>
    <t>L</t>
  </si>
  <si>
    <t>AN</t>
  </si>
  <si>
    <t>AL</t>
  </si>
  <si>
    <t>4B3.9G2</t>
  </si>
  <si>
    <t>4BT3.9G3</t>
  </si>
  <si>
    <t>4BT3.9G4</t>
  </si>
  <si>
    <t>4BTA3.9G3</t>
  </si>
  <si>
    <t>6BT5.9G6</t>
  </si>
  <si>
    <t>6CT8.3G2</t>
  </si>
  <si>
    <t>6CTA8.3G2</t>
  </si>
  <si>
    <t>6CTAA8.3G1</t>
  </si>
  <si>
    <t>LTA10G2</t>
  </si>
  <si>
    <t>LTA10G1</t>
  </si>
  <si>
    <t>NTA855G2</t>
  </si>
  <si>
    <t>NTA855G3</t>
  </si>
  <si>
    <t>NTA855G5</t>
  </si>
  <si>
    <t>QSX15G7</t>
  </si>
  <si>
    <t>QSX15G9</t>
  </si>
  <si>
    <t>VTA28G5</t>
  </si>
  <si>
    <t>QST30G1</t>
  </si>
  <si>
    <t>MAU456</t>
  </si>
  <si>
    <t>QST30G2</t>
  </si>
  <si>
    <t>QST30G3</t>
  </si>
  <si>
    <t>QST30G4</t>
  </si>
  <si>
    <t>KTA50G2</t>
  </si>
  <si>
    <t>KTA50G3</t>
  </si>
  <si>
    <t>KTA50G9</t>
  </si>
  <si>
    <t>FWG856</t>
  </si>
  <si>
    <t>QSK60G5</t>
  </si>
  <si>
    <t>QSK60G6</t>
  </si>
  <si>
    <t>area de tuberia para canalizacion minima</t>
  </si>
  <si>
    <t>CAPACIDADES COMERCIALES DE UPS</t>
  </si>
  <si>
    <t>CAPACIDADES DE UPS</t>
  </si>
  <si>
    <t>CAPACIDADES DE REGULADORES</t>
  </si>
  <si>
    <t>F/R</t>
  </si>
  <si>
    <t>Tabla 9. Resistencia y reactancia en corriente alterna para los cables para 600 volts, 3 fases a 60 Hz y 75 °C. Tres conductores individuales en un tubo conduit.</t>
  </si>
  <si>
    <t>XL (Reactancia)para
todos
los conductores</t>
  </si>
  <si>
    <t>Resistencia en corriente alterna
para conductores de cobre sin
recubrimiento</t>
  </si>
  <si>
    <t>Resistencia en corriente
alterna para conductores de
aluminio</t>
  </si>
  <si>
    <t>Z eficaz a FP = 0.85 para
conductores de cobre sin
recubrimiento</t>
  </si>
  <si>
    <t>Z eficaz a FP = 0.85 para
conductores de aluminio</t>
  </si>
  <si>
    <t>Tamaño
(AWG o
kcmil)</t>
  </si>
  <si>
    <t>Conduit de
PVC o
Aluminio</t>
  </si>
  <si>
    <t>Conduit
de acero</t>
  </si>
  <si>
    <t>Conduit
de PVC</t>
  </si>
  <si>
    <t>Conduit de
Aluminio</t>
  </si>
  <si>
    <t>Conduit
de Acero</t>
  </si>
  <si>
    <t>TABLA 250-66.- Conductor del electrodo de puesta a tierra para sistemas de corriente alterna</t>
  </si>
  <si>
    <t>Tamaño del mayor conductor de entrada a la acometida o área equivalente
para conductores en paralelo</t>
  </si>
  <si>
    <t>Tamaño del conductor al electrodo
de puesta a tierra</t>
  </si>
  <si>
    <t>mm2</t>
  </si>
  <si>
    <t>AWG O kcmil</t>
  </si>
  <si>
    <t>1-8T AWG Cu</t>
  </si>
  <si>
    <t>1-6T AWG Al</t>
  </si>
  <si>
    <t>33.6 O MENOS</t>
  </si>
  <si>
    <t>2 O MENOS</t>
  </si>
  <si>
    <t>53.5 O MENOR</t>
  </si>
  <si>
    <t>1/0 O MENOR</t>
  </si>
  <si>
    <t>1-6T AWG Cu</t>
  </si>
  <si>
    <t>1-4T AWG Al</t>
  </si>
  <si>
    <t>42.4 O 53.5</t>
  </si>
  <si>
    <t>1 o 1/0</t>
  </si>
  <si>
    <t>67.4 o 85</t>
  </si>
  <si>
    <t>2/0 o 3/0</t>
  </si>
  <si>
    <t>1-4T AWG Cu</t>
  </si>
  <si>
    <t>1-2T AWG Al</t>
  </si>
  <si>
    <t>107 o 127</t>
  </si>
  <si>
    <t>4/0 o 250</t>
  </si>
  <si>
    <t>1-2T AWG Cu</t>
  </si>
  <si>
    <t>1-1/0T AWG Al</t>
  </si>
  <si>
    <t>mas de 85 a 177</t>
  </si>
  <si>
    <t>mas de 3/0 a 350</t>
  </si>
  <si>
    <t>mas de 127 a 253</t>
  </si>
  <si>
    <t>mas de 250 a 500</t>
  </si>
  <si>
    <t>1-1/0T AWG Cu</t>
  </si>
  <si>
    <t>1-3/0T AWG Al</t>
  </si>
  <si>
    <t>mas de 177 a 304</t>
  </si>
  <si>
    <t>mas de 350 a 600</t>
  </si>
  <si>
    <t>mas de 253 a 456</t>
  </si>
  <si>
    <t>mas de 500 a 900</t>
  </si>
  <si>
    <t>1-2/0T AWG Cu</t>
  </si>
  <si>
    <t>1-4/0T AWG Al</t>
  </si>
  <si>
    <t>mas de 304 a 557.38</t>
  </si>
  <si>
    <t>mas de 600 a 1100</t>
  </si>
  <si>
    <t>mas de 456 a 887</t>
  </si>
  <si>
    <t>mas de 900 a 1750</t>
  </si>
  <si>
    <t>1-3/0T AWG Cu</t>
  </si>
  <si>
    <t>1-250T kcmil Al</t>
  </si>
  <si>
    <t>mas de 557.38</t>
  </si>
  <si>
    <t>mas de 1100</t>
  </si>
  <si>
    <t>mas de 887</t>
  </si>
  <si>
    <t>mas de 175</t>
  </si>
  <si>
    <t>puente union</t>
  </si>
  <si>
    <t>rango</t>
  </si>
  <si>
    <t>18T AWG Cu</t>
  </si>
  <si>
    <t>18T AWG Al</t>
  </si>
  <si>
    <t>16T AWG Cu</t>
  </si>
  <si>
    <t>16T AWG Al</t>
  </si>
  <si>
    <t>14T AWG Cu</t>
  </si>
  <si>
    <t>14T AWG Al</t>
  </si>
  <si>
    <t>12T AWG Cu</t>
  </si>
  <si>
    <t>12T AWG Al</t>
  </si>
  <si>
    <t>10T AWG Cu</t>
  </si>
  <si>
    <t>10T AWG Al</t>
  </si>
  <si>
    <t>8T AWG Cu</t>
  </si>
  <si>
    <t>8T AWG Al</t>
  </si>
  <si>
    <t>6T AWG Cu</t>
  </si>
  <si>
    <t>6T AWG Al</t>
  </si>
  <si>
    <t>4T AWG Cu</t>
  </si>
  <si>
    <t>4T AWG Al</t>
  </si>
  <si>
    <t>2T AWG Cu</t>
  </si>
  <si>
    <t>2T AWG Al</t>
  </si>
  <si>
    <t>1T AWG Cu</t>
  </si>
  <si>
    <t>1T AWG Al</t>
  </si>
  <si>
    <t>1/0T AWG Cu</t>
  </si>
  <si>
    <t>1/0T AWG Al</t>
  </si>
  <si>
    <t>2/0T AWG Cu</t>
  </si>
  <si>
    <t>2/0T AWG Al</t>
  </si>
  <si>
    <t>3/0T AWG Cu</t>
  </si>
  <si>
    <t>3/0T AWG Al</t>
  </si>
  <si>
    <t>4/0T AWG Cu</t>
  </si>
  <si>
    <t>4/0T AWG Al</t>
  </si>
  <si>
    <t>250T kcmil Cu</t>
  </si>
  <si>
    <t>250T kcmil Al</t>
  </si>
  <si>
    <t>300T kcmil Cu</t>
  </si>
  <si>
    <t>300T kcmil Al</t>
  </si>
  <si>
    <t>350T kcmil Cu</t>
  </si>
  <si>
    <t>350T kcmil Al</t>
  </si>
  <si>
    <t>400T kcmil Cu</t>
  </si>
  <si>
    <t>400T kcmil Al</t>
  </si>
  <si>
    <t>500T kcmil Cu</t>
  </si>
  <si>
    <t>500T kcmil Al</t>
  </si>
  <si>
    <t>600T kcmil Cu</t>
  </si>
  <si>
    <t>600T kcmil Al</t>
  </si>
  <si>
    <t>750T kcmil Cu</t>
  </si>
  <si>
    <t>750T kcmil Al</t>
  </si>
  <si>
    <t>1000T kcmil Cu</t>
  </si>
  <si>
    <t>1000T kcmil Al</t>
  </si>
  <si>
    <t>ALFA432E</t>
  </si>
  <si>
    <t>BETA356E</t>
  </si>
  <si>
    <t>GAMA897E</t>
  </si>
  <si>
    <t>HER854E</t>
  </si>
  <si>
    <t>MEW897E</t>
  </si>
  <si>
    <t>PLI784E</t>
  </si>
  <si>
    <t>EWQ562E</t>
  </si>
  <si>
    <t>YHN123E</t>
  </si>
  <si>
    <t>MUJ887E</t>
  </si>
  <si>
    <t>WSC258E</t>
  </si>
  <si>
    <t>HOJA DE CALCULO CREADA POR ING.ADOLFO HERNANDEZ RODRIGUEZ</t>
  </si>
  <si>
    <t>HOJA DE DATOS</t>
  </si>
  <si>
    <t>TABLERO</t>
  </si>
  <si>
    <t>Proyecto:</t>
  </si>
  <si>
    <t>ALERTAS TABLERO</t>
  </si>
  <si>
    <t>Cliente:</t>
  </si>
  <si>
    <t>CATALOGO</t>
  </si>
  <si>
    <t>INT. PPAL</t>
  </si>
  <si>
    <t>INT. DERIVADO</t>
  </si>
  <si>
    <t>NUM.CIRCUITOS</t>
  </si>
  <si>
    <t>TIPO</t>
  </si>
  <si>
    <t>SERVICIO</t>
  </si>
  <si>
    <t>Marca:</t>
  </si>
  <si>
    <t>POLOS A UTILIZAR:</t>
  </si>
  <si>
    <t>Fecha:</t>
  </si>
  <si>
    <t>Interruptor / Zapatas:</t>
  </si>
  <si>
    <t>DATOS PARA EL CALCULO</t>
  </si>
  <si>
    <t>NQ, 3F, 4H, INT.PPAL 3P-100A, 30 ESP., CAT. NQ304AB100</t>
  </si>
  <si>
    <t>Voltaje:</t>
  </si>
  <si>
    <t>/</t>
  </si>
  <si>
    <t>Fases:</t>
  </si>
  <si>
    <t>FACTORES DE DEMANDA</t>
  </si>
  <si>
    <t>CA</t>
  </si>
  <si>
    <t>ALUMBRADO:</t>
  </si>
  <si>
    <t>Frecuencia:</t>
  </si>
  <si>
    <t>IMPED. PROM.</t>
  </si>
  <si>
    <t>Temperatura Ambiente:</t>
  </si>
  <si>
    <t>°C</t>
  </si>
  <si>
    <t>DATOS Icc TRAFO</t>
  </si>
  <si>
    <t>OTRO:</t>
  </si>
  <si>
    <t>Factor de Potencia f.p.:</t>
  </si>
  <si>
    <t>IMPEDANCIA Z%=</t>
  </si>
  <si>
    <t>MOTORES:</t>
  </si>
  <si>
    <t>POR AMPLIACION=</t>
  </si>
  <si>
    <t>TABLEROS DERIVADOS:</t>
  </si>
  <si>
    <t>FACT. DECREM=</t>
  </si>
  <si>
    <t>TRAFOS:</t>
  </si>
  <si>
    <t>RESERVA:</t>
  </si>
  <si>
    <t>DISTANCIA ADICIONAL DE</t>
  </si>
  <si>
    <t>F.D. PARA TODO EL TABLERO:</t>
  </si>
  <si>
    <t>CIRCUITOS A TABLERO</t>
  </si>
  <si>
    <t>Calibre mínimo de conductor para Alumbrado:</t>
  </si>
  <si>
    <t>Material de los Conductores Derivados (Cu/Al):</t>
  </si>
  <si>
    <t>Calibre mínimo de conductor para Receptáculos:</t>
  </si>
  <si>
    <t>Material de los Conductores del Alimentador (Cu/Al):</t>
  </si>
  <si>
    <t>Canalización Derivados (NOM/MT/IN/MC):</t>
  </si>
  <si>
    <t>Protección mínima para Alumbrado:</t>
  </si>
  <si>
    <t>Canalización Alimentador (NOM/MT/IN/MC):</t>
  </si>
  <si>
    <t>Protección mínima para Receptáculos:</t>
  </si>
  <si>
    <t>TIPO DE ALIMENTADOR (TB / TR / PE / UPS / REG):</t>
  </si>
  <si>
    <t>TB</t>
  </si>
  <si>
    <t>SI ES TR:</t>
  </si>
  <si>
    <t>SECO</t>
  </si>
  <si>
    <t>Protección mínima para Motores:</t>
  </si>
  <si>
    <t>KW</t>
  </si>
  <si>
    <t>Díametro minimo de Tubería:</t>
  </si>
  <si>
    <t>Circuito de ejemplo para memoria de calculo:</t>
  </si>
  <si>
    <t>REVISIONES</t>
  </si>
  <si>
    <t>REVISION</t>
  </si>
  <si>
    <t>CONCEPTO</t>
  </si>
  <si>
    <t>FECHA</t>
  </si>
  <si>
    <t>APROBO</t>
  </si>
  <si>
    <t>CALCULO DE LOS CIRCULAR MILS DE ACUERDO AL CORTO CIRCUITO</t>
  </si>
  <si>
    <t>NO BORRES ESTAS FORMULAS</t>
  </si>
  <si>
    <t>A= AREA DEL CONDUCTOR EN CIRCULAR MIL (AL O CU) =</t>
  </si>
  <si>
    <t>If = CORRIENTE MAXIMA DE CORTO CIRCUITO =</t>
  </si>
  <si>
    <t>AMP.</t>
  </si>
  <si>
    <t>t= TIEMPO DE DURACION DEL FLUJO DE CORRIENTE =</t>
  </si>
  <si>
    <t>SEG</t>
  </si>
  <si>
    <t>T2= TEMP. MAXIMA DE OPERACIÓN ANTES DE LA FALLA =</t>
  </si>
  <si>
    <t>°C.</t>
  </si>
  <si>
    <t>(60° si es menor de 100A y 75° si es mayor)</t>
  </si>
  <si>
    <t>T1= TEMP. MAXIMA AL FINAL DEL FLUJO DE CORRIENTE =</t>
  </si>
  <si>
    <t>(200° si es THW y 250° si es XHHW)</t>
  </si>
  <si>
    <t>DATOS DEL MATERIAL DEL CONDUCTOR</t>
  </si>
  <si>
    <t>Acm=</t>
  </si>
  <si>
    <t>ALUMNIO</t>
  </si>
  <si>
    <t>Amm2=</t>
  </si>
  <si>
    <t>cable</t>
  </si>
  <si>
    <t>FORMATO EN KW O KVA</t>
  </si>
  <si>
    <t>KVA</t>
  </si>
  <si>
    <t>Tamaño</t>
  </si>
  <si>
    <t>Capacidad</t>
  </si>
  <si>
    <t>Cap . máx</t>
  </si>
  <si>
    <t>No de</t>
  </si>
  <si>
    <t>ILINE</t>
  </si>
  <si>
    <t>(A)</t>
  </si>
  <si>
    <t>derivado</t>
  </si>
  <si>
    <t>ctos .</t>
  </si>
  <si>
    <t>EXISTENTE</t>
  </si>
  <si>
    <t>3P-100A</t>
  </si>
  <si>
    <t>I-LINE T-1 PPAL 3P-100 DE 8 CIRCUITOS, MAX A INSTALAR 250 (H,J)CAT. HD100M81B</t>
  </si>
  <si>
    <t>HD100M81B</t>
  </si>
  <si>
    <t>I-LINE T-1 PPAL 3P-250 DE 14 CIRCUITOS, MAX A INSTALAR 250 (H,J)CAT. JG250M141B</t>
  </si>
  <si>
    <t>JG250M141B</t>
  </si>
  <si>
    <t>3P-250A</t>
  </si>
  <si>
    <t>I-LINE T-1 PPAL 3P-400 DE 8 CIRCUITOS, MAX A INSTALAR 250 (H,J)CAT.  LA400M81B</t>
  </si>
  <si>
    <t xml:space="preserve"> LA400M81B</t>
  </si>
  <si>
    <t>3P-400A</t>
  </si>
  <si>
    <t>I-LINE T-1 PPAL 3P-400 DE 14 CIRCUITOS, MAX A INSTALAR 250 (H,J)CAT.  LA400M141B</t>
  </si>
  <si>
    <t xml:space="preserve"> LA400M141B</t>
  </si>
  <si>
    <t>I-LINE T-1 PPAL 3P-400 DE 18 CIRCUITOS, MAX A INSTALAR 250 (H,J)CAT.  LA400M181B</t>
  </si>
  <si>
    <t xml:space="preserve"> LA400M181B</t>
  </si>
  <si>
    <t xml:space="preserve">I-LINE T-2 PPAL 3P-600 DE 8 CIRCUITOS, MAX A INSTALAR 400 (L)CAT.  MG600M82B </t>
  </si>
  <si>
    <t xml:space="preserve"> MG600M82B </t>
  </si>
  <si>
    <t>3P-600A</t>
  </si>
  <si>
    <t>I-LINE T-2 PPAL 3P-600 DE 14 CIRCUITOS, MAX A INSTALAR 400 (L)CAT. MG600M142B</t>
  </si>
  <si>
    <t>MG600M142B</t>
  </si>
  <si>
    <t>I-LINE T-2 PPAL 3P-600 DE 18 CIRCUITOS, MAX A INSTALAR 400 (L)CAT.  MG600M182B</t>
  </si>
  <si>
    <t xml:space="preserve"> MG600M182B</t>
  </si>
  <si>
    <t>3P-800A</t>
  </si>
  <si>
    <t>I-LINE T-2 PPAL 3P-800 DE 8 CIRCUITOS, MAX A INSTALAR 400 (L)CAT.  MG800M82B</t>
  </si>
  <si>
    <t xml:space="preserve"> MG800M82B</t>
  </si>
  <si>
    <t>I-LINE T-2 PPAL 3P-800 DE 14 CIRCUITOS, MAX A INSTALAR 400 (L)CAT.  MG800M142B</t>
  </si>
  <si>
    <t xml:space="preserve"> MG800M142B</t>
  </si>
  <si>
    <t>I-LINE T-2 PPAL 3P-800 DE 18 CIRCUITOS, MAX A INSTALAR 400 (L)CAT.  MG800M182B</t>
  </si>
  <si>
    <t xml:space="preserve"> MG800M182B</t>
  </si>
  <si>
    <t>I-LINE T-3 PPAL 3P-1200 DE 22 CIRCUITOS, MAX A INSTALAR 800 (M)CAT.  PJ1200M223A</t>
  </si>
  <si>
    <t xml:space="preserve"> PJ1200M223A</t>
  </si>
  <si>
    <t>3P-1200A</t>
  </si>
  <si>
    <t>I-LINE T-3 PPAL 3P-1200 DE 22 CIRCUITOS, MAX A INSTALAR 800 (M)CAT.  PJ1200M223PA</t>
  </si>
  <si>
    <t xml:space="preserve"> PJ1200M223PA</t>
  </si>
  <si>
    <t>I-LINE T-1 Z-400A DE 10 CIRCUITOS, MAX A INSTALAR 250 (H,J)CAT.  ML400101B</t>
  </si>
  <si>
    <t xml:space="preserve"> ML400101B</t>
  </si>
  <si>
    <t>Z-400A</t>
  </si>
  <si>
    <t>I-LINE T-1 Z-400A DE 16 CIRCUITOS, MAX A INSTALAR 250 (H,J)CAT. ML400161B</t>
  </si>
  <si>
    <t>ML400161B</t>
  </si>
  <si>
    <t>I-LINE T-1 Z-400A DE 20 CIRCUITOS, MAX A INSTALAR 250 (H,J)CAT. ML400201B</t>
  </si>
  <si>
    <t>ML400201B</t>
  </si>
  <si>
    <t>I-LINE T-2 Z-600A DE 10 CIRCUITOS, MAX A INSTALAR 400 (L)CAT. ML600102B</t>
  </si>
  <si>
    <t>ML600102B</t>
  </si>
  <si>
    <t>Z-600A</t>
  </si>
  <si>
    <t>I-LINE T-2 Z-600A DE 16 CIRCUITOS, MAX A INSTALAR 400 (L)CAT. ML600162B</t>
  </si>
  <si>
    <t>ML600162B</t>
  </si>
  <si>
    <t>I-LINE T-2 Z-600A DE 20 CIRCUITOS, MAX A INSTALAR 400 (L)CAT. ML600202B</t>
  </si>
  <si>
    <t>ML600202B</t>
  </si>
  <si>
    <t>Z-800A</t>
  </si>
  <si>
    <t>I-LINE T-2 Z-800A DE 10 CIRCUITOS, MAX A INSTALAR 400 (L)CAT. ML800102B</t>
  </si>
  <si>
    <t>ML800102B</t>
  </si>
  <si>
    <t>I-LINE T-2 Z-800A DE 16 CIRCUITOS, MAX A INSTALAR 400 (L)CAT. ML800162B</t>
  </si>
  <si>
    <t>ML800162B</t>
  </si>
  <si>
    <t>I-LINE T-2 Z-800A DE 20 CIRCUITOS, MAX A INSTALAR 400 (L)CAT. ML800202B</t>
  </si>
  <si>
    <t>ML800202B</t>
  </si>
  <si>
    <t>I-LINE T-3 Z-1200A DE 22 CIRCUITOS, MAX A INSTALAR 800 (M)CAT. ML1200223A</t>
  </si>
  <si>
    <t>ML1200223A</t>
  </si>
  <si>
    <t>Z-1200A</t>
  </si>
  <si>
    <t>I-LINE T-3 Z-1200A DE 22 CIRCUITOS, MAX A INSTALAR 800 (M)CAT.  ML1200223PA</t>
  </si>
  <si>
    <t xml:space="preserve"> ML1200223PA</t>
  </si>
  <si>
    <t>NQ</t>
  </si>
  <si>
    <t>NQ, 1F, 3H, ZAP-100A, 18 ESP., CAT. NQ183L100</t>
  </si>
  <si>
    <t>NQ183L100</t>
  </si>
  <si>
    <t>NQ, 1F, 3H, ZAP-100A, 30 ESP., CAT. NQ303L100</t>
  </si>
  <si>
    <t>NQ303L100</t>
  </si>
  <si>
    <t>NQ, 1F, 3H, ZAP-225A, 30 ESP., CAT. NQ303L225</t>
  </si>
  <si>
    <t>NQ303L225</t>
  </si>
  <si>
    <t>NQ, 1F, 3H, ZAP-225A, 42 ESP., CAT. NQ423L225</t>
  </si>
  <si>
    <t>NQ423L225</t>
  </si>
  <si>
    <t>NQ, 1F, 3H, ZAP-225A, 54 ESP., CAT.  NQ543L225</t>
  </si>
  <si>
    <t xml:space="preserve"> NQ543L225</t>
  </si>
  <si>
    <t>NQ, 1F, 3H, ZAP-225A, 72 ESP., CAT. NQ723L225</t>
  </si>
  <si>
    <t>NQ723L225</t>
  </si>
  <si>
    <t>NQ, 1F, 3H, ZAP-225A, 84 ESP., CAT.  NQ843L225</t>
  </si>
  <si>
    <t xml:space="preserve"> NQ843L225</t>
  </si>
  <si>
    <t>NQ, 1F, 3H, ZAP-400A, 30 ESP., CAT. NQ303L400</t>
  </si>
  <si>
    <t>NQ303L400</t>
  </si>
  <si>
    <t>NQ, 1F, 3H, ZAP-400A, 42 ESP., CAT. NQ423L400</t>
  </si>
  <si>
    <t>NQ423L400</t>
  </si>
  <si>
    <t>NQ, 1F, 3H, ZAP-400A, 54 ESP., CAT. NQ543L400</t>
  </si>
  <si>
    <t>NQ543L400</t>
  </si>
  <si>
    <t>NQ, 1F, 3H, ZAP-400A, 84 ESP., CAT. NQ843L400</t>
  </si>
  <si>
    <t>NQ843L400</t>
  </si>
  <si>
    <t>NQ, 1F, 3H, ZAP-600A, 30 ESP., CAT. NQ303L600</t>
  </si>
  <si>
    <t>NQ303L600</t>
  </si>
  <si>
    <t>NQ, 1F, 3H, ZAP-600A, 42 ESP., CAT. NQ423L600</t>
  </si>
  <si>
    <t>NQ423L600</t>
  </si>
  <si>
    <t>NQ, 1F, 3H, ZAP-600A, 54 ESP., CAT. NQ543L600</t>
  </si>
  <si>
    <t>NQ543L600</t>
  </si>
  <si>
    <t>NQ, 1F, 3H, ZAP-600A, 84 ESP., CAT.  NQ843L600</t>
  </si>
  <si>
    <t xml:space="preserve"> NQ843L600</t>
  </si>
  <si>
    <t>NQ,3F, 4H, ZAP-100A, 18 ESPACIOS, CAT. NQ184L100</t>
  </si>
  <si>
    <t>NQ184L100</t>
  </si>
  <si>
    <t>NQ,3F, 4H, ZAP-100A, 30 ESPACIOS, CAT. NQ304L100</t>
  </si>
  <si>
    <t>NQ304L100</t>
  </si>
  <si>
    <t>NQ,3F, 4H, ZAP-225A, 30 ESPACIOS, CAT. NQ304L225</t>
  </si>
  <si>
    <t>NQ304L225</t>
  </si>
  <si>
    <t>NQ,3F, 4H, ZAP-225A, 42 ESPACIOS, CAT. NQ424L225</t>
  </si>
  <si>
    <t>NQ424L225</t>
  </si>
  <si>
    <t>NQ,3F, 4H, ZAP-225A, 54 ESPACIOS, CAT. NQ544L225</t>
  </si>
  <si>
    <t>NQ544L225</t>
  </si>
  <si>
    <t xml:space="preserve">NQ,3F, 4H, ZAP-225A, 72 ESPACIOS, CAT. NQ724L225 </t>
  </si>
  <si>
    <t xml:space="preserve">NQ724L225 </t>
  </si>
  <si>
    <t>NQ,3F, 4H, ZAP-225A, 84 ESPACIOS, CAT. NQ844L225</t>
  </si>
  <si>
    <t>NQ844L225</t>
  </si>
  <si>
    <t>NQ,3F, 4H, ZAP-400A, 30 ESPACIOS, CAT. NQ304L400</t>
  </si>
  <si>
    <t>NQ304L400</t>
  </si>
  <si>
    <t>NQ,3F, 4H, ZAP-400A, 42 ESPACIOS, CAT. NQ424L400</t>
  </si>
  <si>
    <t>NQ424L400</t>
  </si>
  <si>
    <t>NQ,3F, 4H, ZAP-400A, 54 ESPACIOS, CAT. NQ544L400</t>
  </si>
  <si>
    <t>NQ544L400</t>
  </si>
  <si>
    <t>NQ,3F, 4H, ZAP-400A, 72 ESPACIOS, CAT. NQ724L400</t>
  </si>
  <si>
    <t>NQ724L400</t>
  </si>
  <si>
    <t>NQ,3F, 4H, ZAP-400A, 84 ESPACIOS, CAT. NQ844L400</t>
  </si>
  <si>
    <t>NQ844L400</t>
  </si>
  <si>
    <t>NQ,3F, 4H, ZAP-600A, 30 ESPACIOS, CAT. NQ304L600</t>
  </si>
  <si>
    <t>NQ304L600</t>
  </si>
  <si>
    <t>NQ,3F, 4H, ZAP-600A, 42 ESPACIOS, CAT. NQ424L600</t>
  </si>
  <si>
    <t>NQ424L600</t>
  </si>
  <si>
    <t>NQ,3F, 4H, ZAP-600A, 54 ESPACIOS, CAT. NQ544L600</t>
  </si>
  <si>
    <t>NQ544L600</t>
  </si>
  <si>
    <t>NQ,3F, 4H, ZAP-600A, 84 ESPACIOS, CAT. NQ844L600</t>
  </si>
  <si>
    <t>NQ844L600</t>
  </si>
  <si>
    <t>NQ, 1F, 3H, INT.PPAL 1P-100A, 18 ESP., CAT. NQ183AB100</t>
  </si>
  <si>
    <t>NQ183AB100</t>
  </si>
  <si>
    <t>NQ, 1F, 3H, INT.PPAL 1P-100A, 30 ESP., CAT. NQ303AB100</t>
  </si>
  <si>
    <t>NQ303AB100</t>
  </si>
  <si>
    <t>NQ, 1F, 3H, INT.PPAL 1P-225A, 30 ESP., CAT. NQ303AB225</t>
  </si>
  <si>
    <t>NQ303AB225</t>
  </si>
  <si>
    <t>NQ, 1F, 3H, INT.PPAL 1P-225A, 42 ESP., CAT. NQ423AB225</t>
  </si>
  <si>
    <t>NQ423AB225</t>
  </si>
  <si>
    <t>NQ, 1F, 3H, INT.PPAL 1P-225A, 54 ESP., CAT. NQ543AB225</t>
  </si>
  <si>
    <t>NQ543AB225</t>
  </si>
  <si>
    <t>NQ, 1F, 3H, INT.PPAL 1P-225A, 72 ESP., CAT. NQ723AB225</t>
  </si>
  <si>
    <t>NQ723AB225</t>
  </si>
  <si>
    <t>NQ, 1F, 3H, INT.PPAL 1P-225A, 84 ESP., CAT. NQ843AB225</t>
  </si>
  <si>
    <t>NQ843AB225</t>
  </si>
  <si>
    <t>NQ, 1F, 3H, INT.PPAL 1P-400A, 30 ESP., CAT. NQ303AB400</t>
  </si>
  <si>
    <t>NQ303AB400</t>
  </si>
  <si>
    <t>NQ, 1F, 3H, INT.PPAL 1P-400A, 42 ESP., CAT. NQ423AB400</t>
  </si>
  <si>
    <t>NQ423AB400</t>
  </si>
  <si>
    <t>NQ, 1F, 3H, INT.PPAL 1P-400A, 54 ESP., CAT. NQ543AB400</t>
  </si>
  <si>
    <t>NQ543AB400</t>
  </si>
  <si>
    <t>NQ, 1F, 3H, INT.PPAL 1P-400A, 84 ESP., CAT. NQ843AB400</t>
  </si>
  <si>
    <t>NQ843AB400</t>
  </si>
  <si>
    <t>NQ, 3F, 4H, INT.PPAL 3P-100A, 18 ESP., CAT. NQ184AB100</t>
  </si>
  <si>
    <t>NQ184AB100</t>
  </si>
  <si>
    <t>NQ304AB100</t>
  </si>
  <si>
    <t>NQ, 3F, 4H, INT.PPAL 3P-225A, 30 ESP., CAT. NQ304AB225</t>
  </si>
  <si>
    <t>NQ304AB225</t>
  </si>
  <si>
    <t>NQ, 3F, 4H, INT.PPAL 3P-225A, 42 ESP., CAT. NQ424AB225</t>
  </si>
  <si>
    <t>NQ424AB225</t>
  </si>
  <si>
    <t>NQ, 3F, 4H, INT.PPAL 3P-225A, 54 ESP., CAT. NQ544AB225</t>
  </si>
  <si>
    <t>NQ544AB225</t>
  </si>
  <si>
    <t>NQ, 3F, 4H, INT.PPAL 3P-225A, 72 ESP., CAT. NQ724AB225</t>
  </si>
  <si>
    <t>NQ724AB225</t>
  </si>
  <si>
    <t>NQ, 3F, 4H, INT.PPAL 3P-225A, 84 ESP., CAT. NQ844AB225</t>
  </si>
  <si>
    <t>NQ844AB225</t>
  </si>
  <si>
    <t>NQ, 3F, 4H, INT.PPAL 3P-400A, 30 ESP., CAT. NQ304AB400</t>
  </si>
  <si>
    <t>NQ304AB400</t>
  </si>
  <si>
    <t>NQ, 3F, 4H, INT.PPAL 3P-400A, 42 ESP., CAT. NQ424AB400</t>
  </si>
  <si>
    <t>NQ424AB400</t>
  </si>
  <si>
    <t>NQ, 3F, 4H, INT.PPAL 3P-400A, 54 ESP., CAT. NQ544AB400</t>
  </si>
  <si>
    <t>NQ544AB400</t>
  </si>
  <si>
    <t>NQ, 3F, 4H, INT.PPAL 3P-400A, 72 ESP., CAT. NQ724AB400</t>
  </si>
  <si>
    <t>NQ724AB400</t>
  </si>
  <si>
    <t>NQ, 3F, 4H, INT.PPAL 3P-400A, 84 ESP., CAT. NQ844AB400</t>
  </si>
  <si>
    <t>NQ844AB400</t>
  </si>
  <si>
    <t>NQ, 14 PLG, 3F, 4H, ZAP-100A, 18 ESP., CAT. NQ184L10014</t>
  </si>
  <si>
    <t>NQ184L10014</t>
  </si>
  <si>
    <t>NQ, 14 PLG, 3F, 4H, ZAP-100A, 30 ESP., CAT. NQ304L10014</t>
  </si>
  <si>
    <t>NQ304L10014</t>
  </si>
  <si>
    <t>NQ, 14 PLG, 3F, 4H, ZAP-225A, 30 ESP., CAT. NQ304L22514</t>
  </si>
  <si>
    <t>NQ304L22514</t>
  </si>
  <si>
    <t>NQ, 14 PLG, 3F, 4H, ZAP-225A, 42 ESP., CAT. NQ424L22514</t>
  </si>
  <si>
    <t>NQ424L22514</t>
  </si>
  <si>
    <t>NQ, 14PLG., 3F, 4H, INT.PPAL 3P-100A, 15 ESP., CAT. NQ184AB10014</t>
  </si>
  <si>
    <t>NQ184AB10014</t>
  </si>
  <si>
    <t>NQ, 14PLG., 3F, 4H, INT.PPAL 3P-100A, 27 ESP., CAT. NQ304AB10014</t>
  </si>
  <si>
    <t>NQ304AB10014</t>
  </si>
  <si>
    <t>NQ, 14PLG., 3F, 4H, INT.PPAL 3P-225A, 30 ESP., CAT. NQ304AB22514</t>
  </si>
  <si>
    <t>NQ304AB22514</t>
  </si>
  <si>
    <t>NQ, 14PLG., 3F, 4H, INT.PPAL 3P-225A, 42 ESP., CAT. NQ424AB22514</t>
  </si>
  <si>
    <t>NQ424AB22514</t>
  </si>
  <si>
    <t>NF,3F, 4H, ZAP-125A, 18 ESPACIOS, CAT. NF184L12</t>
  </si>
  <si>
    <t>NF184L12</t>
  </si>
  <si>
    <t>NF,3F, 4H, ZAP-125A, 30 ESPACIOS, CAT. NF304L12</t>
  </si>
  <si>
    <t>NF304L12</t>
  </si>
  <si>
    <t>NF,3F, 4H, ZAP-225A, 30 ESPACIOS, CAT. NF304L22</t>
  </si>
  <si>
    <t>NF304L22</t>
  </si>
  <si>
    <t>NF,3F, 4H, ZAP-225A, 42 ESPACIOS, CAT. NF424L22</t>
  </si>
  <si>
    <t>NF424L22</t>
  </si>
  <si>
    <t>NF,3F, 4H, ZAP-225A, 66 ESPACIOS, CAT. NF664L22</t>
  </si>
  <si>
    <t>NF664L22</t>
  </si>
  <si>
    <t>NF,3F, 4H, ZAP-400A, 30 ESPACIOS, CAT. NF304L42</t>
  </si>
  <si>
    <t>NF304L42</t>
  </si>
  <si>
    <t>NF,3F, 4H, ZAP-400A, 42 ESPACIOS, CAT. NF424L42</t>
  </si>
  <si>
    <t>NF424L42</t>
  </si>
  <si>
    <t>NF,3F, 4H, ZAP-400A, 66 ESPACIOS, CAT. NF664L42</t>
  </si>
  <si>
    <t>NF664L42</t>
  </si>
  <si>
    <t>NF,3F, 4H, ZAP-400A, 84 ESPACIOS, CAT. NF844L42</t>
  </si>
  <si>
    <t>NF844L42</t>
  </si>
  <si>
    <t>NF,3F, 4H, ZAP-600A, 30 ESPACIOS, CAT. NF304L62</t>
  </si>
  <si>
    <t>NF304L62</t>
  </si>
  <si>
    <t>NF,3F, 4H, ZAP-600A, 42 ESPACIOS, CAT. NF424L62</t>
  </si>
  <si>
    <t>NF424L62</t>
  </si>
  <si>
    <t>NF,3F, 4H, ZAP-600A, 66 ESPACIOS, CAT. NF664L62</t>
  </si>
  <si>
    <t>NF664L62</t>
  </si>
  <si>
    <t>NF,3F, 4H, ZAP-600A, 84 ESPACIOS, CAT. NF844L62</t>
  </si>
  <si>
    <t>NF844L62</t>
  </si>
  <si>
    <t>NF, 3F, 4H, INT.PPAL 3P-125A, 18 ESP., CAT. NF184AB12</t>
  </si>
  <si>
    <t>NF184AB12</t>
  </si>
  <si>
    <t>NF, 3F, 4H, INT.PPAL 3P-125A, 30 ESP., CAT. NF304AB12</t>
  </si>
  <si>
    <t>NF304AB12</t>
  </si>
  <si>
    <t>NF, 3F, 4H, INT.PPAL 3P-125A, 18 ESP., CAT. NF184AB02</t>
  </si>
  <si>
    <t>NF184AB02</t>
  </si>
  <si>
    <t>NF, 3F, 4H, INT.PPAL 3P-125A, 30 ESP., CAT. NF304AB02</t>
  </si>
  <si>
    <t>NF304AB02</t>
  </si>
  <si>
    <t>NF, 3F, 4H, INT.PPAL 3P-225A, 30 ESP., CAT. NF304AB22</t>
  </si>
  <si>
    <t>NF304AB22</t>
  </si>
  <si>
    <t>NF, 3F, 4H, INT.PPAL 3P-225A, 42 ESP., CAT. NF424AB22</t>
  </si>
  <si>
    <t>NF424AB22</t>
  </si>
  <si>
    <t>NF, 3F, 4H, INT.PPAL 3P-225A, 66 ESP., CAT. NF664AB22</t>
  </si>
  <si>
    <t>NF664AB22</t>
  </si>
  <si>
    <t>NF, 3F, 4H, INT.PPAL 3P-400A, 30 ESP., CAT. NF304AB42</t>
  </si>
  <si>
    <t>NF304AB42</t>
  </si>
  <si>
    <t>NF, 3F, 4H, INT.PPAL 3P-400A, 42 ESP., CAT. NF424AB42</t>
  </si>
  <si>
    <t>NF424AB42</t>
  </si>
  <si>
    <t>NF, 3F, 4H, INT.PPAL 3P-400A, 66 ESP., CAT. NF664AB42</t>
  </si>
  <si>
    <t>NF664AB42</t>
  </si>
  <si>
    <t>NF, 3F, 4H, INT.PPAL 3P-400A, 84 ESP., CAT. NF844AB42</t>
  </si>
  <si>
    <t>NF844AB42</t>
  </si>
  <si>
    <t>NF, 3F, 4H, INT.PPAL 3P-600A, 30 ESP., CAT. NF304AB62</t>
  </si>
  <si>
    <t>NF304AB62</t>
  </si>
  <si>
    <t>NF, 3F, 4H, INT.PPAL 3P-600A, 42 ESP., CAT. NF424AB62</t>
  </si>
  <si>
    <t>NF424AB62</t>
  </si>
  <si>
    <t>NF, 3F, 4H, INT.PPAL 3P-600A, 66 ESP., CAT. NF664AB62</t>
  </si>
  <si>
    <t>NF664AB62</t>
  </si>
  <si>
    <t>NF, 3F, 4H, INT.PPAL 3P-600A, 84 ESP., CAT. NF844AB62</t>
  </si>
  <si>
    <t>NF844AB62</t>
  </si>
  <si>
    <t>QOX,2F,3H, INT.PPAL 3P-60A, 4 ESP., CAT.QO204</t>
  </si>
  <si>
    <t>QOX204</t>
  </si>
  <si>
    <t>QOX206</t>
  </si>
  <si>
    <t>QOX208</t>
  </si>
  <si>
    <t>QO, 2F. 3H, ZAP-40A, 2 ESP., CAT.QO2L40RB</t>
  </si>
  <si>
    <t>QO2L40RB</t>
  </si>
  <si>
    <t>QO, 2F. 3H, ZAP-70A, 2 ESP., CATQO24L70RB</t>
  </si>
  <si>
    <t>QO24L70RB</t>
  </si>
  <si>
    <t>QO, 2F. 3H, ZAP-100A, 6 ESP., CATQO612L100RB</t>
  </si>
  <si>
    <t>QO612L100RB</t>
  </si>
  <si>
    <t>QO, 2F. 3H, ZAP-100A, 8 ESP., CATQO816L100RB</t>
  </si>
  <si>
    <t>QO816L100RB</t>
  </si>
  <si>
    <t>QO, 2F. 3H, ZAP-125A, 12 ESP., CAT.QO112L125GRB</t>
  </si>
  <si>
    <t>QO112L125GRB</t>
  </si>
  <si>
    <t>QO, 2F. 3H, ZAP-125A, 24 ESP., CATQO124L125GRB</t>
  </si>
  <si>
    <t>QO124L125GRB</t>
  </si>
  <si>
    <t>QO, 2F. 3H, ZAP-200A, 30 ESP., CAT. QO130L200GRB</t>
  </si>
  <si>
    <t>QO130L200GRB</t>
  </si>
  <si>
    <t>QO, 2F. 3H, ZAP-225A, 22 ESP., CAT.QO142L225GRB</t>
  </si>
  <si>
    <t>QO142L225GRB</t>
  </si>
  <si>
    <t>QO, 3F. 4H, ZAP-60A, 3 ESP., CAT.QO403L60NRB</t>
  </si>
  <si>
    <t>QO403L60NRB</t>
  </si>
  <si>
    <t>QO, 3F. 4H, ZAP-125A, 12 ESP., CAT.QO312L125GRB</t>
  </si>
  <si>
    <t>QO312L125GRB</t>
  </si>
  <si>
    <t>QO, 3F. 4H, ZAP-125A, 20 ESP., CAT.QO320L125GRB</t>
  </si>
  <si>
    <t>QO320L125GRB</t>
  </si>
  <si>
    <t>QO, 3F. 4H, ZAP-200A, 30 ESP., CAT.QO330L200GRB</t>
  </si>
  <si>
    <t>QO330L200GRB</t>
  </si>
  <si>
    <t>QO, 3F. 4H, ZAP-225A, 42 ESP., CAT.QO342L225GRB</t>
  </si>
  <si>
    <t>QO342L225GRB</t>
  </si>
  <si>
    <t>QO, 2F, 3H, INT-70A, 12 ESP., CAT. QO112M100RB</t>
  </si>
  <si>
    <t>QO112M100RB</t>
  </si>
  <si>
    <t>QO, 2F, 3H, INT-70A, 20 ESP., CAT. QO120M100RB</t>
  </si>
  <si>
    <t>QO120M100RB</t>
  </si>
  <si>
    <t>QO, 2F, 3H, INT-200A, 30 ESP., CAT. QO130M200RB</t>
  </si>
  <si>
    <t>QO130M200RB</t>
  </si>
  <si>
    <t>QO, 2F, 3H, INT-225A, 42 ESP., CAT. QO142M225RB</t>
  </si>
  <si>
    <t>QO142M225RB</t>
  </si>
  <si>
    <t>QO, 3F, 4H, INT-100A, 27 ESP., CAT. QO327M100RB</t>
  </si>
  <si>
    <t>QO327M100RB</t>
  </si>
  <si>
    <t>QO, 3F, 4H, INT-200A, 30 ESP., CAT. QO330MQ200RB</t>
  </si>
  <si>
    <t>QO330MQ200RB</t>
  </si>
  <si>
    <t>QO, 3F, 4H, INT-225A, 42 ESP., CAT. QO342MQ225RB</t>
  </si>
  <si>
    <t>QO342MQ225RB</t>
  </si>
  <si>
    <t>QOD, 1F. 2H, ZAP-50A, 1 ESP., CAT. QOD1F</t>
  </si>
  <si>
    <t>QOD1F</t>
  </si>
  <si>
    <t>QOD, 2F. 3H, ZAP-50A, 2 ESP., CAT. QOD2F</t>
  </si>
  <si>
    <t>QOD2F</t>
  </si>
  <si>
    <t>QOD, 3F. 4H, ZAP-100A, 22 ESP., CAT. QOD3F</t>
  </si>
  <si>
    <t>QOD3F</t>
  </si>
  <si>
    <t>QOD, 2F. 3H, ZAP-60A, 4 ESP., CAT. QOD4F</t>
  </si>
  <si>
    <t>QOD4F</t>
  </si>
  <si>
    <t>QOD, 2F. 3H, ZAP-100A, 6 ESP., CAT. QOD6F</t>
  </si>
  <si>
    <t>QOD6F</t>
  </si>
  <si>
    <t>QOD, 2F. 3H, ZAP-100A, 8 ESP., CAT. QOD8F</t>
  </si>
  <si>
    <t>QOD8F</t>
  </si>
  <si>
    <t>QDLOGIC 3F, 4H, 1600A</t>
  </si>
  <si>
    <t>QDLOGIC</t>
  </si>
  <si>
    <t>QDLOGIC 3F, 4H, 2500A</t>
  </si>
  <si>
    <t>QDLOGIC 3F, 4H, 3200A</t>
  </si>
  <si>
    <t>QDLOGIC 3F, 4H, 4000A</t>
  </si>
  <si>
    <t>QDLOGIC 3F, 4H, 5000A</t>
  </si>
  <si>
    <t>QDLOGIC 3F, 4H, 6300A</t>
  </si>
  <si>
    <t>CCM6</t>
  </si>
  <si>
    <t>LISTADO DE MATERIAL DE LOS CONDUCTORES</t>
  </si>
  <si>
    <t>TIPO DE CARGA</t>
  </si>
  <si>
    <t>ALUMBRADO</t>
  </si>
  <si>
    <t>CONTACTOS</t>
  </si>
  <si>
    <t>O</t>
  </si>
  <si>
    <t>OTRAS CARGAS</t>
  </si>
  <si>
    <t>M</t>
  </si>
  <si>
    <t>MOTORES</t>
  </si>
  <si>
    <t>MV</t>
  </si>
  <si>
    <t>VARIADOR</t>
  </si>
  <si>
    <t>HVAC</t>
  </si>
  <si>
    <t>AIRE ACONDICIONADO</t>
  </si>
  <si>
    <t>TABLEROS</t>
  </si>
  <si>
    <t>TR</t>
  </si>
  <si>
    <t>TRANSFORMADORES</t>
  </si>
  <si>
    <t>RE</t>
  </si>
  <si>
    <t>RESERVA</t>
  </si>
  <si>
    <t>UPS</t>
  </si>
  <si>
    <t>REG</t>
  </si>
  <si>
    <t>REGULADORES</t>
  </si>
  <si>
    <t>CANALIZACION ALIMENTADOR</t>
  </si>
  <si>
    <t>MT</t>
  </si>
  <si>
    <t>IN</t>
  </si>
  <si>
    <t>MC</t>
  </si>
  <si>
    <t>TIPO DE CALCULO</t>
  </si>
  <si>
    <t>PE</t>
  </si>
  <si>
    <t>TIPOS DE TRANSFORMADOR</t>
  </si>
  <si>
    <t>PEDESTAL RADIAL</t>
  </si>
  <si>
    <t>PEDESTAL ANILLO</t>
  </si>
  <si>
    <t>SUBESTACION</t>
  </si>
  <si>
    <t>POSTE</t>
  </si>
  <si>
    <t>DIBUJO EN EL TABLERO</t>
  </si>
  <si>
    <t>DIA-T</t>
  </si>
  <si>
    <t>INTERRUPTOR TERMOMAGNETICO</t>
  </si>
  <si>
    <t>DIA-TA</t>
  </si>
  <si>
    <t>TERMOMAGNETICO ARRANCADOR</t>
  </si>
  <si>
    <t>DIA-IA</t>
  </si>
  <si>
    <t>INTERRUPTOR ARRANCADOR</t>
  </si>
  <si>
    <t>DIA-MT</t>
  </si>
  <si>
    <t>MEDIDOR TERMOMAGNETICO</t>
  </si>
  <si>
    <t>DIA-MI</t>
  </si>
  <si>
    <t>MEDIDOR INTERRUPTOR</t>
  </si>
  <si>
    <t>DIA-TV</t>
  </si>
  <si>
    <t>TERMOMAGNETICO VARIADOR</t>
  </si>
  <si>
    <t>UNIFILAR DERIVADOS</t>
  </si>
  <si>
    <t>DERIVADOS</t>
  </si>
  <si>
    <t>DIA-TAB</t>
  </si>
  <si>
    <t>DIA-TTAB</t>
  </si>
  <si>
    <t>DIA-CONT</t>
  </si>
  <si>
    <t>DIA-CONT3F4H</t>
  </si>
  <si>
    <t>DIA-CONTPFT</t>
  </si>
  <si>
    <t>DIA-CONTREG</t>
  </si>
  <si>
    <t>DIA-MOT</t>
  </si>
  <si>
    <t>DIA-TMOT</t>
  </si>
  <si>
    <t>DIA-IMOT</t>
  </si>
  <si>
    <t>DIA-DMOT</t>
  </si>
  <si>
    <t>DIA-TAMOT</t>
  </si>
  <si>
    <t>DIA-TVMOT</t>
  </si>
  <si>
    <t>DIA-IAMOT</t>
  </si>
  <si>
    <t>DIA-ALUM</t>
  </si>
  <si>
    <t>DIA-INT</t>
  </si>
  <si>
    <t>DIA-OTR</t>
  </si>
  <si>
    <t>DIA-TER</t>
  </si>
  <si>
    <t>DIA-UPS</t>
  </si>
  <si>
    <t>DIA-REG</t>
  </si>
  <si>
    <t>DIA-ALUMFLUO</t>
  </si>
  <si>
    <t>DIA-TR</t>
  </si>
  <si>
    <t>DIA-THVAC</t>
  </si>
  <si>
    <t>DIA-DHVAC</t>
  </si>
  <si>
    <t>DIA-DOTR</t>
  </si>
  <si>
    <t>TIPO DE CANALIZACION</t>
  </si>
  <si>
    <t>TUBO CONDUIT Fe GALVANIZADO</t>
  </si>
  <si>
    <t>CHAROLA, CONDUCTORES EN UNA SOLA CAPA 310-15(b)(17) AL 65%</t>
  </si>
  <si>
    <t>CHAROLA, CONDUCTORES EN UNA SOLA CAPA CON TAPA 310-15(b)(17) AL 60%</t>
  </si>
  <si>
    <t>CHAROLA, COND. EN UNA SOLA CAPA SEP. 1 VEZ EL DIAM. DEL COND. 310-15(b)(17) AL 100%</t>
  </si>
  <si>
    <t>DUCTO CUADRADO, NO MAS DE 30 CONDUCTORES ACTIVOS, NI MAS DEL 20% DE OCUPACION</t>
  </si>
  <si>
    <t>TUBO CONDUIT PVC</t>
  </si>
  <si>
    <t>TIPO DE INT.</t>
  </si>
  <si>
    <t>EN TABLERO</t>
  </si>
  <si>
    <t>DATOS GENERALES</t>
  </si>
  <si>
    <t>RUTA DEL ARCHIVO</t>
  </si>
  <si>
    <t>Tablero:</t>
  </si>
  <si>
    <t>Catagos:</t>
  </si>
  <si>
    <t>Ubicación del Tablero:</t>
  </si>
  <si>
    <t>Alimentado de:</t>
  </si>
  <si>
    <t>CANALIZACION (NOM/MT/IN/MC):</t>
  </si>
  <si>
    <t>F.D. ALUMBRADO:</t>
  </si>
  <si>
    <t>CTO. EJEMPLO MEMORIA:</t>
  </si>
  <si>
    <t>F.D. RECEPTACULOS:</t>
  </si>
  <si>
    <t>ELABORO:</t>
  </si>
  <si>
    <t>F.D. OTROS:</t>
  </si>
  <si>
    <t>REVISO:</t>
  </si>
  <si>
    <t>F.D. MOTORES:</t>
  </si>
  <si>
    <t>APROBO:</t>
  </si>
  <si>
    <t>Icc 3</t>
  </si>
  <si>
    <t>F.D. TABLEROS DERIVADOS:</t>
  </si>
  <si>
    <t>FECHA:</t>
  </si>
  <si>
    <t>Material de los Conductores Derivados:</t>
  </si>
  <si>
    <t>F.D. TRAFOS:</t>
  </si>
  <si>
    <t>Material de los Conductores del Alimentador:</t>
  </si>
  <si>
    <t>F.D. RESERVA:</t>
  </si>
  <si>
    <t>F.D. TOTAL:</t>
  </si>
  <si>
    <t>TIPO DE ALIMENTADOR (TB / TR / PE):</t>
  </si>
  <si>
    <t>DIAMETRO MINIMO DE TUBERIA</t>
  </si>
  <si>
    <t>CALIBRES MINIMOS ALUB-RECEPT-MOT</t>
  </si>
  <si>
    <t>PROT.MINIMA PARA ALUMB-RECEPT-MOT</t>
  </si>
  <si>
    <t>DATOS CONDUCTOR 2</t>
  </si>
  <si>
    <t>ETIQUETA</t>
  </si>
  <si>
    <t>CARGAS CONTINUAS</t>
  </si>
  <si>
    <t>CARGAS NO CONTINUAS</t>
  </si>
  <si>
    <t>RESUMEN FINAL DE CARGAS</t>
  </si>
  <si>
    <t>CORTO CIRCUITO</t>
  </si>
  <si>
    <t>RESULTADOS
CONDUCTOR 2</t>
  </si>
  <si>
    <t>ALIMENTAD</t>
  </si>
  <si>
    <t>BALANCEO DE FASES</t>
  </si>
  <si>
    <t>VALOR</t>
  </si>
  <si>
    <t>PROTECCION</t>
  </si>
  <si>
    <t>RESULTADOS DEL CONDUCTOR 1</t>
  </si>
  <si>
    <t>RESULTADOS DEL CONDUCTOR 2</t>
  </si>
  <si>
    <t>SI ES MOTOR</t>
  </si>
  <si>
    <t>DIAGRAMA UNIFILAR AUTOCAD</t>
  </si>
  <si>
    <t>INFORMACION
PARA UNIFILAR</t>
  </si>
  <si>
    <t>1 QO</t>
  </si>
  <si>
    <t>CARGA WATTS</t>
  </si>
  <si>
    <t>INSTALADA</t>
  </si>
  <si>
    <t>FD</t>
  </si>
  <si>
    <t>DEMANDADA</t>
  </si>
  <si>
    <t>Icc =</t>
  </si>
  <si>
    <t>2 QOB</t>
  </si>
  <si>
    <t>Material</t>
  </si>
  <si>
    <t>CARGA VA'S</t>
  </si>
  <si>
    <t>RECEPTACULOS</t>
  </si>
  <si>
    <t>OTROS</t>
  </si>
  <si>
    <t>TRAFOS/PE</t>
  </si>
  <si>
    <t>CABLE mm2=</t>
  </si>
  <si>
    <t>SELECCIÓN
POR
CORRIENTE</t>
  </si>
  <si>
    <t>CONDUCTOR</t>
  </si>
  <si>
    <t>PARA</t>
  </si>
  <si>
    <t xml:space="preserve">PARA </t>
  </si>
  <si>
    <t>DIBUJO DE AUTOCAD EN TABLERO</t>
  </si>
  <si>
    <t>DIBUJO DE AUTOCAD EN CAMPO</t>
  </si>
  <si>
    <t>UBICACIÓN</t>
  </si>
  <si>
    <t>3 EDB</t>
  </si>
  <si>
    <t>del</t>
  </si>
  <si>
    <t>FASES MOTOR</t>
  </si>
  <si>
    <t>CALIBRE=</t>
  </si>
  <si>
    <t>MAXIMA</t>
  </si>
  <si>
    <t>PROMEDIO PARA 0%:</t>
  </si>
  <si>
    <t>ENCONTRAR</t>
  </si>
  <si>
    <t>CALCULO</t>
  </si>
  <si>
    <t>CORRIENTE MAXIMA</t>
  </si>
  <si>
    <t>In</t>
  </si>
  <si>
    <t>TEMP.</t>
  </si>
  <si>
    <t>calculo</t>
  </si>
  <si>
    <t>4 HDA 15-150</t>
  </si>
  <si>
    <t>Conductor</t>
  </si>
  <si>
    <t>DATOS CONDUCTOR 1</t>
  </si>
  <si>
    <t>CP MOTOR</t>
  </si>
  <si>
    <t>DATOS DE MOTORES</t>
  </si>
  <si>
    <t>RESULT.CONDUCTOR 1</t>
  </si>
  <si>
    <t>POR</t>
  </si>
  <si>
    <t>DE LA</t>
  </si>
  <si>
    <t>NO MENOR</t>
  </si>
  <si>
    <t>NOMENCALTURA</t>
  </si>
  <si>
    <t>PARA CONDUCTOR</t>
  </si>
  <si>
    <t>AMBIENTE</t>
  </si>
  <si>
    <t>EN</t>
  </si>
  <si>
    <t>tuberia</t>
  </si>
  <si>
    <t>5 JDA 175-250</t>
  </si>
  <si>
    <t>Aluminio</t>
  </si>
  <si>
    <t>Long.</t>
  </si>
  <si>
    <t>Caída</t>
  </si>
  <si>
    <t>Tipo</t>
  </si>
  <si>
    <t>Conduct.</t>
  </si>
  <si>
    <t>Número</t>
  </si>
  <si>
    <t>Núm. De</t>
  </si>
  <si>
    <t>Factor</t>
  </si>
  <si>
    <t>Bloque autocad</t>
  </si>
  <si>
    <t>Carga</t>
  </si>
  <si>
    <t>CARGA</t>
  </si>
  <si>
    <t>Calibre</t>
  </si>
  <si>
    <t>Caída de</t>
  </si>
  <si>
    <t>F.C.T.</t>
  </si>
  <si>
    <t>F.C.A.</t>
  </si>
  <si>
    <t>F.C.A</t>
  </si>
  <si>
    <t>SUMATORIA</t>
  </si>
  <si>
    <t>I corr. 1</t>
  </si>
  <si>
    <t>I corr. 2</t>
  </si>
  <si>
    <t>FP</t>
  </si>
  <si>
    <t>REAL</t>
  </si>
  <si>
    <t>CAIDA DE</t>
  </si>
  <si>
    <t>DE</t>
  </si>
  <si>
    <t>DE 30A</t>
  </si>
  <si>
    <t>Diam.</t>
  </si>
  <si>
    <t xml:space="preserve">O </t>
  </si>
  <si>
    <t>DEFINITIVO</t>
  </si>
  <si>
    <t>primera</t>
  </si>
  <si>
    <t>6 LAL 300-400</t>
  </si>
  <si>
    <t>Cobre</t>
  </si>
  <si>
    <t>Cables</t>
  </si>
  <si>
    <t>Máx</t>
  </si>
  <si>
    <t>de</t>
  </si>
  <si>
    <t>por</t>
  </si>
  <si>
    <t>Contar p/
Calculo</t>
  </si>
  <si>
    <t>Total</t>
  </si>
  <si>
    <t>TOTAL DE CARGAS CONTINUAS</t>
  </si>
  <si>
    <t>CARGAS SIN TAB.</t>
  </si>
  <si>
    <t>TOTAL DE CARGAS NO CONTINUAS</t>
  </si>
  <si>
    <t>TOT. CARGAS SIN TAB.</t>
  </si>
  <si>
    <t>Calculado</t>
  </si>
  <si>
    <t>AMP</t>
  </si>
  <si>
    <t>Tensión</t>
  </si>
  <si>
    <t>FASE A</t>
  </si>
  <si>
    <t>FASE B</t>
  </si>
  <si>
    <t>FASE C</t>
  </si>
  <si>
    <t>BALANCEO CALCULADO</t>
  </si>
  <si>
    <t>FASE A LA QUE CORRESPONDE</t>
  </si>
  <si>
    <t>CONTINUA</t>
  </si>
  <si>
    <t>NOMINAL</t>
  </si>
  <si>
    <t>CALCULADO</t>
  </si>
  <si>
    <t>AWG /</t>
  </si>
  <si>
    <t>TABLA</t>
  </si>
  <si>
    <t>TENSION</t>
  </si>
  <si>
    <t>PARA TAB Y</t>
  </si>
  <si>
    <t>( R )</t>
  </si>
  <si>
    <t>( X )</t>
  </si>
  <si>
    <t>c/aisl.</t>
  </si>
  <si>
    <t>opcion</t>
  </si>
  <si>
    <t>DERIVADO</t>
  </si>
  <si>
    <t>7 MGA 500-800</t>
  </si>
  <si>
    <t>NOTAS</t>
  </si>
  <si>
    <t>Circuito</t>
  </si>
  <si>
    <t>Servicio</t>
  </si>
  <si>
    <t>Fases</t>
  </si>
  <si>
    <t>Hilos</t>
  </si>
  <si>
    <t>AL / CU</t>
  </si>
  <si>
    <t>en Tubo</t>
  </si>
  <si>
    <t>mts</t>
  </si>
  <si>
    <t>Permitida</t>
  </si>
  <si>
    <t>Canalización</t>
  </si>
  <si>
    <t>Fase</t>
  </si>
  <si>
    <t>Tubos</t>
  </si>
  <si>
    <t>Demanda</t>
  </si>
  <si>
    <t>TOT. DE CARGAS CONTINUAS SIN MOTORES</t>
  </si>
  <si>
    <t>IDISP</t>
  </si>
  <si>
    <t>I.nom (A)</t>
  </si>
  <si>
    <t>PROT.</t>
  </si>
  <si>
    <t>CABLE 1</t>
  </si>
  <si>
    <t>Tierra</t>
  </si>
  <si>
    <t>CABLE2</t>
  </si>
  <si>
    <t>TOTAL</t>
  </si>
  <si>
    <t>N/CONTINUA</t>
  </si>
  <si>
    <t>CABLE 2</t>
  </si>
  <si>
    <t>CALCULADA</t>
  </si>
  <si>
    <t>COSENO</t>
  </si>
  <si>
    <t>SENO</t>
  </si>
  <si>
    <t>MCM</t>
  </si>
  <si>
    <t>75° Y 90°C</t>
  </si>
  <si>
    <t>310-17</t>
  </si>
  <si>
    <t>RECEPT.</t>
  </si>
  <si>
    <t>Ohm/km</t>
  </si>
  <si>
    <t>( mm )</t>
  </si>
  <si>
    <t>( mm2 )</t>
  </si>
  <si>
    <t>VOLTS</t>
  </si>
  <si>
    <t>NECESARIA</t>
  </si>
  <si>
    <t>CABLE1</t>
  </si>
  <si>
    <t>prot</t>
  </si>
  <si>
    <t>alimentador</t>
  </si>
  <si>
    <t>longitud</t>
  </si>
  <si>
    <t>No. CABLES</t>
  </si>
  <si>
    <t>No.DESNUDOS</t>
  </si>
  <si>
    <t>DESNUDO</t>
  </si>
  <si>
    <t>NUM. CANAL</t>
  </si>
  <si>
    <t>DIAMETRO</t>
  </si>
  <si>
    <t>LONGITUD</t>
  </si>
  <si>
    <t>TRAMOS</t>
  </si>
  <si>
    <t>CURVAS</t>
  </si>
  <si>
    <t>PGG</t>
  </si>
  <si>
    <t>PDG</t>
  </si>
  <si>
    <t>PVC</t>
  </si>
  <si>
    <t>LIQU</t>
  </si>
  <si>
    <t>FLEX</t>
  </si>
  <si>
    <t>PARA POLOS</t>
  </si>
  <si>
    <t>EN UNIFILAR</t>
  </si>
  <si>
    <t>8 POWERPACK</t>
  </si>
  <si>
    <t>SI</t>
  </si>
  <si>
    <t>DIA-ACOT</t>
  </si>
  <si>
    <t>TIPO DE CABLE</t>
  </si>
  <si>
    <t>PUENTE UNION</t>
  </si>
  <si>
    <t>SECUNDARIO</t>
  </si>
  <si>
    <t>TRAFO</t>
  </si>
  <si>
    <t>PRIMARIO</t>
  </si>
  <si>
    <t>TRANSFER</t>
  </si>
  <si>
    <t>PLANTA</t>
  </si>
  <si>
    <t>DIA-PE</t>
  </si>
  <si>
    <t>UPS-SALIDA</t>
  </si>
  <si>
    <t>UPS-ENTRADA</t>
  </si>
  <si>
    <t>***NOTA</t>
  </si>
  <si>
    <t>Calculo de la Corriente nominal</t>
  </si>
  <si>
    <t>Calculo de la corriente para conductores</t>
  </si>
  <si>
    <t>calculo de la Proteccion Principal</t>
  </si>
  <si>
    <t>SI CAMBIAS ESTA FORMULA YA NO TOMARA EN CUENTA</t>
  </si>
  <si>
    <t>Inom. DE LOS MOTORES</t>
  </si>
  <si>
    <t>Inom. DE LOS MOTORES - Mot. MAYOR</t>
  </si>
  <si>
    <t>EL TIPO DE CANALIZACION DEL ALIMENTADOR</t>
  </si>
  <si>
    <t>25% Inom. DEL MOT. MAYOR</t>
  </si>
  <si>
    <t>Prot. Del Mot. MAYOR</t>
  </si>
  <si>
    <t xml:space="preserve">In DE LAS CARGAS CONTINUAS </t>
  </si>
  <si>
    <t xml:space="preserve">125% DE LA In DE LAS CARGAS CONTINUAS </t>
  </si>
  <si>
    <t>CALCULO DE LA CORRIENTE DEL NEUTRO</t>
  </si>
  <si>
    <t>In DE LAS CARGAS NO CONTINUAS</t>
  </si>
  <si>
    <t>In OTROS TABLEROS</t>
  </si>
  <si>
    <t>ANGULO</t>
  </si>
  <si>
    <t>X COMP</t>
  </si>
  <si>
    <t>Y COMP</t>
  </si>
  <si>
    <t>---------------------</t>
  </si>
  <si>
    <t xml:space="preserve">Itot =  </t>
  </si>
  <si>
    <t>NEUTRO</t>
  </si>
  <si>
    <t>FD =</t>
  </si>
  <si>
    <t>%PROT=</t>
  </si>
  <si>
    <t>CATALOGO:</t>
  </si>
  <si>
    <t>MARCA:</t>
  </si>
  <si>
    <t>POLOS REALMENTE OCUPADOS:</t>
  </si>
  <si>
    <t>PROTECCION PRINCIPAL:</t>
  </si>
  <si>
    <t>Cuenta de CANTIDAD</t>
  </si>
  <si>
    <t>ZAPATAS:</t>
  </si>
  <si>
    <t>NUMERO</t>
  </si>
  <si>
    <t>POLOS</t>
  </si>
  <si>
    <t>CANTIDAD</t>
  </si>
  <si>
    <t>V</t>
  </si>
  <si>
    <t>75°</t>
  </si>
  <si>
    <t>PARA MOTORES</t>
  </si>
  <si>
    <t>tierra tripolar</t>
  </si>
  <si>
    <t>tierra tetrapolar</t>
  </si>
  <si>
    <t>PORCENTAJE DE DISPARO PROT. DERIVADAS:/ALUMBRADO</t>
  </si>
  <si>
    <t>% DE DISPARO PROT. MOTORES:/ARRANC.T.R. O VARIADORES</t>
  </si>
  <si>
    <t>PORCENTAJE DE DISPARO PROT. HVAC:/BC</t>
  </si>
  <si>
    <t>% DE DISP. PROT. DERIVADAS:/ALUMBRADO/BANCO CAP.</t>
  </si>
  <si>
    <t>% DE DISP. PROT. MOT./HVAC:/ARRANC. T.R. O VARIA</t>
  </si>
  <si>
    <t>BC</t>
  </si>
  <si>
    <t>BANCO DE CAPACITORES</t>
  </si>
  <si>
    <t>DESCRIPCION DEL TIPO DE CARGA</t>
  </si>
  <si>
    <t>(A)lumbrado</t>
  </si>
  <si>
    <t>(R)eceptáculos</t>
  </si>
  <si>
    <t>(O)Tras Cargas</t>
  </si>
  <si>
    <t>(TB)Tablero</t>
  </si>
  <si>
    <t>(TR)afo</t>
  </si>
  <si>
    <t>(RE)serva</t>
  </si>
  <si>
    <t>(M)otores</t>
  </si>
  <si>
    <t>(MV)Variador o Arrancador Suave</t>
  </si>
  <si>
    <t>(UPS),</t>
  </si>
  <si>
    <t>(REG)ulador</t>
  </si>
  <si>
    <t>(BC) Banco de capacitores</t>
  </si>
  <si>
    <t>DESCRIPCIÓN</t>
  </si>
  <si>
    <t>R8j$BmP5kN9qZsFv</t>
  </si>
  <si>
    <t>Y2w@GhL6cT3dXsE</t>
  </si>
  <si>
    <t>A4e#HgN7bR1tMkQ</t>
  </si>
  <si>
    <t>Z6y%PmK8uF2vWxO</t>
  </si>
  <si>
    <t xml:space="preserve"> C9q^JpB3aE7zSxL</t>
  </si>
  <si>
    <t xml:space="preserve"> V1b&amp;FtG4nH5mDcR</t>
  </si>
  <si>
    <t xml:space="preserve"> X3v*SdC9lT6kNzI</t>
  </si>
  <si>
    <t xml:space="preserve"> S5m@NwQ1rE2hVtA</t>
  </si>
  <si>
    <t xml:space="preserve"> W7z#LxO8jP4gYbE</t>
  </si>
  <si>
    <t xml:space="preserve"> M9p$KqI2wU3fAeC</t>
  </si>
  <si>
    <t xml:space="preserve"> T2k%HdR5bC6sGvN</t>
  </si>
  <si>
    <t xml:space="preserve"> O4g^FwX6cZ7nVtS</t>
  </si>
  <si>
    <t xml:space="preserve"> I6n&amp;YtU9qB8lJmW</t>
  </si>
  <si>
    <t xml:space="preserve"> U8r*SfL3xM1dQpH</t>
  </si>
  <si>
    <t xml:space="preserve"> B1l@VnC4vZ9jEgT</t>
  </si>
  <si>
    <t xml:space="preserve"> F3c#XjM5dP7bRiK</t>
  </si>
  <si>
    <t xml:space="preserve"> J5t$ZbH6gS8vNwQ</t>
  </si>
  <si>
    <t xml:space="preserve"> N7s%GvD8qA2mYhE</t>
  </si>
  <si>
    <t xml:space="preserve"> P9h^KwI1mO4lCfT</t>
  </si>
  <si>
    <t xml:space="preserve"> R2f&amp;AeL3jB5cUqS</t>
  </si>
  <si>
    <t xml:space="preserve"> Y4n#MkQ6bV8gHtD</t>
  </si>
  <si>
    <t xml:space="preserve"> A6u$OwS7lI9pEzX</t>
  </si>
  <si>
    <t xml:space="preserve"> Z8d%TgX2vF1cNjB</t>
  </si>
  <si>
    <t xml:space="preserve"> C1l^HmD9qR3sYbG</t>
  </si>
  <si>
    <t xml:space="preserve"> V3g&amp;WkF4nB6mUqH</t>
  </si>
  <si>
    <t xml:space="preserve"> X5z*SvJ7xL9pCtE</t>
  </si>
  <si>
    <t xml:space="preserve"> S7x@RqI8jA2wNcV</t>
  </si>
  <si>
    <t xml:space="preserve"> W9k#TnL1cG4bEhM</t>
  </si>
  <si>
    <t xml:space="preserve"> M2j&amp;OeC5vZ6nUgT</t>
  </si>
  <si>
    <t xml:space="preserve"> T4b*FnV6qY8lWpS</t>
  </si>
  <si>
    <t xml:space="preserve"> O6n%HrS9mP1dXcK</t>
  </si>
  <si>
    <t xml:space="preserve"> I8p^WtA2sE3fZvB</t>
  </si>
  <si>
    <t xml:space="preserve"> U1t&amp;GvB3wN5jMqR</t>
  </si>
  <si>
    <t xml:space="preserve"> B3z@XcH4dL7vQpE</t>
  </si>
  <si>
    <t xml:space="preserve"> F5c#JmT6gD9bSkN</t>
  </si>
  <si>
    <t xml:space="preserve"> J7v$MlR8kP2nGhW</t>
  </si>
  <si>
    <t xml:space="preserve"> N9g^CfK1tS3dVxO</t>
  </si>
  <si>
    <t xml:space="preserve"> P2n&amp;LbU4sW6cYjI</t>
  </si>
  <si>
    <t xml:space="preserve"> R4m#FqE7vX9pZtA</t>
  </si>
  <si>
    <t xml:space="preserve"> Y6d@NwG8jB1cHrM</t>
  </si>
  <si>
    <t xml:space="preserve"> A8j#OeT9kS2nDwL</t>
  </si>
  <si>
    <t xml:space="preserve"> Z1w$QpI2nB3mXcE</t>
  </si>
  <si>
    <t xml:space="preserve"> C3e%HgR4lV6bYtF</t>
  </si>
  <si>
    <t xml:space="preserve"> V5x^TkU7cL9pNzS</t>
  </si>
  <si>
    <t xml:space="preserve"> X7v&amp;SfD1aE4gMlB</t>
  </si>
  <si>
    <t xml:space="preserve"> S9z@WnC2vP5bQkR</t>
  </si>
  <si>
    <t xml:space="preserve"> W2l#VgB3jF6mSdH</t>
  </si>
  <si>
    <t xml:space="preserve"> M4c$NkE5rG8vIwT</t>
  </si>
  <si>
    <t xml:space="preserve"> T6n%HmR7lK9pOeQ</t>
  </si>
  <si>
    <t xml:space="preserve"> O8g^JwT1qS3bLcV</t>
  </si>
  <si>
    <t xml:space="preserve"> I1f&amp;HqB2sM5dXnY</t>
  </si>
  <si>
    <t xml:space="preserve"> U3t%KjI4wD6nCgS</t>
  </si>
  <si>
    <t xml:space="preserve"> B5b^MfD7cN9jPvE</t>
  </si>
  <si>
    <t xml:space="preserve"> F7m@YwQ8vT1kZsH</t>
  </si>
  <si>
    <t xml:space="preserve"> J9n#PcL2dS4bVtG</t>
  </si>
  <si>
    <t xml:space="preserve"> N2k&amp;WxO3hE5gRqA</t>
  </si>
  <si>
    <t xml:space="preserve"> P4d@RbG6jC7vFmT</t>
  </si>
  <si>
    <t xml:space="preserve"> R6l#XtN9cH1kZpE</t>
  </si>
  <si>
    <t xml:space="preserve"> Y8v%SgV2bB3nMwQ</t>
  </si>
  <si>
    <t xml:space="preserve"> A1z^KjT4nL6sDxR</t>
  </si>
  <si>
    <t xml:space="preserve"> Z3x&amp;JpB5mF8vHcL</t>
  </si>
  <si>
    <t xml:space="preserve"> C5c#HqN7bR9gVtS</t>
  </si>
  <si>
    <t xml:space="preserve"> V7m@PwG1lT2kDnE</t>
  </si>
  <si>
    <t xml:space="preserve"> X9n#RtC2vS4bFjM</t>
  </si>
  <si>
    <t xml:space="preserve"> S2k%HgK3wL5pVqB</t>
  </si>
  <si>
    <t xml:space="preserve"> W4d^YmD6nB7cHtE</t>
  </si>
  <si>
    <t>. M6j@FvE8sX9mQl</t>
  </si>
  <si>
    <t xml:space="preserve"> T8b%LcH1kZ2nWpI</t>
  </si>
  <si>
    <t xml:space="preserve"> O1n&amp;WqT3dS4bXgC</t>
  </si>
  <si>
    <t xml:space="preserve"> I3t%JvB5mL6cRzF</t>
  </si>
  <si>
    <t xml:space="preserve"> U5f&amp;HmN7bG8vQxT</t>
  </si>
  <si>
    <t xml:space="preserve"> B7l#CtR9kV1nPcE</t>
  </si>
  <si>
    <t xml:space="preserve"> F9z@XgP2vD3mHwM</t>
  </si>
  <si>
    <t xml:space="preserve"> J2p%HrK4wQ5cFnL</t>
  </si>
  <si>
    <t xml:space="preserve"> N4c^LbE6jT7vBqG</t>
  </si>
  <si>
    <t xml:space="preserve"> P6m@FtV8kS9nDzI</t>
  </si>
  <si>
    <t xml:space="preserve"> R8n#JxI1lB2cWvO</t>
  </si>
  <si>
    <t xml:space="preserve"> Y1k&amp;HjO3dN5mGtE</t>
  </si>
  <si>
    <t xml:space="preserve"> A3w%PqT6cL7vRfM</t>
  </si>
  <si>
    <t xml:space="preserve"> Z5b^GmR8nK9jVwC</t>
  </si>
  <si>
    <t xml:space="preserve"> C7v&amp;SdN1lH2mFqB</t>
  </si>
  <si>
    <t xml:space="preserve"> V9x^KtC3vV4bLgE</t>
  </si>
  <si>
    <t xml:space="preserve"> X2c#JnG5mP6dQwI</t>
  </si>
  <si>
    <t xml:space="preserve"> S4n@RvE7jB8lTkO</t>
  </si>
  <si>
    <t xml:space="preserve"> W6m%HqT9kN1cFgS</t>
  </si>
  <si>
    <t xml:space="preserve"> M8t&amp;LbR2nK3vPwE</t>
  </si>
  <si>
    <t xml:space="preserve"> T1j^HxI4lB5mDqC</t>
  </si>
  <si>
    <t xml:space="preserve"> O3h@YmG6cP7vXwF</t>
  </si>
  <si>
    <t xml:space="preserve"> I5p%HrN8kS9bVcM</t>
  </si>
  <si>
    <t xml:space="preserve"> U7c^JwP1lK2dRfE</t>
  </si>
  <si>
    <t xml:space="preserve"> B9v&amp;FnD3mV5nTjG</t>
  </si>
  <si>
    <t xml:space="preserve"> F2n#LbQ5dG6cBhE</t>
  </si>
  <si>
    <t>. J4k@HrT7vN8mQl</t>
  </si>
  <si>
    <t xml:space="preserve"> N6w%PcR9kS1dXgE</t>
  </si>
  <si>
    <t xml:space="preserve"> P8g^MmT2nB3vHwI</t>
  </si>
  <si>
    <t xml:space="preserve"> R1t&amp;SjI4lD5mVqB</t>
  </si>
  <si>
    <t xml:space="preserve"> Y3d^KxV6nH7cTfM</t>
  </si>
  <si>
    <t xml:space="preserve"> A5l@CqB8jR9sGvE</t>
  </si>
  <si>
    <t xml:space="preserve"> Z7v%NkG1mT2nWcQ</t>
  </si>
  <si>
    <t xml:space="preserve"> C9n&amp;WgP3kQ4cFvE</t>
  </si>
  <si>
    <t xml:space="preserve"> V1m^HwT5dR6bVzS</t>
  </si>
  <si>
    <t xml:space="preserve"> X3j&amp;SxL7vM8cNqB</t>
  </si>
  <si>
    <t xml:space="preserve"> S5k@FbD9nK1mHvE</t>
  </si>
  <si>
    <t xml:space="preserve"> W7h%RqB2sP3dVfG</t>
  </si>
  <si>
    <t xml:space="preserve"> M9b^CtG4lH5vQwE</t>
  </si>
  <si>
    <t xml:space="preserve"> T2n@XmV6cL7bTkR</t>
  </si>
  <si>
    <t xml:space="preserve"> O4j%HxR8kN9cDvF</t>
  </si>
  <si>
    <t xml:space="preserve"> I6k&amp;JqI1mG2dFtC</t>
  </si>
  <si>
    <t xml:space="preserve"> U8s%LbT3nH4vQgE</t>
  </si>
  <si>
    <t xml:space="preserve"> B1v@RwB5lM6cNzS</t>
  </si>
  <si>
    <t xml:space="preserve"> F3n%HmN7bK8sQxG</t>
  </si>
  <si>
    <t xml:space="preserve"> J5b^PcG9mV1dHqE</t>
  </si>
  <si>
    <t xml:space="preserve"> N7f&amp;LrD2nC3vXtK</t>
  </si>
  <si>
    <t xml:space="preserve"> P9m#HtB4kR5cWjE</t>
  </si>
  <si>
    <t xml:space="preserve"> R2h@XgT6nM7vDfL</t>
  </si>
  <si>
    <t xml:space="preserve"> Y4j^CqN8bG9vQcE</t>
  </si>
  <si>
    <t xml:space="preserve"> A6k&amp;SbR1lV2mTkG</t>
  </si>
  <si>
    <t xml:space="preserve"> Z8t%LmD3nH4cRjE</t>
  </si>
  <si>
    <t xml:space="preserve"> C1p@NwP5kS6dQhE</t>
  </si>
  <si>
    <t xml:space="preserve"> V3f%HxT7vB8mVcL</t>
  </si>
  <si>
    <t xml:space="preserve"> X5n&amp;JcG9mH1dZvR</t>
  </si>
  <si>
    <t xml:space="preserve"> S7b^LmN2nK3cBwE</t>
  </si>
  <si>
    <t xml:space="preserve"> W9m#PqB4kT5vHjG</t>
  </si>
  <si>
    <t xml:space="preserve"> M2k@RwT6dG7cQfE</t>
  </si>
  <si>
    <t xml:space="preserve"> T4j%HgC8mV9bSvE</t>
  </si>
  <si>
    <t xml:space="preserve"> O6n&amp;SxR1lB2cDqL</t>
  </si>
  <si>
    <t xml:space="preserve"> I8v^FmP3nK4mVgE</t>
  </si>
  <si>
    <t xml:space="preserve"> U1j@CqG5kH6cWvR</t>
  </si>
  <si>
    <t xml:space="preserve"> B3h%HbT7lN8vQfE</t>
  </si>
  <si>
    <t xml:space="preserve"> F5b^PmR9mK1cSjE</t>
  </si>
  <si>
    <t xml:space="preserve"> J7f&amp;XqB2nG3cDkL</t>
  </si>
  <si>
    <t xml:space="preserve"> N9m@LwC4kV5dFvE</t>
  </si>
  <si>
    <t xml:space="preserve"> P2s%HgG6lH7mQcR</t>
  </si>
  <si>
    <t xml:space="preserve"> R4c&amp;JmP8nT9vSfE</t>
  </si>
  <si>
    <t xml:space="preserve"> Y6n^KxR1cV2bGjE</t>
  </si>
  <si>
    <t xml:space="preserve"> A8j&amp;SvT3nB4cHtL</t>
  </si>
  <si>
    <t xml:space="preserve"> Z1m#DwC5kP6dQgE</t>
  </si>
  <si>
    <t xml:space="preserve"> C3k%FgG7lH8vWcR</t>
  </si>
  <si>
    <t xml:space="preserve"> V5z@MmB9mK1dVjE</t>
  </si>
  <si>
    <t xml:space="preserve"> X7v&amp;XcP2nS3cQkL</t>
  </si>
  <si>
    <t xml:space="preserve"> S9c^JmT4kH5bDvE</t>
  </si>
  <si>
    <t xml:space="preserve"> W2m%KwG6nV7bMfE</t>
  </si>
  <si>
    <t xml:space="preserve"> M4j@LxP8mC9dHcR</t>
  </si>
  <si>
    <t xml:space="preserve"> T6n%HgB1lR2bSvE</t>
  </si>
  <si>
    <t xml:space="preserve"> O8b^CmT3kG4cWtL</t>
  </si>
  <si>
    <t xml:space="preserve"> I1m&amp;SgP5nK6cQjE</t>
  </si>
  <si>
    <t xml:space="preserve"> U3k@NwR7mV8dHfE</t>
  </si>
  <si>
    <t xml:space="preserve"> B5z%HrT9lB1cVcR</t>
  </si>
  <si>
    <t xml:space="preserve"> F7x&amp;JmC2nG3vQkE</t>
  </si>
  <si>
    <t xml:space="preserve"> J9n^MgP4kH5dDjL</t>
  </si>
  <si>
    <t xml:space="preserve"> N2c@LwB6lR7cSvE</t>
  </si>
  <si>
    <t xml:space="preserve"> P4v%KmT8nC9cWgE</t>
  </si>
  <si>
    <t xml:space="preserve"> R6n%SgR1kV2bMqL</t>
  </si>
  <si>
    <t xml:space="preserve"> Y8b^NcC3nG4cHvE</t>
  </si>
  <si>
    <t xml:space="preserve"> A1m&amp;JgT5lP6dDcR</t>
  </si>
  <si>
    <t xml:space="preserve"> Z3k^LwP7kR8bQfE</t>
  </si>
  <si>
    <t xml:space="preserve"> C5n%KmC9mV1cHjE</t>
  </si>
  <si>
    <t xml:space="preserve"> V7c&amp;FgR2nS3bMkL</t>
  </si>
  <si>
    <t xml:space="preserve"> X9v^NwT4kB5cQvE</t>
  </si>
  <si>
    <t xml:space="preserve"> S2b@LmB6nG7dHgE</t>
  </si>
  <si>
    <t xml:space="preserve"> W4m%SgP8lV9bDcR</t>
  </si>
  <si>
    <t xml:space="preserve"> M6n^KwC1kR2cSqL</t>
  </si>
  <si>
    <t xml:space="preserve"> T8j&amp;NcT3nB4dQvE</t>
  </si>
  <si>
    <t xml:space="preserve"> O1k@FmR5kG6cHjE</t>
  </si>
  <si>
    <t xml:space="preserve"> I3h%LgP7lV8cMkL</t>
  </si>
  <si>
    <t xml:space="preserve"> U5c^MwB9nC1cDvE</t>
  </si>
  <si>
    <t xml:space="preserve"> B7v%KmR2mS3dWgE</t>
  </si>
  <si>
    <t xml:space="preserve"> F9x%NcC4lG5bHqL</t>
  </si>
  <si>
    <t xml:space="preserve"> J2k&amp;LgT6kV7cQjE</t>
  </si>
  <si>
    <t xml:space="preserve"> N4n^FwP8nH9bMkL</t>
  </si>
  <si>
    <t xml:space="preserve"> P6m@NcB1lC2cDvE</t>
  </si>
  <si>
    <t xml:space="preserve"> R8c%KmC3kR4dQgE</t>
  </si>
  <si>
    <t xml:space="preserve"> Y1v^MgR5lS6bHjE</t>
  </si>
  <si>
    <t xml:space="preserve"> A3n&amp;LwT7mG8cVqL</t>
  </si>
  <si>
    <t xml:space="preserve"> Z5j^NcP9nC1bDvE</t>
  </si>
  <si>
    <t xml:space="preserve"> C7h&amp;FgC2lK3cMkL</t>
  </si>
  <si>
    <t xml:space="preserve"> V9c^KwR4mV5bQgE</t>
  </si>
  <si>
    <t xml:space="preserve"> X2m%SgB6nG7dHjE</t>
  </si>
  <si>
    <t xml:space="preserve"> S4n@LwC8lR9cMqL</t>
  </si>
  <si>
    <t xml:space="preserve"> W6k^MgP1nS2bVgE</t>
  </si>
  <si>
    <t xml:space="preserve"> M8v&amp;NcT3mC4dWkL</t>
  </si>
  <si>
    <t xml:space="preserve"> T1x^KgR5lG6cHvE</t>
  </si>
  <si>
    <t xml:space="preserve"> O3z@FwB7kC8cDjE</t>
  </si>
  <si>
    <t xml:space="preserve"> I5n%LgC9mK1bMvE</t>
  </si>
  <si>
    <t xml:space="preserve"> U7h&amp;NcP2kR3cQkL</t>
  </si>
  <si>
    <t xml:space="preserve"> B9c^MgT4nG5dVqE</t>
  </si>
  <si>
    <t xml:space="preserve"> F2j@KwR6lS7bHgE</t>
  </si>
  <si>
    <t xml:space="preserve"> J4m%NcB8mC9dMkL</t>
  </si>
  <si>
    <t xml:space="preserve"> N6n&amp;FgC1nK2cDvE</t>
  </si>
  <si>
    <t xml:space="preserve"> P8b^KwP3lG4cQjE</t>
  </si>
  <si>
    <t xml:space="preserve"> R1f%LgT5mR6dMkL</t>
  </si>
  <si>
    <t xml:space="preserve"> Y3z^NcR7nC8cHqE</t>
  </si>
  <si>
    <t xml:space="preserve"> A5n&amp;KgB9kS1dDvE</t>
  </si>
  <si>
    <t xml:space="preserve"> Z7v%FwC2lG3cMkL</t>
  </si>
  <si>
    <t xml:space="preserve"> C9c^MgP4nK5dVqE</t>
  </si>
  <si>
    <t xml:space="preserve"> V2j@NwR6lC7cHjE</t>
  </si>
  <si>
    <t xml:space="preserve"> X4k^KgT8mS9bMkL</t>
  </si>
  <si>
    <t xml:space="preserve"> S6n&amp;LcB1kC2cDqE</t>
  </si>
  <si>
    <t xml:space="preserve"> W8h%FgC3lG4cVjE</t>
  </si>
  <si>
    <t xml:space="preserve"> M1v^KwP5nR6dHkL</t>
  </si>
  <si>
    <t>A.H.R.</t>
  </si>
  <si>
    <t>D:\memorias-1\FORMATO42-2023 230820 FUNCIONES 5.xlsm</t>
  </si>
  <si>
    <t>DIA-CONT20A</t>
  </si>
  <si>
    <t>60 Hz</t>
  </si>
  <si>
    <t>Ubicación del
 Tablero:</t>
  </si>
  <si>
    <t>SERVICIO
alum/cont/fza</t>
  </si>
  <si>
    <t>De dónde 
recibe su 
Alimentación:</t>
  </si>
  <si>
    <t>Nombre del
Proyecto:</t>
  </si>
  <si>
    <t>Capacidad kVA</t>
  </si>
  <si>
    <t>Capacidad kW</t>
  </si>
  <si>
    <t>Revisó:</t>
  </si>
  <si>
    <t>Diseñó:</t>
  </si>
  <si>
    <t>Aprobó:</t>
  </si>
  <si>
    <t>Catálogo:</t>
  </si>
  <si>
    <t>% de Disparo Protección Principal Tablero:</t>
  </si>
  <si>
    <t>FINAL</t>
  </si>
  <si>
    <t>CARGA DEMANDADA</t>
  </si>
  <si>
    <t>ESPACIOS</t>
  </si>
  <si>
    <t>OCUPAR</t>
  </si>
  <si>
    <t>RESERVA :</t>
  </si>
  <si>
    <t>COND.
DE
TIERRA</t>
  </si>
  <si>
    <t>I DISP.
AMP.</t>
  </si>
  <si>
    <t>FACTOR
DE
TEMP.</t>
  </si>
  <si>
    <t>COND.
X
FASE</t>
  </si>
  <si>
    <t>TOTAL DE PIEZAS</t>
  </si>
  <si>
    <t>TOTAL DE CARGA</t>
  </si>
  <si>
    <t>RESUMEN DE CARGAS</t>
  </si>
  <si>
    <t>ALUMBRADO :</t>
  </si>
  <si>
    <t>RECEPTACULOS :</t>
  </si>
  <si>
    <t>FUERZA :</t>
  </si>
  <si>
    <t>CARGA INSTALADA :</t>
  </si>
  <si>
    <t>DATOS</t>
  </si>
  <si>
    <t>FACTOR DE DEMANDA :</t>
  </si>
  <si>
    <t>PARA ARCHIVO</t>
  </si>
  <si>
    <t>CARGA DEMANDADA :</t>
  </si>
  <si>
    <t>CUADRO.TXT</t>
  </si>
  <si>
    <t xml:space="preserve">CARGA INSTALADA                      </t>
  </si>
  <si>
    <t>F.DEM.</t>
  </si>
  <si>
    <t>ALUMBRADO =</t>
  </si>
  <si>
    <t>OTRAS CARGAS =</t>
  </si>
  <si>
    <t>MOTORES =</t>
  </si>
  <si>
    <t>RESERVA =</t>
  </si>
  <si>
    <t>TABLEROS =</t>
  </si>
  <si>
    <t>TRAFOS/PE =</t>
  </si>
  <si>
    <t>TOTAL =</t>
  </si>
  <si>
    <t xml:space="preserve">CANALIZACION
</t>
  </si>
  <si>
    <t>CARGA
TOTAL
WATTS</t>
  </si>
  <si>
    <t>CARGA
DEMANDADA 
WATTS</t>
  </si>
  <si>
    <t>I nom.
AMP.</t>
  </si>
  <si>
    <t>Long
(m)</t>
  </si>
  <si>
    <t xml:space="preserve"># COND. 
CANAL.
</t>
  </si>
  <si>
    <t xml:space="preserve">FACTOR
AGRUP.
</t>
  </si>
  <si>
    <t>Ic.
Amp.</t>
  </si>
  <si>
    <t xml:space="preserve">CONDUCTOR
</t>
  </si>
  <si>
    <t xml:space="preserve">CAIDA DE
TENSION %
</t>
  </si>
  <si>
    <t>DATOS DE CUADRO:</t>
  </si>
  <si>
    <t>DATOS DE ANALISIS DE CARGAS:</t>
  </si>
  <si>
    <t>DATOS DE CIRCUITOS</t>
  </si>
  <si>
    <t>+</t>
  </si>
  <si>
    <t>++++++++++++++++++++++++++++++</t>
  </si>
  <si>
    <t>++++++++++++++++++++++++++++1</t>
  </si>
  <si>
    <t>+++++++++++++++++++++++++++++</t>
  </si>
  <si>
    <t>++</t>
  </si>
  <si>
    <t>+++</t>
  </si>
  <si>
    <t>++++</t>
  </si>
  <si>
    <t>+++++</t>
  </si>
  <si>
    <t>++++++</t>
  </si>
  <si>
    <t>+++++++</t>
  </si>
  <si>
    <t>++++++++</t>
  </si>
  <si>
    <t>+++++++++</t>
  </si>
  <si>
    <t>++++++++++</t>
  </si>
  <si>
    <t>+++++++++++</t>
  </si>
  <si>
    <t>++++++++++++</t>
  </si>
  <si>
    <t>+++++++++++++</t>
  </si>
  <si>
    <t>++++++++++++++</t>
  </si>
  <si>
    <t>+++++++++++++++</t>
  </si>
  <si>
    <t>++++++++++++++++</t>
  </si>
  <si>
    <t>+++++++++++++++++</t>
  </si>
  <si>
    <t>++++++++++++++++++</t>
  </si>
  <si>
    <t>+++++++++++++++++++</t>
  </si>
  <si>
    <t>++++++++++++++++++++</t>
  </si>
  <si>
    <t>+++++++++++++++++++++</t>
  </si>
  <si>
    <t>++++++++++++++++++++++</t>
  </si>
  <si>
    <t>+++++++++++++++++++++++</t>
  </si>
  <si>
    <t>++++++++++++++++++++++++</t>
  </si>
  <si>
    <t>+++++++++++++++++++++++++</t>
  </si>
  <si>
    <t>++++++++++++++++++++++++++</t>
  </si>
  <si>
    <t>+++++++++++++++++++++++++++</t>
  </si>
  <si>
    <t>++++++++++++++++++++++++++++</t>
  </si>
  <si>
    <t>+++++++++++++++++++++++++++++++</t>
  </si>
  <si>
    <t>NÚMERO DE</t>
  </si>
  <si>
    <t>CÁLCULO</t>
  </si>
  <si>
    <t>HP MOTOR</t>
  </si>
  <si>
    <t>Calibre mínimo de conductor para motores/HVAC:</t>
  </si>
  <si>
    <t>m</t>
  </si>
  <si>
    <t>NO</t>
  </si>
  <si>
    <t>++++++++++++++++++++++++++++++FINAL</t>
  </si>
  <si>
    <t>400.00 W+1.00+400.00 W+0.00 W+1.00+0.00 W+0.00 W+1.00+0.00 W+36,650.70 W+1.00+36,650.70 W+0.00 W+1.00+0.00 W+0.00 W+1.00+0.00 W+0.00 W+1.00+0.00 W+37,050.70 W+1.00+37,050.70 W+++++++DATOS2</t>
  </si>
  <si>
    <t>G+220 / 127+3+4+60 Hz+ LA400M141B+SQUARED+INT. PPAL DE: 3P-150 A (JD), 1-4T AWG, 1T-53 mm+2674.57 %+REG-60 KVA+GRUPO COMPHARMA++++++++++++++++DATOS1</t>
  </si>
  <si>
    <t>G+220 / 127+3+4+60 Hz+ LA400M141B+SQUARED+INT. PPAL DE: 3P-150 A (JD)+4-1/0 AWG (1xF-1N), 1-6T AWG, 1T-53 mm+26.75 %++TR-01+GRUPO COMPHARMA++++++++++++++++++DATOS1</t>
  </si>
  <si>
    <t>Icc3 SIM kA=</t>
  </si>
  <si>
    <r>
      <t>RECEPTÁCULOS: (</t>
    </r>
    <r>
      <rPr>
        <b/>
        <i/>
        <u/>
        <sz val="11"/>
        <rFont val="Arial"/>
        <family val="2"/>
      </rPr>
      <t>NORMA, 1</t>
    </r>
    <r>
      <rPr>
        <b/>
        <sz val="11"/>
        <rFont val="Arial"/>
        <family val="2"/>
      </rPr>
      <t>)</t>
    </r>
  </si>
  <si>
    <t>tipo de canalizacion</t>
  </si>
  <si>
    <t>Factor de Potencia f.p.:/ f.p Otras cargas</t>
  </si>
  <si>
    <t>% de Disparo Protección Principal otros / % disp. Otras cargas:</t>
  </si>
  <si>
    <t>% DE DISPARO PROT. PPAL:/PPAL OTROS/OTRAS CARGAS</t>
  </si>
  <si>
    <t>CONTACTO</t>
  </si>
  <si>
    <t>CONTACTO MEDIA VUELTA 3F, 4H</t>
  </si>
  <si>
    <t>CONTACTO CON PROTECCIÓN DE FALLA A TIERRA</t>
  </si>
  <si>
    <t>CONTACTO REGULADO</t>
  </si>
  <si>
    <t>CONTACTO DE 20 A</t>
  </si>
  <si>
    <t>CONTACTO REGULADO 20 A</t>
  </si>
  <si>
    <t>MOTOR</t>
  </si>
  <si>
    <t>INTERRUPTOR DE FUSIBLES CON MOTOR</t>
  </si>
  <si>
    <t>DESCONECTADOR SIN PORTAFUSIBLES CON MOTOR</t>
  </si>
  <si>
    <t>INTERRUPTOR DE FUSIBLES CON ARRANCADOR Y MOTOR</t>
  </si>
  <si>
    <t>CARGA DE ALUMBRADO</t>
  </si>
  <si>
    <t>INTERRUPTOR CON PORTAFUSIBLES</t>
  </si>
  <si>
    <t>REGULADOR</t>
  </si>
  <si>
    <t>CARGA DE ALUMBRADO FLUORESCENTE</t>
  </si>
  <si>
    <t>TRANSFORMADOR</t>
  </si>
  <si>
    <t>TERMOMÁGNETICO CON CARGA DE AIRE ACONDICIONADO</t>
  </si>
  <si>
    <t>DESCONECTADOR SIN PORTAFUSIBLES CON CARGA DE AIRE ACONDICIONADO</t>
  </si>
  <si>
    <t>DESCONECTADOR CON OTRAS CARGAS</t>
  </si>
  <si>
    <t>I</t>
  </si>
  <si>
    <t>tipos</t>
  </si>
  <si>
    <t>tipoacometida</t>
  </si>
  <si>
    <t>DIA-ACO</t>
  </si>
  <si>
    <t>DIA-ACOI</t>
  </si>
  <si>
    <t>DIA-ACOIZ</t>
  </si>
  <si>
    <t>DIA-ACOTZ</t>
  </si>
  <si>
    <t>ACOMETIDA CON INTERRUPTOR CON FUSIBLES Y ZAPATAS EN TABLERO</t>
  </si>
  <si>
    <t>ACOMETIDA CON INTERRUPTOR CON TERMOMÁGNETICO Y TERMOMÁGNETICO EN TABLERO</t>
  </si>
  <si>
    <t>ACOMETIDA CON INTERRUPTOR CON TERMOMÁGNETICO Y ZAPATAS EN TABLERO</t>
  </si>
  <si>
    <t>DIA-ACOZ</t>
  </si>
  <si>
    <t>ACOMETIDA ZAPATAS EN TABLERO</t>
  </si>
  <si>
    <t>ACOMETIDA CON INT. TERM. EN TABLERO</t>
  </si>
  <si>
    <t>ACOMETIDA CON INT. CON FUSIBLES Y TERM. EN TABLERO</t>
  </si>
  <si>
    <t>VER DESCRIPCIÓN DE TIPO DE CANALIZACIÓN</t>
  </si>
  <si>
    <t>CREATE BY ADOLFO E. HERNÁNDEZ RDZ</t>
  </si>
  <si>
    <t>Núm.</t>
  </si>
  <si>
    <t>Área</t>
  </si>
  <si>
    <t>CAÍDA</t>
  </si>
  <si>
    <t>TENSIÓN</t>
  </si>
  <si>
    <t>ÁREA</t>
  </si>
  <si>
    <t>SECCIÓN</t>
  </si>
  <si>
    <t>1. TUBO CONDUIT Fe GALVANIZADO</t>
  </si>
  <si>
    <t>2. CHAROLA, CONDUCTORES EN UNA SOLA CAPA 310-15(b)(17) AL 65%</t>
  </si>
  <si>
    <t>3. CHAROLA, CONDUCTORES EN UNA SOLA CAPA CON TAPA 310-15(b)(17) AL 60%</t>
  </si>
  <si>
    <t>5. CHAROLA, COND. EN UNA SOLA CAPA SEP. 1 VEZ EL DIAM. DEL COND. 310-15(b)(17) AL 100%</t>
  </si>
  <si>
    <t>6. DUCTO CUADRADO, NO MAS DE 30 CONDUCTORES ACTIVOS, NI MAS DEL 20% DE OCUPACION</t>
  </si>
  <si>
    <t>7. TUBO CONDUIT PVC</t>
  </si>
  <si>
    <t>TENSIÓN 1</t>
  </si>
  <si>
    <t>TENSIÓN 2</t>
  </si>
  <si>
    <t>CAP.INT</t>
  </si>
  <si>
    <t>QOX,2F,3H, INT.PPAL 3P-60A, 6 ESP., CAT.QO206</t>
  </si>
  <si>
    <t>QOX,2F,3H, INT.PPAL 3P-60A, 8 ESP., CAT.QO208</t>
  </si>
  <si>
    <t>DESBALANCEO TOTAL %</t>
  </si>
  <si>
    <t>AL/MC</t>
  </si>
  <si>
    <t>ALUMNIO CABLE MC</t>
  </si>
  <si>
    <t>para tableros</t>
  </si>
  <si>
    <t>N/C</t>
  </si>
  <si>
    <t>NO CONTINUA</t>
  </si>
  <si>
    <t>TEMPERTURA DE TERMINALES</t>
  </si>
  <si>
    <t>TEMPERATURA DE TERMINALES EN INTERRUPTOR PRINCIPAL °C &lt; 100A:</t>
  </si>
  <si>
    <t>TEMP. TERMINALES</t>
  </si>
  <si>
    <t>CORRECCIÓN DE LA VALIDACIÓN EN AUTOCAD CUANDO SE RENUEVA LA LICENCIA</t>
  </si>
  <si>
    <t>CORRECCIÓN DE TODO CAD CUANDO ESTAS EN OTRA HOJA</t>
  </si>
  <si>
    <t>CORRECIÓN DE TEXTO EN DESCRIPCIÓN DE LA CHAROLA 2.15</t>
  </si>
  <si>
    <t>CHAROLA, COND. EN CONF. TRIANGULAR O CUADRADA SEPARADOS. 2.15 DE 310-15(b)(20)</t>
  </si>
  <si>
    <t>4. CHAROLA, COND. EN CONF. TRIANGULAR O CUADRADA SEPARADOS. 2.15 DE 310-15(b)(20)</t>
  </si>
  <si>
    <t>(HVAC) Aire acond. Refrig</t>
  </si>
  <si>
    <t>corrección de valores de corriente de motores para monofásicos</t>
  </si>
  <si>
    <t>Se eliminan los espacios vacíos del cuadro de cargas</t>
  </si>
  <si>
    <t>Se corrige error en elimina los espacios vacíos del cuadro de cargas</t>
  </si>
  <si>
    <t>Corrección del calibre del conductor de motores ahora se selecciona tomando en cuenta solo por corriente y caída sin tomar en cuenta la protección</t>
  </si>
  <si>
    <t>Corrección del bloqueo de la vigencia de las rutinas de autocad cuando no ha caducado</t>
  </si>
  <si>
    <t>trifasicos</t>
  </si>
  <si>
    <t>monofasicos</t>
  </si>
  <si>
    <t>se implementan cuadros de dialogos señalando posibles errores en cableados, nuemro de circuitos repetidos</t>
  </si>
  <si>
    <t>1,alumbrado,5++++++++++++500.00+500.00+4.37+1+2+127+10+8+0.7+1+7.81+1+12 AWG, CU++0.40+12+T-16 mm+5.47+1P-15A+500.00+</t>
  </si>
  <si>
    <t>2++++++++++++++++++++++++++++++++</t>
  </si>
  <si>
    <t>3++++++++++++++++++++++++++++++++</t>
  </si>
  <si>
    <t>4++++++++++++++++++++++++++++++++</t>
  </si>
  <si>
    <t>5++++++++++++++++++++++++++++++++</t>
  </si>
  <si>
    <t>6++++++++++++++++++++++++++++++++</t>
  </si>
  <si>
    <t>7++++++++++++++++++++++++++++++++</t>
  </si>
  <si>
    <t>8++++++++++++++++++++++++++++++++</t>
  </si>
  <si>
    <t>9++++++++++++++++++++++++++++++++</t>
  </si>
  <si>
    <t>10++++++++++++++++++++++++++++++++</t>
  </si>
  <si>
    <t>11++++++++++++++++++++++++++++++++</t>
  </si>
  <si>
    <t>12++++++++++++++++++++++++++++++++</t>
  </si>
  <si>
    <t>13++++++++++++++++++++++++++++++++</t>
  </si>
  <si>
    <t>14++++++++++++++++++++++++++++++++</t>
  </si>
  <si>
    <t>15++++++++++++++++++++++++++++++++</t>
  </si>
  <si>
    <t>16++++++++++++++++++++++++++++++++</t>
  </si>
  <si>
    <t>17++++++++++++++++++++++++++++++++</t>
  </si>
  <si>
    <t>18++++++++++++++++++++++++++++++++</t>
  </si>
  <si>
    <t>19++++++++++++++++++++++++++++++++</t>
  </si>
  <si>
    <t>20++++++++++++++++++++++++++++++++</t>
  </si>
  <si>
    <t>21++++++++++++++++++++++++++++++++</t>
  </si>
  <si>
    <t>22++++++++++++++++++++++++++++++++</t>
  </si>
  <si>
    <t>23++++++++++++++++++++++++++++++++</t>
  </si>
  <si>
    <t>24++++++++++++++++++++++++++++++++</t>
  </si>
  <si>
    <t>25++++++++++++++++++++++++++++++++</t>
  </si>
  <si>
    <t>26++++++++++++++++++++++++++++++++</t>
  </si>
  <si>
    <t>27++++++++++++++++++++++++++++++++</t>
  </si>
  <si>
    <t>28++++++++++++++++++++++++++++++++</t>
  </si>
  <si>
    <t>29++++++++++++++++++++++++++++++++</t>
  </si>
  <si>
    <t>30++++++++++++++++++++++++++++++++</t>
  </si>
  <si>
    <t>31++++++++++++++++++++++++++++++++</t>
  </si>
  <si>
    <t>32++++++++++++++++++++++++++++++++</t>
  </si>
  <si>
    <t>33++++++++++++++++++++++++++++++++</t>
  </si>
  <si>
    <t>34++++++++++++++++++++++++++++++++</t>
  </si>
  <si>
    <t>35++++++++++++++++++++++++++++++++</t>
  </si>
  <si>
    <t>36++++++++++++++++++++++++++++++++</t>
  </si>
  <si>
    <t>37++++++++++++++++++++++++++++++++</t>
  </si>
  <si>
    <t>38++++++++++++++++++++++++++++++++</t>
  </si>
  <si>
    <t>39++++++++++++++++++++++++++++++++</t>
  </si>
  <si>
    <t>40++++++++++++++++++++++++++++++++</t>
  </si>
  <si>
    <t>41++++++++++++++++++++++++++++++++</t>
  </si>
  <si>
    <t>42++++++++++++++++++++++++++++++++</t>
  </si>
  <si>
    <t>43++++++++++++++++++++++++++++++++</t>
  </si>
  <si>
    <t>44++++++++++++++++++++++++++++++++</t>
  </si>
  <si>
    <t>45++++++++++++++++++++++++++++++++</t>
  </si>
  <si>
    <t>46++++++++++++++++++++++++++++++++</t>
  </si>
  <si>
    <t>47++++++++++++++++++++++++++++++++</t>
  </si>
  <si>
    <t>48++++++++++++++++++++++++++++++++</t>
  </si>
  <si>
    <t>49++++++++++++++++++++++++++++++++</t>
  </si>
  <si>
    <t>50++++++++++++++++++++++++++++++++</t>
  </si>
  <si>
    <t>51++++++++++++++++++++++++++++++++</t>
  </si>
  <si>
    <t>52++++++++++++++++++++++++++++++++</t>
  </si>
  <si>
    <t>53++++++++++++++++++++++++++++++++</t>
  </si>
  <si>
    <t>54++++++++++++++++++++++++++++++++</t>
  </si>
  <si>
    <t>55++++++++++++++++++++++++++++++++</t>
  </si>
  <si>
    <t>56++++++++++++++++++++++++++++++++</t>
  </si>
  <si>
    <t>57++++++++++++++++++++++++++++++++</t>
  </si>
  <si>
    <t>58++++++++++++++++++++++++++++++++</t>
  </si>
  <si>
    <t>59++++++++++++++++++++++++++++++++</t>
  </si>
  <si>
    <t>60++++++++++++++++++++++++++++++++</t>
  </si>
  <si>
    <t>61++++++++++++++++++++++++++++++++</t>
  </si>
  <si>
    <t>62++++++++++++++++++++++++++++++++</t>
  </si>
  <si>
    <t>63++++++++++++++++++++++++++++++++</t>
  </si>
  <si>
    <t>64++++++++++++++++++++++++++++++++</t>
  </si>
  <si>
    <t>65++++++++++++++++++++++++++++++++</t>
  </si>
  <si>
    <t>66++++++++++++++++++++++++++++++++</t>
  </si>
  <si>
    <t>67++++++++++++++++++++++++++++++++</t>
  </si>
  <si>
    <t>68++++++++++++++++++++++++++++++++</t>
  </si>
  <si>
    <t>69++++++++++++++++++++++++++++++++</t>
  </si>
  <si>
    <t>70++++++++++++++++++++++++++++++++</t>
  </si>
  <si>
    <t>71++++++++++++++++++++++++++++++++</t>
  </si>
  <si>
    <t>72++++++++++++++++++++++++++++++++</t>
  </si>
  <si>
    <t>73++++++++++++++++++++++++++++++++</t>
  </si>
  <si>
    <t>74++++++++++++++++++++++++++++++++</t>
  </si>
  <si>
    <t>75++++++++++++++++++++++++++++++++</t>
  </si>
  <si>
    <t>76++++++++++++++++++++++++++++++++</t>
  </si>
  <si>
    <t>77++++++++++++++++++++++++++++++++</t>
  </si>
  <si>
    <t>78++++++++++++++++++++++++++++++++</t>
  </si>
  <si>
    <t>79++++++++++++++++++++++++++++++++</t>
  </si>
  <si>
    <t>80++++++++++++++++++++++++++++++++</t>
  </si>
  <si>
    <t>81++++++++++++++++++++++++++++++++</t>
  </si>
  <si>
    <t>82++++++++++++++++++++++++++++++++</t>
  </si>
  <si>
    <t>83++++++++++++++++++++++++++++++++</t>
  </si>
  <si>
    <t>84++++++++++++++++++++++++++++++++</t>
  </si>
  <si>
    <t>1P-15 A</t>
  </si>
  <si>
    <t>3P-50 A</t>
  </si>
  <si>
    <t>+++PUENTE UNION+1-2T AWG Cu++++++++++++</t>
  </si>
  <si>
    <t>SQUARED</t>
  </si>
  <si>
    <t>3P-400 A**REVISAR TABLERO**++301.33 A+8-3/0AWG,CU,(2xF-2N)+1-2T AWG+1T-78 mm+L= 10.00 m+e%= 0.36+103.22 kW+TAB-c++DIA-ACOT++PRINCIPAL+I+Icc3%%C SIM=22.52+1-2T AWG Cu</t>
  </si>
  <si>
    <t>3P-400 A**REVISAR TABLERO**+1.75+301.33 A+8-3/0AWG,CU,(2xF-2N)+1-2T AWG+1T-78 mm+L= 8.00 m+e%= 0.29+103.22 kW+++DIA-TPRATPPAL+480++I+Icc3%%C SIM=22.52+1-2T AWG Cu</t>
  </si>
  <si>
    <t>3P-200 A(JD)+1.75+138.11 A+3-3/0AWG,CU,(1xF)+1-4T AWG+1T-53 mm+L= 10.00 m+e%= 0.15+103.22 kW+++DIA-TPRATPPAL+++++</t>
  </si>
  <si>
    <t>3P-500 A**REVISAR TABLERO**++301.33 A+8-250KCM,CU,(2xF-2N)+1-2T AWG+1T-103 mm+L= 10.00 m+e%= 0.28+103.22 kW+TRANSFER 125 kW+++++++</t>
  </si>
  <si>
    <t>3P-500 A**REVISAR TABLERO**++338.99 A+8-250KCM,CU,(2xF-2N)+1-2T AWG+1T-103 mm+L= 10.00 m+e%= 0.33+103.22 kW+P.E. 125 kW++DIA-PE+++++</t>
  </si>
  <si>
    <t>3P-350 A**REVISAR TABLERO**++301.33 A+8-2/0AWG,CU,(2xF-2N)+1-2T AWG+1T-63 mm+L= 10.00 m+e%= 0.44+103.22 kW+UPS 130 kVA++DIA-AREG+++++</t>
  </si>
  <si>
    <t>3P-350 A(LA)++301.33 A+8-2/0AWG,CU,(2xF-2N)+1-2T AWG+1T-63 mm+L= 10.00 m+e%= 0.44+103.22 kW+UPS 130 kVA++DIA-AREG+++++</t>
  </si>
  <si>
    <t>VILLAS</t>
  </si>
  <si>
    <t>BODEGA</t>
  </si>
  <si>
    <t>ALUMBRADO CONTACTOS Y FUERZA</t>
  </si>
  <si>
    <t>M.M.S.</t>
  </si>
  <si>
    <t>COMISION DE DEPORTE</t>
  </si>
  <si>
    <t>ACAELE V9.0.23</t>
  </si>
  <si>
    <t>C.V.10.0</t>
  </si>
  <si>
    <t>TABLERO CON INTERRUPTOR TERMOMAGNÉTICO</t>
  </si>
  <si>
    <t>DIA-CONTREG2</t>
  </si>
  <si>
    <t>TERMOMAGNÉTICO CON MOTOR</t>
  </si>
  <si>
    <t>TERMOMAGNÉTICO CON ARRANCADOS Y MOTOR</t>
  </si>
  <si>
    <t>TERMOMAGNÉTICO CON VARIADOR Y MOTOR</t>
  </si>
  <si>
    <t>TERMOMAGNÉTICO</t>
  </si>
  <si>
    <t>DIA-BC</t>
  </si>
  <si>
    <t>DIA-VACIO</t>
  </si>
  <si>
    <t>SIN SÍMBOLO</t>
  </si>
  <si>
    <t>DIA-INV</t>
  </si>
  <si>
    <t>PROTECCIONES CD INVERSOR</t>
  </si>
  <si>
    <t>PANELES SOLARES</t>
  </si>
  <si>
    <t>DIA-MODULOS</t>
  </si>
  <si>
    <t>DIA-INVERSOR</t>
  </si>
  <si>
    <t>INVERSOR SFV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</si>
</sst>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"/>
    <numFmt numFmtId="165" formatCode="0.0000"/>
    <numFmt numFmtId="166" formatCode="General\ &quot; W&quot;"/>
    <numFmt numFmtId="167" formatCode="General\ &quot; VA&quot;"/>
    <numFmt numFmtId="168" formatCode="_(&quot;$&quot;* #,##0_);_(&quot;$&quot;* \(#,##0\);_(&quot;$&quot;* &quot;-&quot;_);_(@_)"/>
    <numFmt numFmtId="169" formatCode="_(* #,##0_);_(* \(#,##0\);_(* &quot;-&quot;_);_(@_)"/>
    <numFmt numFmtId="170" formatCode="###0;###0"/>
    <numFmt numFmtId="171" formatCode="_-* #,##0.00\ [$€]_-;\-* #,##0.00\ [$€]_-;_-* \-??\ [$€]_-;_-@_-"/>
    <numFmt numFmtId="172" formatCode="_(* #,##0.00_);_(* \(#,##0.00\);_(* &quot;-&quot;??_);_(@_)"/>
    <numFmt numFmtId="173" formatCode="_-\$* #,##0.00_-;&quot;-$&quot;* #,##0.00_-;_-\$* \-??_-;_-@_-"/>
    <numFmt numFmtId="174" formatCode="_(&quot;$&quot;* #,##0.00_);_(&quot;$&quot;* \(#,##0.00\);_(&quot;$&quot;* &quot;-&quot;??_);_(@_)"/>
    <numFmt numFmtId="175" formatCode="General\ &quot; hp&quot;"/>
    <numFmt numFmtId="176" formatCode="0\ &quot; kA&quot;"/>
  </numFmts>
  <fonts count="66">
    <font>
      <sz val="10"/>
      <name val="Arial"/>
    </font>
    <font>
      <sz val="10"/>
      <name val="Arial"/>
      <family val="2"/>
    </font>
    <font>
      <sz val="10"/>
      <name val="RomanD"/>
    </font>
    <font>
      <sz val="10"/>
      <color indexed="9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color indexed="9"/>
      <name val="Arial"/>
      <family val="2"/>
    </font>
    <font>
      <b/>
      <sz val="11"/>
      <color indexed="9"/>
      <name val="Arial"/>
      <family val="2"/>
    </font>
    <font>
      <b/>
      <sz val="12"/>
      <color indexed="9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7.5"/>
      <name val="Arial"/>
      <family val="2"/>
    </font>
    <font>
      <b/>
      <sz val="24"/>
      <name val="Arial"/>
      <family val="2"/>
    </font>
    <font>
      <b/>
      <sz val="16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42"/>
      <name val="Arial"/>
      <family val="2"/>
    </font>
    <font>
      <sz val="10"/>
      <name val="Arial"/>
      <family val="2"/>
    </font>
    <font>
      <b/>
      <sz val="14"/>
      <color indexed="10"/>
      <name val="Arial"/>
      <family val="2"/>
    </font>
    <font>
      <b/>
      <sz val="16"/>
      <color indexed="12"/>
      <name val="Arial"/>
      <family val="2"/>
    </font>
    <font>
      <sz val="12"/>
      <name val="Times New Roman"/>
      <family val="1"/>
    </font>
    <font>
      <sz val="12"/>
      <name val="Arial"/>
      <family val="2"/>
    </font>
    <font>
      <sz val="10"/>
      <color indexed="22"/>
      <name val="Arial"/>
      <family val="2"/>
    </font>
    <font>
      <sz val="14"/>
      <name val="Arial"/>
      <family val="2"/>
    </font>
    <font>
      <b/>
      <sz val="14"/>
      <color indexed="9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color indexed="22"/>
      <name val="Arial"/>
      <family val="2"/>
    </font>
    <font>
      <b/>
      <sz val="11"/>
      <name val="RomanD"/>
    </font>
    <font>
      <b/>
      <sz val="36"/>
      <name val="Arial"/>
      <family val="2"/>
    </font>
    <font>
      <b/>
      <sz val="10"/>
      <color indexed="12"/>
      <name val="Arial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name val="Frutiger-Light"/>
    </font>
    <font>
      <sz val="10"/>
      <color indexed="10"/>
      <name val="Frutiger-Light"/>
    </font>
    <font>
      <sz val="10"/>
      <color indexed="12"/>
      <name val="Frutiger-Light"/>
    </font>
    <font>
      <b/>
      <i/>
      <u/>
      <sz val="11"/>
      <name val="Arial"/>
      <family val="2"/>
    </font>
    <font>
      <b/>
      <sz val="8"/>
      <color rgb="FFFF0000"/>
      <name val="Arial"/>
      <family val="2"/>
    </font>
    <font>
      <b/>
      <sz val="12"/>
      <color rgb="FFFF0000"/>
      <name val="Arial"/>
      <family val="2"/>
    </font>
    <font>
      <sz val="8"/>
      <name val="Frutiger-Light"/>
    </font>
    <font>
      <b/>
      <sz val="10"/>
      <color theme="1"/>
      <name val="Arial"/>
      <family val="2"/>
    </font>
    <font>
      <sz val="10"/>
      <name val="Arial"/>
      <family val="2"/>
      <charset val="1"/>
    </font>
    <font>
      <sz val="10"/>
      <name val="Mangal"/>
      <family val="2"/>
    </font>
    <font>
      <u/>
      <sz val="10"/>
      <color indexed="12"/>
      <name val="Arial"/>
      <family val="2"/>
    </font>
    <font>
      <sz val="10"/>
      <name val="MS Sans Serif"/>
      <family val="2"/>
      <charset val="1"/>
    </font>
    <font>
      <sz val="11"/>
      <color indexed="8"/>
      <name val="Calibri"/>
      <family val="2"/>
      <charset val="1"/>
    </font>
    <font>
      <b/>
      <sz val="10"/>
      <color theme="0"/>
      <name val="Arial"/>
      <family val="2"/>
    </font>
    <font>
      <b/>
      <sz val="10"/>
      <color rgb="FF0070C0"/>
      <name val="Arial"/>
      <family val="2"/>
    </font>
    <font>
      <b/>
      <sz val="8"/>
      <color rgb="FF000000"/>
      <name val="Arial"/>
      <family val="2"/>
    </font>
    <font>
      <b/>
      <sz val="10"/>
      <name val="RomanD"/>
    </font>
    <font>
      <b/>
      <sz val="9"/>
      <name val="RomanD"/>
    </font>
    <font>
      <b/>
      <sz val="8"/>
      <name val="RomanD"/>
    </font>
    <font>
      <b/>
      <sz val="7"/>
      <name val="RomanD"/>
    </font>
    <font>
      <b/>
      <sz val="12"/>
      <color indexed="10"/>
      <name val="Arial"/>
      <family val="2"/>
    </font>
    <font>
      <b/>
      <sz val="14"/>
      <name val="Arial"/>
      <family val="2"/>
    </font>
    <font>
      <b/>
      <sz val="20"/>
      <name val="Arial"/>
      <family val="2"/>
    </font>
    <font>
      <sz val="8"/>
      <name val="MS Sans Serif"/>
      <family val="2"/>
    </font>
    <font>
      <b/>
      <i/>
      <sz val="12"/>
      <color theme="0"/>
      <name val="Arial"/>
      <family val="2"/>
    </font>
    <font>
      <b/>
      <sz val="12"/>
      <color theme="0"/>
      <name val="Arial"/>
      <family val="2"/>
    </font>
    <font>
      <b/>
      <sz val="36"/>
      <color rgb="FFFF0000"/>
      <name val="Arial"/>
      <family val="2"/>
    </font>
    <font>
      <b/>
      <i/>
      <sz val="10"/>
      <color theme="0"/>
      <name val="Arial"/>
      <family val="2"/>
    </font>
    <font>
      <b/>
      <sz val="10"/>
      <color theme="0" tint="-0.249977111117893"/>
      <name val="Arial"/>
      <family val="2"/>
    </font>
    <font>
      <b/>
      <sz val="11"/>
      <color theme="0"/>
      <name val="Arial"/>
      <family val="2"/>
    </font>
    <font>
      <b/>
      <sz val="16"/>
      <color rgb="FFFF0000"/>
      <name val="Arial"/>
      <family val="2"/>
    </font>
    <font>
      <b/>
      <sz val="8"/>
      <color theme="0"/>
      <name val="Arial"/>
      <family val="2"/>
    </font>
  </fonts>
  <fills count="47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84C6B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292">
    <border>
      <left/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0"/>
      </right>
      <top style="medium">
        <color indexed="64"/>
      </top>
      <bottom style="thin">
        <color indexed="60"/>
      </bottom>
      <diagonal/>
    </border>
    <border>
      <left style="thin">
        <color indexed="60"/>
      </left>
      <right style="thin">
        <color indexed="60"/>
      </right>
      <top style="medium">
        <color indexed="64"/>
      </top>
      <bottom style="thin">
        <color indexed="60"/>
      </bottom>
      <diagonal/>
    </border>
    <border>
      <left style="thin">
        <color indexed="60"/>
      </left>
      <right style="medium">
        <color indexed="64"/>
      </right>
      <top style="medium">
        <color indexed="64"/>
      </top>
      <bottom style="thin">
        <color indexed="60"/>
      </bottom>
      <diagonal/>
    </border>
    <border>
      <left style="medium">
        <color indexed="64"/>
      </left>
      <right style="thin">
        <color indexed="20"/>
      </right>
      <top style="medium">
        <color indexed="64"/>
      </top>
      <bottom style="thin">
        <color indexed="20"/>
      </bottom>
      <diagonal/>
    </border>
    <border>
      <left style="thin">
        <color indexed="20"/>
      </left>
      <right style="medium">
        <color indexed="64"/>
      </right>
      <top style="medium">
        <color indexed="64"/>
      </top>
      <bottom style="thin">
        <color indexed="20"/>
      </bottom>
      <diagonal/>
    </border>
    <border>
      <left style="medium">
        <color indexed="64"/>
      </left>
      <right style="thin">
        <color indexed="17"/>
      </right>
      <top style="medium">
        <color indexed="64"/>
      </top>
      <bottom style="thin">
        <color indexed="17"/>
      </bottom>
      <diagonal/>
    </border>
    <border>
      <left style="medium">
        <color indexed="64"/>
      </left>
      <right style="thin">
        <color indexed="60"/>
      </right>
      <top style="medium">
        <color indexed="64"/>
      </top>
      <bottom style="medium">
        <color indexed="64"/>
      </bottom>
      <diagonal/>
    </border>
    <border>
      <left style="thin">
        <color indexed="60"/>
      </left>
      <right style="thin">
        <color indexed="60"/>
      </right>
      <top style="medium">
        <color indexed="64"/>
      </top>
      <bottom style="medium">
        <color indexed="64"/>
      </bottom>
      <diagonal/>
    </border>
    <border>
      <left style="thin">
        <color indexed="6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48"/>
      </right>
      <top style="medium">
        <color indexed="64"/>
      </top>
      <bottom style="medium">
        <color indexed="64"/>
      </bottom>
      <diagonal/>
    </border>
    <border>
      <left style="thin">
        <color indexed="48"/>
      </left>
      <right style="thin">
        <color indexed="48"/>
      </right>
      <top style="medium">
        <color indexed="64"/>
      </top>
      <bottom style="medium">
        <color indexed="64"/>
      </bottom>
      <diagonal/>
    </border>
    <border>
      <left style="thin">
        <color indexed="48"/>
      </left>
      <right/>
      <top style="medium">
        <color indexed="64"/>
      </top>
      <bottom style="medium">
        <color indexed="64"/>
      </bottom>
      <diagonal/>
    </border>
    <border>
      <left style="thin">
        <color indexed="1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0"/>
      </right>
      <top style="medium">
        <color indexed="64"/>
      </top>
      <bottom style="medium">
        <color indexed="64"/>
      </bottom>
      <diagonal/>
    </border>
    <border>
      <left/>
      <right style="thin">
        <color indexed="10"/>
      </right>
      <top style="medium">
        <color indexed="64"/>
      </top>
      <bottom style="medium">
        <color indexed="64"/>
      </bottom>
      <diagonal/>
    </border>
    <border>
      <left style="thin">
        <color indexed="10"/>
      </left>
      <right style="thin">
        <color indexed="1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1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55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1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11"/>
      </right>
      <top/>
      <bottom/>
      <diagonal/>
    </border>
    <border>
      <left style="medium">
        <color indexed="64"/>
      </left>
      <right style="thin">
        <color indexed="50"/>
      </right>
      <top style="medium">
        <color indexed="64"/>
      </top>
      <bottom style="medium">
        <color indexed="64"/>
      </bottom>
      <diagonal/>
    </border>
    <border>
      <left style="thin">
        <color indexed="50"/>
      </left>
      <right style="thin">
        <color indexed="5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17"/>
      </left>
      <right/>
      <top style="medium">
        <color indexed="64"/>
      </top>
      <bottom style="thin">
        <color indexed="17"/>
      </bottom>
      <diagonal/>
    </border>
    <border>
      <left style="thin">
        <color indexed="11"/>
      </left>
      <right/>
      <top style="medium">
        <color indexed="64"/>
      </top>
      <bottom style="medium">
        <color indexed="64"/>
      </bottom>
      <diagonal/>
    </border>
    <border>
      <left style="thin">
        <color indexed="11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FFFFFF"/>
      </left>
      <right style="thin">
        <color rgb="FFA7A9AC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indexed="50"/>
      </left>
      <right/>
      <top style="medium">
        <color indexed="64"/>
      </top>
      <bottom style="medium">
        <color indexed="64"/>
      </bottom>
      <diagonal/>
    </border>
    <border>
      <left style="thin">
        <color indexed="24"/>
      </left>
      <right style="thin">
        <color indexed="24"/>
      </right>
      <top style="medium">
        <color indexed="64"/>
      </top>
      <bottom style="medium">
        <color indexed="64"/>
      </bottom>
      <diagonal/>
    </border>
    <border>
      <left/>
      <right style="thin">
        <color indexed="10"/>
      </right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0"/>
      </left>
      <right style="thin">
        <color indexed="60"/>
      </right>
      <top/>
      <bottom style="thin">
        <color indexed="60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 style="thin">
        <color indexed="60"/>
      </right>
      <top/>
      <bottom style="thin">
        <color indexed="60"/>
      </bottom>
      <diagonal/>
    </border>
    <border>
      <left style="thin">
        <color indexed="60"/>
      </left>
      <right style="medium">
        <color indexed="64"/>
      </right>
      <top/>
      <bottom style="thin">
        <color indexed="60"/>
      </bottom>
      <diagonal/>
    </border>
    <border>
      <left style="medium">
        <color indexed="64"/>
      </left>
      <right style="thin">
        <color indexed="12"/>
      </right>
      <top/>
      <bottom style="thin">
        <color indexed="12"/>
      </bottom>
      <diagonal/>
    </border>
    <border>
      <left style="thin">
        <color indexed="12"/>
      </left>
      <right style="thin">
        <color indexed="12"/>
      </right>
      <top/>
      <bottom style="thin">
        <color indexed="12"/>
      </bottom>
      <diagonal/>
    </border>
    <border>
      <left style="thin">
        <color indexed="12"/>
      </left>
      <right style="medium">
        <color indexed="64"/>
      </right>
      <top/>
      <bottom style="thin">
        <color indexed="12"/>
      </bottom>
      <diagonal/>
    </border>
    <border>
      <left style="medium">
        <color indexed="64"/>
      </left>
      <right style="thin">
        <color indexed="10"/>
      </right>
      <top/>
      <bottom style="thin">
        <color indexed="10"/>
      </bottom>
      <diagonal/>
    </border>
    <border>
      <left style="thin">
        <color indexed="10"/>
      </left>
      <right style="thin">
        <color indexed="10"/>
      </right>
      <top/>
      <bottom style="thin">
        <color indexed="10"/>
      </bottom>
      <diagonal/>
    </border>
    <border>
      <left style="thin">
        <color indexed="10"/>
      </left>
      <right style="medium">
        <color indexed="64"/>
      </right>
      <top/>
      <bottom style="thin">
        <color indexed="10"/>
      </bottom>
      <diagonal/>
    </border>
    <border>
      <left/>
      <right style="thin">
        <color indexed="48"/>
      </right>
      <top/>
      <bottom style="thin">
        <color indexed="48"/>
      </bottom>
      <diagonal/>
    </border>
    <border>
      <left style="thin">
        <color indexed="48"/>
      </left>
      <right style="thin">
        <color indexed="48"/>
      </right>
      <top/>
      <bottom style="thin">
        <color indexed="48"/>
      </bottom>
      <diagonal/>
    </border>
    <border>
      <left style="thin">
        <color indexed="48"/>
      </left>
      <right/>
      <top/>
      <bottom style="thin">
        <color indexed="48"/>
      </bottom>
      <diagonal/>
    </border>
    <border>
      <left style="medium">
        <color indexed="64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4"/>
      </left>
      <right style="thin">
        <color indexed="50"/>
      </right>
      <top/>
      <bottom style="thin">
        <color indexed="50"/>
      </bottom>
      <diagonal/>
    </border>
    <border>
      <left style="thin">
        <color indexed="50"/>
      </left>
      <right style="thin">
        <color indexed="50"/>
      </right>
      <top/>
      <bottom style="thin">
        <color indexed="50"/>
      </bottom>
      <diagonal/>
    </border>
    <border>
      <left style="thin">
        <color indexed="50"/>
      </left>
      <right style="medium">
        <color indexed="64"/>
      </right>
      <top/>
      <bottom style="thin">
        <color indexed="50"/>
      </bottom>
      <diagonal/>
    </border>
    <border>
      <left style="medium">
        <color indexed="64"/>
      </left>
      <right style="thin">
        <color indexed="52"/>
      </right>
      <top/>
      <bottom style="thin">
        <color indexed="52"/>
      </bottom>
      <diagonal/>
    </border>
    <border>
      <left style="thin">
        <color indexed="52"/>
      </left>
      <right style="thin">
        <color indexed="52"/>
      </right>
      <top/>
      <bottom style="thin">
        <color indexed="52"/>
      </bottom>
      <diagonal/>
    </border>
    <border>
      <left style="thin">
        <color indexed="52"/>
      </left>
      <right style="medium">
        <color indexed="64"/>
      </right>
      <top/>
      <bottom style="thin">
        <color indexed="52"/>
      </bottom>
      <diagonal/>
    </border>
    <border>
      <left style="medium">
        <color indexed="64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0"/>
      </left>
      <right/>
      <top style="thin">
        <color indexed="60"/>
      </top>
      <bottom style="thin">
        <color indexed="60"/>
      </bottom>
      <diagonal/>
    </border>
    <border>
      <left style="medium">
        <color indexed="64"/>
      </left>
      <right style="thin">
        <color indexed="64"/>
      </right>
      <top style="thin">
        <color indexed="10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/>
      <right style="thin">
        <color indexed="60"/>
      </right>
      <top/>
      <bottom style="thin">
        <color indexed="60"/>
      </bottom>
      <diagonal/>
    </border>
    <border>
      <left style="thin">
        <color indexed="60"/>
      </left>
      <right/>
      <top/>
      <bottom style="thin">
        <color indexed="6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10"/>
      </left>
      <right style="medium">
        <color indexed="64"/>
      </right>
      <top style="thin">
        <color indexed="10"/>
      </top>
      <bottom style="thin">
        <color indexed="10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/>
      <diagonal/>
    </border>
    <border>
      <left style="thin">
        <color indexed="60"/>
      </left>
      <right/>
      <top style="thin">
        <color indexed="60"/>
      </top>
      <bottom/>
      <diagonal/>
    </border>
    <border>
      <left style="medium">
        <color indexed="64"/>
      </left>
      <right style="thin">
        <color indexed="60"/>
      </right>
      <top style="thin">
        <color indexed="60"/>
      </top>
      <bottom/>
      <diagonal/>
    </border>
    <border>
      <left style="thin">
        <color indexed="60"/>
      </left>
      <right style="medium">
        <color indexed="64"/>
      </right>
      <top style="thin">
        <color indexed="60"/>
      </top>
      <bottom/>
      <diagonal/>
    </border>
    <border>
      <left style="medium">
        <color indexed="64"/>
      </left>
      <right style="thin">
        <color indexed="12"/>
      </right>
      <top style="thin">
        <color indexed="12"/>
      </top>
      <bottom style="medium">
        <color indexed="64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medium">
        <color indexed="64"/>
      </bottom>
      <diagonal/>
    </border>
    <border>
      <left style="thin">
        <color indexed="12"/>
      </left>
      <right style="medium">
        <color indexed="64"/>
      </right>
      <top style="thin">
        <color indexed="12"/>
      </top>
      <bottom style="medium">
        <color indexed="64"/>
      </bottom>
      <diagonal/>
    </border>
    <border>
      <left style="medium">
        <color indexed="64"/>
      </left>
      <right style="thin">
        <color indexed="10"/>
      </right>
      <top style="thin">
        <color indexed="10"/>
      </top>
      <bottom style="medium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medium">
        <color indexed="64"/>
      </bottom>
      <diagonal/>
    </border>
    <border>
      <left style="thin">
        <color indexed="10"/>
      </left>
      <right style="medium">
        <color indexed="64"/>
      </right>
      <top style="thin">
        <color indexed="10"/>
      </top>
      <bottom style="medium">
        <color indexed="64"/>
      </bottom>
      <diagonal/>
    </border>
    <border>
      <left/>
      <right style="thin">
        <color indexed="48"/>
      </right>
      <top style="thin">
        <color indexed="48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/>
      <diagonal/>
    </border>
    <border>
      <left style="thin">
        <color indexed="48"/>
      </left>
      <right/>
      <top style="thin">
        <color indexed="48"/>
      </top>
      <bottom/>
      <diagonal/>
    </border>
    <border>
      <left style="medium">
        <color indexed="64"/>
      </left>
      <right style="thin">
        <color indexed="10"/>
      </right>
      <top style="thin">
        <color indexed="10"/>
      </top>
      <bottom/>
      <diagonal/>
    </border>
    <border>
      <left style="medium">
        <color indexed="64"/>
      </left>
      <right style="thin">
        <color indexed="50"/>
      </right>
      <top style="thin">
        <color indexed="50"/>
      </top>
      <bottom/>
      <diagonal/>
    </border>
    <border>
      <left style="thin">
        <color indexed="50"/>
      </left>
      <right style="thin">
        <color indexed="50"/>
      </right>
      <top style="thin">
        <color indexed="50"/>
      </top>
      <bottom/>
      <diagonal/>
    </border>
    <border>
      <left style="thin">
        <color indexed="50"/>
      </left>
      <right style="medium">
        <color indexed="64"/>
      </right>
      <top style="thin">
        <color indexed="50"/>
      </top>
      <bottom/>
      <diagonal/>
    </border>
    <border>
      <left style="medium">
        <color indexed="64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medium">
        <color indexed="64"/>
      </right>
      <top style="thin">
        <color indexed="52"/>
      </top>
      <bottom/>
      <diagonal/>
    </border>
    <border>
      <left style="medium">
        <color indexed="64"/>
      </left>
      <right style="thin">
        <color indexed="55"/>
      </right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 style="thin">
        <color indexed="55"/>
      </left>
      <right/>
      <top style="thin">
        <color indexed="55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/>
      <diagonal/>
    </border>
    <border>
      <left style="thin">
        <color indexed="10"/>
      </left>
      <right style="medium">
        <color indexed="64"/>
      </right>
      <top style="thin">
        <color indexed="10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0"/>
      </right>
      <top style="thin">
        <color indexed="60"/>
      </top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/>
      <right style="thin">
        <color indexed="60"/>
      </right>
      <top style="thin">
        <color indexed="60"/>
      </top>
      <bottom style="medium">
        <color indexed="64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 style="medium">
        <color indexed="64"/>
      </bottom>
      <diagonal/>
    </border>
    <border>
      <left/>
      <right/>
      <top style="thin">
        <color indexed="60"/>
      </top>
      <bottom/>
      <diagonal/>
    </border>
    <border>
      <left style="thin">
        <color indexed="60"/>
      </left>
      <right style="medium">
        <color indexed="64"/>
      </right>
      <top style="thin">
        <color indexed="60"/>
      </top>
      <bottom style="medium">
        <color indexed="64"/>
      </bottom>
      <diagonal/>
    </border>
    <border>
      <left style="medium">
        <color indexed="64"/>
      </left>
      <right style="thin">
        <color indexed="20"/>
      </right>
      <top style="thin">
        <color indexed="20"/>
      </top>
      <bottom style="medium">
        <color indexed="64"/>
      </bottom>
      <diagonal/>
    </border>
    <border>
      <left style="thin">
        <color indexed="20"/>
      </left>
      <right style="medium">
        <color indexed="64"/>
      </right>
      <top style="thin">
        <color indexed="20"/>
      </top>
      <bottom style="medium">
        <color indexed="64"/>
      </bottom>
      <diagonal/>
    </border>
    <border>
      <left style="medium">
        <color indexed="64"/>
      </left>
      <right style="thin">
        <color indexed="17"/>
      </right>
      <top style="thin">
        <color indexed="17"/>
      </top>
      <bottom style="medium">
        <color indexed="64"/>
      </bottom>
      <diagonal/>
    </border>
    <border>
      <left style="thin">
        <color indexed="17"/>
      </left>
      <right/>
      <top style="thin">
        <color indexed="17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0"/>
      </left>
      <right style="thin">
        <color indexed="60"/>
      </right>
      <top style="medium">
        <color indexed="64"/>
      </top>
      <bottom/>
      <diagonal/>
    </border>
    <border>
      <left style="thin">
        <color indexed="12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0"/>
      </left>
      <right style="thin">
        <color indexed="60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/>
      <top style="medium">
        <color indexed="64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indexed="64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indexed="60"/>
      </left>
      <right/>
      <top style="thin">
        <color indexed="60"/>
      </top>
      <bottom style="thin">
        <color indexed="6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0"/>
      </top>
      <bottom style="thin">
        <color indexed="60"/>
      </bottom>
      <diagonal/>
    </border>
    <border>
      <left style="medium">
        <color indexed="64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0"/>
      </left>
      <right style="medium">
        <color indexed="64"/>
      </right>
      <top style="thin">
        <color indexed="60"/>
      </top>
      <bottom style="thin">
        <color indexed="60"/>
      </bottom>
      <diagonal/>
    </border>
    <border>
      <left style="medium">
        <color indexed="64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2"/>
      </left>
      <right style="medium">
        <color indexed="64"/>
      </right>
      <top style="thin">
        <color indexed="12"/>
      </top>
      <bottom style="thin">
        <color indexed="12"/>
      </bottom>
      <diagonal/>
    </border>
    <border>
      <left style="medium">
        <color indexed="64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medium">
        <color indexed="64"/>
      </right>
      <top style="thin">
        <color indexed="10"/>
      </top>
      <bottom style="thin">
        <color indexed="10"/>
      </bottom>
      <diagonal/>
    </border>
    <border>
      <left/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8"/>
      </left>
      <right/>
      <top style="thin">
        <color indexed="48"/>
      </top>
      <bottom style="thin">
        <color indexed="48"/>
      </bottom>
      <diagonal/>
    </border>
    <border>
      <left style="medium">
        <color indexed="64"/>
      </left>
      <right style="thin">
        <color indexed="50"/>
      </right>
      <top style="thin">
        <color indexed="50"/>
      </top>
      <bottom style="thin">
        <color indexed="50"/>
      </bottom>
      <diagonal/>
    </border>
    <border>
      <left style="thin">
        <color indexed="50"/>
      </left>
      <right style="thin">
        <color indexed="50"/>
      </right>
      <top style="thin">
        <color indexed="50"/>
      </top>
      <bottom style="thin">
        <color indexed="50"/>
      </bottom>
      <diagonal/>
    </border>
    <border>
      <left style="thin">
        <color indexed="50"/>
      </left>
      <right style="medium">
        <color indexed="64"/>
      </right>
      <top style="thin">
        <color indexed="50"/>
      </top>
      <bottom style="thin">
        <color indexed="50"/>
      </bottom>
      <diagonal/>
    </border>
    <border>
      <left style="medium">
        <color indexed="64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52"/>
      </left>
      <right style="medium">
        <color indexed="64"/>
      </right>
      <top style="thin">
        <color indexed="52"/>
      </top>
      <bottom style="thin">
        <color indexed="52"/>
      </bottom>
      <diagonal/>
    </border>
    <border>
      <left style="medium">
        <color indexed="64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20"/>
      </right>
      <top style="thin">
        <color indexed="20"/>
      </top>
      <bottom style="thin">
        <color indexed="20"/>
      </bottom>
      <diagonal/>
    </border>
    <border>
      <left style="thin">
        <color indexed="20"/>
      </left>
      <right style="medium">
        <color indexed="64"/>
      </right>
      <top style="thin">
        <color indexed="20"/>
      </top>
      <bottom style="thin">
        <color indexed="20"/>
      </bottom>
      <diagonal/>
    </border>
    <border>
      <left style="medium">
        <color indexed="64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 style="thin">
        <color indexed="17"/>
      </left>
      <right/>
      <top style="thin">
        <color indexed="17"/>
      </top>
      <bottom style="thin">
        <color indexed="17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8">
    <xf numFmtId="0" fontId="0" fillId="0" borderId="0"/>
    <xf numFmtId="169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0" fontId="1" fillId="0" borderId="0"/>
    <xf numFmtId="0" fontId="42" fillId="0" borderId="0"/>
    <xf numFmtId="171" fontId="43" fillId="0" borderId="0" applyFill="0" applyBorder="0" applyAlignment="0" applyProtection="0"/>
    <xf numFmtId="0" fontId="44" fillId="0" borderId="0" applyNumberFormat="0" applyFill="0" applyBorder="0" applyAlignment="0" applyProtection="0">
      <alignment vertical="top"/>
      <protection locked="0"/>
    </xf>
    <xf numFmtId="172" fontId="1" fillId="0" borderId="0" applyFont="0" applyFill="0" applyBorder="0" applyAlignment="0" applyProtection="0"/>
    <xf numFmtId="173" fontId="43" fillId="0" borderId="0" applyFill="0" applyBorder="0" applyAlignment="0" applyProtection="0"/>
    <xf numFmtId="174" fontId="1" fillId="0" borderId="0" applyFont="0" applyFill="0" applyBorder="0" applyAlignment="0" applyProtection="0"/>
    <xf numFmtId="0" fontId="45" fillId="0" borderId="0"/>
    <xf numFmtId="0" fontId="42" fillId="0" borderId="0"/>
    <xf numFmtId="0" fontId="45" fillId="0" borderId="0"/>
    <xf numFmtId="0" fontId="42" fillId="0" borderId="0"/>
    <xf numFmtId="0" fontId="42" fillId="0" borderId="0"/>
    <xf numFmtId="0" fontId="46" fillId="0" borderId="0"/>
    <xf numFmtId="0" fontId="46" fillId="0" borderId="0"/>
    <xf numFmtId="0" fontId="42" fillId="0" borderId="0"/>
  </cellStyleXfs>
  <cellXfs count="1248">
    <xf numFmtId="0" fontId="0" fillId="0" borderId="0" xfId="0"/>
    <xf numFmtId="0" fontId="0" fillId="0" borderId="0" xfId="0" applyProtection="1">
      <protection hidden="1"/>
    </xf>
    <xf numFmtId="0" fontId="7" fillId="2" borderId="0" xfId="0" applyFont="1" applyFill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right"/>
      <protection hidden="1"/>
    </xf>
    <xf numFmtId="2" fontId="0" fillId="0" borderId="0" xfId="0" applyNumberFormat="1" applyProtection="1">
      <protection hidden="1"/>
    </xf>
    <xf numFmtId="16" fontId="0" fillId="0" borderId="0" xfId="0" quotePrefix="1" applyNumberFormat="1" applyProtection="1">
      <protection hidden="1"/>
    </xf>
    <xf numFmtId="0" fontId="0" fillId="0" borderId="0" xfId="0" quotePrefix="1" applyProtection="1">
      <protection hidden="1"/>
    </xf>
    <xf numFmtId="0" fontId="0" fillId="0" borderId="0" xfId="0" applyAlignment="1" applyProtection="1">
      <alignment horizontal="left"/>
      <protection hidden="1"/>
    </xf>
    <xf numFmtId="0" fontId="4" fillId="0" borderId="0" xfId="0" applyFont="1" applyAlignment="1" applyProtection="1">
      <alignment horizontal="center"/>
      <protection hidden="1"/>
    </xf>
    <xf numFmtId="19" fontId="0" fillId="0" borderId="0" xfId="0" applyNumberFormat="1" applyProtection="1">
      <protection hidden="1"/>
    </xf>
    <xf numFmtId="0" fontId="3" fillId="2" borderId="0" xfId="0" applyFont="1" applyFill="1" applyProtection="1">
      <protection hidden="1"/>
    </xf>
    <xf numFmtId="0" fontId="0" fillId="2" borderId="0" xfId="0" applyFill="1" applyProtection="1">
      <protection hidden="1"/>
    </xf>
    <xf numFmtId="0" fontId="2" fillId="0" borderId="0" xfId="0" applyFont="1" applyAlignment="1" applyProtection="1">
      <alignment horizontal="center"/>
      <protection hidden="1"/>
    </xf>
    <xf numFmtId="0" fontId="0" fillId="3" borderId="0" xfId="0" applyFill="1" applyProtection="1">
      <protection hidden="1"/>
    </xf>
    <xf numFmtId="0" fontId="0" fillId="4" borderId="0" xfId="0" applyFill="1" applyProtection="1">
      <protection hidden="1"/>
    </xf>
    <xf numFmtId="0" fontId="0" fillId="0" borderId="0" xfId="0" applyProtection="1">
      <protection locked="0" hidden="1"/>
    </xf>
    <xf numFmtId="0" fontId="7" fillId="2" borderId="5" xfId="0" applyFont="1" applyFill="1" applyBorder="1" applyProtection="1">
      <protection hidden="1"/>
    </xf>
    <xf numFmtId="0" fontId="7" fillId="2" borderId="6" xfId="0" applyFont="1" applyFill="1" applyBorder="1" applyProtection="1">
      <protection hidden="1"/>
    </xf>
    <xf numFmtId="0" fontId="0" fillId="2" borderId="7" xfId="0" applyFill="1" applyBorder="1" applyProtection="1">
      <protection hidden="1"/>
    </xf>
    <xf numFmtId="2" fontId="0" fillId="0" borderId="10" xfId="0" applyNumberFormat="1" applyBorder="1" applyAlignment="1" applyProtection="1">
      <alignment horizontal="center"/>
      <protection hidden="1"/>
    </xf>
    <xf numFmtId="0" fontId="0" fillId="0" borderId="17" xfId="0" applyBorder="1" applyAlignment="1" applyProtection="1">
      <alignment horizontal="center"/>
      <protection hidden="1"/>
    </xf>
    <xf numFmtId="0" fontId="0" fillId="0" borderId="18" xfId="0" applyBorder="1" applyAlignment="1" applyProtection="1">
      <alignment horizontal="center"/>
      <protection hidden="1"/>
    </xf>
    <xf numFmtId="0" fontId="0" fillId="0" borderId="19" xfId="0" applyBorder="1" applyAlignment="1" applyProtection="1">
      <alignment horizontal="center"/>
      <protection hidden="1"/>
    </xf>
    <xf numFmtId="0" fontId="0" fillId="0" borderId="20" xfId="0" applyBorder="1" applyAlignment="1" applyProtection="1">
      <alignment horizontal="center"/>
      <protection hidden="1"/>
    </xf>
    <xf numFmtId="0" fontId="0" fillId="0" borderId="21" xfId="0" applyBorder="1" applyAlignment="1" applyProtection="1">
      <alignment horizontal="center"/>
      <protection hidden="1"/>
    </xf>
    <xf numFmtId="0" fontId="0" fillId="0" borderId="22" xfId="0" applyBorder="1" applyAlignment="1" applyProtection="1">
      <alignment horizontal="center"/>
      <protection hidden="1"/>
    </xf>
    <xf numFmtId="0" fontId="0" fillId="0" borderId="23" xfId="0" applyBorder="1" applyAlignment="1" applyProtection="1">
      <alignment horizontal="center"/>
      <protection hidden="1"/>
    </xf>
    <xf numFmtId="2" fontId="0" fillId="0" borderId="29" xfId="0" applyNumberFormat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7" borderId="0" xfId="0" applyFill="1" applyProtection="1">
      <protection hidden="1"/>
    </xf>
    <xf numFmtId="0" fontId="0" fillId="4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locked="0"/>
    </xf>
    <xf numFmtId="0" fontId="0" fillId="5" borderId="17" xfId="0" applyFill="1" applyBorder="1" applyAlignment="1" applyProtection="1">
      <alignment horizontal="center"/>
      <protection locked="0"/>
    </xf>
    <xf numFmtId="0" fontId="0" fillId="5" borderId="18" xfId="0" applyFill="1" applyBorder="1" applyAlignment="1" applyProtection="1">
      <alignment horizontal="center"/>
      <protection locked="0"/>
    </xf>
    <xf numFmtId="0" fontId="0" fillId="5" borderId="24" xfId="0" applyFill="1" applyBorder="1" applyAlignment="1" applyProtection="1">
      <alignment horizontal="center"/>
      <protection locked="0"/>
    </xf>
    <xf numFmtId="0" fontId="0" fillId="7" borderId="17" xfId="0" applyFill="1" applyBorder="1" applyAlignment="1" applyProtection="1">
      <alignment horizontal="center"/>
      <protection locked="0"/>
    </xf>
    <xf numFmtId="2" fontId="0" fillId="7" borderId="18" xfId="0" applyNumberFormat="1" applyFill="1" applyBorder="1" applyAlignment="1" applyProtection="1">
      <alignment horizontal="center"/>
      <protection locked="0"/>
    </xf>
    <xf numFmtId="1" fontId="0" fillId="7" borderId="18" xfId="0" applyNumberFormat="1" applyFill="1" applyBorder="1" applyAlignment="1" applyProtection="1">
      <alignment horizontal="center"/>
      <protection locked="0"/>
    </xf>
    <xf numFmtId="1" fontId="0" fillId="7" borderId="24" xfId="0" applyNumberFormat="1" applyFill="1" applyBorder="1" applyAlignment="1" applyProtection="1">
      <alignment horizontal="center"/>
      <protection locked="0"/>
    </xf>
    <xf numFmtId="2" fontId="0" fillId="5" borderId="17" xfId="0" applyNumberFormat="1" applyFill="1" applyBorder="1" applyAlignment="1" applyProtection="1">
      <alignment horizontal="center"/>
      <protection locked="0"/>
    </xf>
    <xf numFmtId="2" fontId="0" fillId="0" borderId="28" xfId="0" applyNumberFormat="1" applyBorder="1" applyAlignment="1" applyProtection="1">
      <alignment horizontal="center"/>
      <protection locked="0"/>
    </xf>
    <xf numFmtId="2" fontId="0" fillId="0" borderId="32" xfId="0" applyNumberFormat="1" applyBorder="1" applyAlignment="1" applyProtection="1">
      <alignment horizontal="center"/>
      <protection locked="0"/>
    </xf>
    <xf numFmtId="2" fontId="0" fillId="0" borderId="27" xfId="0" applyNumberFormat="1" applyBorder="1" applyAlignment="1" applyProtection="1">
      <alignment horizontal="center"/>
      <protection locked="0"/>
    </xf>
    <xf numFmtId="0" fontId="0" fillId="7" borderId="18" xfId="0" applyFill="1" applyBorder="1" applyAlignment="1" applyProtection="1">
      <alignment horizontal="center"/>
      <protection locked="0"/>
    </xf>
    <xf numFmtId="1" fontId="0" fillId="0" borderId="0" xfId="0" applyNumberFormat="1" applyProtection="1">
      <protection hidden="1"/>
    </xf>
    <xf numFmtId="0" fontId="7" fillId="11" borderId="0" xfId="0" applyFont="1" applyFill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center"/>
      <protection hidden="1"/>
    </xf>
    <xf numFmtId="2" fontId="0" fillId="0" borderId="27" xfId="0" applyNumberFormat="1" applyBorder="1" applyAlignment="1">
      <alignment horizontal="center"/>
    </xf>
    <xf numFmtId="0" fontId="1" fillId="0" borderId="0" xfId="0" applyFont="1" applyProtection="1">
      <protection hidden="1"/>
    </xf>
    <xf numFmtId="0" fontId="17" fillId="0" borderId="0" xfId="0" applyFont="1" applyProtection="1">
      <protection hidden="1"/>
    </xf>
    <xf numFmtId="2" fontId="0" fillId="0" borderId="6" xfId="0" applyNumberFormat="1" applyBorder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right"/>
      <protection hidden="1"/>
    </xf>
    <xf numFmtId="0" fontId="4" fillId="13" borderId="8" xfId="0" applyFont="1" applyFill="1" applyBorder="1" applyAlignment="1" applyProtection="1">
      <alignment horizontal="center"/>
      <protection hidden="1"/>
    </xf>
    <xf numFmtId="0" fontId="4" fillId="13" borderId="0" xfId="0" applyFont="1" applyFill="1" applyAlignment="1" applyProtection="1">
      <alignment horizontal="center"/>
      <protection hidden="1"/>
    </xf>
    <xf numFmtId="0" fontId="4" fillId="13" borderId="40" xfId="0" applyFont="1" applyFill="1" applyBorder="1" applyAlignment="1" applyProtection="1">
      <alignment horizontal="center"/>
      <protection hidden="1"/>
    </xf>
    <xf numFmtId="2" fontId="0" fillId="13" borderId="10" xfId="0" applyNumberFormat="1" applyFill="1" applyBorder="1" applyAlignment="1" applyProtection="1">
      <alignment horizontal="center"/>
      <protection hidden="1"/>
    </xf>
    <xf numFmtId="0" fontId="0" fillId="13" borderId="36" xfId="0" applyFill="1" applyBorder="1" applyProtection="1">
      <protection hidden="1"/>
    </xf>
    <xf numFmtId="0" fontId="0" fillId="13" borderId="37" xfId="0" applyFill="1" applyBorder="1" applyProtection="1">
      <protection hidden="1"/>
    </xf>
    <xf numFmtId="0" fontId="0" fillId="13" borderId="8" xfId="0" applyFill="1" applyBorder="1" applyProtection="1">
      <protection hidden="1"/>
    </xf>
    <xf numFmtId="0" fontId="0" fillId="13" borderId="0" xfId="0" applyFill="1" applyProtection="1">
      <protection hidden="1"/>
    </xf>
    <xf numFmtId="0" fontId="0" fillId="13" borderId="0" xfId="0" applyFill="1" applyAlignment="1" applyProtection="1">
      <alignment horizontal="left"/>
      <protection hidden="1"/>
    </xf>
    <xf numFmtId="0" fontId="0" fillId="13" borderId="0" xfId="0" applyFill="1" applyAlignment="1" applyProtection="1">
      <alignment horizontal="center"/>
      <protection hidden="1"/>
    </xf>
    <xf numFmtId="0" fontId="2" fillId="13" borderId="0" xfId="0" applyFont="1" applyFill="1" applyAlignment="1" applyProtection="1">
      <alignment horizontal="right"/>
      <protection hidden="1"/>
    </xf>
    <xf numFmtId="0" fontId="0" fillId="13" borderId="0" xfId="0" applyFill="1" applyAlignment="1" applyProtection="1">
      <alignment horizontal="right"/>
      <protection hidden="1"/>
    </xf>
    <xf numFmtId="0" fontId="0" fillId="13" borderId="49" xfId="0" applyFill="1" applyBorder="1" applyProtection="1">
      <protection hidden="1"/>
    </xf>
    <xf numFmtId="0" fontId="0" fillId="13" borderId="38" xfId="0" applyFill="1" applyBorder="1" applyProtection="1">
      <protection hidden="1"/>
    </xf>
    <xf numFmtId="0" fontId="0" fillId="13" borderId="9" xfId="0" applyFill="1" applyBorder="1" applyProtection="1">
      <protection hidden="1"/>
    </xf>
    <xf numFmtId="0" fontId="4" fillId="0" borderId="5" xfId="0" applyFont="1" applyBorder="1" applyProtection="1">
      <protection hidden="1"/>
    </xf>
    <xf numFmtId="0" fontId="4" fillId="13" borderId="41" xfId="0" applyFont="1" applyFill="1" applyBorder="1" applyAlignment="1" applyProtection="1">
      <alignment horizontal="center"/>
      <protection hidden="1"/>
    </xf>
    <xf numFmtId="0" fontId="6" fillId="13" borderId="41" xfId="0" applyFont="1" applyFill="1" applyBorder="1" applyAlignment="1" applyProtection="1">
      <alignment horizontal="center"/>
      <protection hidden="1"/>
    </xf>
    <xf numFmtId="0" fontId="4" fillId="13" borderId="39" xfId="0" applyFont="1" applyFill="1" applyBorder="1" applyAlignment="1" applyProtection="1">
      <alignment horizontal="center"/>
      <protection hidden="1"/>
    </xf>
    <xf numFmtId="0" fontId="4" fillId="13" borderId="36" xfId="0" applyFont="1" applyFill="1" applyBorder="1" applyProtection="1">
      <protection hidden="1"/>
    </xf>
    <xf numFmtId="0" fontId="4" fillId="13" borderId="37" xfId="0" applyFont="1" applyFill="1" applyBorder="1" applyProtection="1">
      <protection hidden="1"/>
    </xf>
    <xf numFmtId="0" fontId="4" fillId="13" borderId="8" xfId="0" applyFont="1" applyFill="1" applyBorder="1" applyProtection="1">
      <protection hidden="1"/>
    </xf>
    <xf numFmtId="0" fontId="4" fillId="13" borderId="0" xfId="0" applyFont="1" applyFill="1" applyProtection="1">
      <protection hidden="1"/>
    </xf>
    <xf numFmtId="0" fontId="4" fillId="13" borderId="8" xfId="0" applyFont="1" applyFill="1" applyBorder="1" applyAlignment="1" applyProtection="1">
      <alignment horizontal="left"/>
      <protection hidden="1"/>
    </xf>
    <xf numFmtId="0" fontId="4" fillId="13" borderId="0" xfId="0" applyFont="1" applyFill="1" applyAlignment="1" applyProtection="1">
      <alignment horizontal="left"/>
      <protection hidden="1"/>
    </xf>
    <xf numFmtId="0" fontId="4" fillId="13" borderId="48" xfId="0" applyFont="1" applyFill="1" applyBorder="1" applyAlignment="1" applyProtection="1">
      <alignment horizontal="center"/>
      <protection hidden="1"/>
    </xf>
    <xf numFmtId="0" fontId="4" fillId="13" borderId="49" xfId="0" applyFont="1" applyFill="1" applyBorder="1" applyAlignment="1" applyProtection="1">
      <alignment horizontal="center"/>
      <protection hidden="1"/>
    </xf>
    <xf numFmtId="2" fontId="4" fillId="13" borderId="39" xfId="0" applyNumberFormat="1" applyFont="1" applyFill="1" applyBorder="1" applyAlignment="1" applyProtection="1">
      <alignment horizontal="center"/>
      <protection hidden="1"/>
    </xf>
    <xf numFmtId="2" fontId="0" fillId="4" borderId="0" xfId="0" applyNumberFormat="1" applyFill="1" applyProtection="1">
      <protection hidden="1"/>
    </xf>
    <xf numFmtId="0" fontId="11" fillId="0" borderId="0" xfId="0" applyFont="1" applyAlignment="1">
      <alignment horizontal="center"/>
    </xf>
    <xf numFmtId="0" fontId="20" fillId="0" borderId="0" xfId="0" applyFont="1"/>
    <xf numFmtId="0" fontId="11" fillId="0" borderId="51" xfId="0" applyFont="1" applyBorder="1" applyAlignment="1">
      <alignment horizontal="center" vertical="top" wrapText="1"/>
    </xf>
    <xf numFmtId="0" fontId="11" fillId="0" borderId="52" xfId="0" applyFont="1" applyBorder="1" applyAlignment="1">
      <alignment horizontal="center" vertical="top" wrapText="1"/>
    </xf>
    <xf numFmtId="0" fontId="11" fillId="0" borderId="53" xfId="0" applyFont="1" applyBorder="1" applyAlignment="1">
      <alignment horizontal="center" vertical="top" wrapText="1"/>
    </xf>
    <xf numFmtId="0" fontId="11" fillId="0" borderId="54" xfId="0" applyFont="1" applyBorder="1" applyAlignment="1">
      <alignment horizontal="center" vertical="top" wrapText="1"/>
    </xf>
    <xf numFmtId="0" fontId="11" fillId="0" borderId="9" xfId="0" applyFont="1" applyBorder="1" applyAlignment="1">
      <alignment horizontal="center" vertical="top" wrapText="1"/>
    </xf>
    <xf numFmtId="0" fontId="11" fillId="0" borderId="55" xfId="0" applyFont="1" applyBorder="1" applyAlignment="1">
      <alignment horizontal="center" vertical="top" wrapText="1"/>
    </xf>
    <xf numFmtId="0" fontId="11" fillId="0" borderId="56" xfId="0" applyFont="1" applyBorder="1" applyAlignment="1">
      <alignment horizontal="center" vertical="top" wrapText="1"/>
    </xf>
    <xf numFmtId="0" fontId="11" fillId="0" borderId="57" xfId="0" applyFont="1" applyBorder="1" applyAlignment="1">
      <alignment horizontal="center" vertical="top" wrapText="1"/>
    </xf>
    <xf numFmtId="0" fontId="11" fillId="0" borderId="58" xfId="0" applyFont="1" applyBorder="1" applyAlignment="1">
      <alignment horizontal="center" vertical="top" wrapText="1"/>
    </xf>
    <xf numFmtId="0" fontId="2" fillId="0" borderId="0" xfId="0" applyFont="1" applyAlignment="1" applyProtection="1">
      <alignment horizontal="right"/>
      <protection hidden="1"/>
    </xf>
    <xf numFmtId="0" fontId="0" fillId="14" borderId="0" xfId="0" applyFill="1" applyProtection="1">
      <protection hidden="1"/>
    </xf>
    <xf numFmtId="0" fontId="0" fillId="0" borderId="6" xfId="0" applyBorder="1" applyProtection="1">
      <protection hidden="1"/>
    </xf>
    <xf numFmtId="0" fontId="0" fillId="0" borderId="7" xfId="0" applyBorder="1" applyProtection="1">
      <protection hidden="1"/>
    </xf>
    <xf numFmtId="0" fontId="22" fillId="13" borderId="0" xfId="0" applyFont="1" applyFill="1" applyProtection="1">
      <protection hidden="1"/>
    </xf>
    <xf numFmtId="0" fontId="4" fillId="0" borderId="41" xfId="0" applyFont="1" applyBorder="1" applyAlignment="1" applyProtection="1">
      <alignment horizontal="center"/>
      <protection hidden="1"/>
    </xf>
    <xf numFmtId="0" fontId="4" fillId="0" borderId="10" xfId="0" applyFont="1" applyBorder="1" applyAlignment="1" applyProtection="1">
      <alignment horizontal="center"/>
      <protection hidden="1"/>
    </xf>
    <xf numFmtId="2" fontId="4" fillId="0" borderId="10" xfId="0" applyNumberFormat="1" applyFont="1" applyBorder="1" applyAlignment="1" applyProtection="1">
      <alignment horizontal="center"/>
      <protection hidden="1"/>
    </xf>
    <xf numFmtId="1" fontId="4" fillId="0" borderId="10" xfId="0" applyNumberFormat="1" applyFont="1" applyBorder="1" applyAlignment="1" applyProtection="1">
      <alignment horizontal="center"/>
      <protection hidden="1"/>
    </xf>
    <xf numFmtId="0" fontId="0" fillId="5" borderId="0" xfId="0" applyFill="1" applyAlignment="1" applyProtection="1">
      <alignment horizontal="center"/>
      <protection locked="0"/>
    </xf>
    <xf numFmtId="0" fontId="0" fillId="6" borderId="0" xfId="0" applyFill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2" fontId="0" fillId="7" borderId="0" xfId="0" applyNumberFormat="1" applyFill="1" applyAlignment="1" applyProtection="1">
      <alignment horizontal="center"/>
      <protection locked="0"/>
    </xf>
    <xf numFmtId="1" fontId="0" fillId="7" borderId="0" xfId="0" applyNumberFormat="1" applyFill="1" applyAlignment="1" applyProtection="1">
      <alignment horizontal="center"/>
      <protection locked="0"/>
    </xf>
    <xf numFmtId="2" fontId="0" fillId="5" borderId="0" xfId="0" applyNumberFormat="1" applyFill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6" borderId="0" xfId="0" applyFill="1" applyAlignment="1" applyProtection="1">
      <alignment horizontal="center"/>
      <protection hidden="1"/>
    </xf>
    <xf numFmtId="2" fontId="0" fillId="13" borderId="0" xfId="0" applyNumberFormat="1" applyFill="1" applyProtection="1">
      <protection hidden="1"/>
    </xf>
    <xf numFmtId="165" fontId="4" fillId="0" borderId="41" xfId="0" applyNumberFormat="1" applyFont="1" applyBorder="1" applyAlignment="1" applyProtection="1">
      <alignment horizontal="center"/>
      <protection hidden="1"/>
    </xf>
    <xf numFmtId="0" fontId="23" fillId="0" borderId="0" xfId="0" applyFont="1" applyProtection="1">
      <protection hidden="1"/>
    </xf>
    <xf numFmtId="0" fontId="4" fillId="0" borderId="3" xfId="0" applyFont="1" applyBorder="1" applyAlignment="1" applyProtection="1">
      <alignment horizontal="center"/>
      <protection hidden="1"/>
    </xf>
    <xf numFmtId="0" fontId="4" fillId="0" borderId="4" xfId="0" applyFont="1" applyBorder="1" applyAlignment="1" applyProtection="1">
      <alignment horizontal="center"/>
      <protection hidden="1"/>
    </xf>
    <xf numFmtId="0" fontId="4" fillId="0" borderId="60" xfId="0" applyFont="1" applyBorder="1" applyAlignment="1" applyProtection="1">
      <alignment horizontal="center"/>
      <protection hidden="1"/>
    </xf>
    <xf numFmtId="0" fontId="4" fillId="13" borderId="10" xfId="0" applyFont="1" applyFill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32" fillId="0" borderId="0" xfId="0" applyFont="1"/>
    <xf numFmtId="170" fontId="25" fillId="0" borderId="0" xfId="0" applyNumberFormat="1" applyFont="1" applyAlignment="1">
      <alignment horizontal="left" vertical="top"/>
    </xf>
    <xf numFmtId="170" fontId="25" fillId="0" borderId="0" xfId="0" applyNumberFormat="1" applyFont="1" applyAlignment="1">
      <alignment horizontal="center" vertical="top"/>
    </xf>
    <xf numFmtId="0" fontId="32" fillId="0" borderId="0" xfId="0" applyFont="1" applyAlignment="1">
      <alignment horizontal="center" vertical="top"/>
    </xf>
    <xf numFmtId="0" fontId="32" fillId="0" borderId="0" xfId="0" applyFont="1" applyAlignment="1">
      <alignment horizontal="center"/>
    </xf>
    <xf numFmtId="170" fontId="25" fillId="0" borderId="73" xfId="0" applyNumberFormat="1" applyFont="1" applyBorder="1" applyAlignment="1">
      <alignment horizontal="center" vertical="top" wrapText="1"/>
    </xf>
    <xf numFmtId="0" fontId="32" fillId="0" borderId="74" xfId="0" applyFont="1" applyBorder="1" applyAlignment="1">
      <alignment horizontal="center" vertical="top" wrapText="1"/>
    </xf>
    <xf numFmtId="170" fontId="25" fillId="0" borderId="75" xfId="0" applyNumberFormat="1" applyFont="1" applyBorder="1" applyAlignment="1">
      <alignment horizontal="center" vertical="top" wrapText="1"/>
    </xf>
    <xf numFmtId="0" fontId="31" fillId="18" borderId="0" xfId="0" applyFont="1" applyFill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quotePrefix="1" applyAlignment="1">
      <alignment horizontal="center"/>
    </xf>
    <xf numFmtId="0" fontId="0" fillId="19" borderId="0" xfId="0" applyFill="1" applyAlignment="1">
      <alignment horizontal="center"/>
    </xf>
    <xf numFmtId="49" fontId="0" fillId="0" borderId="59" xfId="0" applyNumberFormat="1" applyBorder="1" applyAlignment="1">
      <alignment horizontal="center"/>
    </xf>
    <xf numFmtId="49" fontId="4" fillId="0" borderId="59" xfId="0" applyNumberFormat="1" applyFont="1" applyBorder="1" applyAlignment="1">
      <alignment horizontal="center"/>
    </xf>
    <xf numFmtId="0" fontId="4" fillId="0" borderId="62" xfId="0" applyFon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59" xfId="0" applyBorder="1" applyAlignment="1">
      <alignment horizontal="center"/>
    </xf>
    <xf numFmtId="0" fontId="33" fillId="20" borderId="0" xfId="0" applyFont="1" applyFill="1" applyAlignment="1" applyProtection="1">
      <alignment horizontal="center"/>
      <protection hidden="1"/>
    </xf>
    <xf numFmtId="0" fontId="33" fillId="20" borderId="0" xfId="0" applyFont="1" applyFill="1" applyProtection="1">
      <protection hidden="1"/>
    </xf>
    <xf numFmtId="0" fontId="0" fillId="0" borderId="0" xfId="0" applyAlignment="1">
      <alignment horizontal="right"/>
    </xf>
    <xf numFmtId="0" fontId="34" fillId="0" borderId="0" xfId="0" applyFont="1" applyProtection="1">
      <protection hidden="1"/>
    </xf>
    <xf numFmtId="0" fontId="34" fillId="0" borderId="0" xfId="0" applyFont="1" applyAlignment="1" applyProtection="1">
      <alignment horizontal="right"/>
      <protection hidden="1"/>
    </xf>
    <xf numFmtId="2" fontId="35" fillId="0" borderId="0" xfId="0" applyNumberFormat="1" applyFont="1" applyProtection="1">
      <protection hidden="1"/>
    </xf>
    <xf numFmtId="0" fontId="35" fillId="0" borderId="0" xfId="0" applyFont="1" applyProtection="1">
      <protection hidden="1"/>
    </xf>
    <xf numFmtId="2" fontId="36" fillId="0" borderId="0" xfId="0" applyNumberFormat="1" applyFont="1" applyProtection="1">
      <protection hidden="1"/>
    </xf>
    <xf numFmtId="2" fontId="34" fillId="0" borderId="0" xfId="0" applyNumberFormat="1" applyFont="1" applyAlignment="1" applyProtection="1">
      <alignment horizontal="center"/>
      <protection hidden="1"/>
    </xf>
    <xf numFmtId="2" fontId="34" fillId="0" borderId="0" xfId="0" applyNumberFormat="1" applyFont="1" applyProtection="1">
      <protection hidden="1"/>
    </xf>
    <xf numFmtId="0" fontId="1" fillId="0" borderId="0" xfId="0" applyFont="1" applyAlignment="1" applyProtection="1">
      <alignment horizontal="center"/>
      <protection hidden="1"/>
    </xf>
    <xf numFmtId="0" fontId="1" fillId="5" borderId="0" xfId="0" applyFont="1" applyFill="1" applyProtection="1">
      <protection hidden="1"/>
    </xf>
    <xf numFmtId="0" fontId="1" fillId="5" borderId="0" xfId="0" applyFont="1" applyFill="1" applyAlignment="1" applyProtection="1">
      <alignment horizontal="center"/>
      <protection locked="0"/>
    </xf>
    <xf numFmtId="0" fontId="0" fillId="0" borderId="0" xfId="0" applyAlignment="1" applyProtection="1">
      <alignment vertical="center"/>
      <protection hidden="1"/>
    </xf>
    <xf numFmtId="0" fontId="23" fillId="0" borderId="0" xfId="0" applyFont="1" applyAlignment="1" applyProtection="1">
      <alignment vertical="center"/>
      <protection hidden="1"/>
    </xf>
    <xf numFmtId="0" fontId="1" fillId="0" borderId="0" xfId="0" applyFont="1" applyAlignment="1" applyProtection="1">
      <alignment vertical="center"/>
      <protection hidden="1"/>
    </xf>
    <xf numFmtId="1" fontId="0" fillId="0" borderId="0" xfId="0" applyNumberFormat="1" applyAlignment="1" applyProtection="1">
      <alignment vertical="center"/>
      <protection hidden="1"/>
    </xf>
    <xf numFmtId="2" fontId="4" fillId="13" borderId="10" xfId="0" applyNumberFormat="1" applyFont="1" applyFill="1" applyBorder="1" applyAlignment="1" applyProtection="1">
      <alignment horizontal="center"/>
      <protection hidden="1"/>
    </xf>
    <xf numFmtId="0" fontId="1" fillId="0" borderId="0" xfId="0" applyFont="1"/>
    <xf numFmtId="0" fontId="0" fillId="0" borderId="83" xfId="0" applyBorder="1" applyAlignment="1">
      <alignment horizont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83" xfId="0" applyBorder="1"/>
    <xf numFmtId="0" fontId="0" fillId="0" borderId="84" xfId="0" applyBorder="1"/>
    <xf numFmtId="0" fontId="1" fillId="0" borderId="0" xfId="0" quotePrefix="1" applyFont="1" applyAlignment="1" applyProtection="1">
      <alignment horizontal="center"/>
      <protection hidden="1"/>
    </xf>
    <xf numFmtId="0" fontId="40" fillId="0" borderId="0" xfId="0" applyFont="1" applyProtection="1">
      <protection hidden="1"/>
    </xf>
    <xf numFmtId="0" fontId="1" fillId="23" borderId="0" xfId="0" applyFont="1" applyFill="1" applyProtection="1">
      <protection hidden="1"/>
    </xf>
    <xf numFmtId="0" fontId="0" fillId="23" borderId="0" xfId="0" applyFill="1" applyProtection="1">
      <protection hidden="1"/>
    </xf>
    <xf numFmtId="0" fontId="0" fillId="23" borderId="0" xfId="0" applyFill="1" applyAlignment="1" applyProtection="1">
      <alignment vertical="center"/>
      <protection hidden="1"/>
    </xf>
    <xf numFmtId="0" fontId="4" fillId="25" borderId="40" xfId="0" applyFont="1" applyFill="1" applyBorder="1" applyAlignment="1" applyProtection="1">
      <alignment horizontal="center"/>
      <protection hidden="1"/>
    </xf>
    <xf numFmtId="0" fontId="4" fillId="25" borderId="41" xfId="0" applyFont="1" applyFill="1" applyBorder="1" applyAlignment="1" applyProtection="1">
      <alignment horizontal="center"/>
      <protection hidden="1"/>
    </xf>
    <xf numFmtId="0" fontId="0" fillId="4" borderId="6" xfId="0" applyFill="1" applyBorder="1" applyAlignment="1" applyProtection="1">
      <alignment horizontal="center"/>
      <protection hidden="1"/>
    </xf>
    <xf numFmtId="2" fontId="33" fillId="20" borderId="26" xfId="0" applyNumberFormat="1" applyFont="1" applyFill="1" applyBorder="1" applyAlignment="1" applyProtection="1">
      <alignment horizontal="center"/>
      <protection locked="0"/>
    </xf>
    <xf numFmtId="2" fontId="0" fillId="0" borderId="33" xfId="0" applyNumberFormat="1" applyBorder="1" applyAlignment="1" applyProtection="1">
      <alignment horizontal="center"/>
      <protection hidden="1"/>
    </xf>
    <xf numFmtId="2" fontId="0" fillId="0" borderId="86" xfId="0" applyNumberFormat="1" applyBorder="1" applyAlignment="1" applyProtection="1">
      <alignment horizontal="center"/>
      <protection hidden="1"/>
    </xf>
    <xf numFmtId="0" fontId="0" fillId="0" borderId="27" xfId="0" applyBorder="1" applyAlignment="1" applyProtection="1">
      <alignment horizontal="center"/>
      <protection hidden="1"/>
    </xf>
    <xf numFmtId="0" fontId="4" fillId="6" borderId="27" xfId="0" applyFont="1" applyFill="1" applyBorder="1" applyAlignment="1" applyProtection="1">
      <alignment horizontal="center"/>
      <protection locked="0"/>
    </xf>
    <xf numFmtId="0" fontId="0" fillId="0" borderId="77" xfId="0" applyBorder="1" applyProtection="1">
      <protection hidden="1"/>
    </xf>
    <xf numFmtId="0" fontId="1" fillId="0" borderId="77" xfId="0" applyFont="1" applyBorder="1" applyProtection="1">
      <protection hidden="1"/>
    </xf>
    <xf numFmtId="0" fontId="1" fillId="0" borderId="77" xfId="0" applyFont="1" applyBorder="1" applyAlignment="1" applyProtection="1">
      <alignment horizontal="center"/>
      <protection hidden="1"/>
    </xf>
    <xf numFmtId="2" fontId="0" fillId="0" borderId="77" xfId="0" applyNumberFormat="1" applyBorder="1" applyAlignment="1" applyProtection="1">
      <alignment horizontal="center"/>
      <protection hidden="1"/>
    </xf>
    <xf numFmtId="0" fontId="0" fillId="0" borderId="77" xfId="0" applyBorder="1" applyAlignment="1" applyProtection="1">
      <alignment horizontal="center"/>
      <protection hidden="1"/>
    </xf>
    <xf numFmtId="0" fontId="0" fillId="19" borderId="0" xfId="0" applyFill="1" applyProtection="1">
      <protection hidden="1"/>
    </xf>
    <xf numFmtId="0" fontId="0" fillId="19" borderId="0" xfId="0" applyFill="1" applyAlignment="1" applyProtection="1">
      <alignment horizontal="center"/>
      <protection hidden="1"/>
    </xf>
    <xf numFmtId="0" fontId="1" fillId="27" borderId="0" xfId="0" applyFont="1" applyFill="1" applyProtection="1">
      <protection hidden="1"/>
    </xf>
    <xf numFmtId="0" fontId="0" fillId="27" borderId="0" xfId="0" applyFill="1" applyProtection="1">
      <protection hidden="1"/>
    </xf>
    <xf numFmtId="14" fontId="0" fillId="0" borderId="0" xfId="0" applyNumberFormat="1" applyProtection="1">
      <protection hidden="1"/>
    </xf>
    <xf numFmtId="14" fontId="3" fillId="2" borderId="0" xfId="0" applyNumberFormat="1" applyFont="1" applyFill="1" applyProtection="1">
      <protection hidden="1"/>
    </xf>
    <xf numFmtId="0" fontId="7" fillId="23" borderId="0" xfId="0" applyFont="1" applyFill="1" applyProtection="1">
      <protection hidden="1"/>
    </xf>
    <xf numFmtId="0" fontId="7" fillId="23" borderId="0" xfId="0" applyFont="1" applyFill="1" applyAlignment="1" applyProtection="1">
      <alignment horizontal="center"/>
      <protection hidden="1"/>
    </xf>
    <xf numFmtId="14" fontId="48" fillId="23" borderId="0" xfId="0" applyNumberFormat="1" applyFont="1" applyFill="1" applyProtection="1">
      <protection hidden="1"/>
    </xf>
    <xf numFmtId="2" fontId="1" fillId="0" borderId="0" xfId="0" applyNumberFormat="1" applyFont="1" applyProtection="1">
      <protection hidden="1"/>
    </xf>
    <xf numFmtId="0" fontId="0" fillId="0" borderId="81" xfId="0" applyBorder="1" applyAlignment="1">
      <alignment horizontal="center"/>
    </xf>
    <xf numFmtId="0" fontId="0" fillId="0" borderId="98" xfId="0" quotePrefix="1" applyBorder="1"/>
    <xf numFmtId="0" fontId="0" fillId="0" borderId="99" xfId="0" quotePrefix="1" applyBorder="1"/>
    <xf numFmtId="0" fontId="4" fillId="0" borderId="0" xfId="0" applyFont="1" applyAlignment="1" applyProtection="1">
      <alignment horizontal="right"/>
      <protection hidden="1"/>
    </xf>
    <xf numFmtId="1" fontId="7" fillId="2" borderId="0" xfId="0" applyNumberFormat="1" applyFont="1" applyFill="1" applyAlignment="1" applyProtection="1">
      <alignment horizontal="center"/>
      <protection hidden="1"/>
    </xf>
    <xf numFmtId="1" fontId="4" fillId="0" borderId="0" xfId="0" applyNumberFormat="1" applyFont="1" applyProtection="1">
      <protection hidden="1"/>
    </xf>
    <xf numFmtId="49" fontId="0" fillId="0" borderId="84" xfId="0" applyNumberFormat="1" applyBorder="1" applyAlignment="1">
      <alignment horizontal="center"/>
    </xf>
    <xf numFmtId="49" fontId="0" fillId="0" borderId="81" xfId="0" applyNumberFormat="1" applyBorder="1" applyAlignment="1">
      <alignment horizontal="center"/>
    </xf>
    <xf numFmtId="0" fontId="12" fillId="0" borderId="76" xfId="0" applyFont="1" applyBorder="1" applyAlignment="1" applyProtection="1">
      <alignment horizontal="center" wrapText="1"/>
      <protection hidden="1"/>
    </xf>
    <xf numFmtId="0" fontId="12" fillId="0" borderId="100" xfId="0" applyFont="1" applyBorder="1" applyAlignment="1" applyProtection="1">
      <alignment horizontal="center" wrapText="1"/>
      <protection hidden="1"/>
    </xf>
    <xf numFmtId="0" fontId="1" fillId="0" borderId="90" xfId="0" applyFont="1" applyBorder="1" applyAlignment="1" applyProtection="1">
      <alignment wrapText="1"/>
      <protection hidden="1"/>
    </xf>
    <xf numFmtId="0" fontId="4" fillId="0" borderId="90" xfId="0" applyFont="1" applyBorder="1" applyAlignment="1" applyProtection="1">
      <alignment horizontal="center" wrapText="1"/>
      <protection hidden="1"/>
    </xf>
    <xf numFmtId="0" fontId="1" fillId="0" borderId="90" xfId="0" applyFont="1" applyBorder="1" applyAlignment="1" applyProtection="1">
      <alignment horizontal="center" wrapText="1"/>
      <protection hidden="1"/>
    </xf>
    <xf numFmtId="3" fontId="1" fillId="0" borderId="90" xfId="0" applyNumberFormat="1" applyFont="1" applyBorder="1" applyAlignment="1" applyProtection="1">
      <alignment horizontal="center" wrapText="1"/>
      <protection hidden="1"/>
    </xf>
    <xf numFmtId="0" fontId="1" fillId="4" borderId="0" xfId="0" applyFont="1" applyFill="1" applyProtection="1">
      <protection hidden="1"/>
    </xf>
    <xf numFmtId="0" fontId="1" fillId="14" borderId="0" xfId="0" applyFont="1" applyFill="1" applyProtection="1">
      <protection hidden="1"/>
    </xf>
    <xf numFmtId="0" fontId="1" fillId="2" borderId="0" xfId="0" applyFont="1" applyFill="1" applyProtection="1">
      <protection hidden="1"/>
    </xf>
    <xf numFmtId="0" fontId="0" fillId="0" borderId="105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04" xfId="0" applyBorder="1"/>
    <xf numFmtId="0" fontId="0" fillId="0" borderId="105" xfId="0" applyBorder="1"/>
    <xf numFmtId="0" fontId="0" fillId="0" borderId="108" xfId="0" applyBorder="1" applyAlignment="1" applyProtection="1">
      <alignment horizontal="center"/>
      <protection locked="0"/>
    </xf>
    <xf numFmtId="0" fontId="0" fillId="0" borderId="81" xfId="0" applyBorder="1" applyProtection="1">
      <protection locked="0"/>
    </xf>
    <xf numFmtId="0" fontId="0" fillId="0" borderId="109" xfId="0" applyBorder="1" applyProtection="1">
      <protection locked="0"/>
    </xf>
    <xf numFmtId="0" fontId="0" fillId="0" borderId="110" xfId="0" applyBorder="1" applyProtection="1">
      <protection locked="0"/>
    </xf>
    <xf numFmtId="0" fontId="0" fillId="0" borderId="84" xfId="0" applyBorder="1" applyProtection="1">
      <protection locked="0"/>
    </xf>
    <xf numFmtId="0" fontId="0" fillId="0" borderId="111" xfId="0" applyBorder="1" applyProtection="1">
      <protection locked="0"/>
    </xf>
    <xf numFmtId="0" fontId="0" fillId="0" borderId="112" xfId="0" applyBorder="1" applyProtection="1">
      <protection locked="0"/>
    </xf>
    <xf numFmtId="0" fontId="0" fillId="0" borderId="116" xfId="0" applyBorder="1" applyProtection="1">
      <protection locked="0"/>
    </xf>
    <xf numFmtId="0" fontId="0" fillId="0" borderId="117" xfId="0" applyBorder="1" applyProtection="1">
      <protection locked="0"/>
    </xf>
    <xf numFmtId="0" fontId="0" fillId="0" borderId="118" xfId="0" quotePrefix="1" applyBorder="1"/>
    <xf numFmtId="0" fontId="0" fillId="0" borderId="119" xfId="0" quotePrefix="1" applyBorder="1"/>
    <xf numFmtId="0" fontId="1" fillId="13" borderId="49" xfId="0" applyFont="1" applyFill="1" applyBorder="1" applyProtection="1">
      <protection hidden="1"/>
    </xf>
    <xf numFmtId="0" fontId="1" fillId="13" borderId="49" xfId="0" applyFont="1" applyFill="1" applyBorder="1" applyAlignment="1" applyProtection="1">
      <alignment horizontal="right"/>
      <protection hidden="1"/>
    </xf>
    <xf numFmtId="0" fontId="3" fillId="11" borderId="8" xfId="0" applyFont="1" applyFill="1" applyBorder="1" applyProtection="1">
      <protection hidden="1"/>
    </xf>
    <xf numFmtId="0" fontId="3" fillId="11" borderId="0" xfId="0" applyFont="1" applyFill="1" applyProtection="1">
      <protection hidden="1"/>
    </xf>
    <xf numFmtId="0" fontId="3" fillId="11" borderId="9" xfId="0" applyFont="1" applyFill="1" applyBorder="1" applyProtection="1">
      <protection hidden="1"/>
    </xf>
    <xf numFmtId="0" fontId="3" fillId="11" borderId="8" xfId="0" applyFont="1" applyFill="1" applyBorder="1" applyAlignment="1" applyProtection="1">
      <alignment horizontal="center"/>
      <protection hidden="1"/>
    </xf>
    <xf numFmtId="0" fontId="3" fillId="11" borderId="0" xfId="0" applyFont="1" applyFill="1" applyAlignment="1" applyProtection="1">
      <alignment horizontal="center"/>
      <protection hidden="1"/>
    </xf>
    <xf numFmtId="0" fontId="3" fillId="11" borderId="9" xfId="0" applyFont="1" applyFill="1" applyBorder="1" applyAlignment="1" applyProtection="1">
      <alignment horizontal="center"/>
      <protection hidden="1"/>
    </xf>
    <xf numFmtId="2" fontId="1" fillId="8" borderId="8" xfId="0" applyNumberFormat="1" applyFont="1" applyFill="1" applyBorder="1" applyAlignment="1" applyProtection="1">
      <alignment horizontal="center" vertical="center"/>
      <protection hidden="1"/>
    </xf>
    <xf numFmtId="2" fontId="1" fillId="8" borderId="0" xfId="0" applyNumberFormat="1" applyFont="1" applyFill="1" applyAlignment="1" applyProtection="1">
      <alignment horizontal="center" vertical="center"/>
      <protection hidden="1"/>
    </xf>
    <xf numFmtId="2" fontId="1" fillId="8" borderId="9" xfId="0" applyNumberFormat="1" applyFont="1" applyFill="1" applyBorder="1" applyAlignment="1" applyProtection="1">
      <alignment horizontal="center" vertical="center"/>
      <protection hidden="1"/>
    </xf>
    <xf numFmtId="2" fontId="0" fillId="0" borderId="135" xfId="0" applyNumberFormat="1" applyBorder="1" applyAlignment="1" applyProtection="1">
      <alignment horizontal="center"/>
      <protection locked="0"/>
    </xf>
    <xf numFmtId="0" fontId="0" fillId="0" borderId="162" xfId="0" applyBorder="1" applyAlignment="1" applyProtection="1">
      <alignment horizontal="center"/>
      <protection hidden="1"/>
    </xf>
    <xf numFmtId="0" fontId="0" fillId="5" borderId="163" xfId="0" applyFill="1" applyBorder="1" applyAlignment="1" applyProtection="1">
      <alignment horizontal="center"/>
      <protection hidden="1"/>
    </xf>
    <xf numFmtId="0" fontId="0" fillId="5" borderId="161" xfId="0" applyFill="1" applyBorder="1" applyAlignment="1" applyProtection="1">
      <alignment horizontal="center"/>
      <protection hidden="1"/>
    </xf>
    <xf numFmtId="0" fontId="0" fillId="5" borderId="164" xfId="0" applyFill="1" applyBorder="1" applyAlignment="1" applyProtection="1">
      <alignment horizontal="center"/>
      <protection hidden="1"/>
    </xf>
    <xf numFmtId="0" fontId="0" fillId="7" borderId="168" xfId="0" applyFill="1" applyBorder="1" applyAlignment="1" applyProtection="1">
      <alignment horizontal="center"/>
      <protection hidden="1"/>
    </xf>
    <xf numFmtId="2" fontId="0" fillId="7" borderId="169" xfId="0" applyNumberFormat="1" applyFill="1" applyBorder="1" applyAlignment="1" applyProtection="1">
      <alignment horizontal="center"/>
      <protection hidden="1"/>
    </xf>
    <xf numFmtId="1" fontId="0" fillId="7" borderId="169" xfId="0" applyNumberFormat="1" applyFill="1" applyBorder="1" applyAlignment="1" applyProtection="1">
      <alignment horizontal="center"/>
      <protection hidden="1"/>
    </xf>
    <xf numFmtId="1" fontId="0" fillId="7" borderId="170" xfId="0" applyNumberFormat="1" applyFill="1" applyBorder="1" applyAlignment="1" applyProtection="1">
      <alignment horizontal="center"/>
      <protection hidden="1"/>
    </xf>
    <xf numFmtId="2" fontId="0" fillId="5" borderId="163" xfId="0" applyNumberFormat="1" applyFill="1" applyBorder="1" applyAlignment="1" applyProtection="1">
      <alignment horizontal="center"/>
      <protection hidden="1"/>
    </xf>
    <xf numFmtId="0" fontId="0" fillId="0" borderId="171" xfId="0" applyBorder="1" applyAlignment="1" applyProtection="1">
      <alignment horizontal="center"/>
      <protection hidden="1"/>
    </xf>
    <xf numFmtId="0" fontId="0" fillId="0" borderId="172" xfId="0" applyBorder="1" applyAlignment="1" applyProtection="1">
      <alignment horizontal="center"/>
      <protection hidden="1"/>
    </xf>
    <xf numFmtId="0" fontId="0" fillId="0" borderId="173" xfId="0" applyBorder="1" applyAlignment="1" applyProtection="1">
      <alignment horizontal="center"/>
      <protection hidden="1"/>
    </xf>
    <xf numFmtId="2" fontId="0" fillId="0" borderId="174" xfId="0" applyNumberFormat="1" applyBorder="1" applyAlignment="1" applyProtection="1">
      <alignment horizontal="center"/>
      <protection hidden="1"/>
    </xf>
    <xf numFmtId="2" fontId="0" fillId="0" borderId="175" xfId="0" applyNumberFormat="1" applyBorder="1" applyAlignment="1" applyProtection="1">
      <alignment horizontal="center"/>
      <protection hidden="1"/>
    </xf>
    <xf numFmtId="2" fontId="0" fillId="0" borderId="176" xfId="0" applyNumberFormat="1" applyBorder="1" applyAlignment="1" applyProtection="1">
      <alignment horizontal="center"/>
      <protection hidden="1"/>
    </xf>
    <xf numFmtId="2" fontId="0" fillId="0" borderId="177" xfId="0" applyNumberFormat="1" applyBorder="1" applyAlignment="1" applyProtection="1">
      <alignment horizontal="center"/>
      <protection hidden="1"/>
    </xf>
    <xf numFmtId="2" fontId="0" fillId="0" borderId="178" xfId="0" applyNumberFormat="1" applyBorder="1" applyAlignment="1" applyProtection="1">
      <alignment horizontal="center"/>
      <protection hidden="1"/>
    </xf>
    <xf numFmtId="2" fontId="0" fillId="0" borderId="179" xfId="0" applyNumberFormat="1" applyBorder="1" applyAlignment="1" applyProtection="1">
      <alignment horizontal="center"/>
      <protection hidden="1"/>
    </xf>
    <xf numFmtId="2" fontId="0" fillId="0" borderId="180" xfId="0" applyNumberFormat="1" applyBorder="1" applyAlignment="1" applyProtection="1">
      <alignment horizontal="center"/>
      <protection hidden="1"/>
    </xf>
    <xf numFmtId="2" fontId="0" fillId="0" borderId="181" xfId="0" applyNumberFormat="1" applyBorder="1" applyAlignment="1" applyProtection="1">
      <alignment horizontal="center"/>
      <protection hidden="1"/>
    </xf>
    <xf numFmtId="2" fontId="0" fillId="0" borderId="182" xfId="0" applyNumberFormat="1" applyBorder="1" applyAlignment="1" applyProtection="1">
      <alignment horizontal="center"/>
      <protection hidden="1"/>
    </xf>
    <xf numFmtId="2" fontId="0" fillId="0" borderId="183" xfId="0" applyNumberFormat="1" applyBorder="1" applyAlignment="1" applyProtection="1">
      <alignment horizontal="center"/>
      <protection hidden="1"/>
    </xf>
    <xf numFmtId="2" fontId="0" fillId="0" borderId="184" xfId="0" applyNumberFormat="1" applyBorder="1" applyAlignment="1" applyProtection="1">
      <alignment horizontal="center"/>
      <protection hidden="1"/>
    </xf>
    <xf numFmtId="0" fontId="0" fillId="0" borderId="185" xfId="0" applyBorder="1" applyAlignment="1" applyProtection="1">
      <alignment horizontal="center"/>
      <protection hidden="1"/>
    </xf>
    <xf numFmtId="0" fontId="0" fillId="0" borderId="199" xfId="0" pivotButton="1" applyBorder="1"/>
    <xf numFmtId="0" fontId="0" fillId="0" borderId="200" xfId="0" applyBorder="1"/>
    <xf numFmtId="0" fontId="0" fillId="0" borderId="199" xfId="0" applyBorder="1"/>
    <xf numFmtId="0" fontId="0" fillId="0" borderId="201" xfId="0" applyBorder="1"/>
    <xf numFmtId="0" fontId="50" fillId="13" borderId="0" xfId="0" applyFont="1" applyFill="1" applyAlignment="1" applyProtection="1">
      <alignment horizontal="right"/>
      <protection hidden="1"/>
    </xf>
    <xf numFmtId="0" fontId="4" fillId="13" borderId="0" xfId="0" applyFont="1" applyFill="1" applyAlignment="1" applyProtection="1">
      <alignment horizontal="right"/>
      <protection hidden="1"/>
    </xf>
    <xf numFmtId="0" fontId="51" fillId="13" borderId="0" xfId="0" applyFont="1" applyFill="1" applyAlignment="1" applyProtection="1">
      <alignment horizontal="right"/>
      <protection hidden="1"/>
    </xf>
    <xf numFmtId="166" fontId="0" fillId="13" borderId="40" xfId="0" applyNumberFormat="1" applyFill="1" applyBorder="1" applyAlignment="1" applyProtection="1">
      <alignment horizontal="center"/>
      <protection locked="0"/>
    </xf>
    <xf numFmtId="0" fontId="33" fillId="0" borderId="0" xfId="0" applyFont="1" applyProtection="1">
      <protection hidden="1"/>
    </xf>
    <xf numFmtId="14" fontId="33" fillId="0" borderId="0" xfId="0" applyNumberFormat="1" applyFont="1" applyProtection="1">
      <protection hidden="1"/>
    </xf>
    <xf numFmtId="2" fontId="1" fillId="0" borderId="37" xfId="3" applyNumberFormat="1" applyBorder="1" applyAlignment="1" applyProtection="1">
      <alignment horizontal="center" vertical="center"/>
      <protection hidden="1"/>
    </xf>
    <xf numFmtId="2" fontId="1" fillId="0" borderId="37" xfId="3" applyNumberFormat="1" applyBorder="1" applyAlignment="1" applyProtection="1">
      <alignment vertical="center"/>
      <protection hidden="1"/>
    </xf>
    <xf numFmtId="2" fontId="1" fillId="0" borderId="0" xfId="3" applyNumberFormat="1" applyAlignment="1" applyProtection="1">
      <alignment horizontal="center" vertical="center"/>
      <protection hidden="1"/>
    </xf>
    <xf numFmtId="0" fontId="5" fillId="0" borderId="123" xfId="3" applyFont="1" applyBorder="1" applyAlignment="1" applyProtection="1">
      <alignment horizontal="center" vertical="center"/>
      <protection hidden="1"/>
    </xf>
    <xf numFmtId="2" fontId="1" fillId="0" borderId="0" xfId="3" applyNumberFormat="1" applyAlignment="1" applyProtection="1">
      <alignment vertical="center"/>
      <protection hidden="1"/>
    </xf>
    <xf numFmtId="0" fontId="1" fillId="0" borderId="123" xfId="3" applyBorder="1" applyAlignment="1" applyProtection="1">
      <alignment horizontal="center" vertical="center"/>
      <protection hidden="1"/>
    </xf>
    <xf numFmtId="2" fontId="1" fillId="0" borderId="123" xfId="3" applyNumberFormat="1" applyBorder="1" applyAlignment="1" applyProtection="1">
      <alignment horizontal="center" vertical="center"/>
      <protection hidden="1"/>
    </xf>
    <xf numFmtId="2" fontId="11" fillId="0" borderId="123" xfId="3" applyNumberFormat="1" applyFont="1" applyBorder="1" applyAlignment="1" applyProtection="1">
      <alignment horizontal="center" vertical="center"/>
      <protection hidden="1"/>
    </xf>
    <xf numFmtId="2" fontId="11" fillId="0" borderId="124" xfId="3" applyNumberFormat="1" applyFont="1" applyBorder="1" applyAlignment="1" applyProtection="1">
      <alignment horizontal="center" vertical="center"/>
      <protection hidden="1"/>
    </xf>
    <xf numFmtId="0" fontId="1" fillId="0" borderId="0" xfId="3" applyAlignment="1" applyProtection="1">
      <alignment horizontal="center" vertical="center"/>
      <protection hidden="1"/>
    </xf>
    <xf numFmtId="0" fontId="1" fillId="0" borderId="122" xfId="3" applyBorder="1" applyAlignment="1" applyProtection="1">
      <alignment horizontal="center" vertical="center"/>
      <protection hidden="1"/>
    </xf>
    <xf numFmtId="3" fontId="1" fillId="0" borderId="123" xfId="3" applyNumberFormat="1" applyBorder="1" applyAlignment="1" applyProtection="1">
      <alignment horizontal="center" vertical="center"/>
      <protection hidden="1"/>
    </xf>
    <xf numFmtId="2" fontId="1" fillId="0" borderId="124" xfId="3" applyNumberFormat="1" applyBorder="1" applyAlignment="1" applyProtection="1">
      <alignment horizontal="center" vertical="center"/>
      <protection hidden="1"/>
    </xf>
    <xf numFmtId="0" fontId="1" fillId="0" borderId="0" xfId="3" applyAlignment="1" applyProtection="1">
      <alignment vertical="center"/>
      <protection hidden="1"/>
    </xf>
    <xf numFmtId="0" fontId="1" fillId="0" borderId="122" xfId="3" applyBorder="1" applyAlignment="1" applyProtection="1">
      <alignment vertical="center"/>
      <protection hidden="1"/>
    </xf>
    <xf numFmtId="3" fontId="1" fillId="0" borderId="205" xfId="3" applyNumberFormat="1" applyBorder="1" applyAlignment="1" applyProtection="1">
      <alignment horizontal="center" vertical="center"/>
      <protection hidden="1"/>
    </xf>
    <xf numFmtId="3" fontId="1" fillId="0" borderId="206" xfId="3" applyNumberFormat="1" applyBorder="1" applyAlignment="1" applyProtection="1">
      <alignment horizontal="center" vertical="center"/>
      <protection hidden="1"/>
    </xf>
    <xf numFmtId="0" fontId="1" fillId="0" borderId="123" xfId="3" applyBorder="1" applyAlignment="1" applyProtection="1">
      <alignment vertical="center"/>
      <protection hidden="1"/>
    </xf>
    <xf numFmtId="4" fontId="1" fillId="0" borderId="123" xfId="3" applyNumberFormat="1" applyBorder="1" applyAlignment="1" applyProtection="1">
      <alignment horizontal="center" vertical="center"/>
      <protection hidden="1"/>
    </xf>
    <xf numFmtId="0" fontId="1" fillId="0" borderId="112" xfId="3" applyBorder="1" applyAlignment="1" applyProtection="1">
      <alignment vertical="center"/>
      <protection hidden="1"/>
    </xf>
    <xf numFmtId="0" fontId="1" fillId="0" borderId="116" xfId="3" applyBorder="1" applyAlignment="1" applyProtection="1">
      <alignment horizontal="center" vertical="center"/>
      <protection hidden="1"/>
    </xf>
    <xf numFmtId="2" fontId="1" fillId="0" borderId="116" xfId="3" applyNumberFormat="1" applyBorder="1" applyAlignment="1" applyProtection="1">
      <alignment horizontal="center" vertical="center"/>
      <protection hidden="1"/>
    </xf>
    <xf numFmtId="3" fontId="1" fillId="0" borderId="114" xfId="3" applyNumberFormat="1" applyBorder="1" applyAlignment="1" applyProtection="1">
      <alignment horizontal="center" vertical="center"/>
      <protection hidden="1"/>
    </xf>
    <xf numFmtId="0" fontId="1" fillId="16" borderId="0" xfId="3" applyFill="1" applyAlignment="1" applyProtection="1">
      <alignment vertical="center"/>
      <protection hidden="1"/>
    </xf>
    <xf numFmtId="0" fontId="1" fillId="12" borderId="0" xfId="3" applyFill="1" applyAlignment="1" applyProtection="1">
      <alignment vertical="center"/>
      <protection hidden="1"/>
    </xf>
    <xf numFmtId="0" fontId="1" fillId="14" borderId="0" xfId="3" applyFill="1" applyAlignment="1" applyProtection="1">
      <alignment vertical="center"/>
      <protection hidden="1"/>
    </xf>
    <xf numFmtId="4" fontId="1" fillId="0" borderId="0" xfId="3" applyNumberFormat="1" applyAlignment="1" applyProtection="1">
      <alignment horizontal="right" vertical="center"/>
      <protection hidden="1"/>
    </xf>
    <xf numFmtId="14" fontId="1" fillId="0" borderId="0" xfId="3" applyNumberFormat="1" applyAlignment="1" applyProtection="1">
      <alignment vertical="center"/>
      <protection hidden="1"/>
    </xf>
    <xf numFmtId="19" fontId="1" fillId="0" borderId="0" xfId="3" applyNumberFormat="1" applyAlignment="1" applyProtection="1">
      <alignment horizontal="center" vertical="center"/>
      <protection hidden="1"/>
    </xf>
    <xf numFmtId="0" fontId="1" fillId="0" borderId="0" xfId="3" applyAlignment="1" applyProtection="1">
      <alignment horizontal="right" vertical="center"/>
      <protection hidden="1"/>
    </xf>
    <xf numFmtId="0" fontId="4" fillId="0" borderId="39" xfId="3" applyFont="1" applyBorder="1" applyAlignment="1" applyProtection="1">
      <alignment horizontal="center" vertical="center"/>
      <protection hidden="1"/>
    </xf>
    <xf numFmtId="0" fontId="1" fillId="0" borderId="208" xfId="3" applyBorder="1" applyAlignment="1" applyProtection="1">
      <alignment horizontal="center" vertical="center"/>
      <protection hidden="1"/>
    </xf>
    <xf numFmtId="0" fontId="1" fillId="0" borderId="209" xfId="3" applyBorder="1" applyAlignment="1" applyProtection="1">
      <alignment horizontal="center" vertical="center"/>
      <protection hidden="1"/>
    </xf>
    <xf numFmtId="2" fontId="1" fillId="0" borderId="68" xfId="3" applyNumberFormat="1" applyBorder="1" applyAlignment="1" applyProtection="1">
      <alignment vertical="center"/>
      <protection hidden="1"/>
    </xf>
    <xf numFmtId="2" fontId="1" fillId="0" borderId="123" xfId="3" applyNumberFormat="1" applyBorder="1" applyAlignment="1" applyProtection="1">
      <alignment vertical="center"/>
      <protection hidden="1"/>
    </xf>
    <xf numFmtId="0" fontId="6" fillId="0" borderId="212" xfId="3" applyFont="1" applyBorder="1" applyAlignment="1" applyProtection="1">
      <alignment vertical="center"/>
      <protection hidden="1"/>
    </xf>
    <xf numFmtId="0" fontId="6" fillId="0" borderId="123" xfId="3" applyFont="1" applyBorder="1" applyAlignment="1" applyProtection="1">
      <alignment horizontal="left" vertical="center"/>
      <protection hidden="1"/>
    </xf>
    <xf numFmtId="2" fontId="1" fillId="0" borderId="205" xfId="3" applyNumberFormat="1" applyBorder="1" applyAlignment="1" applyProtection="1">
      <alignment horizontal="center" vertical="center"/>
      <protection hidden="1"/>
    </xf>
    <xf numFmtId="1" fontId="1" fillId="0" borderId="0" xfId="3" applyNumberFormat="1" applyAlignment="1" applyProtection="1">
      <alignment vertical="center"/>
      <protection hidden="1"/>
    </xf>
    <xf numFmtId="1" fontId="1" fillId="12" borderId="0" xfId="3" applyNumberFormat="1" applyFill="1" applyAlignment="1" applyProtection="1">
      <alignment vertical="center"/>
      <protection hidden="1"/>
    </xf>
    <xf numFmtId="0" fontId="6" fillId="0" borderId="1" xfId="3" applyFont="1" applyBorder="1" applyAlignment="1" applyProtection="1">
      <alignment vertical="center"/>
      <protection hidden="1"/>
    </xf>
    <xf numFmtId="0" fontId="6" fillId="0" borderId="108" xfId="3" applyFont="1" applyBorder="1" applyAlignment="1" applyProtection="1">
      <alignment vertical="center"/>
      <protection hidden="1"/>
    </xf>
    <xf numFmtId="0" fontId="6" fillId="0" borderId="123" xfId="3" applyFont="1" applyBorder="1" applyAlignment="1" applyProtection="1">
      <alignment horizontal="center" vertical="center"/>
      <protection hidden="1"/>
    </xf>
    <xf numFmtId="1" fontId="1" fillId="0" borderId="123" xfId="3" applyNumberFormat="1" applyBorder="1" applyAlignment="1" applyProtection="1">
      <alignment vertical="center"/>
      <protection hidden="1"/>
    </xf>
    <xf numFmtId="0" fontId="1" fillId="0" borderId="205" xfId="3" applyBorder="1" applyAlignment="1" applyProtection="1">
      <alignment horizontal="center" vertical="center"/>
      <protection hidden="1"/>
    </xf>
    <xf numFmtId="0" fontId="1" fillId="0" borderId="207" xfId="3" applyBorder="1" applyAlignment="1" applyProtection="1">
      <alignment horizontal="center" vertical="center"/>
      <protection hidden="1"/>
    </xf>
    <xf numFmtId="1" fontId="1" fillId="0" borderId="123" xfId="3" applyNumberFormat="1" applyBorder="1" applyAlignment="1" applyProtection="1">
      <alignment horizontal="center" vertical="center"/>
      <protection hidden="1"/>
    </xf>
    <xf numFmtId="0" fontId="1" fillId="0" borderId="205" xfId="3" applyBorder="1" applyAlignment="1" applyProtection="1">
      <alignment vertical="center"/>
      <protection hidden="1"/>
    </xf>
    <xf numFmtId="2" fontId="1" fillId="0" borderId="124" xfId="3" applyNumberFormat="1" applyBorder="1" applyAlignment="1" applyProtection="1">
      <alignment vertical="center"/>
      <protection hidden="1"/>
    </xf>
    <xf numFmtId="3" fontId="1" fillId="0" borderId="206" xfId="3" applyNumberFormat="1" applyBorder="1" applyAlignment="1" applyProtection="1">
      <alignment vertical="center"/>
      <protection hidden="1"/>
    </xf>
    <xf numFmtId="1" fontId="1" fillId="0" borderId="206" xfId="3" applyNumberFormat="1" applyBorder="1" applyAlignment="1" applyProtection="1">
      <alignment vertical="center"/>
      <protection hidden="1"/>
    </xf>
    <xf numFmtId="3" fontId="1" fillId="0" borderId="221" xfId="3" applyNumberFormat="1" applyBorder="1" applyAlignment="1" applyProtection="1">
      <alignment vertical="center"/>
      <protection hidden="1"/>
    </xf>
    <xf numFmtId="0" fontId="1" fillId="16" borderId="0" xfId="3" quotePrefix="1" applyFill="1" applyAlignment="1" applyProtection="1">
      <alignment vertical="center"/>
      <protection hidden="1"/>
    </xf>
    <xf numFmtId="0" fontId="1" fillId="14" borderId="0" xfId="3" quotePrefix="1" applyFill="1" applyAlignment="1" applyProtection="1">
      <alignment vertical="center"/>
      <protection hidden="1"/>
    </xf>
    <xf numFmtId="3" fontId="1" fillId="0" borderId="124" xfId="3" applyNumberFormat="1" applyBorder="1" applyAlignment="1" applyProtection="1">
      <alignment horizontal="center" vertical="center"/>
      <protection hidden="1"/>
    </xf>
    <xf numFmtId="3" fontId="1" fillId="0" borderId="113" xfId="3" applyNumberFormat="1" applyBorder="1" applyAlignment="1" applyProtection="1">
      <alignment vertical="center"/>
      <protection hidden="1"/>
    </xf>
    <xf numFmtId="3" fontId="1" fillId="0" borderId="114" xfId="3" applyNumberFormat="1" applyBorder="1" applyAlignment="1" applyProtection="1">
      <alignment vertical="center"/>
      <protection hidden="1"/>
    </xf>
    <xf numFmtId="1" fontId="1" fillId="0" borderId="114" xfId="3" applyNumberFormat="1" applyBorder="1" applyAlignment="1" applyProtection="1">
      <alignment vertical="center"/>
      <protection hidden="1"/>
    </xf>
    <xf numFmtId="3" fontId="1" fillId="0" borderId="222" xfId="3" applyNumberFormat="1" applyBorder="1" applyAlignment="1" applyProtection="1">
      <alignment vertical="center"/>
      <protection hidden="1"/>
    </xf>
    <xf numFmtId="1" fontId="1" fillId="0" borderId="0" xfId="3" applyNumberFormat="1" applyAlignment="1" applyProtection="1">
      <alignment horizontal="center" vertical="center"/>
      <protection hidden="1"/>
    </xf>
    <xf numFmtId="0" fontId="1" fillId="0" borderId="0" xfId="3" quotePrefix="1" applyAlignment="1" applyProtection="1">
      <alignment vertical="center"/>
      <protection hidden="1"/>
    </xf>
    <xf numFmtId="2" fontId="4" fillId="32" borderId="43" xfId="0" applyNumberFormat="1" applyFont="1" applyFill="1" applyBorder="1" applyAlignment="1" applyProtection="1">
      <alignment horizontal="right"/>
      <protection hidden="1"/>
    </xf>
    <xf numFmtId="0" fontId="4" fillId="32" borderId="43" xfId="0" applyFont="1" applyFill="1" applyBorder="1" applyAlignment="1" applyProtection="1">
      <alignment horizontal="right"/>
      <protection hidden="1"/>
    </xf>
    <xf numFmtId="2" fontId="4" fillId="32" borderId="123" xfId="0" applyNumberFormat="1" applyFont="1" applyFill="1" applyBorder="1" applyAlignment="1" applyProtection="1">
      <alignment horizontal="right"/>
      <protection hidden="1"/>
    </xf>
    <xf numFmtId="0" fontId="4" fillId="32" borderId="123" xfId="0" applyFont="1" applyFill="1" applyBorder="1" applyAlignment="1" applyProtection="1">
      <alignment horizontal="right"/>
      <protection hidden="1"/>
    </xf>
    <xf numFmtId="0" fontId="4" fillId="32" borderId="124" xfId="0" applyFont="1" applyFill="1" applyBorder="1" applyAlignment="1" applyProtection="1">
      <alignment horizontal="right"/>
      <protection hidden="1"/>
    </xf>
    <xf numFmtId="2" fontId="4" fillId="32" borderId="84" xfId="0" applyNumberFormat="1" applyFont="1" applyFill="1" applyBorder="1" applyAlignment="1" applyProtection="1">
      <alignment horizontal="right"/>
      <protection hidden="1"/>
    </xf>
    <xf numFmtId="0" fontId="4" fillId="32" borderId="84" xfId="0" applyFont="1" applyFill="1" applyBorder="1" applyAlignment="1" applyProtection="1">
      <alignment horizontal="right"/>
      <protection hidden="1"/>
    </xf>
    <xf numFmtId="2" fontId="4" fillId="32" borderId="59" xfId="0" applyNumberFormat="1" applyFont="1" applyFill="1" applyBorder="1" applyAlignment="1" applyProtection="1">
      <alignment horizontal="right"/>
      <protection hidden="1"/>
    </xf>
    <xf numFmtId="0" fontId="4" fillId="32" borderId="59" xfId="0" applyFont="1" applyFill="1" applyBorder="1" applyAlignment="1" applyProtection="1">
      <alignment horizontal="right"/>
      <protection hidden="1"/>
    </xf>
    <xf numFmtId="0" fontId="4" fillId="32" borderId="223" xfId="0" applyFont="1" applyFill="1" applyBorder="1" applyAlignment="1" applyProtection="1">
      <alignment horizontal="right"/>
      <protection hidden="1"/>
    </xf>
    <xf numFmtId="2" fontId="7" fillId="20" borderId="9" xfId="0" applyNumberFormat="1" applyFont="1" applyFill="1" applyBorder="1" applyAlignment="1" applyProtection="1">
      <alignment horizontal="center" vertical="center" wrapText="1"/>
      <protection hidden="1"/>
    </xf>
    <xf numFmtId="2" fontId="6" fillId="33" borderId="42" xfId="0" applyNumberFormat="1" applyFont="1" applyFill="1" applyBorder="1" applyAlignment="1" applyProtection="1">
      <alignment horizontal="right"/>
      <protection hidden="1"/>
    </xf>
    <xf numFmtId="0" fontId="6" fillId="33" borderId="122" xfId="0" applyFont="1" applyFill="1" applyBorder="1" applyAlignment="1" applyProtection="1">
      <alignment horizontal="right"/>
      <protection hidden="1"/>
    </xf>
    <xf numFmtId="2" fontId="6" fillId="33" borderId="122" xfId="0" applyNumberFormat="1" applyFont="1" applyFill="1" applyBorder="1" applyAlignment="1" applyProtection="1">
      <alignment horizontal="right"/>
      <protection hidden="1"/>
    </xf>
    <xf numFmtId="0" fontId="6" fillId="33" borderId="112" xfId="0" applyFont="1" applyFill="1" applyBorder="1" applyAlignment="1" applyProtection="1">
      <alignment horizontal="right"/>
      <protection hidden="1"/>
    </xf>
    <xf numFmtId="0" fontId="7" fillId="35" borderId="34" xfId="0" applyFont="1" applyFill="1" applyBorder="1" applyAlignment="1" applyProtection="1">
      <alignment horizontal="center"/>
      <protection hidden="1"/>
    </xf>
    <xf numFmtId="0" fontId="3" fillId="35" borderId="34" xfId="0" applyFont="1" applyFill="1" applyBorder="1" applyAlignment="1" applyProtection="1">
      <alignment horizontal="center"/>
      <protection locked="0"/>
    </xf>
    <xf numFmtId="0" fontId="3" fillId="35" borderId="35" xfId="0" applyFont="1" applyFill="1" applyBorder="1" applyAlignment="1" applyProtection="1">
      <alignment horizontal="center"/>
      <protection locked="0"/>
    </xf>
    <xf numFmtId="0" fontId="4" fillId="31" borderId="120" xfId="0" applyFont="1" applyFill="1" applyBorder="1" applyAlignment="1" applyProtection="1">
      <alignment horizontal="center"/>
      <protection hidden="1"/>
    </xf>
    <xf numFmtId="166" fontId="1" fillId="31" borderId="121" xfId="0" applyNumberFormat="1" applyFont="1" applyFill="1" applyBorder="1" applyAlignment="1" applyProtection="1">
      <alignment horizontal="center"/>
      <protection locked="0"/>
    </xf>
    <xf numFmtId="0" fontId="4" fillId="31" borderId="121" xfId="0" applyFont="1" applyFill="1" applyBorder="1" applyAlignment="1" applyProtection="1">
      <alignment horizontal="center"/>
      <protection hidden="1"/>
    </xf>
    <xf numFmtId="0" fontId="47" fillId="35" borderId="120" xfId="0" applyFont="1" applyFill="1" applyBorder="1" applyAlignment="1" applyProtection="1">
      <alignment horizontal="center"/>
      <protection hidden="1"/>
    </xf>
    <xf numFmtId="167" fontId="33" fillId="35" borderId="120" xfId="0" applyNumberFormat="1" applyFont="1" applyFill="1" applyBorder="1" applyAlignment="1" applyProtection="1">
      <alignment horizontal="center"/>
      <protection locked="0"/>
    </xf>
    <xf numFmtId="0" fontId="1" fillId="31" borderId="120" xfId="0" applyFont="1" applyFill="1" applyBorder="1" applyAlignment="1" applyProtection="1">
      <alignment horizontal="center"/>
      <protection locked="0"/>
    </xf>
    <xf numFmtId="0" fontId="1" fillId="31" borderId="125" xfId="0" applyFont="1" applyFill="1" applyBorder="1" applyAlignment="1" applyProtection="1">
      <alignment horizontal="center"/>
      <protection locked="0"/>
    </xf>
    <xf numFmtId="0" fontId="47" fillId="35" borderId="126" xfId="0" applyFont="1" applyFill="1" applyBorder="1" applyAlignment="1" applyProtection="1">
      <alignment horizontal="center"/>
      <protection hidden="1"/>
    </xf>
    <xf numFmtId="175" fontId="33" fillId="35" borderId="126" xfId="0" applyNumberFormat="1" applyFont="1" applyFill="1" applyBorder="1" applyAlignment="1" applyProtection="1">
      <alignment horizontal="center"/>
      <protection locked="0"/>
    </xf>
    <xf numFmtId="0" fontId="0" fillId="30" borderId="0" xfId="0" applyFill="1" applyAlignment="1" applyProtection="1">
      <alignment horizontal="center"/>
      <protection hidden="1"/>
    </xf>
    <xf numFmtId="2" fontId="0" fillId="30" borderId="0" xfId="0" applyNumberFormat="1" applyFill="1" applyAlignment="1" applyProtection="1">
      <alignment horizontal="center"/>
      <protection hidden="1"/>
    </xf>
    <xf numFmtId="0" fontId="1" fillId="30" borderId="0" xfId="0" applyFont="1" applyFill="1" applyAlignment="1" applyProtection="1">
      <alignment horizontal="center"/>
      <protection hidden="1"/>
    </xf>
    <xf numFmtId="0" fontId="1" fillId="30" borderId="0" xfId="0" applyFont="1" applyFill="1" applyProtection="1">
      <protection hidden="1"/>
    </xf>
    <xf numFmtId="0" fontId="4" fillId="31" borderId="10" xfId="0" applyFont="1" applyFill="1" applyBorder="1" applyAlignment="1" applyProtection="1">
      <alignment horizontal="center"/>
      <protection hidden="1"/>
    </xf>
    <xf numFmtId="0" fontId="47" fillId="35" borderId="10" xfId="0" applyFont="1" applyFill="1" applyBorder="1" applyAlignment="1" applyProtection="1">
      <alignment horizontal="center"/>
      <protection hidden="1"/>
    </xf>
    <xf numFmtId="0" fontId="0" fillId="35" borderId="10" xfId="0" applyFill="1" applyBorder="1" applyAlignment="1" applyProtection="1">
      <alignment horizontal="center"/>
      <protection locked="0"/>
    </xf>
    <xf numFmtId="0" fontId="58" fillId="20" borderId="92" xfId="0" applyFont="1" applyFill="1" applyBorder="1" applyProtection="1">
      <protection hidden="1"/>
    </xf>
    <xf numFmtId="0" fontId="33" fillId="20" borderId="93" xfId="0" applyFont="1" applyFill="1" applyBorder="1" applyProtection="1">
      <protection hidden="1"/>
    </xf>
    <xf numFmtId="0" fontId="33" fillId="20" borderId="94" xfId="0" applyFont="1" applyFill="1" applyBorder="1" applyProtection="1">
      <protection hidden="1"/>
    </xf>
    <xf numFmtId="0" fontId="7" fillId="20" borderId="39" xfId="0" applyFont="1" applyFill="1" applyBorder="1" applyAlignment="1" applyProtection="1">
      <alignment horizontal="center"/>
      <protection hidden="1"/>
    </xf>
    <xf numFmtId="0" fontId="7" fillId="20" borderId="40" xfId="0" applyFont="1" applyFill="1" applyBorder="1" applyAlignment="1" applyProtection="1">
      <alignment horizontal="center"/>
      <protection hidden="1"/>
    </xf>
    <xf numFmtId="0" fontId="7" fillId="20" borderId="41" xfId="0" applyFont="1" applyFill="1" applyBorder="1" applyAlignment="1" applyProtection="1">
      <alignment horizontal="center"/>
      <protection hidden="1"/>
    </xf>
    <xf numFmtId="0" fontId="0" fillId="31" borderId="39" xfId="0" applyFill="1" applyBorder="1" applyProtection="1">
      <protection hidden="1"/>
    </xf>
    <xf numFmtId="0" fontId="0" fillId="31" borderId="40" xfId="0" applyFill="1" applyBorder="1" applyProtection="1">
      <protection hidden="1"/>
    </xf>
    <xf numFmtId="0" fontId="4" fillId="31" borderId="40" xfId="0" applyFont="1" applyFill="1" applyBorder="1" applyAlignment="1" applyProtection="1">
      <alignment horizontal="center"/>
      <protection hidden="1"/>
    </xf>
    <xf numFmtId="0" fontId="4" fillId="31" borderId="41" xfId="0" applyFont="1" applyFill="1" applyBorder="1" applyAlignment="1" applyProtection="1">
      <alignment horizontal="center"/>
      <protection hidden="1"/>
    </xf>
    <xf numFmtId="0" fontId="0" fillId="31" borderId="38" xfId="0" applyFill="1" applyBorder="1" applyProtection="1">
      <protection hidden="1"/>
    </xf>
    <xf numFmtId="0" fontId="0" fillId="31" borderId="40" xfId="0" applyFill="1" applyBorder="1" applyAlignment="1" applyProtection="1">
      <alignment horizontal="center"/>
      <protection hidden="1"/>
    </xf>
    <xf numFmtId="0" fontId="3" fillId="31" borderId="40" xfId="0" applyFont="1" applyFill="1" applyBorder="1" applyProtection="1">
      <protection hidden="1"/>
    </xf>
    <xf numFmtId="0" fontId="3" fillId="31" borderId="40" xfId="0" applyFont="1" applyFill="1" applyBorder="1" applyAlignment="1" applyProtection="1">
      <alignment horizontal="center"/>
      <protection hidden="1"/>
    </xf>
    <xf numFmtId="0" fontId="7" fillId="31" borderId="41" xfId="0" applyFont="1" applyFill="1" applyBorder="1" applyAlignment="1" applyProtection="1">
      <alignment horizontal="center"/>
      <protection hidden="1"/>
    </xf>
    <xf numFmtId="0" fontId="4" fillId="31" borderId="36" xfId="0" applyFont="1" applyFill="1" applyBorder="1" applyProtection="1">
      <protection hidden="1"/>
    </xf>
    <xf numFmtId="0" fontId="4" fillId="31" borderId="37" xfId="0" applyFont="1" applyFill="1" applyBorder="1" applyProtection="1">
      <protection hidden="1"/>
    </xf>
    <xf numFmtId="0" fontId="4" fillId="31" borderId="37" xfId="0" applyFont="1" applyFill="1" applyBorder="1" applyAlignment="1" applyProtection="1">
      <alignment horizontal="center"/>
      <protection hidden="1"/>
    </xf>
    <xf numFmtId="0" fontId="4" fillId="31" borderId="38" xfId="0" applyFont="1" applyFill="1" applyBorder="1" applyProtection="1">
      <protection hidden="1"/>
    </xf>
    <xf numFmtId="0" fontId="4" fillId="31" borderId="8" xfId="0" applyFont="1" applyFill="1" applyBorder="1" applyAlignment="1" applyProtection="1">
      <alignment horizontal="center"/>
      <protection hidden="1"/>
    </xf>
    <xf numFmtId="0" fontId="4" fillId="31" borderId="0" xfId="0" applyFont="1" applyFill="1" applyAlignment="1" applyProtection="1">
      <alignment horizontal="center"/>
      <protection hidden="1"/>
    </xf>
    <xf numFmtId="0" fontId="4" fillId="31" borderId="9" xfId="0" applyFont="1" applyFill="1" applyBorder="1" applyAlignment="1" applyProtection="1">
      <alignment horizontal="center"/>
      <protection hidden="1"/>
    </xf>
    <xf numFmtId="2" fontId="4" fillId="31" borderId="5" xfId="0" applyNumberFormat="1" applyFont="1" applyFill="1" applyBorder="1" applyAlignment="1" applyProtection="1">
      <alignment horizontal="center"/>
      <protection hidden="1"/>
    </xf>
    <xf numFmtId="2" fontId="4" fillId="31" borderId="10" xfId="0" applyNumberFormat="1" applyFont="1" applyFill="1" applyBorder="1" applyAlignment="1" applyProtection="1">
      <alignment horizontal="center"/>
      <protection hidden="1"/>
    </xf>
    <xf numFmtId="2" fontId="4" fillId="31" borderId="36" xfId="0" applyNumberFormat="1" applyFont="1" applyFill="1" applyBorder="1" applyAlignment="1" applyProtection="1">
      <alignment horizontal="center"/>
      <protection hidden="1"/>
    </xf>
    <xf numFmtId="2" fontId="4" fillId="31" borderId="39" xfId="0" applyNumberFormat="1" applyFont="1" applyFill="1" applyBorder="1" applyAlignment="1" applyProtection="1">
      <alignment horizontal="center"/>
      <protection hidden="1"/>
    </xf>
    <xf numFmtId="0" fontId="4" fillId="31" borderId="36" xfId="0" applyFont="1" applyFill="1" applyBorder="1" applyAlignment="1" applyProtection="1">
      <alignment horizontal="center"/>
      <protection hidden="1"/>
    </xf>
    <xf numFmtId="0" fontId="4" fillId="31" borderId="37" xfId="0" applyFont="1" applyFill="1" applyBorder="1" applyAlignment="1" applyProtection="1">
      <alignment horizontal="right"/>
      <protection hidden="1"/>
    </xf>
    <xf numFmtId="2" fontId="4" fillId="31" borderId="37" xfId="0" applyNumberFormat="1" applyFont="1" applyFill="1" applyBorder="1" applyAlignment="1" applyProtection="1">
      <alignment horizontal="center"/>
      <protection hidden="1"/>
    </xf>
    <xf numFmtId="2" fontId="4" fillId="31" borderId="38" xfId="0" applyNumberFormat="1" applyFont="1" applyFill="1" applyBorder="1" applyAlignment="1" applyProtection="1">
      <alignment horizontal="center"/>
      <protection hidden="1"/>
    </xf>
    <xf numFmtId="2" fontId="4" fillId="31" borderId="48" xfId="0" applyNumberFormat="1" applyFont="1" applyFill="1" applyBorder="1" applyAlignment="1" applyProtection="1">
      <alignment horizontal="center"/>
      <protection hidden="1"/>
    </xf>
    <xf numFmtId="2" fontId="4" fillId="31" borderId="49" xfId="0" applyNumberFormat="1" applyFont="1" applyFill="1" applyBorder="1" applyAlignment="1" applyProtection="1">
      <alignment horizontal="center"/>
      <protection hidden="1"/>
    </xf>
    <xf numFmtId="2" fontId="4" fillId="31" borderId="49" xfId="0" applyNumberFormat="1" applyFont="1" applyFill="1" applyBorder="1" applyAlignment="1" applyProtection="1">
      <alignment horizontal="right"/>
      <protection hidden="1"/>
    </xf>
    <xf numFmtId="14" fontId="4" fillId="31" borderId="49" xfId="0" applyNumberFormat="1" applyFont="1" applyFill="1" applyBorder="1" applyAlignment="1" applyProtection="1">
      <alignment horizontal="center"/>
      <protection hidden="1"/>
    </xf>
    <xf numFmtId="2" fontId="4" fillId="31" borderId="50" xfId="0" applyNumberFormat="1" applyFont="1" applyFill="1" applyBorder="1" applyAlignment="1" applyProtection="1">
      <alignment horizontal="center"/>
      <protection hidden="1"/>
    </xf>
    <xf numFmtId="0" fontId="47" fillId="35" borderId="36" xfId="0" applyFont="1" applyFill="1" applyBorder="1" applyProtection="1">
      <protection hidden="1"/>
    </xf>
    <xf numFmtId="0" fontId="47" fillId="35" borderId="37" xfId="0" applyFont="1" applyFill="1" applyBorder="1" applyProtection="1">
      <protection hidden="1"/>
    </xf>
    <xf numFmtId="0" fontId="47" fillId="35" borderId="37" xfId="0" applyFont="1" applyFill="1" applyBorder="1" applyAlignment="1" applyProtection="1">
      <alignment horizontal="center"/>
      <protection hidden="1"/>
    </xf>
    <xf numFmtId="0" fontId="47" fillId="35" borderId="38" xfId="0" applyFont="1" applyFill="1" applyBorder="1" applyProtection="1">
      <protection hidden="1"/>
    </xf>
    <xf numFmtId="0" fontId="47" fillId="35" borderId="8" xfId="0" applyFont="1" applyFill="1" applyBorder="1" applyProtection="1">
      <protection hidden="1"/>
    </xf>
    <xf numFmtId="0" fontId="47" fillId="35" borderId="0" xfId="0" applyFont="1" applyFill="1" applyProtection="1">
      <protection hidden="1"/>
    </xf>
    <xf numFmtId="0" fontId="47" fillId="35" borderId="0" xfId="0" applyFont="1" applyFill="1" applyAlignment="1" applyProtection="1">
      <alignment horizontal="center"/>
      <protection hidden="1"/>
    </xf>
    <xf numFmtId="0" fontId="47" fillId="35" borderId="9" xfId="0" applyFont="1" applyFill="1" applyBorder="1" applyProtection="1">
      <protection hidden="1"/>
    </xf>
    <xf numFmtId="0" fontId="47" fillId="35" borderId="8" xfId="0" applyFont="1" applyFill="1" applyBorder="1" applyAlignment="1" applyProtection="1">
      <alignment horizontal="center"/>
      <protection hidden="1"/>
    </xf>
    <xf numFmtId="0" fontId="47" fillId="35" borderId="9" xfId="0" applyFont="1" applyFill="1" applyBorder="1" applyAlignment="1" applyProtection="1">
      <alignment horizontal="center"/>
      <protection hidden="1"/>
    </xf>
    <xf numFmtId="0" fontId="47" fillId="35" borderId="5" xfId="0" applyFont="1" applyFill="1" applyBorder="1" applyAlignment="1" applyProtection="1">
      <alignment horizontal="center"/>
      <protection hidden="1"/>
    </xf>
    <xf numFmtId="2" fontId="47" fillId="35" borderId="5" xfId="0" applyNumberFormat="1" applyFont="1" applyFill="1" applyBorder="1" applyAlignment="1" applyProtection="1">
      <alignment horizontal="center"/>
      <protection hidden="1"/>
    </xf>
    <xf numFmtId="2" fontId="47" fillId="35" borderId="10" xfId="0" applyNumberFormat="1" applyFont="1" applyFill="1" applyBorder="1" applyAlignment="1" applyProtection="1">
      <alignment horizontal="center"/>
      <protection hidden="1"/>
    </xf>
    <xf numFmtId="0" fontId="47" fillId="35" borderId="36" xfId="0" applyFont="1" applyFill="1" applyBorder="1" applyAlignment="1" applyProtection="1">
      <alignment horizontal="center"/>
      <protection hidden="1"/>
    </xf>
    <xf numFmtId="0" fontId="47" fillId="35" borderId="39" xfId="0" applyFont="1" applyFill="1" applyBorder="1" applyAlignment="1" applyProtection="1">
      <alignment horizontal="center"/>
      <protection hidden="1"/>
    </xf>
    <xf numFmtId="0" fontId="47" fillId="35" borderId="37" xfId="0" applyFont="1" applyFill="1" applyBorder="1" applyAlignment="1" applyProtection="1">
      <alignment horizontal="right"/>
      <protection hidden="1"/>
    </xf>
    <xf numFmtId="2" fontId="47" fillId="35" borderId="38" xfId="0" applyNumberFormat="1" applyFont="1" applyFill="1" applyBorder="1" applyAlignment="1" applyProtection="1">
      <alignment horizontal="center"/>
      <protection hidden="1"/>
    </xf>
    <xf numFmtId="0" fontId="47" fillId="35" borderId="48" xfId="0" applyFont="1" applyFill="1" applyBorder="1" applyAlignment="1" applyProtection="1">
      <alignment horizontal="center"/>
      <protection hidden="1"/>
    </xf>
    <xf numFmtId="0" fontId="47" fillId="35" borderId="49" xfId="0" applyFont="1" applyFill="1" applyBorder="1" applyAlignment="1" applyProtection="1">
      <alignment horizontal="center"/>
      <protection hidden="1"/>
    </xf>
    <xf numFmtId="0" fontId="47" fillId="35" borderId="49" xfId="0" applyFont="1" applyFill="1" applyBorder="1" applyAlignment="1" applyProtection="1">
      <alignment horizontal="right"/>
      <protection hidden="1"/>
    </xf>
    <xf numFmtId="0" fontId="47" fillId="35" borderId="50" xfId="0" applyFont="1" applyFill="1" applyBorder="1" applyAlignment="1" applyProtection="1">
      <alignment horizontal="center"/>
      <protection hidden="1"/>
    </xf>
    <xf numFmtId="2" fontId="0" fillId="28" borderId="186" xfId="0" applyNumberFormat="1" applyFill="1" applyBorder="1" applyAlignment="1" applyProtection="1">
      <alignment horizontal="center"/>
      <protection hidden="1"/>
    </xf>
    <xf numFmtId="2" fontId="0" fillId="28" borderId="6" xfId="0" applyNumberFormat="1" applyFill="1" applyBorder="1" applyAlignment="1" applyProtection="1">
      <alignment horizontal="center"/>
      <protection hidden="1"/>
    </xf>
    <xf numFmtId="2" fontId="0" fillId="28" borderId="19" xfId="0" applyNumberFormat="1" applyFill="1" applyBorder="1" applyAlignment="1" applyProtection="1">
      <alignment horizontal="center"/>
      <protection hidden="1"/>
    </xf>
    <xf numFmtId="0" fontId="0" fillId="28" borderId="0" xfId="0" applyFill="1" applyProtection="1">
      <protection hidden="1"/>
    </xf>
    <xf numFmtId="2" fontId="0" fillId="28" borderId="0" xfId="0" applyNumberFormat="1" applyFill="1" applyAlignment="1" applyProtection="1">
      <alignment horizontal="center"/>
      <protection hidden="1"/>
    </xf>
    <xf numFmtId="2" fontId="0" fillId="25" borderId="163" xfId="0" applyNumberFormat="1" applyFill="1" applyBorder="1" applyAlignment="1" applyProtection="1">
      <alignment horizontal="center"/>
      <protection hidden="1"/>
    </xf>
    <xf numFmtId="2" fontId="0" fillId="25" borderId="0" xfId="0" applyNumberFormat="1" applyFill="1" applyProtection="1">
      <protection hidden="1"/>
    </xf>
    <xf numFmtId="2" fontId="0" fillId="25" borderId="0" xfId="0" applyNumberFormat="1" applyFill="1" applyAlignment="1" applyProtection="1">
      <alignment horizontal="center"/>
      <protection hidden="1"/>
    </xf>
    <xf numFmtId="2" fontId="0" fillId="24" borderId="161" xfId="0" applyNumberFormat="1" applyFill="1" applyBorder="1" applyAlignment="1" applyProtection="1">
      <alignment horizontal="center"/>
      <protection hidden="1"/>
    </xf>
    <xf numFmtId="2" fontId="0" fillId="24" borderId="0" xfId="0" applyNumberFormat="1" applyFill="1" applyProtection="1">
      <protection hidden="1"/>
    </xf>
    <xf numFmtId="2" fontId="0" fillId="24" borderId="0" xfId="0" applyNumberFormat="1" applyFill="1" applyAlignment="1" applyProtection="1">
      <alignment horizontal="center"/>
      <protection hidden="1"/>
    </xf>
    <xf numFmtId="2" fontId="0" fillId="36" borderId="164" xfId="0" applyNumberFormat="1" applyFill="1" applyBorder="1" applyAlignment="1" applyProtection="1">
      <alignment horizontal="center"/>
      <protection hidden="1"/>
    </xf>
    <xf numFmtId="2" fontId="0" fillId="36" borderId="0" xfId="0" applyNumberFormat="1" applyFill="1" applyProtection="1">
      <protection hidden="1"/>
    </xf>
    <xf numFmtId="2" fontId="0" fillId="36" borderId="0" xfId="0" applyNumberFormat="1" applyFill="1" applyAlignment="1" applyProtection="1">
      <alignment horizontal="center"/>
      <protection hidden="1"/>
    </xf>
    <xf numFmtId="0" fontId="1" fillId="25" borderId="0" xfId="0" applyFont="1" applyFill="1" applyAlignment="1" applyProtection="1">
      <alignment horizontal="center"/>
      <protection locked="0"/>
    </xf>
    <xf numFmtId="0" fontId="0" fillId="25" borderId="0" xfId="0" applyFill="1" applyProtection="1">
      <protection hidden="1"/>
    </xf>
    <xf numFmtId="0" fontId="0" fillId="25" borderId="0" xfId="0" applyFill="1" applyAlignment="1" applyProtection="1">
      <alignment horizontal="center"/>
      <protection hidden="1"/>
    </xf>
    <xf numFmtId="0" fontId="1" fillId="37" borderId="0" xfId="0" applyFont="1" applyFill="1" applyAlignment="1" applyProtection="1">
      <alignment horizontal="center"/>
      <protection locked="0"/>
    </xf>
    <xf numFmtId="0" fontId="0" fillId="22" borderId="165" xfId="0" applyFill="1" applyBorder="1" applyAlignment="1" applyProtection="1">
      <alignment horizontal="center"/>
      <protection hidden="1"/>
    </xf>
    <xf numFmtId="2" fontId="0" fillId="22" borderId="166" xfId="0" applyNumberFormat="1" applyFill="1" applyBorder="1" applyAlignment="1" applyProtection="1">
      <alignment horizontal="center"/>
      <protection hidden="1"/>
    </xf>
    <xf numFmtId="1" fontId="0" fillId="22" borderId="166" xfId="0" applyNumberFormat="1" applyFill="1" applyBorder="1" applyAlignment="1" applyProtection="1">
      <alignment horizontal="center"/>
      <protection hidden="1"/>
    </xf>
    <xf numFmtId="1" fontId="0" fillId="22" borderId="167" xfId="0" applyNumberFormat="1" applyFill="1" applyBorder="1" applyAlignment="1" applyProtection="1">
      <alignment horizontal="center"/>
      <protection hidden="1"/>
    </xf>
    <xf numFmtId="2" fontId="0" fillId="22" borderId="18" xfId="0" applyNumberFormat="1" applyFill="1" applyBorder="1" applyAlignment="1" applyProtection="1">
      <alignment horizontal="center"/>
      <protection locked="0"/>
    </xf>
    <xf numFmtId="1" fontId="0" fillId="22" borderId="18" xfId="0" applyNumberFormat="1" applyFill="1" applyBorder="1" applyAlignment="1" applyProtection="1">
      <alignment horizontal="center"/>
      <protection locked="0"/>
    </xf>
    <xf numFmtId="1" fontId="0" fillId="22" borderId="24" xfId="0" applyNumberFormat="1" applyFill="1" applyBorder="1" applyAlignment="1" applyProtection="1">
      <alignment horizontal="center"/>
      <protection locked="0"/>
    </xf>
    <xf numFmtId="0" fontId="0" fillId="22" borderId="18" xfId="0" applyFill="1" applyBorder="1" applyAlignment="1" applyProtection="1">
      <alignment horizontal="center"/>
      <protection locked="0"/>
    </xf>
    <xf numFmtId="0" fontId="0" fillId="22" borderId="0" xfId="0" applyFill="1" applyProtection="1">
      <protection hidden="1"/>
    </xf>
    <xf numFmtId="0" fontId="0" fillId="22" borderId="0" xfId="0" applyFill="1" applyAlignment="1" applyProtection="1">
      <alignment horizontal="center"/>
      <protection locked="0"/>
    </xf>
    <xf numFmtId="2" fontId="0" fillId="22" borderId="0" xfId="0" applyNumberFormat="1" applyFill="1" applyAlignment="1" applyProtection="1">
      <alignment horizontal="center"/>
      <protection locked="0"/>
    </xf>
    <xf numFmtId="1" fontId="0" fillId="22" borderId="0" xfId="0" applyNumberFormat="1" applyFill="1" applyAlignment="1" applyProtection="1">
      <alignment horizontal="center"/>
      <protection locked="0"/>
    </xf>
    <xf numFmtId="0" fontId="0" fillId="34" borderId="0" xfId="0" applyFill="1" applyAlignment="1" applyProtection="1">
      <alignment horizontal="center"/>
      <protection hidden="1"/>
    </xf>
    <xf numFmtId="0" fontId="0" fillId="34" borderId="127" xfId="0" applyFill="1" applyBorder="1" applyAlignment="1" applyProtection="1">
      <alignment horizontal="center"/>
      <protection hidden="1"/>
    </xf>
    <xf numFmtId="0" fontId="47" fillId="34" borderId="128" xfId="0" applyFont="1" applyFill="1" applyBorder="1" applyAlignment="1" applyProtection="1">
      <alignment horizontal="center"/>
      <protection hidden="1"/>
    </xf>
    <xf numFmtId="0" fontId="0" fillId="34" borderId="129" xfId="0" applyFill="1" applyBorder="1" applyAlignment="1" applyProtection="1">
      <alignment horizontal="center"/>
      <protection hidden="1"/>
    </xf>
    <xf numFmtId="0" fontId="16" fillId="34" borderId="127" xfId="0" applyFont="1" applyFill="1" applyBorder="1" applyAlignment="1">
      <alignment horizontal="center"/>
    </xf>
    <xf numFmtId="0" fontId="16" fillId="34" borderId="130" xfId="0" applyFont="1" applyFill="1" applyBorder="1" applyAlignment="1">
      <alignment horizontal="center"/>
    </xf>
    <xf numFmtId="0" fontId="0" fillId="34" borderId="131" xfId="0" applyFill="1" applyBorder="1" applyAlignment="1" applyProtection="1">
      <alignment horizontal="center"/>
      <protection hidden="1"/>
    </xf>
    <xf numFmtId="0" fontId="0" fillId="34" borderId="132" xfId="0" applyFill="1" applyBorder="1" applyAlignment="1" applyProtection="1">
      <alignment horizontal="center"/>
      <protection hidden="1"/>
    </xf>
    <xf numFmtId="0" fontId="0" fillId="34" borderId="133" xfId="0" applyFill="1" applyBorder="1" applyAlignment="1" applyProtection="1">
      <alignment horizontal="center"/>
      <protection hidden="1"/>
    </xf>
    <xf numFmtId="0" fontId="0" fillId="34" borderId="134" xfId="0" applyFill="1" applyBorder="1" applyAlignment="1" applyProtection="1">
      <alignment horizontal="center"/>
      <protection hidden="1"/>
    </xf>
    <xf numFmtId="0" fontId="0" fillId="34" borderId="135" xfId="0" applyFill="1" applyBorder="1" applyAlignment="1" applyProtection="1">
      <alignment horizontal="center"/>
      <protection hidden="1"/>
    </xf>
    <xf numFmtId="0" fontId="0" fillId="34" borderId="136" xfId="0" applyFill="1" applyBorder="1" applyAlignment="1" applyProtection="1">
      <alignment horizontal="center"/>
      <protection hidden="1"/>
    </xf>
    <xf numFmtId="0" fontId="0" fillId="34" borderId="130" xfId="0" applyFill="1" applyBorder="1" applyAlignment="1" applyProtection="1">
      <alignment horizontal="center"/>
      <protection hidden="1"/>
    </xf>
    <xf numFmtId="0" fontId="0" fillId="34" borderId="137" xfId="0" applyFill="1" applyBorder="1" applyAlignment="1" applyProtection="1">
      <alignment horizontal="center"/>
      <protection hidden="1"/>
    </xf>
    <xf numFmtId="0" fontId="0" fillId="34" borderId="138" xfId="0" applyFill="1" applyBorder="1" applyAlignment="1" applyProtection="1">
      <alignment horizontal="center"/>
      <protection hidden="1"/>
    </xf>
    <xf numFmtId="0" fontId="0" fillId="34" borderId="139" xfId="0" applyFill="1" applyBorder="1" applyAlignment="1" applyProtection="1">
      <alignment horizontal="center"/>
      <protection hidden="1"/>
    </xf>
    <xf numFmtId="2" fontId="0" fillId="34" borderId="140" xfId="0" applyNumberFormat="1" applyFill="1" applyBorder="1" applyAlignment="1">
      <alignment horizontal="center"/>
    </xf>
    <xf numFmtId="0" fontId="0" fillId="34" borderId="141" xfId="0" applyFill="1" applyBorder="1" applyAlignment="1" applyProtection="1">
      <alignment horizontal="center"/>
      <protection hidden="1"/>
    </xf>
    <xf numFmtId="0" fontId="0" fillId="34" borderId="142" xfId="0" applyFill="1" applyBorder="1" applyAlignment="1" applyProtection="1">
      <alignment horizontal="center"/>
      <protection hidden="1"/>
    </xf>
    <xf numFmtId="0" fontId="0" fillId="34" borderId="143" xfId="0" applyFill="1" applyBorder="1" applyAlignment="1" applyProtection="1">
      <alignment horizontal="center"/>
      <protection hidden="1"/>
    </xf>
    <xf numFmtId="0" fontId="0" fillId="34" borderId="144" xfId="0" applyFill="1" applyBorder="1" applyAlignment="1" applyProtection="1">
      <alignment horizontal="center"/>
      <protection hidden="1"/>
    </xf>
    <xf numFmtId="0" fontId="0" fillId="34" borderId="145" xfId="0" applyFill="1" applyBorder="1" applyAlignment="1" applyProtection="1">
      <alignment horizontal="center"/>
      <protection hidden="1"/>
    </xf>
    <xf numFmtId="0" fontId="0" fillId="34" borderId="146" xfId="0" applyFill="1" applyBorder="1" applyAlignment="1" applyProtection="1">
      <alignment horizontal="center"/>
      <protection hidden="1"/>
    </xf>
    <xf numFmtId="2" fontId="0" fillId="34" borderId="147" xfId="0" applyNumberFormat="1" applyFill="1" applyBorder="1" applyAlignment="1">
      <alignment horizontal="center"/>
    </xf>
    <xf numFmtId="2" fontId="0" fillId="34" borderId="148" xfId="0" applyNumberFormat="1" applyFill="1" applyBorder="1" applyAlignment="1">
      <alignment horizontal="center"/>
    </xf>
    <xf numFmtId="0" fontId="0" fillId="34" borderId="149" xfId="0" applyFill="1" applyBorder="1" applyAlignment="1">
      <alignment horizontal="center"/>
    </xf>
    <xf numFmtId="2" fontId="0" fillId="34" borderId="135" xfId="0" applyNumberFormat="1" applyFill="1" applyBorder="1" applyAlignment="1">
      <alignment horizontal="center"/>
    </xf>
    <xf numFmtId="0" fontId="0" fillId="34" borderId="136" xfId="0" applyFill="1" applyBorder="1" applyAlignment="1">
      <alignment horizontal="center"/>
    </xf>
    <xf numFmtId="1" fontId="4" fillId="34" borderId="121" xfId="0" applyNumberFormat="1" applyFont="1" applyFill="1" applyBorder="1" applyAlignment="1">
      <alignment horizontal="center"/>
    </xf>
    <xf numFmtId="1" fontId="0" fillId="34" borderId="131" xfId="0" applyNumberFormat="1" applyFill="1" applyBorder="1" applyAlignment="1">
      <alignment horizontal="center"/>
    </xf>
    <xf numFmtId="2" fontId="1" fillId="34" borderId="159" xfId="0" applyNumberFormat="1" applyFont="1" applyFill="1" applyBorder="1" applyAlignment="1" applyProtection="1">
      <alignment horizontal="center"/>
      <protection locked="0"/>
    </xf>
    <xf numFmtId="0" fontId="0" fillId="34" borderId="159" xfId="0" applyFill="1" applyBorder="1" applyAlignment="1" applyProtection="1">
      <alignment horizontal="center"/>
      <protection locked="0"/>
    </xf>
    <xf numFmtId="0" fontId="0" fillId="34" borderId="203" xfId="0" applyFill="1" applyBorder="1" applyAlignment="1" applyProtection="1">
      <alignment horizontal="center"/>
      <protection hidden="1"/>
    </xf>
    <xf numFmtId="0" fontId="0" fillId="34" borderId="134" xfId="0" applyFill="1" applyBorder="1" applyAlignment="1">
      <alignment horizontal="center"/>
    </xf>
    <xf numFmtId="2" fontId="1" fillId="34" borderId="160" xfId="0" applyNumberFormat="1" applyFont="1" applyFill="1" applyBorder="1" applyAlignment="1" applyProtection="1">
      <alignment horizontal="center"/>
      <protection locked="0"/>
    </xf>
    <xf numFmtId="0" fontId="0" fillId="34" borderId="135" xfId="0" applyFill="1" applyBorder="1" applyAlignment="1">
      <alignment horizontal="center"/>
    </xf>
    <xf numFmtId="0" fontId="0" fillId="34" borderId="158" xfId="0" applyFill="1" applyBorder="1" applyAlignment="1" applyProtection="1">
      <alignment horizontal="center"/>
      <protection locked="0"/>
    </xf>
    <xf numFmtId="0" fontId="0" fillId="34" borderId="121" xfId="0" applyFill="1" applyBorder="1" applyAlignment="1">
      <alignment horizontal="center"/>
    </xf>
    <xf numFmtId="2" fontId="0" fillId="34" borderId="129" xfId="0" applyNumberFormat="1" applyFill="1" applyBorder="1" applyAlignment="1">
      <alignment horizontal="center"/>
    </xf>
    <xf numFmtId="2" fontId="0" fillId="34" borderId="127" xfId="0" applyNumberFormat="1" applyFill="1" applyBorder="1" applyAlignment="1">
      <alignment horizontal="center"/>
    </xf>
    <xf numFmtId="2" fontId="0" fillId="34" borderId="130" xfId="0" applyNumberFormat="1" applyFill="1" applyBorder="1" applyAlignment="1">
      <alignment horizontal="center"/>
    </xf>
    <xf numFmtId="0" fontId="0" fillId="34" borderId="224" xfId="0" applyFill="1" applyBorder="1" applyAlignment="1" applyProtection="1">
      <alignment horizontal="center"/>
      <protection hidden="1"/>
    </xf>
    <xf numFmtId="2" fontId="15" fillId="37" borderId="40" xfId="0" applyNumberFormat="1" applyFont="1" applyFill="1" applyBorder="1" applyAlignment="1" applyProtection="1">
      <alignment horizontal="center"/>
      <protection hidden="1"/>
    </xf>
    <xf numFmtId="4" fontId="33" fillId="30" borderId="10" xfId="0" applyNumberFormat="1" applyFont="1" applyFill="1" applyBorder="1" applyAlignment="1" applyProtection="1">
      <alignment horizontal="center"/>
      <protection hidden="1"/>
    </xf>
    <xf numFmtId="0" fontId="2" fillId="31" borderId="0" xfId="0" applyFont="1" applyFill="1" applyAlignment="1" applyProtection="1">
      <alignment horizontal="left" vertical="center"/>
      <protection hidden="1"/>
    </xf>
    <xf numFmtId="1" fontId="4" fillId="36" borderId="41" xfId="0" applyNumberFormat="1" applyFont="1" applyFill="1" applyBorder="1" applyAlignment="1" applyProtection="1">
      <alignment horizontal="center" vertical="center"/>
      <protection locked="0"/>
    </xf>
    <xf numFmtId="0" fontId="25" fillId="28" borderId="0" xfId="0" applyFont="1" applyFill="1" applyProtection="1">
      <protection hidden="1"/>
    </xf>
    <xf numFmtId="0" fontId="28" fillId="28" borderId="0" xfId="0" applyFont="1" applyFill="1" applyAlignment="1" applyProtection="1">
      <alignment horizontal="left"/>
      <protection hidden="1"/>
    </xf>
    <xf numFmtId="0" fontId="26" fillId="28" borderId="0" xfId="0" applyFont="1" applyFill="1" applyAlignment="1" applyProtection="1">
      <alignment horizontal="center"/>
      <protection hidden="1"/>
    </xf>
    <xf numFmtId="14" fontId="0" fillId="13" borderId="0" xfId="0" applyNumberFormat="1" applyFill="1" applyProtection="1">
      <protection hidden="1"/>
    </xf>
    <xf numFmtId="19" fontId="0" fillId="13" borderId="8" xfId="0" applyNumberFormat="1" applyFill="1" applyBorder="1" applyProtection="1">
      <protection hidden="1"/>
    </xf>
    <xf numFmtId="0" fontId="1" fillId="0" borderId="36" xfId="3" applyBorder="1" applyAlignment="1" applyProtection="1">
      <alignment vertical="center"/>
      <protection hidden="1"/>
    </xf>
    <xf numFmtId="0" fontId="1" fillId="0" borderId="37" xfId="3" applyBorder="1" applyAlignment="1" applyProtection="1">
      <alignment vertical="center"/>
      <protection hidden="1"/>
    </xf>
    <xf numFmtId="0" fontId="1" fillId="0" borderId="8" xfId="3" applyBorder="1" applyAlignment="1" applyProtection="1">
      <alignment vertical="center"/>
      <protection hidden="1"/>
    </xf>
    <xf numFmtId="0" fontId="1" fillId="0" borderId="210" xfId="3" applyBorder="1" applyAlignment="1" applyProtection="1">
      <alignment vertical="center"/>
      <protection hidden="1"/>
    </xf>
    <xf numFmtId="0" fontId="1" fillId="0" borderId="211" xfId="3" applyBorder="1" applyAlignment="1" applyProtection="1">
      <alignment vertical="center"/>
      <protection hidden="1"/>
    </xf>
    <xf numFmtId="0" fontId="1" fillId="16" borderId="0" xfId="3" applyFill="1" applyAlignment="1" applyProtection="1">
      <alignment horizontal="left" vertical="center"/>
      <protection hidden="1"/>
    </xf>
    <xf numFmtId="0" fontId="33" fillId="30" borderId="0" xfId="0" applyFont="1" applyFill="1" applyAlignment="1" applyProtection="1">
      <alignment horizontal="center"/>
      <protection hidden="1"/>
    </xf>
    <xf numFmtId="0" fontId="33" fillId="4" borderId="0" xfId="0" applyFont="1" applyFill="1" applyProtection="1">
      <protection hidden="1"/>
    </xf>
    <xf numFmtId="0" fontId="33" fillId="0" borderId="0" xfId="0" applyFont="1" applyAlignment="1" applyProtection="1">
      <alignment horizontal="center"/>
      <protection hidden="1"/>
    </xf>
    <xf numFmtId="0" fontId="1" fillId="20" borderId="0" xfId="0" applyFont="1" applyFill="1" applyProtection="1">
      <protection locked="0"/>
    </xf>
    <xf numFmtId="0" fontId="0" fillId="7" borderId="18" xfId="0" applyFill="1" applyBorder="1" applyAlignment="1">
      <alignment horizontal="center"/>
    </xf>
    <xf numFmtId="2" fontId="0" fillId="28" borderId="19" xfId="0" applyNumberFormat="1" applyFill="1" applyBorder="1" applyAlignment="1">
      <alignment horizontal="center"/>
    </xf>
    <xf numFmtId="2" fontId="0" fillId="25" borderId="129" xfId="0" applyNumberFormat="1" applyFill="1" applyBorder="1" applyAlignment="1">
      <alignment horizontal="center"/>
    </xf>
    <xf numFmtId="2" fontId="0" fillId="24" borderId="127" xfId="0" applyNumberFormat="1" applyFill="1" applyBorder="1" applyAlignment="1">
      <alignment horizontal="center"/>
    </xf>
    <xf numFmtId="2" fontId="0" fillId="36" borderId="130" xfId="0" applyNumberFormat="1" applyFill="1" applyBorder="1" applyAlignment="1">
      <alignment horizontal="center"/>
    </xf>
    <xf numFmtId="2" fontId="0" fillId="25" borderId="17" xfId="0" applyNumberFormat="1" applyFill="1" applyBorder="1" applyAlignment="1">
      <alignment horizontal="center"/>
    </xf>
    <xf numFmtId="2" fontId="0" fillId="24" borderId="18" xfId="0" applyNumberFormat="1" applyFill="1" applyBorder="1" applyAlignment="1">
      <alignment horizontal="center"/>
    </xf>
    <xf numFmtId="2" fontId="0" fillId="36" borderId="24" xfId="0" applyNumberFormat="1" applyFill="1" applyBorder="1" applyAlignment="1">
      <alignment horizontal="center"/>
    </xf>
    <xf numFmtId="2" fontId="0" fillId="25" borderId="18" xfId="0" applyNumberFormat="1" applyFill="1" applyBorder="1" applyAlignment="1">
      <alignment horizontal="center"/>
    </xf>
    <xf numFmtId="0" fontId="0" fillId="30" borderId="0" xfId="0" applyFill="1" applyAlignment="1">
      <alignment horizontal="center"/>
    </xf>
    <xf numFmtId="2" fontId="0" fillId="30" borderId="0" xfId="0" applyNumberFormat="1" applyFill="1" applyAlignment="1">
      <alignment horizontal="center"/>
    </xf>
    <xf numFmtId="1" fontId="0" fillId="30" borderId="0" xfId="0" applyNumberFormat="1" applyFill="1" applyAlignment="1">
      <alignment horizontal="center"/>
    </xf>
    <xf numFmtId="0" fontId="0" fillId="4" borderId="0" xfId="0" applyFill="1"/>
    <xf numFmtId="2" fontId="0" fillId="4" borderId="0" xfId="0" applyNumberFormat="1" applyFill="1"/>
    <xf numFmtId="1" fontId="0" fillId="4" borderId="0" xfId="0" applyNumberFormat="1" applyFill="1"/>
    <xf numFmtId="2" fontId="0" fillId="0" borderId="0" xfId="0" applyNumberFormat="1"/>
    <xf numFmtId="1" fontId="0" fillId="0" borderId="0" xfId="0" applyNumberFormat="1"/>
    <xf numFmtId="0" fontId="10" fillId="13" borderId="37" xfId="0" applyFont="1" applyFill="1" applyBorder="1" applyAlignment="1">
      <alignment horizontal="center" vertical="center" wrapText="1"/>
    </xf>
    <xf numFmtId="0" fontId="4" fillId="13" borderId="37" xfId="0" applyFont="1" applyFill="1" applyBorder="1"/>
    <xf numFmtId="0" fontId="4" fillId="13" borderId="38" xfId="0" applyFont="1" applyFill="1" applyBorder="1"/>
    <xf numFmtId="0" fontId="4" fillId="13" borderId="39" xfId="0" applyFont="1" applyFill="1" applyBorder="1"/>
    <xf numFmtId="2" fontId="4" fillId="13" borderId="39" xfId="0" applyNumberFormat="1" applyFont="1" applyFill="1" applyBorder="1"/>
    <xf numFmtId="1" fontId="4" fillId="13" borderId="39" xfId="0" applyNumberFormat="1" applyFont="1" applyFill="1" applyBorder="1"/>
    <xf numFmtId="0" fontId="4" fillId="13" borderId="36" xfId="0" applyFont="1" applyFill="1" applyBorder="1"/>
    <xf numFmtId="0" fontId="4" fillId="13" borderId="39" xfId="0" applyFont="1" applyFill="1" applyBorder="1" applyAlignment="1">
      <alignment horizontal="center"/>
    </xf>
    <xf numFmtId="0" fontId="4" fillId="13" borderId="36" xfId="0" applyFont="1" applyFill="1" applyBorder="1" applyAlignment="1">
      <alignment horizontal="center"/>
    </xf>
    <xf numFmtId="2" fontId="4" fillId="13" borderId="39" xfId="0" applyNumberFormat="1" applyFont="1" applyFill="1" applyBorder="1" applyAlignment="1">
      <alignment horizontal="center"/>
    </xf>
    <xf numFmtId="2" fontId="4" fillId="13" borderId="36" xfId="0" applyNumberFormat="1" applyFont="1" applyFill="1" applyBorder="1"/>
    <xf numFmtId="2" fontId="0" fillId="0" borderId="42" xfId="0" applyNumberFormat="1" applyBorder="1"/>
    <xf numFmtId="0" fontId="0" fillId="0" borderId="44" xfId="0" applyBorder="1"/>
    <xf numFmtId="2" fontId="10" fillId="13" borderId="0" xfId="0" applyNumberFormat="1" applyFont="1" applyFill="1" applyAlignment="1">
      <alignment horizontal="center" vertical="center"/>
    </xf>
    <xf numFmtId="0" fontId="4" fillId="13" borderId="0" xfId="0" applyFont="1" applyFill="1"/>
    <xf numFmtId="0" fontId="4" fillId="13" borderId="9" xfId="0" applyFont="1" applyFill="1" applyBorder="1"/>
    <xf numFmtId="0" fontId="4" fillId="13" borderId="40" xfId="0" applyFont="1" applyFill="1" applyBorder="1"/>
    <xf numFmtId="2" fontId="4" fillId="13" borderId="40" xfId="0" applyNumberFormat="1" applyFont="1" applyFill="1" applyBorder="1"/>
    <xf numFmtId="1" fontId="4" fillId="13" borderId="40" xfId="0" applyNumberFormat="1" applyFont="1" applyFill="1" applyBorder="1"/>
    <xf numFmtId="0" fontId="4" fillId="13" borderId="8" xfId="0" applyFont="1" applyFill="1" applyBorder="1"/>
    <xf numFmtId="0" fontId="4" fillId="13" borderId="40" xfId="0" applyFont="1" applyFill="1" applyBorder="1" applyAlignment="1">
      <alignment horizontal="center"/>
    </xf>
    <xf numFmtId="0" fontId="4" fillId="13" borderId="8" xfId="0" applyFont="1" applyFill="1" applyBorder="1" applyAlignment="1">
      <alignment horizontal="center"/>
    </xf>
    <xf numFmtId="2" fontId="4" fillId="13" borderId="40" xfId="0" applyNumberFormat="1" applyFont="1" applyFill="1" applyBorder="1" applyAlignment="1">
      <alignment horizontal="center"/>
    </xf>
    <xf numFmtId="2" fontId="4" fillId="13" borderId="8" xfId="0" applyNumberFormat="1" applyFont="1" applyFill="1" applyBorder="1"/>
    <xf numFmtId="2" fontId="0" fillId="0" borderId="122" xfId="0" applyNumberFormat="1" applyBorder="1"/>
    <xf numFmtId="2" fontId="0" fillId="0" borderId="0" xfId="0" applyNumberFormat="1" applyAlignment="1">
      <alignment horizontal="center"/>
    </xf>
    <xf numFmtId="0" fontId="0" fillId="0" borderId="124" xfId="0" applyBorder="1"/>
    <xf numFmtId="0" fontId="4" fillId="13" borderId="9" xfId="0" applyFont="1" applyFill="1" applyBorder="1" applyAlignment="1">
      <alignment horizontal="center"/>
    </xf>
    <xf numFmtId="3" fontId="10" fillId="13" borderId="0" xfId="0" applyNumberFormat="1" applyFont="1" applyFill="1" applyAlignment="1">
      <alignment horizontal="center" vertical="center"/>
    </xf>
    <xf numFmtId="2" fontId="4" fillId="13" borderId="8" xfId="0" applyNumberFormat="1" applyFont="1" applyFill="1" applyBorder="1" applyAlignment="1">
      <alignment horizontal="center"/>
    </xf>
    <xf numFmtId="0" fontId="4" fillId="13" borderId="0" xfId="0" applyFont="1" applyFill="1" applyAlignment="1">
      <alignment horizontal="center"/>
    </xf>
    <xf numFmtId="1" fontId="4" fillId="13" borderId="40" xfId="0" applyNumberFormat="1" applyFont="1" applyFill="1" applyBorder="1" applyAlignment="1">
      <alignment horizontal="center"/>
    </xf>
    <xf numFmtId="0" fontId="4" fillId="13" borderId="8" xfId="0" applyFont="1" applyFill="1" applyBorder="1" applyAlignment="1">
      <alignment horizontal="left"/>
    </xf>
    <xf numFmtId="2" fontId="0" fillId="0" borderId="122" xfId="0" applyNumberFormat="1" applyBorder="1" applyAlignment="1">
      <alignment horizontal="center"/>
    </xf>
    <xf numFmtId="0" fontId="0" fillId="0" borderId="124" xfId="0" applyBorder="1" applyAlignment="1">
      <alignment horizontal="center"/>
    </xf>
    <xf numFmtId="3" fontId="4" fillId="13" borderId="0" xfId="0" applyNumberFormat="1" applyFont="1" applyFill="1" applyAlignment="1">
      <alignment horizontal="center" vertical="center"/>
    </xf>
    <xf numFmtId="0" fontId="1" fillId="0" borderId="124" xfId="0" applyFont="1" applyBorder="1" applyAlignment="1">
      <alignment horizontal="center"/>
    </xf>
    <xf numFmtId="3" fontId="4" fillId="13" borderId="9" xfId="0" applyNumberFormat="1" applyFont="1" applyFill="1" applyBorder="1" applyAlignment="1">
      <alignment horizontal="center"/>
    </xf>
    <xf numFmtId="14" fontId="4" fillId="13" borderId="9" xfId="0" applyNumberFormat="1" applyFont="1" applyFill="1" applyBorder="1" applyAlignment="1">
      <alignment horizontal="center"/>
    </xf>
    <xf numFmtId="0" fontId="4" fillId="13" borderId="41" xfId="0" applyFont="1" applyFill="1" applyBorder="1" applyAlignment="1">
      <alignment horizontal="center"/>
    </xf>
    <xf numFmtId="2" fontId="4" fillId="13" borderId="41" xfId="0" applyNumberFormat="1" applyFont="1" applyFill="1" applyBorder="1" applyAlignment="1">
      <alignment horizontal="center"/>
    </xf>
    <xf numFmtId="1" fontId="4" fillId="13" borderId="41" xfId="0" applyNumberFormat="1" applyFont="1" applyFill="1" applyBorder="1" applyAlignment="1">
      <alignment horizontal="center"/>
    </xf>
    <xf numFmtId="0" fontId="4" fillId="13" borderId="48" xfId="0" applyFont="1" applyFill="1" applyBorder="1" applyAlignment="1">
      <alignment horizontal="center"/>
    </xf>
    <xf numFmtId="0" fontId="4" fillId="13" borderId="50" xfId="0" applyFont="1" applyFill="1" applyBorder="1" applyAlignment="1">
      <alignment horizontal="center"/>
    </xf>
    <xf numFmtId="0" fontId="4" fillId="13" borderId="49" xfId="0" applyFont="1" applyFill="1" applyBorder="1" applyAlignment="1">
      <alignment horizontal="center"/>
    </xf>
    <xf numFmtId="2" fontId="0" fillId="0" borderId="112" xfId="0" applyNumberFormat="1" applyBorder="1" applyAlignment="1">
      <alignment horizontal="center"/>
    </xf>
    <xf numFmtId="0" fontId="0" fillId="0" borderId="117" xfId="0" applyBorder="1" applyAlignment="1">
      <alignment horizontal="center"/>
    </xf>
    <xf numFmtId="0" fontId="1" fillId="34" borderId="42" xfId="0" applyFont="1" applyFill="1" applyBorder="1" applyAlignment="1">
      <alignment horizontal="center"/>
    </xf>
    <xf numFmtId="0" fontId="1" fillId="34" borderId="43" xfId="0" applyFont="1" applyFill="1" applyBorder="1" applyAlignment="1">
      <alignment horizontal="center"/>
    </xf>
    <xf numFmtId="0" fontId="1" fillId="34" borderId="44" xfId="0" applyFont="1" applyFill="1" applyBorder="1" applyAlignment="1">
      <alignment horizontal="center"/>
    </xf>
    <xf numFmtId="0" fontId="0" fillId="34" borderId="150" xfId="0" applyFill="1" applyBorder="1" applyAlignment="1">
      <alignment horizontal="center"/>
    </xf>
    <xf numFmtId="0" fontId="0" fillId="34" borderId="151" xfId="0" applyFill="1" applyBorder="1" applyAlignment="1">
      <alignment horizontal="center"/>
    </xf>
    <xf numFmtId="0" fontId="0" fillId="34" borderId="152" xfId="0" applyFill="1" applyBorder="1" applyAlignment="1">
      <alignment horizontal="center"/>
    </xf>
    <xf numFmtId="0" fontId="0" fillId="34" borderId="153" xfId="0" applyFill="1" applyBorder="1" applyAlignment="1">
      <alignment horizontal="center"/>
    </xf>
    <xf numFmtId="0" fontId="0" fillId="34" borderId="154" xfId="0" applyFill="1" applyBorder="1" applyAlignment="1">
      <alignment horizontal="center"/>
    </xf>
    <xf numFmtId="0" fontId="0" fillId="34" borderId="155" xfId="0" applyFill="1" applyBorder="1" applyAlignment="1">
      <alignment horizontal="center"/>
    </xf>
    <xf numFmtId="0" fontId="0" fillId="34" borderId="127" xfId="0" applyFill="1" applyBorder="1" applyAlignment="1">
      <alignment horizontal="center"/>
    </xf>
    <xf numFmtId="2" fontId="1" fillId="34" borderId="127" xfId="0" applyNumberFormat="1" applyFont="1" applyFill="1" applyBorder="1" applyAlignment="1">
      <alignment horizontal="center"/>
    </xf>
    <xf numFmtId="1" fontId="0" fillId="34" borderId="151" xfId="0" applyNumberFormat="1" applyFill="1" applyBorder="1" applyAlignment="1">
      <alignment horizontal="center"/>
    </xf>
    <xf numFmtId="0" fontId="0" fillId="34" borderId="156" xfId="0" applyFill="1" applyBorder="1" applyAlignment="1">
      <alignment horizontal="center"/>
    </xf>
    <xf numFmtId="0" fontId="0" fillId="34" borderId="157" xfId="0" applyFill="1" applyBorder="1" applyAlignment="1">
      <alignment horizontal="center"/>
    </xf>
    <xf numFmtId="0" fontId="0" fillId="34" borderId="11" xfId="0" applyFill="1" applyBorder="1" applyAlignment="1">
      <alignment horizontal="center"/>
    </xf>
    <xf numFmtId="0" fontId="0" fillId="34" borderId="12" xfId="0" applyFill="1" applyBorder="1" applyAlignment="1">
      <alignment horizontal="center"/>
    </xf>
    <xf numFmtId="2" fontId="0" fillId="34" borderId="158" xfId="0" applyNumberFormat="1" applyFill="1" applyBorder="1" applyAlignment="1">
      <alignment horizontal="center"/>
    </xf>
    <xf numFmtId="0" fontId="0" fillId="34" borderId="129" xfId="0" applyFill="1" applyBorder="1" applyAlignment="1">
      <alignment horizontal="center"/>
    </xf>
    <xf numFmtId="0" fontId="0" fillId="34" borderId="128" xfId="0" applyFill="1" applyBorder="1" applyAlignment="1">
      <alignment horizontal="center"/>
    </xf>
    <xf numFmtId="0" fontId="0" fillId="34" borderId="13" xfId="0" applyFill="1" applyBorder="1" applyAlignment="1">
      <alignment horizontal="center"/>
    </xf>
    <xf numFmtId="0" fontId="0" fillId="34" borderId="14" xfId="0" applyFill="1" applyBorder="1" applyAlignment="1">
      <alignment horizontal="center"/>
    </xf>
    <xf numFmtId="0" fontId="0" fillId="34" borderId="15" xfId="0" applyFill="1" applyBorder="1" applyAlignment="1">
      <alignment horizontal="center"/>
    </xf>
    <xf numFmtId="0" fontId="0" fillId="34" borderId="16" xfId="0" applyFill="1" applyBorder="1" applyAlignment="1">
      <alignment horizontal="center"/>
    </xf>
    <xf numFmtId="0" fontId="0" fillId="34" borderId="45" xfId="0" applyFill="1" applyBorder="1" applyAlignment="1">
      <alignment horizontal="center"/>
    </xf>
    <xf numFmtId="2" fontId="0" fillId="34" borderId="35" xfId="0" applyNumberFormat="1" applyFill="1" applyBorder="1" applyAlignment="1">
      <alignment horizontal="center"/>
    </xf>
    <xf numFmtId="2" fontId="0" fillId="34" borderId="108" xfId="0" applyNumberFormat="1" applyFill="1" applyBorder="1" applyAlignment="1">
      <alignment horizontal="center"/>
    </xf>
    <xf numFmtId="2" fontId="0" fillId="34" borderId="123" xfId="0" applyNumberFormat="1" applyFill="1" applyBorder="1" applyAlignment="1">
      <alignment horizontal="center"/>
    </xf>
    <xf numFmtId="2" fontId="0" fillId="34" borderId="124" xfId="0" applyNumberFormat="1" applyFill="1" applyBorder="1" applyAlignment="1">
      <alignment horizontal="center"/>
    </xf>
    <xf numFmtId="2" fontId="0" fillId="34" borderId="0" xfId="0" applyNumberFormat="1" applyFill="1" applyAlignment="1">
      <alignment horizontal="center"/>
    </xf>
    <xf numFmtId="3" fontId="1" fillId="11" borderId="8" xfId="0" applyNumberFormat="1" applyFont="1" applyFill="1" applyBorder="1" applyAlignment="1">
      <alignment horizontal="center"/>
    </xf>
    <xf numFmtId="3" fontId="1" fillId="11" borderId="0" xfId="0" applyNumberFormat="1" applyFont="1" applyFill="1" applyAlignment="1">
      <alignment horizontal="center"/>
    </xf>
    <xf numFmtId="3" fontId="1" fillId="11" borderId="9" xfId="0" applyNumberFormat="1" applyFont="1" applyFill="1" applyBorder="1" applyAlignment="1">
      <alignment horizontal="center"/>
    </xf>
    <xf numFmtId="0" fontId="0" fillId="0" borderId="187" xfId="0" applyBorder="1" applyAlignment="1">
      <alignment horizontal="center"/>
    </xf>
    <xf numFmtId="0" fontId="0" fillId="0" borderId="161" xfId="0" applyBorder="1" applyAlignment="1">
      <alignment horizontal="center"/>
    </xf>
    <xf numFmtId="0" fontId="0" fillId="0" borderId="162" xfId="0" applyBorder="1" applyAlignment="1">
      <alignment horizontal="center"/>
    </xf>
    <xf numFmtId="0" fontId="0" fillId="8" borderId="112" xfId="0" applyFill="1" applyBorder="1" applyAlignment="1">
      <alignment horizontal="center"/>
    </xf>
    <xf numFmtId="0" fontId="0" fillId="8" borderId="188" xfId="0" applyFill="1" applyBorder="1" applyAlignment="1">
      <alignment horizontal="center"/>
    </xf>
    <xf numFmtId="0" fontId="0" fillId="6" borderId="187" xfId="0" applyFill="1" applyBorder="1" applyAlignment="1">
      <alignment horizontal="center"/>
    </xf>
    <xf numFmtId="0" fontId="0" fillId="7" borderId="161" xfId="0" applyFill="1" applyBorder="1" applyAlignment="1">
      <alignment horizontal="center"/>
    </xf>
    <xf numFmtId="2" fontId="1" fillId="11" borderId="161" xfId="0" applyNumberFormat="1" applyFont="1" applyFill="1" applyBorder="1" applyAlignment="1">
      <alignment horizontal="center"/>
    </xf>
    <xf numFmtId="2" fontId="0" fillId="11" borderId="161" xfId="0" applyNumberFormat="1" applyFill="1" applyBorder="1" applyAlignment="1">
      <alignment horizontal="center"/>
    </xf>
    <xf numFmtId="1" fontId="0" fillId="10" borderId="161" xfId="0" applyNumberFormat="1" applyFill="1" applyBorder="1" applyAlignment="1">
      <alignment horizontal="center"/>
    </xf>
    <xf numFmtId="2" fontId="0" fillId="6" borderId="161" xfId="0" applyNumberFormat="1" applyFill="1" applyBorder="1" applyAlignment="1">
      <alignment horizontal="center"/>
    </xf>
    <xf numFmtId="2" fontId="0" fillId="7" borderId="162" xfId="0" applyNumberFormat="1" applyFill="1" applyBorder="1" applyAlignment="1">
      <alignment horizontal="center"/>
    </xf>
    <xf numFmtId="0" fontId="0" fillId="8" borderId="189" xfId="0" applyFill="1" applyBorder="1" applyAlignment="1">
      <alignment horizontal="center"/>
    </xf>
    <xf numFmtId="2" fontId="0" fillId="8" borderId="189" xfId="0" applyNumberFormat="1" applyFill="1" applyBorder="1" applyAlignment="1">
      <alignment horizontal="center"/>
    </xf>
    <xf numFmtId="1" fontId="0" fillId="9" borderId="190" xfId="0" applyNumberFormat="1" applyFill="1" applyBorder="1" applyAlignment="1">
      <alignment horizontal="center"/>
    </xf>
    <xf numFmtId="2" fontId="0" fillId="9" borderId="191" xfId="0" applyNumberFormat="1" applyFill="1" applyBorder="1" applyAlignment="1">
      <alignment horizontal="center"/>
    </xf>
    <xf numFmtId="164" fontId="0" fillId="6" borderId="161" xfId="0" applyNumberFormat="1" applyFill="1" applyBorder="1" applyAlignment="1">
      <alignment horizontal="center"/>
    </xf>
    <xf numFmtId="1" fontId="0" fillId="6" borderId="161" xfId="0" applyNumberFormat="1" applyFill="1" applyBorder="1" applyAlignment="1">
      <alignment horizontal="center"/>
    </xf>
    <xf numFmtId="165" fontId="0" fillId="7" borderId="161" xfId="0" applyNumberFormat="1" applyFill="1" applyBorder="1" applyAlignment="1">
      <alignment horizontal="center"/>
    </xf>
    <xf numFmtId="2" fontId="0" fillId="5" borderId="174" xfId="0" applyNumberFormat="1" applyFill="1" applyBorder="1" applyAlignment="1">
      <alignment horizontal="center"/>
    </xf>
    <xf numFmtId="2" fontId="0" fillId="5" borderId="185" xfId="0" applyNumberFormat="1" applyFill="1" applyBorder="1" applyAlignment="1">
      <alignment horizontal="center"/>
    </xf>
    <xf numFmtId="0" fontId="0" fillId="6" borderId="163" xfId="0" applyFill="1" applyBorder="1" applyAlignment="1">
      <alignment horizontal="center"/>
    </xf>
    <xf numFmtId="165" fontId="0" fillId="6" borderId="163" xfId="0" applyNumberFormat="1" applyFill="1" applyBorder="1" applyAlignment="1">
      <alignment horizontal="center"/>
    </xf>
    <xf numFmtId="165" fontId="0" fillId="6" borderId="161" xfId="0" applyNumberFormat="1" applyFill="1" applyBorder="1" applyAlignment="1">
      <alignment horizontal="center"/>
    </xf>
    <xf numFmtId="2" fontId="0" fillId="6" borderId="162" xfId="0" applyNumberFormat="1" applyFill="1" applyBorder="1" applyAlignment="1">
      <alignment horizontal="center"/>
    </xf>
    <xf numFmtId="2" fontId="0" fillId="6" borderId="192" xfId="0" applyNumberFormat="1" applyFill="1" applyBorder="1" applyAlignment="1">
      <alignment horizontal="center"/>
    </xf>
    <xf numFmtId="165" fontId="0" fillId="7" borderId="163" xfId="0" applyNumberFormat="1" applyFill="1" applyBorder="1" applyAlignment="1">
      <alignment horizontal="center"/>
    </xf>
    <xf numFmtId="2" fontId="0" fillId="7" borderId="161" xfId="0" applyNumberFormat="1" applyFill="1" applyBorder="1" applyAlignment="1">
      <alignment horizontal="center"/>
    </xf>
    <xf numFmtId="2" fontId="0" fillId="7" borderId="193" xfId="0" applyNumberFormat="1" applyFill="1" applyBorder="1" applyAlignment="1">
      <alignment horizontal="center"/>
    </xf>
    <xf numFmtId="0" fontId="0" fillId="0" borderId="194" xfId="0" applyBorder="1" applyAlignment="1">
      <alignment horizontal="center"/>
    </xf>
    <xf numFmtId="0" fontId="0" fillId="0" borderId="195" xfId="0" applyBorder="1" applyAlignment="1">
      <alignment horizontal="center"/>
    </xf>
    <xf numFmtId="2" fontId="0" fillId="0" borderId="196" xfId="0" applyNumberFormat="1" applyBorder="1" applyAlignment="1">
      <alignment horizontal="center"/>
    </xf>
    <xf numFmtId="2" fontId="0" fillId="0" borderId="197" xfId="0" applyNumberFormat="1" applyBorder="1" applyAlignment="1">
      <alignment horizontal="center"/>
    </xf>
    <xf numFmtId="2" fontId="0" fillId="0" borderId="198" xfId="0" applyNumberFormat="1" applyBorder="1"/>
    <xf numFmtId="2" fontId="0" fillId="0" borderId="123" xfId="0" applyNumberFormat="1" applyBorder="1"/>
    <xf numFmtId="3" fontId="1" fillId="11" borderId="5" xfId="0" applyNumberFormat="1" applyFont="1" applyFill="1" applyBorder="1" applyAlignment="1">
      <alignment horizontal="center"/>
    </xf>
    <xf numFmtId="3" fontId="1" fillId="11" borderId="6" xfId="0" applyNumberFormat="1" applyFont="1" applyFill="1" applyBorder="1" applyAlignment="1">
      <alignment horizontal="center"/>
    </xf>
    <xf numFmtId="3" fontId="1" fillId="11" borderId="7" xfId="0" applyNumberFormat="1" applyFont="1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8" borderId="26" xfId="0" applyFill="1" applyBorder="1" applyAlignment="1">
      <alignment horizontal="center"/>
    </xf>
    <xf numFmtId="0" fontId="0" fillId="8" borderId="25" xfId="0" applyFill="1" applyBorder="1" applyAlignment="1">
      <alignment horizontal="center"/>
    </xf>
    <xf numFmtId="0" fontId="0" fillId="6" borderId="18" xfId="0" applyFill="1" applyBorder="1" applyAlignment="1">
      <alignment horizontal="center"/>
    </xf>
    <xf numFmtId="2" fontId="1" fillId="11" borderId="18" xfId="0" applyNumberFormat="1" applyFont="1" applyFill="1" applyBorder="1" applyAlignment="1">
      <alignment horizontal="center"/>
    </xf>
    <xf numFmtId="2" fontId="0" fillId="11" borderId="18" xfId="0" applyNumberFormat="1" applyFill="1" applyBorder="1" applyAlignment="1">
      <alignment horizontal="center"/>
    </xf>
    <xf numFmtId="1" fontId="0" fillId="10" borderId="18" xfId="0" applyNumberFormat="1" applyFill="1" applyBorder="1" applyAlignment="1">
      <alignment horizontal="center"/>
    </xf>
    <xf numFmtId="2" fontId="0" fillId="6" borderId="18" xfId="0" applyNumberFormat="1" applyFill="1" applyBorder="1" applyAlignment="1">
      <alignment horizontal="center"/>
    </xf>
    <xf numFmtId="2" fontId="0" fillId="7" borderId="19" xfId="0" applyNumberFormat="1" applyFill="1" applyBorder="1" applyAlignment="1">
      <alignment horizontal="center"/>
    </xf>
    <xf numFmtId="0" fontId="0" fillId="8" borderId="27" xfId="0" applyFill="1" applyBorder="1" applyAlignment="1">
      <alignment horizontal="center"/>
    </xf>
    <xf numFmtId="2" fontId="0" fillId="8" borderId="27" xfId="0" applyNumberFormat="1" applyFill="1" applyBorder="1" applyAlignment="1">
      <alignment horizontal="center"/>
    </xf>
    <xf numFmtId="1" fontId="0" fillId="9" borderId="25" xfId="0" applyNumberFormat="1" applyFill="1" applyBorder="1" applyAlignment="1">
      <alignment horizontal="center"/>
    </xf>
    <xf numFmtId="2" fontId="0" fillId="9" borderId="18" xfId="0" applyNumberFormat="1" applyFill="1" applyBorder="1" applyAlignment="1">
      <alignment horizontal="center"/>
    </xf>
    <xf numFmtId="164" fontId="0" fillId="6" borderId="18" xfId="0" applyNumberFormat="1" applyFill="1" applyBorder="1" applyAlignment="1">
      <alignment horizontal="center"/>
    </xf>
    <xf numFmtId="165" fontId="0" fillId="7" borderId="18" xfId="0" applyNumberFormat="1" applyFill="1" applyBorder="1" applyAlignment="1">
      <alignment horizontal="center"/>
    </xf>
    <xf numFmtId="2" fontId="0" fillId="5" borderId="28" xfId="0" applyNumberFormat="1" applyFill="1" applyBorder="1" applyAlignment="1">
      <alignment horizontal="center"/>
    </xf>
    <xf numFmtId="2" fontId="0" fillId="5" borderId="23" xfId="0" applyNumberFormat="1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165" fontId="0" fillId="6" borderId="17" xfId="0" applyNumberFormat="1" applyFill="1" applyBorder="1" applyAlignment="1">
      <alignment horizontal="center"/>
    </xf>
    <xf numFmtId="165" fontId="0" fillId="6" borderId="18" xfId="0" applyNumberFormat="1" applyFill="1" applyBorder="1" applyAlignment="1">
      <alignment horizontal="center"/>
    </xf>
    <xf numFmtId="2" fontId="0" fillId="6" borderId="19" xfId="0" applyNumberFormat="1" applyFill="1" applyBorder="1" applyAlignment="1">
      <alignment horizontal="center"/>
    </xf>
    <xf numFmtId="2" fontId="0" fillId="6" borderId="6" xfId="0" applyNumberFormat="1" applyFill="1" applyBorder="1" applyAlignment="1">
      <alignment horizontal="center"/>
    </xf>
    <xf numFmtId="165" fontId="0" fillId="7" borderId="17" xfId="0" applyNumberFormat="1" applyFill="1" applyBorder="1" applyAlignment="1">
      <alignment horizontal="center"/>
    </xf>
    <xf numFmtId="2" fontId="0" fillId="7" borderId="18" xfId="0" applyNumberFormat="1" applyFill="1" applyBorder="1" applyAlignment="1">
      <alignment horizontal="center"/>
    </xf>
    <xf numFmtId="2" fontId="0" fillId="7" borderId="6" xfId="0" applyNumberForma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7" xfId="0" applyBorder="1" applyAlignment="1">
      <alignment horizontal="center"/>
    </xf>
    <xf numFmtId="2" fontId="0" fillId="0" borderId="30" xfId="0" applyNumberFormat="1" applyBorder="1" applyAlignment="1">
      <alignment horizontal="center"/>
    </xf>
    <xf numFmtId="2" fontId="0" fillId="0" borderId="46" xfId="0" applyNumberFormat="1" applyBorder="1" applyAlignment="1">
      <alignment horizontal="center"/>
    </xf>
    <xf numFmtId="2" fontId="0" fillId="0" borderId="5" xfId="0" applyNumberFormat="1" applyBorder="1"/>
    <xf numFmtId="0" fontId="1" fillId="0" borderId="0" xfId="0" applyFont="1" applyAlignment="1">
      <alignment horizontal="center"/>
    </xf>
    <xf numFmtId="0" fontId="0" fillId="0" borderId="5" xfId="0" applyBorder="1" applyAlignment="1">
      <alignment horizontal="center"/>
    </xf>
    <xf numFmtId="0" fontId="1" fillId="11" borderId="0" xfId="0" applyFont="1" applyFill="1"/>
    <xf numFmtId="0" fontId="0" fillId="8" borderId="0" xfId="0" applyFill="1"/>
    <xf numFmtId="0" fontId="0" fillId="6" borderId="0" xfId="0" applyFill="1"/>
    <xf numFmtId="0" fontId="0" fillId="7" borderId="0" xfId="0" applyFill="1"/>
    <xf numFmtId="2" fontId="1" fillId="11" borderId="0" xfId="0" applyNumberFormat="1" applyFont="1" applyFill="1"/>
    <xf numFmtId="2" fontId="0" fillId="11" borderId="0" xfId="0" applyNumberFormat="1" applyFill="1"/>
    <xf numFmtId="1" fontId="0" fillId="10" borderId="0" xfId="0" applyNumberFormat="1" applyFill="1"/>
    <xf numFmtId="0" fontId="0" fillId="9" borderId="0" xfId="0" applyFill="1"/>
    <xf numFmtId="2" fontId="0" fillId="5" borderId="0" xfId="0" applyNumberFormat="1" applyFill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0" fillId="0" borderId="47" xfId="0" applyNumberFormat="1" applyBorder="1" applyAlignment="1">
      <alignment horizontal="center"/>
    </xf>
    <xf numFmtId="2" fontId="0" fillId="0" borderId="8" xfId="0" applyNumberFormat="1" applyBorder="1"/>
    <xf numFmtId="0" fontId="0" fillId="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2" fontId="1" fillId="11" borderId="0" xfId="0" applyNumberFormat="1" applyFont="1" applyFill="1" applyAlignment="1">
      <alignment horizontal="center"/>
    </xf>
    <xf numFmtId="2" fontId="0" fillId="11" borderId="0" xfId="0" applyNumberFormat="1" applyFill="1" applyAlignment="1">
      <alignment horizontal="center"/>
    </xf>
    <xf numFmtId="1" fontId="0" fillId="10" borderId="0" xfId="0" applyNumberFormat="1" applyFill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7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1" fontId="0" fillId="9" borderId="0" xfId="0" applyNumberFormat="1" applyFill="1" applyAlignment="1">
      <alignment horizontal="center"/>
    </xf>
    <xf numFmtId="2" fontId="0" fillId="9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1" fontId="0" fillId="6" borderId="0" xfId="0" applyNumberFormat="1" applyFill="1" applyAlignment="1">
      <alignment horizontal="center"/>
    </xf>
    <xf numFmtId="165" fontId="0" fillId="7" borderId="0" xfId="0" applyNumberFormat="1" applyFill="1" applyAlignment="1">
      <alignment horizontal="center"/>
    </xf>
    <xf numFmtId="2" fontId="0" fillId="5" borderId="0" xfId="0" applyNumberFormat="1" applyFill="1" applyAlignment="1">
      <alignment horizontal="center"/>
    </xf>
    <xf numFmtId="165" fontId="0" fillId="6" borderId="0" xfId="0" applyNumberFormat="1" applyFill="1" applyAlignment="1">
      <alignment horizontal="center"/>
    </xf>
    <xf numFmtId="0" fontId="0" fillId="0" borderId="61" xfId="0" applyBorder="1" applyProtection="1">
      <protection locked="0"/>
    </xf>
    <xf numFmtId="2" fontId="0" fillId="5" borderId="18" xfId="0" applyNumberFormat="1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2" fontId="33" fillId="20" borderId="26" xfId="0" applyNumberFormat="1" applyFont="1" applyFill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2" fontId="0" fillId="0" borderId="88" xfId="0" applyNumberFormat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7" xfId="0" applyBorder="1" applyAlignment="1" applyProtection="1">
      <alignment horizontal="center"/>
      <protection locked="0"/>
    </xf>
    <xf numFmtId="0" fontId="0" fillId="0" borderId="27" xfId="0" applyBorder="1" applyAlignment="1" applyProtection="1">
      <alignment horizontal="center"/>
      <protection locked="0" hidden="1"/>
    </xf>
    <xf numFmtId="0" fontId="1" fillId="5" borderId="127" xfId="0" applyFont="1" applyFill="1" applyBorder="1" applyAlignment="1" applyProtection="1">
      <alignment horizontal="center"/>
      <protection locked="0"/>
    </xf>
    <xf numFmtId="0" fontId="1" fillId="0" borderId="0" xfId="0" applyFont="1" applyProtection="1">
      <protection locked="0" hidden="1"/>
    </xf>
    <xf numFmtId="0" fontId="25" fillId="36" borderId="10" xfId="0" applyFont="1" applyFill="1" applyBorder="1" applyAlignment="1" applyProtection="1">
      <alignment horizontal="center"/>
      <protection locked="0" hidden="1"/>
    </xf>
    <xf numFmtId="0" fontId="25" fillId="25" borderId="10" xfId="0" applyFont="1" applyFill="1" applyBorder="1" applyAlignment="1" applyProtection="1">
      <alignment horizontal="center"/>
      <protection locked="0" hidden="1"/>
    </xf>
    <xf numFmtId="0" fontId="26" fillId="39" borderId="10" xfId="0" applyFont="1" applyFill="1" applyBorder="1" applyAlignment="1" applyProtection="1">
      <alignment horizontal="center"/>
      <protection locked="0"/>
    </xf>
    <xf numFmtId="0" fontId="25" fillId="39" borderId="36" xfId="0" applyFont="1" applyFill="1" applyBorder="1" applyProtection="1">
      <protection hidden="1"/>
    </xf>
    <xf numFmtId="2" fontId="26" fillId="39" borderId="38" xfId="0" applyNumberFormat="1" applyFont="1" applyFill="1" applyBorder="1" applyAlignment="1" applyProtection="1">
      <alignment horizontal="center"/>
      <protection hidden="1"/>
    </xf>
    <xf numFmtId="0" fontId="25" fillId="39" borderId="5" xfId="0" applyFont="1" applyFill="1" applyBorder="1" applyProtection="1">
      <protection hidden="1"/>
    </xf>
    <xf numFmtId="0" fontId="25" fillId="39" borderId="7" xfId="0" applyFont="1" applyFill="1" applyBorder="1" applyProtection="1">
      <protection hidden="1"/>
    </xf>
    <xf numFmtId="0" fontId="25" fillId="39" borderId="8" xfId="0" applyFont="1" applyFill="1" applyBorder="1" applyProtection="1">
      <protection hidden="1"/>
    </xf>
    <xf numFmtId="0" fontId="25" fillId="39" borderId="48" xfId="0" applyFont="1" applyFill="1" applyBorder="1" applyProtection="1">
      <protection hidden="1"/>
    </xf>
    <xf numFmtId="0" fontId="21" fillId="22" borderId="49" xfId="0" applyFont="1" applyFill="1" applyBorder="1" applyProtection="1">
      <protection hidden="1"/>
    </xf>
    <xf numFmtId="0" fontId="25" fillId="22" borderId="8" xfId="0" applyFont="1" applyFill="1" applyBorder="1" applyProtection="1">
      <protection hidden="1"/>
    </xf>
    <xf numFmtId="176" fontId="26" fillId="38" borderId="50" xfId="0" applyNumberFormat="1" applyFont="1" applyFill="1" applyBorder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center"/>
      <protection locked="0"/>
    </xf>
    <xf numFmtId="0" fontId="1" fillId="5" borderId="18" xfId="0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6" borderId="0" xfId="0" applyFill="1" applyProtection="1">
      <protection locked="0"/>
    </xf>
    <xf numFmtId="0" fontId="1" fillId="30" borderId="0" xfId="0" applyFont="1" applyFill="1" applyAlignment="1" applyProtection="1">
      <alignment horizontal="left"/>
      <protection hidden="1"/>
    </xf>
    <xf numFmtId="0" fontId="1" fillId="4" borderId="0" xfId="0" applyFont="1" applyFill="1" applyAlignment="1" applyProtection="1">
      <alignment horizontal="left"/>
      <protection hidden="1"/>
    </xf>
    <xf numFmtId="0" fontId="1" fillId="0" borderId="0" xfId="0" applyFont="1" applyAlignment="1" applyProtection="1">
      <alignment horizontal="left"/>
      <protection hidden="1"/>
    </xf>
    <xf numFmtId="2" fontId="1" fillId="0" borderId="0" xfId="0" applyNumberFormat="1" applyFont="1" applyAlignment="1" applyProtection="1">
      <alignment horizontal="left"/>
      <protection hidden="1"/>
    </xf>
    <xf numFmtId="0" fontId="1" fillId="0" borderId="0" xfId="0" quotePrefix="1" applyFont="1" applyAlignment="1" applyProtection="1">
      <alignment horizontal="left"/>
      <protection hidden="1"/>
    </xf>
    <xf numFmtId="0" fontId="1" fillId="34" borderId="0" xfId="0" applyFont="1" applyFill="1" applyAlignment="1" applyProtection="1">
      <alignment horizontal="center"/>
      <protection hidden="1"/>
    </xf>
    <xf numFmtId="0" fontId="1" fillId="0" borderId="0" xfId="0" applyFont="1" applyAlignment="1" applyProtection="1">
      <alignment horizontal="left"/>
      <protection locked="0" hidden="1"/>
    </xf>
    <xf numFmtId="0" fontId="1" fillId="35" borderId="10" xfId="0" applyFont="1" applyFill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4" fillId="32" borderId="64" xfId="0" applyFont="1" applyFill="1" applyBorder="1" applyAlignment="1" applyProtection="1">
      <alignment horizontal="right"/>
      <protection hidden="1"/>
    </xf>
    <xf numFmtId="0" fontId="4" fillId="32" borderId="205" xfId="0" applyFont="1" applyFill="1" applyBorder="1" applyAlignment="1" applyProtection="1">
      <alignment horizontal="right"/>
      <protection hidden="1"/>
    </xf>
    <xf numFmtId="0" fontId="8" fillId="20" borderId="0" xfId="0" applyFont="1" applyFill="1" applyAlignment="1" applyProtection="1">
      <alignment horizontal="right" vertical="center" wrapText="1"/>
      <protection hidden="1"/>
    </xf>
    <xf numFmtId="0" fontId="10" fillId="41" borderId="229" xfId="0" applyFont="1" applyFill="1" applyBorder="1" applyAlignment="1" applyProtection="1">
      <alignment horizontal="center" vertical="center" wrapText="1"/>
      <protection hidden="1"/>
    </xf>
    <xf numFmtId="2" fontId="10" fillId="41" borderId="230" xfId="0" applyNumberFormat="1" applyFont="1" applyFill="1" applyBorder="1" applyAlignment="1" applyProtection="1">
      <alignment horizontal="center" vertical="center" wrapText="1"/>
      <protection hidden="1"/>
    </xf>
    <xf numFmtId="0" fontId="10" fillId="41" borderId="231" xfId="0" applyFont="1" applyFill="1" applyBorder="1" applyAlignment="1" applyProtection="1">
      <alignment horizontal="center" vertical="center" wrapText="1"/>
      <protection hidden="1"/>
    </xf>
    <xf numFmtId="0" fontId="0" fillId="43" borderId="8" xfId="0" applyFill="1" applyBorder="1" applyProtection="1">
      <protection hidden="1"/>
    </xf>
    <xf numFmtId="0" fontId="0" fillId="43" borderId="0" xfId="0" applyFill="1" applyProtection="1">
      <protection hidden="1"/>
    </xf>
    <xf numFmtId="0" fontId="21" fillId="43" borderId="0" xfId="0" applyFont="1" applyFill="1" applyAlignment="1" applyProtection="1">
      <alignment horizontal="right"/>
      <protection hidden="1"/>
    </xf>
    <xf numFmtId="0" fontId="21" fillId="43" borderId="0" xfId="0" applyFont="1" applyFill="1" applyProtection="1">
      <protection hidden="1"/>
    </xf>
    <xf numFmtId="0" fontId="0" fillId="43" borderId="48" xfId="0" applyFill="1" applyBorder="1" applyProtection="1">
      <protection hidden="1"/>
    </xf>
    <xf numFmtId="0" fontId="0" fillId="43" borderId="49" xfId="0" applyFill="1" applyBorder="1" applyProtection="1">
      <protection hidden="1"/>
    </xf>
    <xf numFmtId="0" fontId="21" fillId="43" borderId="49" xfId="0" applyFont="1" applyFill="1" applyBorder="1" applyProtection="1">
      <protection hidden="1"/>
    </xf>
    <xf numFmtId="0" fontId="26" fillId="43" borderId="0" xfId="0" applyFont="1" applyFill="1" applyAlignment="1" applyProtection="1">
      <alignment horizontal="center"/>
      <protection hidden="1"/>
    </xf>
    <xf numFmtId="0" fontId="25" fillId="43" borderId="0" xfId="0" applyFont="1" applyFill="1" applyProtection="1">
      <protection hidden="1"/>
    </xf>
    <xf numFmtId="0" fontId="26" fillId="43" borderId="0" xfId="0" applyFont="1" applyFill="1" applyProtection="1">
      <protection hidden="1"/>
    </xf>
    <xf numFmtId="0" fontId="27" fillId="43" borderId="0" xfId="0" applyFont="1" applyFill="1" applyProtection="1">
      <protection hidden="1"/>
    </xf>
    <xf numFmtId="1" fontId="26" fillId="43" borderId="0" xfId="0" applyNumberFormat="1" applyFont="1" applyFill="1" applyAlignment="1" applyProtection="1">
      <alignment horizontal="center"/>
      <protection hidden="1"/>
    </xf>
    <xf numFmtId="0" fontId="26" fillId="43" borderId="0" xfId="0" applyFont="1" applyFill="1" applyAlignment="1" applyProtection="1">
      <alignment horizontal="right"/>
      <protection hidden="1"/>
    </xf>
    <xf numFmtId="0" fontId="26" fillId="32" borderId="232" xfId="0" applyFont="1" applyFill="1" applyBorder="1" applyAlignment="1" applyProtection="1">
      <alignment horizontal="center"/>
      <protection locked="0"/>
    </xf>
    <xf numFmtId="0" fontId="26" fillId="42" borderId="232" xfId="0" applyFont="1" applyFill="1" applyBorder="1" applyAlignment="1" applyProtection="1">
      <alignment horizontal="center"/>
      <protection locked="0"/>
    </xf>
    <xf numFmtId="0" fontId="7" fillId="23" borderId="48" xfId="0" applyFont="1" applyFill="1" applyBorder="1" applyProtection="1">
      <protection hidden="1"/>
    </xf>
    <xf numFmtId="0" fontId="7" fillId="23" borderId="49" xfId="0" applyFont="1" applyFill="1" applyBorder="1" applyProtection="1">
      <protection hidden="1"/>
    </xf>
    <xf numFmtId="0" fontId="4" fillId="32" borderId="232" xfId="0" applyFont="1" applyFill="1" applyBorder="1" applyAlignment="1" applyProtection="1">
      <alignment horizontal="right"/>
      <protection hidden="1"/>
    </xf>
    <xf numFmtId="0" fontId="25" fillId="22" borderId="0" xfId="0" applyFont="1" applyFill="1" applyAlignment="1" applyProtection="1">
      <alignment horizontal="right"/>
      <protection hidden="1"/>
    </xf>
    <xf numFmtId="0" fontId="25" fillId="22" borderId="0" xfId="0" applyFont="1" applyFill="1" applyProtection="1">
      <protection hidden="1"/>
    </xf>
    <xf numFmtId="0" fontId="26" fillId="21" borderId="232" xfId="0" applyFont="1" applyFill="1" applyBorder="1" applyAlignment="1" applyProtection="1">
      <alignment horizontal="center"/>
      <protection locked="0"/>
    </xf>
    <xf numFmtId="0" fontId="26" fillId="27" borderId="232" xfId="0" applyFont="1" applyFill="1" applyBorder="1" applyAlignment="1" applyProtection="1">
      <alignment horizontal="center"/>
      <protection locked="0"/>
    </xf>
    <xf numFmtId="1" fontId="26" fillId="27" borderId="232" xfId="0" applyNumberFormat="1" applyFont="1" applyFill="1" applyBorder="1" applyAlignment="1" applyProtection="1">
      <alignment horizontal="center"/>
      <protection locked="0"/>
    </xf>
    <xf numFmtId="1" fontId="26" fillId="21" borderId="232" xfId="0" applyNumberFormat="1" applyFont="1" applyFill="1" applyBorder="1" applyAlignment="1" applyProtection="1">
      <alignment horizontal="center"/>
      <protection locked="0"/>
    </xf>
    <xf numFmtId="0" fontId="25" fillId="44" borderId="8" xfId="0" applyFont="1" applyFill="1" applyBorder="1" applyProtection="1">
      <protection hidden="1"/>
    </xf>
    <xf numFmtId="0" fontId="25" fillId="44" borderId="9" xfId="0" applyFont="1" applyFill="1" applyBorder="1" applyProtection="1">
      <protection hidden="1"/>
    </xf>
    <xf numFmtId="0" fontId="25" fillId="44" borderId="48" xfId="0" applyFont="1" applyFill="1" applyBorder="1" applyProtection="1">
      <protection hidden="1"/>
    </xf>
    <xf numFmtId="0" fontId="25" fillId="44" borderId="49" xfId="0" applyFont="1" applyFill="1" applyBorder="1" applyProtection="1">
      <protection hidden="1"/>
    </xf>
    <xf numFmtId="0" fontId="26" fillId="44" borderId="49" xfId="0" applyFont="1" applyFill="1" applyBorder="1" applyAlignment="1" applyProtection="1">
      <alignment horizontal="right"/>
      <protection hidden="1"/>
    </xf>
    <xf numFmtId="0" fontId="25" fillId="44" borderId="50" xfId="0" applyFont="1" applyFill="1" applyBorder="1" applyProtection="1">
      <protection hidden="1"/>
    </xf>
    <xf numFmtId="2" fontId="26" fillId="32" borderId="41" xfId="0" applyNumberFormat="1" applyFont="1" applyFill="1" applyBorder="1" applyAlignment="1" applyProtection="1">
      <alignment horizontal="center"/>
      <protection locked="0"/>
    </xf>
    <xf numFmtId="2" fontId="26" fillId="42" borderId="10" xfId="0" applyNumberFormat="1" applyFont="1" applyFill="1" applyBorder="1" applyAlignment="1" applyProtection="1">
      <alignment horizontal="center"/>
      <protection locked="0"/>
    </xf>
    <xf numFmtId="2" fontId="26" fillId="32" borderId="10" xfId="0" applyNumberFormat="1" applyFont="1" applyFill="1" applyBorder="1" applyAlignment="1" applyProtection="1">
      <alignment horizontal="center"/>
      <protection locked="0"/>
    </xf>
    <xf numFmtId="2" fontId="26" fillId="32" borderId="39" xfId="0" applyNumberFormat="1" applyFont="1" applyFill="1" applyBorder="1" applyAlignment="1" applyProtection="1">
      <alignment horizontal="center"/>
      <protection locked="0"/>
    </xf>
    <xf numFmtId="0" fontId="25" fillId="44" borderId="0" xfId="0" applyFont="1" applyFill="1" applyProtection="1">
      <protection hidden="1"/>
    </xf>
    <xf numFmtId="0" fontId="26" fillId="44" borderId="0" xfId="0" applyFont="1" applyFill="1" applyAlignment="1" applyProtection="1">
      <alignment horizontal="right"/>
      <protection hidden="1"/>
    </xf>
    <xf numFmtId="0" fontId="25" fillId="22" borderId="36" xfId="0" applyFont="1" applyFill="1" applyBorder="1" applyProtection="1">
      <protection hidden="1"/>
    </xf>
    <xf numFmtId="0" fontId="25" fillId="22" borderId="37" xfId="0" applyFont="1" applyFill="1" applyBorder="1" applyProtection="1">
      <protection hidden="1"/>
    </xf>
    <xf numFmtId="0" fontId="25" fillId="22" borderId="37" xfId="0" applyFont="1" applyFill="1" applyBorder="1" applyAlignment="1" applyProtection="1">
      <alignment horizontal="right"/>
      <protection hidden="1"/>
    </xf>
    <xf numFmtId="0" fontId="26" fillId="21" borderId="234" xfId="0" applyFont="1" applyFill="1" applyBorder="1" applyAlignment="1" applyProtection="1">
      <alignment horizontal="center"/>
      <protection locked="0"/>
    </xf>
    <xf numFmtId="0" fontId="25" fillId="22" borderId="38" xfId="0" applyFont="1" applyFill="1" applyBorder="1" applyProtection="1">
      <protection hidden="1"/>
    </xf>
    <xf numFmtId="0" fontId="25" fillId="22" borderId="9" xfId="0" applyFont="1" applyFill="1" applyBorder="1" applyProtection="1">
      <protection hidden="1"/>
    </xf>
    <xf numFmtId="0" fontId="21" fillId="22" borderId="8" xfId="0" applyFont="1" applyFill="1" applyBorder="1" applyProtection="1">
      <protection hidden="1"/>
    </xf>
    <xf numFmtId="0" fontId="21" fillId="22" borderId="0" xfId="0" applyFont="1" applyFill="1" applyProtection="1">
      <protection hidden="1"/>
    </xf>
    <xf numFmtId="0" fontId="21" fillId="22" borderId="9" xfId="0" applyFont="1" applyFill="1" applyBorder="1" applyProtection="1">
      <protection hidden="1"/>
    </xf>
    <xf numFmtId="0" fontId="21" fillId="22" borderId="48" xfId="0" applyFont="1" applyFill="1" applyBorder="1" applyProtection="1">
      <protection hidden="1"/>
    </xf>
    <xf numFmtId="0" fontId="21" fillId="22" borderId="50" xfId="0" applyFont="1" applyFill="1" applyBorder="1" applyProtection="1">
      <protection hidden="1"/>
    </xf>
    <xf numFmtId="0" fontId="26" fillId="42" borderId="235" xfId="0" applyFont="1" applyFill="1" applyBorder="1" applyAlignment="1" applyProtection="1">
      <alignment horizontal="center"/>
      <protection locked="0"/>
    </xf>
    <xf numFmtId="0" fontId="25" fillId="43" borderId="235" xfId="0" applyFont="1" applyFill="1" applyBorder="1" applyAlignment="1" applyProtection="1">
      <alignment horizontal="center"/>
      <protection hidden="1"/>
    </xf>
    <xf numFmtId="0" fontId="26" fillId="32" borderId="235" xfId="0" applyFont="1" applyFill="1" applyBorder="1" applyAlignment="1" applyProtection="1">
      <alignment horizontal="center"/>
      <protection locked="0"/>
    </xf>
    <xf numFmtId="0" fontId="4" fillId="45" borderId="36" xfId="0" applyFont="1" applyFill="1" applyBorder="1" applyProtection="1">
      <protection hidden="1"/>
    </xf>
    <xf numFmtId="0" fontId="25" fillId="45" borderId="38" xfId="0" applyFont="1" applyFill="1" applyBorder="1" applyProtection="1">
      <protection hidden="1"/>
    </xf>
    <xf numFmtId="0" fontId="4" fillId="45" borderId="8" xfId="0" applyFont="1" applyFill="1" applyBorder="1" applyProtection="1">
      <protection hidden="1"/>
    </xf>
    <xf numFmtId="0" fontId="25" fillId="45" borderId="9" xfId="0" applyFont="1" applyFill="1" applyBorder="1" applyProtection="1">
      <protection hidden="1"/>
    </xf>
    <xf numFmtId="0" fontId="26" fillId="46" borderId="236" xfId="0" applyFont="1" applyFill="1" applyBorder="1" applyAlignment="1" applyProtection="1">
      <alignment horizontal="center"/>
      <protection locked="0" hidden="1"/>
    </xf>
    <xf numFmtId="0" fontId="26" fillId="45" borderId="48" xfId="0" applyFont="1" applyFill="1" applyBorder="1" applyAlignment="1" applyProtection="1">
      <alignment horizontal="center"/>
      <protection hidden="1"/>
    </xf>
    <xf numFmtId="0" fontId="25" fillId="45" borderId="50" xfId="0" applyFont="1" applyFill="1" applyBorder="1" applyAlignment="1" applyProtection="1">
      <alignment horizontal="left"/>
      <protection hidden="1"/>
    </xf>
    <xf numFmtId="0" fontId="50" fillId="32" borderId="233" xfId="0" applyFont="1" applyFill="1" applyBorder="1" applyAlignment="1" applyProtection="1">
      <alignment horizontal="right"/>
      <protection hidden="1"/>
    </xf>
    <xf numFmtId="0" fontId="52" fillId="32" borderId="237" xfId="0" applyFont="1" applyFill="1" applyBorder="1" applyAlignment="1" applyProtection="1">
      <alignment horizontal="right" wrapText="1"/>
      <protection hidden="1"/>
    </xf>
    <xf numFmtId="0" fontId="52" fillId="32" borderId="238" xfId="0" applyFont="1" applyFill="1" applyBorder="1" applyAlignment="1" applyProtection="1">
      <alignment horizontal="right" vertical="top" wrapText="1"/>
      <protection hidden="1"/>
    </xf>
    <xf numFmtId="0" fontId="53" fillId="32" borderId="238" xfId="0" applyFont="1" applyFill="1" applyBorder="1" applyAlignment="1" applyProtection="1">
      <alignment horizontal="right" vertical="center" wrapText="1"/>
      <protection hidden="1"/>
    </xf>
    <xf numFmtId="0" fontId="52" fillId="32" borderId="239" xfId="0" applyFont="1" applyFill="1" applyBorder="1" applyAlignment="1" applyProtection="1">
      <alignment horizontal="right" vertical="center" wrapText="1"/>
      <protection hidden="1"/>
    </xf>
    <xf numFmtId="14" fontId="4" fillId="42" borderId="243" xfId="0" applyNumberFormat="1" applyFont="1" applyFill="1" applyBorder="1" applyAlignment="1" applyProtection="1">
      <alignment horizontal="center"/>
      <protection locked="0"/>
    </xf>
    <xf numFmtId="0" fontId="39" fillId="32" borderId="244" xfId="0" applyFont="1" applyFill="1" applyBorder="1" applyProtection="1">
      <protection hidden="1"/>
    </xf>
    <xf numFmtId="0" fontId="0" fillId="31" borderId="245" xfId="0" applyFill="1" applyBorder="1" applyAlignment="1" applyProtection="1">
      <alignment horizontal="right" vertical="center"/>
      <protection hidden="1"/>
    </xf>
    <xf numFmtId="0" fontId="38" fillId="31" borderId="249" xfId="0" applyFont="1" applyFill="1" applyBorder="1" applyAlignment="1" applyProtection="1">
      <alignment vertical="center"/>
      <protection hidden="1"/>
    </xf>
    <xf numFmtId="0" fontId="1" fillId="31" borderId="0" xfId="0" applyFont="1" applyFill="1" applyAlignment="1" applyProtection="1">
      <alignment horizontal="right" vertical="center"/>
      <protection hidden="1"/>
    </xf>
    <xf numFmtId="0" fontId="38" fillId="32" borderId="249" xfId="0" applyFont="1" applyFill="1" applyBorder="1" applyAlignment="1" applyProtection="1">
      <alignment vertical="center"/>
      <protection locked="0"/>
    </xf>
    <xf numFmtId="0" fontId="0" fillId="31" borderId="0" xfId="0" applyFill="1" applyAlignment="1" applyProtection="1">
      <alignment horizontal="right" vertical="center"/>
      <protection hidden="1"/>
    </xf>
    <xf numFmtId="1" fontId="38" fillId="32" borderId="249" xfId="0" applyNumberFormat="1" applyFont="1" applyFill="1" applyBorder="1" applyAlignment="1" applyProtection="1">
      <alignment vertical="center"/>
      <protection locked="0"/>
    </xf>
    <xf numFmtId="0" fontId="0" fillId="31" borderId="0" xfId="0" applyFill="1" applyAlignment="1" applyProtection="1">
      <alignment vertical="center"/>
      <protection hidden="1"/>
    </xf>
    <xf numFmtId="0" fontId="0" fillId="31" borderId="70" xfId="0" applyFill="1" applyBorder="1" applyProtection="1">
      <protection hidden="1"/>
    </xf>
    <xf numFmtId="0" fontId="38" fillId="31" borderId="216" xfId="0" applyFont="1" applyFill="1" applyBorder="1" applyAlignment="1" applyProtection="1">
      <alignment horizontal="left"/>
      <protection hidden="1"/>
    </xf>
    <xf numFmtId="0" fontId="1" fillId="31" borderId="211" xfId="0" applyFont="1" applyFill="1" applyBorder="1" applyAlignment="1" applyProtection="1">
      <alignment horizontal="right"/>
      <protection hidden="1"/>
    </xf>
    <xf numFmtId="0" fontId="0" fillId="31" borderId="211" xfId="0" applyFill="1" applyBorder="1" applyAlignment="1" applyProtection="1">
      <alignment vertical="center"/>
      <protection hidden="1"/>
    </xf>
    <xf numFmtId="0" fontId="0" fillId="31" borderId="217" xfId="0" applyFill="1" applyBorder="1" applyProtection="1">
      <protection hidden="1"/>
    </xf>
    <xf numFmtId="0" fontId="39" fillId="32" borderId="251" xfId="0" applyFont="1" applyFill="1" applyBorder="1" applyProtection="1">
      <protection hidden="1"/>
    </xf>
    <xf numFmtId="0" fontId="29" fillId="31" borderId="70" xfId="0" applyFont="1" applyFill="1" applyBorder="1" applyProtection="1">
      <protection locked="0"/>
    </xf>
    <xf numFmtId="0" fontId="60" fillId="32" borderId="70" xfId="0" applyFont="1" applyFill="1" applyBorder="1" applyProtection="1">
      <protection locked="0"/>
    </xf>
    <xf numFmtId="0" fontId="55" fillId="41" borderId="227" xfId="0" applyFont="1" applyFill="1" applyBorder="1" applyAlignment="1" applyProtection="1">
      <alignment vertical="center" wrapText="1"/>
      <protection hidden="1"/>
    </xf>
    <xf numFmtId="0" fontId="55" fillId="41" borderId="0" xfId="0" applyFont="1" applyFill="1" applyAlignment="1" applyProtection="1">
      <alignment vertical="center" wrapText="1"/>
      <protection hidden="1"/>
    </xf>
    <xf numFmtId="0" fontId="55" fillId="41" borderId="228" xfId="0" applyFont="1" applyFill="1" applyBorder="1" applyAlignment="1" applyProtection="1">
      <alignment vertical="center" wrapText="1"/>
      <protection hidden="1"/>
    </xf>
    <xf numFmtId="0" fontId="47" fillId="40" borderId="227" xfId="0" applyFont="1" applyFill="1" applyBorder="1" applyAlignment="1" applyProtection="1">
      <alignment horizontal="center" vertical="center" wrapText="1"/>
      <protection hidden="1"/>
    </xf>
    <xf numFmtId="0" fontId="47" fillId="40" borderId="0" xfId="0" applyFont="1" applyFill="1" applyAlignment="1" applyProtection="1">
      <alignment horizontal="center" vertical="center" wrapText="1"/>
      <protection hidden="1"/>
    </xf>
    <xf numFmtId="0" fontId="47" fillId="40" borderId="228" xfId="0" applyFont="1" applyFill="1" applyBorder="1" applyAlignment="1" applyProtection="1">
      <alignment horizontal="center" vertical="center" wrapText="1"/>
      <protection hidden="1"/>
    </xf>
    <xf numFmtId="0" fontId="4" fillId="28" borderId="9" xfId="0" applyFont="1" applyFill="1" applyBorder="1"/>
    <xf numFmtId="0" fontId="4" fillId="28" borderId="9" xfId="0" applyFont="1" applyFill="1" applyBorder="1" applyAlignment="1">
      <alignment horizontal="center"/>
    </xf>
    <xf numFmtId="0" fontId="1" fillId="0" borderId="0" xfId="0" applyFont="1" applyAlignment="1" applyProtection="1">
      <alignment horizontal="right"/>
      <protection hidden="1"/>
    </xf>
    <xf numFmtId="14" fontId="0" fillId="0" borderId="0" xfId="0" applyNumberFormat="1"/>
    <xf numFmtId="0" fontId="1" fillId="0" borderId="0" xfId="0" applyFont="1" applyAlignment="1" applyProtection="1">
      <alignment horizontal="center"/>
      <protection locked="0" hidden="1"/>
    </xf>
    <xf numFmtId="0" fontId="0" fillId="0" borderId="161" xfId="0" applyBorder="1" applyAlignment="1" applyProtection="1">
      <alignment horizontal="center"/>
      <protection hidden="1"/>
    </xf>
    <xf numFmtId="0" fontId="0" fillId="0" borderId="224" xfId="0" applyBorder="1" applyAlignment="1" applyProtection="1">
      <alignment horizontal="center"/>
      <protection hidden="1"/>
    </xf>
    <xf numFmtId="1" fontId="1" fillId="6" borderId="18" xfId="0" applyNumberFormat="1" applyFont="1" applyFill="1" applyBorder="1" applyAlignment="1">
      <alignment horizontal="center"/>
    </xf>
    <xf numFmtId="0" fontId="0" fillId="0" borderId="252" xfId="0" applyBorder="1"/>
    <xf numFmtId="0" fontId="0" fillId="0" borderId="253" xfId="0" applyBorder="1"/>
    <xf numFmtId="0" fontId="0" fillId="0" borderId="202" xfId="0" applyBorder="1"/>
    <xf numFmtId="1" fontId="1" fillId="0" borderId="121" xfId="0" applyNumberFormat="1" applyFont="1" applyBorder="1" applyAlignment="1" applyProtection="1">
      <alignment horizontal="center"/>
      <protection locked="0"/>
    </xf>
    <xf numFmtId="0" fontId="1" fillId="0" borderId="134" xfId="0" applyFont="1" applyBorder="1" applyAlignment="1" applyProtection="1">
      <alignment horizontal="center"/>
      <protection locked="0"/>
    </xf>
    <xf numFmtId="1" fontId="1" fillId="0" borderId="10" xfId="0" applyNumberFormat="1" applyFont="1" applyBorder="1" applyAlignment="1" applyProtection="1">
      <alignment horizontal="center"/>
      <protection locked="0"/>
    </xf>
    <xf numFmtId="2" fontId="1" fillId="0" borderId="18" xfId="0" applyNumberFormat="1" applyFont="1" applyBorder="1" applyAlignment="1" applyProtection="1">
      <alignment horizontal="center"/>
      <protection hidden="1"/>
    </xf>
    <xf numFmtId="0" fontId="1" fillId="0" borderId="18" xfId="0" applyFont="1" applyBorder="1" applyAlignment="1" applyProtection="1">
      <alignment horizontal="center"/>
      <protection locked="0"/>
    </xf>
    <xf numFmtId="0" fontId="1" fillId="0" borderId="17" xfId="0" applyFont="1" applyBorder="1" applyAlignment="1">
      <alignment horizontal="center"/>
    </xf>
    <xf numFmtId="2" fontId="1" fillId="0" borderId="18" xfId="0" applyNumberFormat="1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2" fontId="1" fillId="0" borderId="0" xfId="0" applyNumberFormat="1" applyFont="1" applyAlignment="1" applyProtection="1">
      <alignment horizontal="center"/>
      <protection hidden="1"/>
    </xf>
    <xf numFmtId="1" fontId="1" fillId="0" borderId="87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 applyAlignment="1" applyProtection="1">
      <alignment horizontal="center"/>
      <protection locked="0"/>
    </xf>
    <xf numFmtId="2" fontId="1" fillId="0" borderId="0" xfId="0" applyNumberFormat="1" applyFont="1" applyAlignment="1" applyProtection="1">
      <alignment horizontal="center"/>
      <protection locked="0"/>
    </xf>
    <xf numFmtId="0" fontId="33" fillId="31" borderId="39" xfId="0" applyFont="1" applyFill="1" applyBorder="1" applyAlignment="1" applyProtection="1">
      <alignment horizontal="center"/>
      <protection hidden="1"/>
    </xf>
    <xf numFmtId="0" fontId="33" fillId="31" borderId="40" xfId="0" applyFont="1" applyFill="1" applyBorder="1" applyAlignment="1" applyProtection="1">
      <alignment horizontal="center"/>
      <protection hidden="1"/>
    </xf>
    <xf numFmtId="0" fontId="47" fillId="18" borderId="10" xfId="0" applyFont="1" applyFill="1" applyBorder="1" applyAlignment="1" applyProtection="1">
      <alignment horizontal="center" vertical="center"/>
      <protection locked="0" hidden="1"/>
    </xf>
    <xf numFmtId="0" fontId="1" fillId="13" borderId="37" xfId="0" applyFont="1" applyFill="1" applyBorder="1" applyProtection="1">
      <protection hidden="1"/>
    </xf>
    <xf numFmtId="49" fontId="4" fillId="36" borderId="232" xfId="0" applyNumberFormat="1" applyFont="1" applyFill="1" applyBorder="1" applyAlignment="1" applyProtection="1">
      <alignment horizontal="center"/>
      <protection locked="0"/>
    </xf>
    <xf numFmtId="49" fontId="4" fillId="42" borderId="233" xfId="0" applyNumberFormat="1" applyFont="1" applyFill="1" applyBorder="1" applyAlignment="1" applyProtection="1">
      <alignment horizontal="center"/>
      <protection locked="0"/>
    </xf>
    <xf numFmtId="49" fontId="4" fillId="36" borderId="34" xfId="0" applyNumberFormat="1" applyFont="1" applyFill="1" applyBorder="1" applyAlignment="1" applyProtection="1">
      <alignment horizontal="center" vertical="center"/>
      <protection locked="0"/>
    </xf>
    <xf numFmtId="49" fontId="26" fillId="42" borderId="232" xfId="0" applyNumberFormat="1" applyFont="1" applyFill="1" applyBorder="1" applyAlignment="1" applyProtection="1">
      <alignment horizontal="center"/>
      <protection locked="0"/>
    </xf>
    <xf numFmtId="49" fontId="26" fillId="32" borderId="232" xfId="0" applyNumberFormat="1" applyFont="1" applyFill="1" applyBorder="1" applyAlignment="1" applyProtection="1">
      <alignment horizontal="center"/>
      <protection locked="0"/>
    </xf>
    <xf numFmtId="49" fontId="26" fillId="39" borderId="77" xfId="0" applyNumberFormat="1" applyFont="1" applyFill="1" applyBorder="1" applyProtection="1">
      <protection locked="0" hidden="1"/>
    </xf>
    <xf numFmtId="49" fontId="3" fillId="35" borderId="34" xfId="0" applyNumberFormat="1" applyFont="1" applyFill="1" applyBorder="1" applyAlignment="1" applyProtection="1">
      <alignment horizontal="center"/>
      <protection locked="0"/>
    </xf>
    <xf numFmtId="0" fontId="1" fillId="0" borderId="254" xfId="0" applyFont="1" applyBorder="1" applyAlignment="1" applyProtection="1">
      <alignment horizontal="center"/>
      <protection locked="0"/>
    </xf>
    <xf numFmtId="0" fontId="1" fillId="0" borderId="255" xfId="0" applyFont="1" applyBorder="1" applyAlignment="1" applyProtection="1">
      <alignment horizontal="center"/>
      <protection hidden="1"/>
    </xf>
    <xf numFmtId="0" fontId="1" fillId="22" borderId="256" xfId="0" applyFont="1" applyFill="1" applyBorder="1" applyAlignment="1" applyProtection="1">
      <alignment horizontal="center"/>
      <protection locked="0"/>
    </xf>
    <xf numFmtId="0" fontId="0" fillId="5" borderId="257" xfId="0" applyFill="1" applyBorder="1" applyAlignment="1" applyProtection="1">
      <alignment horizontal="center"/>
      <protection locked="0"/>
    </xf>
    <xf numFmtId="0" fontId="1" fillId="5" borderId="258" xfId="0" applyFont="1" applyFill="1" applyBorder="1" applyAlignment="1" applyProtection="1">
      <alignment horizontal="center"/>
      <protection locked="0"/>
    </xf>
    <xf numFmtId="0" fontId="0" fillId="5" borderId="259" xfId="0" applyFill="1" applyBorder="1" applyAlignment="1" applyProtection="1">
      <alignment horizontal="center"/>
      <protection locked="0"/>
    </xf>
    <xf numFmtId="0" fontId="0" fillId="22" borderId="260" xfId="0" applyFill="1" applyBorder="1" applyAlignment="1" applyProtection="1">
      <alignment horizontal="center"/>
      <protection locked="0"/>
    </xf>
    <xf numFmtId="2" fontId="0" fillId="22" borderId="261" xfId="0" applyNumberFormat="1" applyFill="1" applyBorder="1" applyAlignment="1" applyProtection="1">
      <alignment horizontal="center"/>
      <protection locked="0"/>
    </xf>
    <xf numFmtId="1" fontId="0" fillId="22" borderId="261" xfId="0" applyNumberFormat="1" applyFill="1" applyBorder="1" applyAlignment="1" applyProtection="1">
      <alignment horizontal="center"/>
      <protection locked="0"/>
    </xf>
    <xf numFmtId="1" fontId="0" fillId="22" borderId="262" xfId="0" applyNumberFormat="1" applyFill="1" applyBorder="1" applyAlignment="1" applyProtection="1">
      <alignment horizontal="center"/>
      <protection locked="0"/>
    </xf>
    <xf numFmtId="0" fontId="0" fillId="7" borderId="263" xfId="0" applyFill="1" applyBorder="1" applyAlignment="1" applyProtection="1">
      <alignment horizontal="center"/>
      <protection locked="0"/>
    </xf>
    <xf numFmtId="2" fontId="0" fillId="7" borderId="264" xfId="0" applyNumberFormat="1" applyFill="1" applyBorder="1" applyAlignment="1" applyProtection="1">
      <alignment horizontal="center"/>
      <protection locked="0"/>
    </xf>
    <xf numFmtId="1" fontId="0" fillId="7" borderId="264" xfId="0" applyNumberFormat="1" applyFill="1" applyBorder="1" applyAlignment="1" applyProtection="1">
      <alignment horizontal="center"/>
      <protection locked="0"/>
    </xf>
    <xf numFmtId="1" fontId="0" fillId="7" borderId="265" xfId="0" applyNumberFormat="1" applyFill="1" applyBorder="1" applyAlignment="1" applyProtection="1">
      <alignment horizontal="center"/>
      <protection locked="0"/>
    </xf>
    <xf numFmtId="2" fontId="0" fillId="5" borderId="257" xfId="0" applyNumberFormat="1" applyFill="1" applyBorder="1" applyAlignment="1" applyProtection="1">
      <alignment horizontal="center"/>
      <protection locked="0"/>
    </xf>
    <xf numFmtId="0" fontId="1" fillId="0" borderId="266" xfId="0" applyFont="1" applyBorder="1" applyAlignment="1" applyProtection="1">
      <alignment horizontal="center"/>
      <protection locked="0"/>
    </xf>
    <xf numFmtId="0" fontId="1" fillId="0" borderId="267" xfId="0" applyFont="1" applyBorder="1" applyAlignment="1" applyProtection="1">
      <alignment horizontal="center"/>
      <protection locked="0"/>
    </xf>
    <xf numFmtId="0" fontId="1" fillId="0" borderId="268" xfId="0" applyFont="1" applyBorder="1" applyAlignment="1" applyProtection="1">
      <alignment horizontal="center"/>
      <protection locked="0"/>
    </xf>
    <xf numFmtId="2" fontId="0" fillId="0" borderId="263" xfId="0" applyNumberFormat="1" applyBorder="1" applyAlignment="1" applyProtection="1">
      <alignment horizontal="center"/>
      <protection locked="0"/>
    </xf>
    <xf numFmtId="2" fontId="0" fillId="0" borderId="269" xfId="0" applyNumberFormat="1" applyBorder="1" applyAlignment="1" applyProtection="1">
      <alignment horizontal="center"/>
      <protection locked="0"/>
    </xf>
    <xf numFmtId="2" fontId="0" fillId="0" borderId="270" xfId="0" applyNumberFormat="1" applyBorder="1" applyAlignment="1" applyProtection="1">
      <alignment horizontal="center"/>
      <protection locked="0"/>
    </xf>
    <xf numFmtId="2" fontId="0" fillId="0" borderId="271" xfId="0" applyNumberFormat="1" applyBorder="1" applyAlignment="1" applyProtection="1">
      <alignment horizontal="center"/>
      <protection locked="0"/>
    </xf>
    <xf numFmtId="2" fontId="0" fillId="0" borderId="272" xfId="0" applyNumberFormat="1" applyBorder="1" applyAlignment="1" applyProtection="1">
      <alignment horizontal="center"/>
      <protection locked="0"/>
    </xf>
    <xf numFmtId="2" fontId="0" fillId="0" borderId="273" xfId="0" applyNumberFormat="1" applyBorder="1" applyAlignment="1" applyProtection="1">
      <alignment horizontal="center"/>
      <protection locked="0"/>
    </xf>
    <xf numFmtId="2" fontId="0" fillId="0" borderId="274" xfId="0" applyNumberFormat="1" applyBorder="1" applyAlignment="1" applyProtection="1">
      <alignment horizontal="center"/>
      <protection locked="0"/>
    </xf>
    <xf numFmtId="2" fontId="0" fillId="0" borderId="275" xfId="0" applyNumberFormat="1" applyBorder="1" applyAlignment="1" applyProtection="1">
      <alignment horizontal="center"/>
      <protection locked="0"/>
    </xf>
    <xf numFmtId="2" fontId="0" fillId="0" borderId="276" xfId="0" applyNumberFormat="1" applyBorder="1" applyAlignment="1" applyProtection="1">
      <alignment horizontal="center"/>
      <protection locked="0"/>
    </xf>
    <xf numFmtId="0" fontId="0" fillId="0" borderId="277" xfId="0" applyBorder="1" applyAlignment="1" applyProtection="1">
      <alignment horizontal="center"/>
      <protection locked="0"/>
    </xf>
    <xf numFmtId="2" fontId="0" fillId="0" borderId="264" xfId="0" applyNumberFormat="1" applyBorder="1" applyAlignment="1" applyProtection="1">
      <alignment horizontal="center"/>
      <protection locked="0"/>
    </xf>
    <xf numFmtId="0" fontId="0" fillId="0" borderId="265" xfId="0" applyBorder="1" applyAlignment="1" applyProtection="1">
      <alignment horizontal="center"/>
      <protection locked="0"/>
    </xf>
    <xf numFmtId="0" fontId="1" fillId="0" borderId="131" xfId="0" applyFont="1" applyBorder="1" applyAlignment="1" applyProtection="1">
      <alignment horizontal="center"/>
      <protection locked="0"/>
    </xf>
    <xf numFmtId="2" fontId="1" fillId="0" borderId="261" xfId="0" applyNumberFormat="1" applyFont="1" applyBorder="1" applyAlignment="1">
      <alignment horizontal="center"/>
    </xf>
    <xf numFmtId="0" fontId="1" fillId="0" borderId="261" xfId="0" applyFont="1" applyBorder="1" applyAlignment="1" applyProtection="1">
      <alignment horizontal="center"/>
      <protection locked="0"/>
    </xf>
    <xf numFmtId="0" fontId="1" fillId="0" borderId="262" xfId="0" applyFont="1" applyBorder="1" applyAlignment="1" applyProtection="1">
      <alignment horizontal="center"/>
      <protection locked="0"/>
    </xf>
    <xf numFmtId="2" fontId="1" fillId="0" borderId="264" xfId="0" applyNumberFormat="1" applyFont="1" applyBorder="1" applyAlignment="1">
      <alignment horizontal="center"/>
    </xf>
    <xf numFmtId="0" fontId="1" fillId="0" borderId="264" xfId="0" applyFont="1" applyBorder="1" applyAlignment="1">
      <alignment horizontal="center"/>
    </xf>
    <xf numFmtId="0" fontId="1" fillId="0" borderId="265" xfId="0" applyFont="1" applyBorder="1" applyAlignment="1">
      <alignment horizontal="center"/>
    </xf>
    <xf numFmtId="2" fontId="0" fillId="28" borderId="278" xfId="0" applyNumberFormat="1" applyFill="1" applyBorder="1" applyAlignment="1">
      <alignment horizontal="center"/>
    </xf>
    <xf numFmtId="1" fontId="1" fillId="11" borderId="279" xfId="0" applyNumberFormat="1" applyFont="1" applyFill="1" applyBorder="1" applyAlignment="1">
      <alignment horizontal="center"/>
    </xf>
    <xf numFmtId="1" fontId="1" fillId="11" borderId="280" xfId="0" applyNumberFormat="1" applyFont="1" applyFill="1" applyBorder="1" applyAlignment="1">
      <alignment horizontal="center"/>
    </xf>
    <xf numFmtId="1" fontId="1" fillId="11" borderId="281" xfId="0" applyNumberFormat="1" applyFont="1" applyFill="1" applyBorder="1" applyAlignment="1">
      <alignment horizontal="center"/>
    </xf>
    <xf numFmtId="0" fontId="0" fillId="0" borderId="282" xfId="0" applyBorder="1" applyAlignment="1">
      <alignment horizontal="center"/>
    </xf>
    <xf numFmtId="0" fontId="0" fillId="8" borderId="279" xfId="0" applyFill="1" applyBorder="1" applyAlignment="1" applyProtection="1">
      <alignment horizontal="center"/>
      <protection locked="0"/>
    </xf>
    <xf numFmtId="0" fontId="0" fillId="8" borderId="283" xfId="0" applyFill="1" applyBorder="1" applyAlignment="1">
      <alignment horizontal="center"/>
    </xf>
    <xf numFmtId="0" fontId="0" fillId="6" borderId="282" xfId="0" applyFill="1" applyBorder="1" applyAlignment="1">
      <alignment horizontal="center"/>
    </xf>
    <xf numFmtId="0" fontId="0" fillId="7" borderId="258" xfId="0" applyFill="1" applyBorder="1" applyAlignment="1">
      <alignment horizontal="center"/>
    </xf>
    <xf numFmtId="2" fontId="1" fillId="11" borderId="258" xfId="0" applyNumberFormat="1" applyFont="1" applyFill="1" applyBorder="1" applyAlignment="1">
      <alignment horizontal="center"/>
    </xf>
    <xf numFmtId="2" fontId="0" fillId="11" borderId="258" xfId="0" applyNumberFormat="1" applyFill="1" applyBorder="1" applyAlignment="1">
      <alignment horizontal="center"/>
    </xf>
    <xf numFmtId="1" fontId="0" fillId="10" borderId="258" xfId="0" applyNumberFormat="1" applyFill="1" applyBorder="1" applyAlignment="1">
      <alignment horizontal="center"/>
    </xf>
    <xf numFmtId="2" fontId="0" fillId="6" borderId="258" xfId="0" applyNumberFormat="1" applyFill="1" applyBorder="1" applyAlignment="1">
      <alignment horizontal="center"/>
    </xf>
    <xf numFmtId="2" fontId="0" fillId="7" borderId="254" xfId="0" applyNumberFormat="1" applyFill="1" applyBorder="1" applyAlignment="1">
      <alignment horizontal="center"/>
    </xf>
    <xf numFmtId="0" fontId="0" fillId="8" borderId="284" xfId="0" applyFill="1" applyBorder="1" applyAlignment="1" applyProtection="1">
      <alignment horizontal="center"/>
      <protection locked="0"/>
    </xf>
    <xf numFmtId="164" fontId="0" fillId="8" borderId="284" xfId="0" applyNumberFormat="1" applyFill="1" applyBorder="1" applyAlignment="1">
      <alignment horizontal="center"/>
    </xf>
    <xf numFmtId="1" fontId="0" fillId="9" borderId="282" xfId="0" applyNumberFormat="1" applyFill="1" applyBorder="1" applyAlignment="1">
      <alignment horizontal="center"/>
    </xf>
    <xf numFmtId="2" fontId="0" fillId="9" borderId="258" xfId="0" applyNumberFormat="1" applyFill="1" applyBorder="1" applyAlignment="1">
      <alignment horizontal="center"/>
    </xf>
    <xf numFmtId="164" fontId="0" fillId="6" borderId="258" xfId="0" applyNumberFormat="1" applyFill="1" applyBorder="1" applyAlignment="1">
      <alignment horizontal="center"/>
    </xf>
    <xf numFmtId="1" fontId="0" fillId="6" borderId="258" xfId="0" applyNumberFormat="1" applyFill="1" applyBorder="1" applyAlignment="1">
      <alignment horizontal="center"/>
    </xf>
    <xf numFmtId="165" fontId="0" fillId="7" borderId="258" xfId="0" applyNumberFormat="1" applyFill="1" applyBorder="1" applyAlignment="1">
      <alignment horizontal="center"/>
    </xf>
    <xf numFmtId="2" fontId="0" fillId="5" borderId="263" xfId="0" applyNumberFormat="1" applyFill="1" applyBorder="1" applyAlignment="1">
      <alignment horizontal="center"/>
    </xf>
    <xf numFmtId="2" fontId="0" fillId="5" borderId="265" xfId="0" applyNumberFormat="1" applyFill="1" applyBorder="1" applyAlignment="1">
      <alignment horizontal="center"/>
    </xf>
    <xf numFmtId="0" fontId="0" fillId="6" borderId="257" xfId="0" applyFill="1" applyBorder="1" applyAlignment="1">
      <alignment horizontal="center"/>
    </xf>
    <xf numFmtId="165" fontId="0" fillId="6" borderId="257" xfId="0" applyNumberFormat="1" applyFill="1" applyBorder="1" applyAlignment="1">
      <alignment horizontal="center"/>
    </xf>
    <xf numFmtId="165" fontId="0" fillId="6" borderId="258" xfId="0" applyNumberFormat="1" applyFill="1" applyBorder="1" applyAlignment="1">
      <alignment horizontal="center"/>
    </xf>
    <xf numFmtId="2" fontId="0" fillId="6" borderId="256" xfId="0" applyNumberFormat="1" applyFill="1" applyBorder="1" applyAlignment="1">
      <alignment horizontal="center"/>
    </xf>
    <xf numFmtId="1" fontId="0" fillId="7" borderId="257" xfId="0" applyNumberFormat="1" applyFill="1" applyBorder="1" applyAlignment="1">
      <alignment horizontal="center"/>
    </xf>
    <xf numFmtId="165" fontId="0" fillId="7" borderId="257" xfId="0" applyNumberFormat="1" applyFill="1" applyBorder="1" applyAlignment="1">
      <alignment horizontal="center"/>
    </xf>
    <xf numFmtId="2" fontId="0" fillId="7" borderId="258" xfId="0" applyNumberFormat="1" applyFill="1" applyBorder="1" applyAlignment="1">
      <alignment horizontal="center"/>
    </xf>
    <xf numFmtId="2" fontId="0" fillId="7" borderId="259" xfId="0" applyNumberFormat="1" applyFill="1" applyBorder="1" applyAlignment="1">
      <alignment horizontal="center"/>
    </xf>
    <xf numFmtId="0" fontId="0" fillId="0" borderId="285" xfId="0" applyBorder="1" applyAlignment="1">
      <alignment horizontal="center"/>
    </xf>
    <xf numFmtId="0" fontId="0" fillId="0" borderId="286" xfId="0" applyBorder="1" applyAlignment="1">
      <alignment horizontal="center"/>
    </xf>
    <xf numFmtId="2" fontId="0" fillId="0" borderId="287" xfId="0" applyNumberFormat="1" applyBorder="1" applyAlignment="1">
      <alignment horizontal="center"/>
    </xf>
    <xf numFmtId="2" fontId="0" fillId="0" borderId="288" xfId="0" applyNumberFormat="1" applyBorder="1" applyAlignment="1">
      <alignment horizontal="center"/>
    </xf>
    <xf numFmtId="2" fontId="0" fillId="0" borderId="289" xfId="0" applyNumberFormat="1" applyBorder="1" applyAlignment="1">
      <alignment horizontal="center"/>
    </xf>
    <xf numFmtId="2" fontId="0" fillId="0" borderId="279" xfId="0" applyNumberFormat="1" applyBorder="1" applyAlignment="1">
      <alignment horizontal="center"/>
    </xf>
    <xf numFmtId="2" fontId="0" fillId="0" borderId="280" xfId="0" applyNumberFormat="1" applyBorder="1" applyAlignment="1">
      <alignment horizontal="center"/>
    </xf>
    <xf numFmtId="2" fontId="0" fillId="14" borderId="280" xfId="0" applyNumberFormat="1" applyFill="1" applyBorder="1" applyAlignment="1">
      <alignment horizontal="center"/>
    </xf>
    <xf numFmtId="2" fontId="0" fillId="0" borderId="281" xfId="0" applyNumberFormat="1" applyBorder="1" applyAlignment="1">
      <alignment horizontal="center"/>
    </xf>
    <xf numFmtId="0" fontId="1" fillId="0" borderId="17" xfId="0" applyFont="1" applyBorder="1" applyAlignment="1" applyProtection="1">
      <alignment horizontal="center"/>
      <protection locked="0"/>
    </xf>
    <xf numFmtId="2" fontId="0" fillId="0" borderId="280" xfId="0" applyNumberFormat="1" applyBorder="1"/>
    <xf numFmtId="0" fontId="0" fillId="0" borderId="281" xfId="0" applyBorder="1"/>
    <xf numFmtId="3" fontId="1" fillId="11" borderId="256" xfId="0" applyNumberFormat="1" applyFont="1" applyFill="1" applyBorder="1" applyAlignment="1">
      <alignment horizontal="center"/>
    </xf>
    <xf numFmtId="0" fontId="0" fillId="0" borderId="258" xfId="0" applyBorder="1" applyAlignment="1">
      <alignment horizontal="center"/>
    </xf>
    <xf numFmtId="0" fontId="0" fillId="8" borderId="264" xfId="0" applyFill="1" applyBorder="1" applyAlignment="1">
      <alignment horizontal="center"/>
    </xf>
    <xf numFmtId="0" fontId="0" fillId="8" borderId="282" xfId="0" applyFill="1" applyBorder="1" applyAlignment="1">
      <alignment horizontal="center"/>
    </xf>
    <xf numFmtId="0" fontId="0" fillId="6" borderId="258" xfId="0" applyFill="1" applyBorder="1" applyAlignment="1">
      <alignment horizontal="center"/>
    </xf>
    <xf numFmtId="2" fontId="0" fillId="8" borderId="264" xfId="0" applyNumberFormat="1" applyFill="1" applyBorder="1" applyAlignment="1">
      <alignment horizontal="center"/>
    </xf>
    <xf numFmtId="2" fontId="0" fillId="5" borderId="264" xfId="0" applyNumberFormat="1" applyFill="1" applyBorder="1" applyAlignment="1">
      <alignment horizontal="center"/>
    </xf>
    <xf numFmtId="165" fontId="0" fillId="6" borderId="282" xfId="0" applyNumberFormat="1" applyFill="1" applyBorder="1" applyAlignment="1">
      <alignment horizontal="center"/>
    </xf>
    <xf numFmtId="0" fontId="1" fillId="0" borderId="25" xfId="0" applyFont="1" applyBorder="1" applyAlignment="1" applyProtection="1">
      <alignment horizontal="center"/>
      <protection locked="0"/>
    </xf>
    <xf numFmtId="2" fontId="0" fillId="0" borderId="290" xfId="0" applyNumberFormat="1" applyBorder="1" applyAlignment="1">
      <alignment horizontal="center"/>
    </xf>
    <xf numFmtId="2" fontId="0" fillId="0" borderId="59" xfId="0" applyNumberFormat="1" applyBorder="1"/>
    <xf numFmtId="0" fontId="0" fillId="0" borderId="291" xfId="0" applyBorder="1"/>
    <xf numFmtId="0" fontId="1" fillId="0" borderId="186" xfId="0" applyFont="1" applyBorder="1" applyAlignment="1" applyProtection="1">
      <alignment horizontal="center"/>
      <protection hidden="1"/>
    </xf>
    <xf numFmtId="1" fontId="1" fillId="0" borderId="165" xfId="0" applyNumberFormat="1" applyFont="1" applyBorder="1" applyAlignment="1" applyProtection="1">
      <alignment horizontal="center"/>
      <protection hidden="1"/>
    </xf>
    <xf numFmtId="2" fontId="1" fillId="0" borderId="166" xfId="0" applyNumberFormat="1" applyFont="1" applyBorder="1" applyAlignment="1" applyProtection="1">
      <alignment horizontal="center"/>
      <protection hidden="1"/>
    </xf>
    <xf numFmtId="0" fontId="1" fillId="0" borderId="166" xfId="0" applyFont="1" applyBorder="1" applyAlignment="1" applyProtection="1">
      <alignment horizontal="center"/>
      <protection hidden="1"/>
    </xf>
    <xf numFmtId="0" fontId="1" fillId="0" borderId="204" xfId="0" applyFont="1" applyBorder="1" applyAlignment="1" applyProtection="1">
      <alignment horizontal="center"/>
      <protection hidden="1"/>
    </xf>
    <xf numFmtId="1" fontId="1" fillId="0" borderId="168" xfId="0" applyNumberFormat="1" applyFont="1" applyBorder="1" applyAlignment="1" applyProtection="1">
      <alignment horizontal="center"/>
      <protection hidden="1"/>
    </xf>
    <xf numFmtId="2" fontId="1" fillId="0" borderId="169" xfId="0" applyNumberFormat="1" applyFont="1" applyBorder="1" applyAlignment="1" applyProtection="1">
      <alignment horizontal="center"/>
      <protection hidden="1"/>
    </xf>
    <xf numFmtId="0" fontId="1" fillId="0" borderId="169" xfId="0" applyFont="1" applyBorder="1" applyAlignment="1" applyProtection="1">
      <alignment horizontal="center"/>
      <protection hidden="1"/>
    </xf>
    <xf numFmtId="0" fontId="1" fillId="0" borderId="170" xfId="0" applyFont="1" applyBorder="1" applyAlignment="1" applyProtection="1">
      <alignment horizontal="center"/>
      <protection hidden="1"/>
    </xf>
    <xf numFmtId="0" fontId="65" fillId="20" borderId="0" xfId="0" applyFont="1" applyFill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0" fontId="0" fillId="0" borderId="25" xfId="0" applyBorder="1" applyAlignment="1" applyProtection="1">
      <alignment horizontal="center"/>
      <protection hidden="1"/>
    </xf>
    <xf numFmtId="0" fontId="7" fillId="26" borderId="8" xfId="0" applyFont="1" applyFill="1" applyBorder="1" applyAlignment="1" applyProtection="1">
      <alignment horizontal="center"/>
      <protection hidden="1"/>
    </xf>
    <xf numFmtId="0" fontId="7" fillId="26" borderId="0" xfId="0" applyFont="1" applyFill="1" applyAlignment="1" applyProtection="1">
      <alignment horizontal="center"/>
      <protection hidden="1"/>
    </xf>
    <xf numFmtId="0" fontId="7" fillId="26" borderId="9" xfId="0" applyFont="1" applyFill="1" applyBorder="1" applyAlignment="1" applyProtection="1">
      <alignment horizontal="center"/>
      <protection hidden="1"/>
    </xf>
    <xf numFmtId="0" fontId="7" fillId="20" borderId="0" xfId="0" applyFont="1" applyFill="1" applyAlignment="1" applyProtection="1">
      <alignment horizontal="center" vertical="center" wrapText="1"/>
      <protection hidden="1"/>
    </xf>
    <xf numFmtId="0" fontId="7" fillId="20" borderId="48" xfId="0" applyFont="1" applyFill="1" applyBorder="1" applyAlignment="1" applyProtection="1">
      <alignment horizontal="center" vertical="center" wrapText="1"/>
      <protection hidden="1"/>
    </xf>
    <xf numFmtId="0" fontId="63" fillId="40" borderId="225" xfId="0" applyFont="1" applyFill="1" applyBorder="1" applyAlignment="1" applyProtection="1">
      <alignment horizontal="center" vertical="center" wrapText="1"/>
      <protection hidden="1"/>
    </xf>
    <xf numFmtId="0" fontId="63" fillId="40" borderId="226" xfId="0" applyFont="1" applyFill="1" applyBorder="1" applyAlignment="1" applyProtection="1">
      <alignment horizontal="center" vertical="center" wrapText="1"/>
      <protection hidden="1"/>
    </xf>
    <xf numFmtId="0" fontId="63" fillId="40" borderId="208" xfId="0" applyFont="1" applyFill="1" applyBorder="1" applyAlignment="1" applyProtection="1">
      <alignment horizontal="center" vertical="center" wrapText="1"/>
      <protection hidden="1"/>
    </xf>
    <xf numFmtId="0" fontId="30" fillId="31" borderId="5" xfId="0" applyFont="1" applyFill="1" applyBorder="1" applyAlignment="1" applyProtection="1">
      <alignment horizontal="center" vertical="center"/>
      <protection hidden="1"/>
    </xf>
    <xf numFmtId="0" fontId="30" fillId="31" borderId="6" xfId="0" applyFont="1" applyFill="1" applyBorder="1" applyAlignment="1" applyProtection="1">
      <alignment horizontal="center" vertical="center"/>
      <protection hidden="1"/>
    </xf>
    <xf numFmtId="0" fontId="30" fillId="31" borderId="7" xfId="0" applyFont="1" applyFill="1" applyBorder="1" applyAlignment="1" applyProtection="1">
      <alignment horizontal="center" vertical="center"/>
      <protection hidden="1"/>
    </xf>
    <xf numFmtId="0" fontId="18" fillId="13" borderId="36" xfId="0" applyFont="1" applyFill="1" applyBorder="1" applyAlignment="1" applyProtection="1">
      <alignment horizontal="center" vertical="center"/>
      <protection hidden="1"/>
    </xf>
    <xf numFmtId="0" fontId="18" fillId="13" borderId="37" xfId="0" applyFont="1" applyFill="1" applyBorder="1" applyAlignment="1" applyProtection="1">
      <alignment horizontal="center" vertical="center"/>
      <protection hidden="1"/>
    </xf>
    <xf numFmtId="0" fontId="18" fillId="13" borderId="38" xfId="0" applyFont="1" applyFill="1" applyBorder="1" applyAlignment="1" applyProtection="1">
      <alignment horizontal="center" vertical="center"/>
      <protection hidden="1"/>
    </xf>
    <xf numFmtId="0" fontId="18" fillId="13" borderId="8" xfId="0" applyFont="1" applyFill="1" applyBorder="1" applyAlignment="1" applyProtection="1">
      <alignment horizontal="center" vertical="center"/>
      <protection hidden="1"/>
    </xf>
    <xf numFmtId="0" fontId="18" fillId="13" borderId="0" xfId="0" applyFont="1" applyFill="1" applyAlignment="1" applyProtection="1">
      <alignment horizontal="center" vertical="center"/>
      <protection hidden="1"/>
    </xf>
    <xf numFmtId="0" fontId="18" fillId="13" borderId="9" xfId="0" applyFont="1" applyFill="1" applyBorder="1" applyAlignment="1" applyProtection="1">
      <alignment horizontal="center" vertical="center"/>
      <protection hidden="1"/>
    </xf>
    <xf numFmtId="0" fontId="18" fillId="13" borderId="48" xfId="0" applyFont="1" applyFill="1" applyBorder="1" applyAlignment="1" applyProtection="1">
      <alignment horizontal="center" vertical="center"/>
      <protection hidden="1"/>
    </xf>
    <xf numFmtId="0" fontId="18" fillId="13" borderId="49" xfId="0" applyFont="1" applyFill="1" applyBorder="1" applyAlignment="1" applyProtection="1">
      <alignment horizontal="center" vertical="center"/>
      <protection hidden="1"/>
    </xf>
    <xf numFmtId="0" fontId="18" fillId="13" borderId="50" xfId="0" applyFont="1" applyFill="1" applyBorder="1" applyAlignment="1" applyProtection="1">
      <alignment horizontal="center" vertical="center"/>
      <protection hidden="1"/>
    </xf>
    <xf numFmtId="0" fontId="61" fillId="21" borderId="36" xfId="0" applyFont="1" applyFill="1" applyBorder="1" applyAlignment="1" applyProtection="1">
      <alignment horizontal="left" vertical="center" wrapText="1" shrinkToFit="1"/>
      <protection locked="0"/>
    </xf>
    <xf numFmtId="0" fontId="61" fillId="21" borderId="37" xfId="0" applyFont="1" applyFill="1" applyBorder="1" applyAlignment="1" applyProtection="1">
      <alignment horizontal="left" vertical="center" wrapText="1" shrinkToFit="1"/>
      <protection locked="0"/>
    </xf>
    <xf numFmtId="0" fontId="61" fillId="21" borderId="38" xfId="0" applyFont="1" applyFill="1" applyBorder="1" applyAlignment="1" applyProtection="1">
      <alignment horizontal="left" vertical="center" wrapText="1" shrinkToFit="1"/>
      <protection locked="0"/>
    </xf>
    <xf numFmtId="0" fontId="61" fillId="21" borderId="48" xfId="0" applyFont="1" applyFill="1" applyBorder="1" applyAlignment="1" applyProtection="1">
      <alignment horizontal="left" vertical="center" wrapText="1" shrinkToFit="1"/>
      <protection locked="0"/>
    </xf>
    <xf numFmtId="0" fontId="61" fillId="21" borderId="49" xfId="0" applyFont="1" applyFill="1" applyBorder="1" applyAlignment="1" applyProtection="1">
      <alignment horizontal="left" vertical="center" wrapText="1" shrinkToFit="1"/>
      <protection locked="0"/>
    </xf>
    <xf numFmtId="0" fontId="61" fillId="21" borderId="50" xfId="0" applyFont="1" applyFill="1" applyBorder="1" applyAlignment="1" applyProtection="1">
      <alignment horizontal="left" vertical="center" wrapText="1" shrinkToFit="1"/>
      <protection locked="0"/>
    </xf>
    <xf numFmtId="0" fontId="62" fillId="20" borderId="5" xfId="0" applyFont="1" applyFill="1" applyBorder="1" applyAlignment="1" applyProtection="1">
      <alignment horizontal="center" vertical="center"/>
      <protection hidden="1"/>
    </xf>
    <xf numFmtId="0" fontId="62" fillId="20" borderId="6" xfId="0" applyFont="1" applyFill="1" applyBorder="1" applyAlignment="1" applyProtection="1">
      <alignment horizontal="center" vertical="center"/>
      <protection hidden="1"/>
    </xf>
    <xf numFmtId="0" fontId="62" fillId="20" borderId="7" xfId="0" applyFont="1" applyFill="1" applyBorder="1" applyAlignment="1" applyProtection="1">
      <alignment horizontal="center" vertical="center"/>
      <protection hidden="1"/>
    </xf>
    <xf numFmtId="0" fontId="41" fillId="25" borderId="5" xfId="0" applyFont="1" applyFill="1" applyBorder="1" applyAlignment="1" applyProtection="1">
      <alignment horizontal="center" vertical="center"/>
      <protection hidden="1"/>
    </xf>
    <xf numFmtId="0" fontId="41" fillId="25" borderId="6" xfId="0" applyFont="1" applyFill="1" applyBorder="1" applyAlignment="1" applyProtection="1">
      <alignment horizontal="center" vertical="center"/>
      <protection hidden="1"/>
    </xf>
    <xf numFmtId="0" fontId="41" fillId="25" borderId="7" xfId="0" applyFont="1" applyFill="1" applyBorder="1" applyAlignment="1" applyProtection="1">
      <alignment horizontal="center" vertical="center"/>
      <protection hidden="1"/>
    </xf>
    <xf numFmtId="0" fontId="47" fillId="31" borderId="40" xfId="0" applyFont="1" applyFill="1" applyBorder="1" applyAlignment="1" applyProtection="1">
      <alignment horizontal="center" vertical="center" wrapText="1"/>
      <protection locked="0"/>
    </xf>
    <xf numFmtId="0" fontId="47" fillId="31" borderId="41" xfId="0" applyFont="1" applyFill="1" applyBorder="1" applyAlignment="1" applyProtection="1">
      <alignment horizontal="center" vertical="center" wrapText="1"/>
      <protection locked="0"/>
    </xf>
    <xf numFmtId="0" fontId="1" fillId="21" borderId="36" xfId="0" applyFont="1" applyFill="1" applyBorder="1" applyAlignment="1" applyProtection="1">
      <alignment horizontal="center" wrapText="1"/>
      <protection hidden="1"/>
    </xf>
    <xf numFmtId="0" fontId="0" fillId="21" borderId="38" xfId="0" applyFill="1" applyBorder="1" applyAlignment="1" applyProtection="1">
      <alignment horizontal="center"/>
      <protection hidden="1"/>
    </xf>
    <xf numFmtId="0" fontId="0" fillId="21" borderId="48" xfId="0" applyFill="1" applyBorder="1" applyAlignment="1" applyProtection="1">
      <alignment horizontal="center"/>
      <protection hidden="1"/>
    </xf>
    <xf numFmtId="0" fontId="0" fillId="21" borderId="50" xfId="0" applyFill="1" applyBorder="1" applyAlignment="1" applyProtection="1">
      <alignment horizontal="center"/>
      <protection hidden="1"/>
    </xf>
    <xf numFmtId="0" fontId="1" fillId="21" borderId="39" xfId="0" applyFont="1" applyFill="1" applyBorder="1" applyAlignment="1" applyProtection="1">
      <alignment horizontal="center" wrapText="1"/>
      <protection hidden="1"/>
    </xf>
    <xf numFmtId="0" fontId="0" fillId="21" borderId="40" xfId="0" applyFill="1" applyBorder="1" applyAlignment="1" applyProtection="1">
      <alignment horizontal="center" wrapText="1"/>
      <protection hidden="1"/>
    </xf>
    <xf numFmtId="0" fontId="0" fillId="21" borderId="41" xfId="0" applyFill="1" applyBorder="1" applyAlignment="1" applyProtection="1">
      <alignment horizontal="center" wrapText="1"/>
      <protection hidden="1"/>
    </xf>
    <xf numFmtId="2" fontId="4" fillId="8" borderId="8" xfId="0" applyNumberFormat="1" applyFont="1" applyFill="1" applyBorder="1" applyAlignment="1" applyProtection="1">
      <alignment horizontal="right" vertical="center"/>
      <protection hidden="1"/>
    </xf>
    <xf numFmtId="2" fontId="4" fillId="8" borderId="0" xfId="0" applyNumberFormat="1" applyFont="1" applyFill="1" applyAlignment="1" applyProtection="1">
      <alignment horizontal="right" vertical="center"/>
      <protection hidden="1"/>
    </xf>
    <xf numFmtId="0" fontId="7" fillId="20" borderId="37" xfId="0" applyFont="1" applyFill="1" applyBorder="1" applyAlignment="1" applyProtection="1">
      <alignment horizontal="center" vertical="center" wrapText="1"/>
      <protection hidden="1"/>
    </xf>
    <xf numFmtId="0" fontId="7" fillId="20" borderId="38" xfId="0" applyFont="1" applyFill="1" applyBorder="1" applyAlignment="1" applyProtection="1">
      <alignment horizontal="center" vertical="center" wrapText="1"/>
      <protection hidden="1"/>
    </xf>
    <xf numFmtId="0" fontId="33" fillId="30" borderId="36" xfId="0" applyFont="1" applyFill="1" applyBorder="1" applyAlignment="1" applyProtection="1">
      <alignment horizontal="center"/>
      <protection hidden="1"/>
    </xf>
    <xf numFmtId="0" fontId="33" fillId="30" borderId="38" xfId="0" applyFont="1" applyFill="1" applyBorder="1" applyAlignment="1" applyProtection="1">
      <alignment horizontal="center"/>
      <protection hidden="1"/>
    </xf>
    <xf numFmtId="0" fontId="33" fillId="30" borderId="48" xfId="0" applyFont="1" applyFill="1" applyBorder="1" applyAlignment="1" applyProtection="1">
      <alignment horizontal="center"/>
      <protection hidden="1"/>
    </xf>
    <xf numFmtId="0" fontId="33" fillId="30" borderId="50" xfId="0" applyFont="1" applyFill="1" applyBorder="1" applyAlignment="1" applyProtection="1">
      <alignment horizontal="center"/>
      <protection hidden="1"/>
    </xf>
    <xf numFmtId="0" fontId="0" fillId="31" borderId="39" xfId="0" applyFill="1" applyBorder="1" applyAlignment="1" applyProtection="1">
      <alignment horizontal="center" wrapText="1"/>
      <protection hidden="1"/>
    </xf>
    <xf numFmtId="0" fontId="0" fillId="31" borderId="40" xfId="0" applyFill="1" applyBorder="1" applyAlignment="1" applyProtection="1">
      <alignment horizontal="center" wrapText="1"/>
      <protection hidden="1"/>
    </xf>
    <xf numFmtId="0" fontId="0" fillId="31" borderId="41" xfId="0" applyFill="1" applyBorder="1" applyAlignment="1" applyProtection="1">
      <alignment horizontal="center" wrapText="1"/>
      <protection hidden="1"/>
    </xf>
    <xf numFmtId="0" fontId="4" fillId="13" borderId="8" xfId="0" applyFont="1" applyFill="1" applyBorder="1" applyAlignment="1">
      <alignment horizontal="center" wrapText="1"/>
    </xf>
    <xf numFmtId="0" fontId="4" fillId="13" borderId="9" xfId="0" applyFont="1" applyFill="1" applyBorder="1" applyAlignment="1">
      <alignment horizontal="center"/>
    </xf>
    <xf numFmtId="0" fontId="4" fillId="13" borderId="8" xfId="0" applyFont="1" applyFill="1" applyBorder="1" applyAlignment="1">
      <alignment horizontal="center"/>
    </xf>
    <xf numFmtId="2" fontId="9" fillId="17" borderId="0" xfId="0" applyNumberFormat="1" applyFont="1" applyFill="1" applyAlignment="1" applyProtection="1">
      <alignment horizontal="center" vertical="center"/>
      <protection hidden="1"/>
    </xf>
    <xf numFmtId="0" fontId="18" fillId="13" borderId="37" xfId="0" applyFont="1" applyFill="1" applyBorder="1" applyAlignment="1" applyProtection="1">
      <alignment horizontal="center" vertical="center" wrapText="1"/>
      <protection hidden="1"/>
    </xf>
    <xf numFmtId="0" fontId="18" fillId="13" borderId="38" xfId="0" applyFont="1" applyFill="1" applyBorder="1" applyAlignment="1" applyProtection="1">
      <alignment horizontal="center" vertical="center" wrapText="1"/>
      <protection hidden="1"/>
    </xf>
    <xf numFmtId="0" fontId="18" fillId="13" borderId="0" xfId="0" applyFont="1" applyFill="1" applyAlignment="1" applyProtection="1">
      <alignment horizontal="center" vertical="center" wrapText="1"/>
      <protection hidden="1"/>
    </xf>
    <xf numFmtId="0" fontId="18" fillId="13" borderId="9" xfId="0" applyFont="1" applyFill="1" applyBorder="1" applyAlignment="1" applyProtection="1">
      <alignment horizontal="center" vertical="center" wrapText="1"/>
      <protection hidden="1"/>
    </xf>
    <xf numFmtId="0" fontId="18" fillId="13" borderId="49" xfId="0" applyFont="1" applyFill="1" applyBorder="1" applyAlignment="1" applyProtection="1">
      <alignment horizontal="center" vertical="center" wrapText="1"/>
      <protection hidden="1"/>
    </xf>
    <xf numFmtId="0" fontId="18" fillId="13" borderId="50" xfId="0" applyFont="1" applyFill="1" applyBorder="1" applyAlignment="1" applyProtection="1">
      <alignment horizontal="center" vertical="center" wrapText="1"/>
      <protection hidden="1"/>
    </xf>
    <xf numFmtId="0" fontId="56" fillId="24" borderId="39" xfId="0" applyFont="1" applyFill="1" applyBorder="1" applyAlignment="1" applyProtection="1">
      <alignment horizontal="center" vertical="center"/>
      <protection locked="0"/>
    </xf>
    <xf numFmtId="0" fontId="56" fillId="24" borderId="41" xfId="0" applyFont="1" applyFill="1" applyBorder="1" applyAlignment="1" applyProtection="1">
      <alignment horizontal="center" vertical="center"/>
      <protection locked="0"/>
    </xf>
    <xf numFmtId="2" fontId="0" fillId="0" borderId="67" xfId="0" applyNumberFormat="1" applyBorder="1" applyAlignment="1">
      <alignment horizontal="center"/>
    </xf>
    <xf numFmtId="2" fontId="0" fillId="0" borderId="37" xfId="0" applyNumberFormat="1" applyBorder="1" applyAlignment="1">
      <alignment horizontal="center"/>
    </xf>
    <xf numFmtId="2" fontId="0" fillId="0" borderId="68" xfId="0" applyNumberFormat="1" applyBorder="1" applyAlignment="1">
      <alignment horizontal="center"/>
    </xf>
    <xf numFmtId="2" fontId="0" fillId="0" borderId="69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70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2" fontId="0" fillId="0" borderId="49" xfId="0" applyNumberFormat="1" applyBorder="1" applyAlignment="1">
      <alignment horizontal="center"/>
    </xf>
    <xf numFmtId="2" fontId="0" fillId="0" borderId="72" xfId="0" applyNumberFormat="1" applyBorder="1" applyAlignment="1">
      <alignment horizontal="center"/>
    </xf>
    <xf numFmtId="0" fontId="4" fillId="31" borderId="8" xfId="0" applyFont="1" applyFill="1" applyBorder="1" applyAlignment="1" applyProtection="1">
      <alignment horizontal="center"/>
      <protection hidden="1"/>
    </xf>
    <xf numFmtId="0" fontId="4" fillId="31" borderId="0" xfId="0" applyFont="1" applyFill="1" applyAlignment="1" applyProtection="1">
      <alignment horizontal="center"/>
      <protection hidden="1"/>
    </xf>
    <xf numFmtId="0" fontId="4" fillId="31" borderId="9" xfId="0" applyFont="1" applyFill="1" applyBorder="1" applyAlignment="1" applyProtection="1">
      <alignment horizontal="center"/>
      <protection hidden="1"/>
    </xf>
    <xf numFmtId="0" fontId="19" fillId="13" borderId="36" xfId="0" applyFont="1" applyFill="1" applyBorder="1" applyAlignment="1">
      <alignment horizontal="center" vertical="center"/>
    </xf>
    <xf numFmtId="0" fontId="19" fillId="13" borderId="37" xfId="0" applyFont="1" applyFill="1" applyBorder="1" applyAlignment="1">
      <alignment horizontal="center" vertical="center"/>
    </xf>
    <xf numFmtId="0" fontId="19" fillId="13" borderId="38" xfId="0" applyFont="1" applyFill="1" applyBorder="1" applyAlignment="1">
      <alignment horizontal="center" vertical="center"/>
    </xf>
    <xf numFmtId="0" fontId="19" fillId="13" borderId="8" xfId="0" applyFont="1" applyFill="1" applyBorder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0" fontId="19" fillId="13" borderId="9" xfId="0" applyFont="1" applyFill="1" applyBorder="1" applyAlignment="1">
      <alignment horizontal="center" vertical="center"/>
    </xf>
    <xf numFmtId="0" fontId="19" fillId="13" borderId="48" xfId="0" applyFont="1" applyFill="1" applyBorder="1" applyAlignment="1">
      <alignment horizontal="center" vertical="center"/>
    </xf>
    <xf numFmtId="0" fontId="19" fillId="13" borderId="49" xfId="0" applyFont="1" applyFill="1" applyBorder="1" applyAlignment="1">
      <alignment horizontal="center" vertical="center"/>
    </xf>
    <xf numFmtId="0" fontId="19" fillId="13" borderId="50" xfId="0" applyFont="1" applyFill="1" applyBorder="1" applyAlignment="1">
      <alignment horizontal="center" vertical="center"/>
    </xf>
    <xf numFmtId="0" fontId="14" fillId="13" borderId="36" xfId="0" applyFont="1" applyFill="1" applyBorder="1" applyAlignment="1">
      <alignment horizontal="center" vertical="center"/>
    </xf>
    <xf numFmtId="0" fontId="14" fillId="13" borderId="37" xfId="0" applyFont="1" applyFill="1" applyBorder="1" applyAlignment="1">
      <alignment horizontal="center" vertical="center"/>
    </xf>
    <xf numFmtId="0" fontId="14" fillId="13" borderId="38" xfId="0" applyFont="1" applyFill="1" applyBorder="1" applyAlignment="1">
      <alignment horizontal="center" vertical="center"/>
    </xf>
    <xf numFmtId="0" fontId="14" fillId="13" borderId="8" xfId="0" applyFont="1" applyFill="1" applyBorder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14" fillId="13" borderId="9" xfId="0" applyFont="1" applyFill="1" applyBorder="1" applyAlignment="1">
      <alignment horizontal="center" vertical="center"/>
    </xf>
    <xf numFmtId="0" fontId="14" fillId="13" borderId="48" xfId="0" applyFont="1" applyFill="1" applyBorder="1" applyAlignment="1">
      <alignment horizontal="center" vertical="center"/>
    </xf>
    <xf numFmtId="0" fontId="14" fillId="13" borderId="49" xfId="0" applyFont="1" applyFill="1" applyBorder="1" applyAlignment="1">
      <alignment horizontal="center" vertical="center"/>
    </xf>
    <xf numFmtId="0" fontId="14" fillId="13" borderId="50" xfId="0" applyFont="1" applyFill="1" applyBorder="1" applyAlignment="1">
      <alignment horizontal="center" vertical="center"/>
    </xf>
    <xf numFmtId="0" fontId="14" fillId="41" borderId="9" xfId="0" applyFont="1" applyFill="1" applyBorder="1" applyAlignment="1" applyProtection="1">
      <alignment horizontal="center" vertical="center" wrapText="1"/>
      <protection hidden="1"/>
    </xf>
    <xf numFmtId="0" fontId="14" fillId="41" borderId="50" xfId="0" applyFont="1" applyFill="1" applyBorder="1" applyAlignment="1" applyProtection="1">
      <alignment horizontal="center" vertical="center" wrapText="1"/>
      <protection hidden="1"/>
    </xf>
    <xf numFmtId="0" fontId="13" fillId="24" borderId="40" xfId="0" applyFont="1" applyFill="1" applyBorder="1" applyAlignment="1" applyProtection="1">
      <alignment horizontal="center" vertical="center"/>
      <protection hidden="1"/>
    </xf>
    <xf numFmtId="0" fontId="4" fillId="13" borderId="0" xfId="0" applyFont="1" applyFill="1" applyAlignment="1">
      <alignment horizontal="center"/>
    </xf>
    <xf numFmtId="2" fontId="10" fillId="8" borderId="36" xfId="0" applyNumberFormat="1" applyFont="1" applyFill="1" applyBorder="1" applyAlignment="1" applyProtection="1">
      <alignment horizontal="center" vertical="center" wrapText="1"/>
      <protection hidden="1"/>
    </xf>
    <xf numFmtId="2" fontId="10" fillId="8" borderId="37" xfId="0" applyNumberFormat="1" applyFont="1" applyFill="1" applyBorder="1" applyAlignment="1" applyProtection="1">
      <alignment horizontal="center" vertical="center" wrapText="1"/>
      <protection hidden="1"/>
    </xf>
    <xf numFmtId="2" fontId="10" fillId="8" borderId="38" xfId="0" applyNumberFormat="1" applyFont="1" applyFill="1" applyBorder="1" applyAlignment="1" applyProtection="1">
      <alignment horizontal="center" vertical="center" wrapText="1"/>
      <protection hidden="1"/>
    </xf>
    <xf numFmtId="2" fontId="64" fillId="41" borderId="0" xfId="0" applyNumberFormat="1" applyFont="1" applyFill="1" applyAlignment="1" applyProtection="1">
      <alignment horizontal="center" vertical="center"/>
      <protection hidden="1"/>
    </xf>
    <xf numFmtId="0" fontId="4" fillId="13" borderId="40" xfId="0" applyFont="1" applyFill="1" applyBorder="1" applyAlignment="1" applyProtection="1">
      <alignment horizontal="center" vertical="justify" wrapText="1"/>
      <protection hidden="1"/>
    </xf>
    <xf numFmtId="0" fontId="4" fillId="13" borderId="41" xfId="0" applyFont="1" applyFill="1" applyBorder="1" applyAlignment="1" applyProtection="1">
      <alignment horizontal="center" vertical="justify"/>
      <protection hidden="1"/>
    </xf>
    <xf numFmtId="0" fontId="59" fillId="35" borderId="48" xfId="0" applyFont="1" applyFill="1" applyBorder="1" applyAlignment="1" applyProtection="1">
      <alignment horizontal="center" vertical="center" wrapText="1"/>
      <protection hidden="1"/>
    </xf>
    <xf numFmtId="0" fontId="59" fillId="35" borderId="49" xfId="0" applyFont="1" applyFill="1" applyBorder="1" applyAlignment="1" applyProtection="1">
      <alignment horizontal="center" vertical="center" wrapText="1"/>
      <protection hidden="1"/>
    </xf>
    <xf numFmtId="0" fontId="59" fillId="35" borderId="50" xfId="0" applyFont="1" applyFill="1" applyBorder="1" applyAlignment="1" applyProtection="1">
      <alignment horizontal="center" vertical="center" wrapText="1"/>
      <protection hidden="1"/>
    </xf>
    <xf numFmtId="0" fontId="7" fillId="11" borderId="48" xfId="0" applyFont="1" applyFill="1" applyBorder="1" applyAlignment="1" applyProtection="1">
      <alignment horizontal="center"/>
      <protection hidden="1"/>
    </xf>
    <xf numFmtId="0" fontId="7" fillId="11" borderId="49" xfId="0" applyFont="1" applyFill="1" applyBorder="1" applyAlignment="1" applyProtection="1">
      <alignment horizontal="center"/>
      <protection hidden="1"/>
    </xf>
    <xf numFmtId="0" fontId="7" fillId="11" borderId="50" xfId="0" applyFont="1" applyFill="1" applyBorder="1" applyAlignment="1" applyProtection="1">
      <alignment horizontal="center"/>
      <protection hidden="1"/>
    </xf>
    <xf numFmtId="0" fontId="47" fillId="18" borderId="8" xfId="0" applyFont="1" applyFill="1" applyBorder="1" applyAlignment="1" applyProtection="1">
      <alignment horizontal="center"/>
      <protection hidden="1"/>
    </xf>
    <xf numFmtId="0" fontId="47" fillId="18" borderId="0" xfId="0" applyFont="1" applyFill="1" applyAlignment="1" applyProtection="1">
      <alignment horizontal="center"/>
      <protection hidden="1"/>
    </xf>
    <xf numFmtId="0" fontId="47" fillId="18" borderId="9" xfId="0" applyFont="1" applyFill="1" applyBorder="1" applyAlignment="1" applyProtection="1">
      <alignment horizontal="center"/>
      <protection hidden="1"/>
    </xf>
    <xf numFmtId="0" fontId="12" fillId="0" borderId="76" xfId="0" applyFont="1" applyBorder="1" applyAlignment="1" applyProtection="1">
      <alignment horizontal="center" wrapText="1"/>
      <protection hidden="1"/>
    </xf>
    <xf numFmtId="0" fontId="12" fillId="0" borderId="100" xfId="0" applyFont="1" applyBorder="1" applyAlignment="1" applyProtection="1">
      <alignment horizontal="center" wrapText="1"/>
      <protection hidden="1"/>
    </xf>
    <xf numFmtId="0" fontId="12" fillId="0" borderId="89" xfId="0" applyFont="1" applyBorder="1" applyAlignment="1" applyProtection="1">
      <alignment horizontal="center" wrapText="1"/>
      <protection hidden="1"/>
    </xf>
    <xf numFmtId="0" fontId="12" fillId="0" borderId="91" xfId="0" applyFont="1" applyBorder="1" applyAlignment="1" applyProtection="1">
      <alignment horizontal="center" wrapText="1"/>
      <protection hidden="1"/>
    </xf>
    <xf numFmtId="0" fontId="12" fillId="0" borderId="63" xfId="0" applyFont="1" applyBorder="1" applyAlignment="1" applyProtection="1">
      <alignment horizontal="center" wrapText="1"/>
      <protection hidden="1"/>
    </xf>
    <xf numFmtId="0" fontId="12" fillId="0" borderId="101" xfId="0" applyFont="1" applyBorder="1" applyAlignment="1" applyProtection="1">
      <alignment horizontal="center" wrapText="1"/>
      <protection hidden="1"/>
    </xf>
    <xf numFmtId="0" fontId="12" fillId="0" borderId="102" xfId="0" applyFont="1" applyBorder="1" applyAlignment="1" applyProtection="1">
      <alignment horizontal="center" wrapText="1"/>
      <protection hidden="1"/>
    </xf>
    <xf numFmtId="0" fontId="12" fillId="0" borderId="103" xfId="0" applyFont="1" applyBorder="1" applyAlignment="1" applyProtection="1">
      <alignment horizontal="center" wrapText="1"/>
      <protection hidden="1"/>
    </xf>
    <xf numFmtId="0" fontId="0" fillId="10" borderId="0" xfId="0" applyFill="1" applyAlignment="1" applyProtection="1">
      <alignment horizontal="center"/>
      <protection hidden="1"/>
    </xf>
    <xf numFmtId="0" fontId="0" fillId="15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12" borderId="0" xfId="0" applyFill="1" applyAlignment="1" applyProtection="1">
      <alignment horizontal="center"/>
      <protection hidden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0" fillId="2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0" fillId="0" borderId="107" xfId="0" applyBorder="1" applyAlignment="1">
      <alignment horizontal="center"/>
    </xf>
    <xf numFmtId="0" fontId="0" fillId="0" borderId="81" xfId="0" applyBorder="1" applyAlignment="1">
      <alignment horizontal="center"/>
    </xf>
    <xf numFmtId="0" fontId="0" fillId="0" borderId="78" xfId="0" applyBorder="1" applyAlignment="1">
      <alignment horizontal="center" wrapText="1"/>
    </xf>
    <xf numFmtId="0" fontId="0" fillId="0" borderId="79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79" xfId="0" applyBorder="1" applyAlignment="1">
      <alignment horizontal="center" wrapText="1"/>
    </xf>
    <xf numFmtId="0" fontId="0" fillId="0" borderId="80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82" xfId="0" applyBorder="1" applyAlignment="1">
      <alignment horizontal="center"/>
    </xf>
    <xf numFmtId="0" fontId="34" fillId="0" borderId="0" xfId="0" applyFont="1" applyAlignment="1" applyProtection="1">
      <alignment horizontal="right"/>
      <protection hidden="1"/>
    </xf>
    <xf numFmtId="0" fontId="10" fillId="32" borderId="37" xfId="0" applyFont="1" applyFill="1" applyBorder="1" applyAlignment="1" applyProtection="1">
      <alignment horizontal="center"/>
      <protection hidden="1"/>
    </xf>
    <xf numFmtId="49" fontId="29" fillId="42" borderId="36" xfId="0" applyNumberFormat="1" applyFont="1" applyFill="1" applyBorder="1" applyAlignment="1" applyProtection="1">
      <alignment horizontal="center" vertical="center"/>
      <protection locked="0"/>
    </xf>
    <xf numFmtId="0" fontId="29" fillId="42" borderId="37" xfId="0" applyFont="1" applyFill="1" applyBorder="1" applyAlignment="1" applyProtection="1">
      <alignment horizontal="center" vertical="center"/>
      <protection locked="0"/>
    </xf>
    <xf numFmtId="0" fontId="29" fillId="42" borderId="8" xfId="0" applyFont="1" applyFill="1" applyBorder="1" applyAlignment="1" applyProtection="1">
      <alignment horizontal="center" vertical="center"/>
      <protection locked="0"/>
    </xf>
    <xf numFmtId="0" fontId="29" fillId="42" borderId="0" xfId="0" applyFont="1" applyFill="1" applyAlignment="1" applyProtection="1">
      <alignment horizontal="center" vertical="center"/>
      <protection locked="0"/>
    </xf>
    <xf numFmtId="0" fontId="24" fillId="29" borderId="5" xfId="0" applyFont="1" applyFill="1" applyBorder="1" applyAlignment="1" applyProtection="1">
      <alignment horizontal="center"/>
      <protection hidden="1"/>
    </xf>
    <xf numFmtId="0" fontId="24" fillId="29" borderId="6" xfId="0" applyFont="1" applyFill="1" applyBorder="1" applyAlignment="1" applyProtection="1">
      <alignment horizontal="center"/>
      <protection hidden="1"/>
    </xf>
    <xf numFmtId="0" fontId="7" fillId="23" borderId="5" xfId="0" applyFont="1" applyFill="1" applyBorder="1" applyAlignment="1" applyProtection="1">
      <alignment horizontal="center"/>
      <protection hidden="1"/>
    </xf>
    <xf numFmtId="0" fontId="7" fillId="23" borderId="6" xfId="0" applyFont="1" applyFill="1" applyBorder="1" applyAlignment="1" applyProtection="1">
      <alignment horizontal="center"/>
      <protection hidden="1"/>
    </xf>
    <xf numFmtId="0" fontId="7" fillId="23" borderId="37" xfId="0" applyFont="1" applyFill="1" applyBorder="1" applyAlignment="1" applyProtection="1">
      <alignment horizontal="center"/>
      <protection hidden="1"/>
    </xf>
    <xf numFmtId="49" fontId="4" fillId="36" borderId="246" xfId="0" applyNumberFormat="1" applyFont="1" applyFill="1" applyBorder="1" applyAlignment="1" applyProtection="1">
      <alignment horizontal="center" vertical="center"/>
      <protection locked="0"/>
    </xf>
    <xf numFmtId="0" fontId="4" fillId="36" borderId="247" xfId="0" applyFont="1" applyFill="1" applyBorder="1" applyAlignment="1" applyProtection="1">
      <alignment horizontal="center" vertical="center"/>
      <protection locked="0"/>
    </xf>
    <xf numFmtId="0" fontId="4" fillId="36" borderId="248" xfId="0" applyFont="1" applyFill="1" applyBorder="1" applyAlignment="1" applyProtection="1">
      <alignment horizontal="center" vertical="center"/>
      <protection locked="0"/>
    </xf>
    <xf numFmtId="0" fontId="4" fillId="36" borderId="5" xfId="0" applyFont="1" applyFill="1" applyBorder="1" applyAlignment="1" applyProtection="1">
      <alignment horizontal="center" vertical="center"/>
      <protection locked="0"/>
    </xf>
    <xf numFmtId="0" fontId="4" fillId="36" borderId="6" xfId="0" applyFont="1" applyFill="1" applyBorder="1" applyAlignment="1" applyProtection="1">
      <alignment horizontal="center" vertical="center"/>
      <protection locked="0"/>
    </xf>
    <xf numFmtId="0" fontId="4" fillId="36" borderId="250" xfId="0" applyFont="1" applyFill="1" applyBorder="1" applyAlignment="1" applyProtection="1">
      <alignment horizontal="center" vertical="center"/>
      <protection locked="0"/>
    </xf>
    <xf numFmtId="49" fontId="4" fillId="36" borderId="5" xfId="0" applyNumberFormat="1" applyFont="1" applyFill="1" applyBorder="1" applyAlignment="1" applyProtection="1">
      <alignment horizontal="center" vertical="center"/>
      <protection locked="0"/>
    </xf>
    <xf numFmtId="49" fontId="4" fillId="42" borderId="234" xfId="0" applyNumberFormat="1" applyFont="1" applyFill="1" applyBorder="1" applyAlignment="1" applyProtection="1">
      <alignment horizontal="center" vertical="center"/>
      <protection locked="0"/>
    </xf>
    <xf numFmtId="0" fontId="4" fillId="42" borderId="234" xfId="0" applyFont="1" applyFill="1" applyBorder="1" applyAlignment="1" applyProtection="1">
      <alignment horizontal="center" vertical="center"/>
      <protection locked="0"/>
    </xf>
    <xf numFmtId="0" fontId="4" fillId="42" borderId="241" xfId="0" applyFont="1" applyFill="1" applyBorder="1" applyAlignment="1" applyProtection="1">
      <alignment horizontal="center" vertical="center"/>
      <protection locked="0"/>
    </xf>
    <xf numFmtId="49" fontId="4" fillId="42" borderId="232" xfId="0" applyNumberFormat="1" applyFont="1" applyFill="1" applyBorder="1" applyAlignment="1" applyProtection="1">
      <alignment horizontal="left" vertical="top"/>
      <protection locked="0"/>
    </xf>
    <xf numFmtId="0" fontId="4" fillId="42" borderId="232" xfId="0" applyFont="1" applyFill="1" applyBorder="1" applyAlignment="1" applyProtection="1">
      <alignment horizontal="left" vertical="top"/>
      <protection locked="0"/>
    </xf>
    <xf numFmtId="0" fontId="4" fillId="42" borderId="235" xfId="0" applyFont="1" applyFill="1" applyBorder="1" applyAlignment="1" applyProtection="1">
      <alignment horizontal="left" vertical="top"/>
      <protection locked="0"/>
    </xf>
    <xf numFmtId="49" fontId="4" fillId="42" borderId="240" xfId="0" applyNumberFormat="1" applyFont="1" applyFill="1" applyBorder="1" applyAlignment="1" applyProtection="1">
      <alignment horizontal="left" vertical="top"/>
      <protection locked="0"/>
    </xf>
    <xf numFmtId="0" fontId="4" fillId="42" borderId="240" xfId="0" applyFont="1" applyFill="1" applyBorder="1" applyAlignment="1" applyProtection="1">
      <alignment horizontal="left" vertical="top"/>
      <protection locked="0"/>
    </xf>
    <xf numFmtId="0" fontId="4" fillId="42" borderId="242" xfId="0" applyFont="1" applyFill="1" applyBorder="1" applyAlignment="1" applyProtection="1">
      <alignment horizontal="left" vertical="top"/>
      <protection locked="0"/>
    </xf>
    <xf numFmtId="49" fontId="41" fillId="32" borderId="216" xfId="0" applyNumberFormat="1" applyFont="1" applyFill="1" applyBorder="1" applyAlignment="1" applyProtection="1">
      <alignment horizontal="left"/>
      <protection locked="0" hidden="1"/>
    </xf>
    <xf numFmtId="0" fontId="41" fillId="32" borderId="211" xfId="0" applyFont="1" applyFill="1" applyBorder="1" applyAlignment="1" applyProtection="1">
      <alignment horizontal="left"/>
      <protection locked="0" hidden="1"/>
    </xf>
    <xf numFmtId="0" fontId="41" fillId="32" borderId="217" xfId="0" applyFont="1" applyFill="1" applyBorder="1" applyAlignment="1" applyProtection="1">
      <alignment horizontal="left"/>
      <protection locked="0" hidden="1"/>
    </xf>
    <xf numFmtId="0" fontId="0" fillId="0" borderId="113" xfId="0" applyBorder="1" applyAlignment="1" applyProtection="1">
      <alignment horizontal="center"/>
      <protection locked="0"/>
    </xf>
    <xf numFmtId="0" fontId="0" fillId="0" borderId="114" xfId="0" applyBorder="1" applyAlignment="1" applyProtection="1">
      <alignment horizontal="center"/>
      <protection locked="0"/>
    </xf>
    <xf numFmtId="0" fontId="0" fillId="0" borderId="115" xfId="0" applyBorder="1" applyAlignment="1" applyProtection="1">
      <alignment horizontal="center"/>
      <protection locked="0"/>
    </xf>
    <xf numFmtId="0" fontId="4" fillId="5" borderId="5" xfId="0" applyFont="1" applyFill="1" applyBorder="1" applyAlignment="1" applyProtection="1">
      <alignment horizontal="center"/>
      <protection hidden="1"/>
    </xf>
    <xf numFmtId="0" fontId="4" fillId="5" borderId="6" xfId="0" applyFont="1" applyFill="1" applyBorder="1" applyAlignment="1" applyProtection="1">
      <alignment horizontal="center"/>
      <protection hidden="1"/>
    </xf>
    <xf numFmtId="0" fontId="4" fillId="5" borderId="37" xfId="0" applyFont="1" applyFill="1" applyBorder="1" applyAlignment="1" applyProtection="1">
      <alignment horizontal="center"/>
      <protection hidden="1"/>
    </xf>
    <xf numFmtId="0" fontId="4" fillId="0" borderId="4" xfId="0" applyFont="1" applyBorder="1" applyAlignment="1" applyProtection="1">
      <alignment horizontal="center"/>
      <protection hidden="1"/>
    </xf>
    <xf numFmtId="0" fontId="0" fillId="0" borderId="64" xfId="0" applyBorder="1" applyAlignment="1" applyProtection="1">
      <alignment horizontal="center"/>
      <protection locked="0"/>
    </xf>
    <xf numFmtId="0" fontId="0" fillId="0" borderId="65" xfId="0" applyBorder="1" applyAlignment="1" applyProtection="1">
      <alignment horizontal="center"/>
      <protection locked="0"/>
    </xf>
    <xf numFmtId="0" fontId="0" fillId="0" borderId="66" xfId="0" applyBorder="1" applyAlignment="1" applyProtection="1">
      <alignment horizontal="center"/>
      <protection locked="0"/>
    </xf>
    <xf numFmtId="0" fontId="26" fillId="33" borderId="5" xfId="0" applyFont="1" applyFill="1" applyBorder="1" applyAlignment="1" applyProtection="1">
      <alignment horizontal="center"/>
      <protection hidden="1"/>
    </xf>
    <xf numFmtId="0" fontId="26" fillId="33" borderId="6" xfId="0" applyFont="1" applyFill="1" applyBorder="1" applyAlignment="1" applyProtection="1">
      <alignment horizontal="center"/>
      <protection hidden="1"/>
    </xf>
    <xf numFmtId="0" fontId="26" fillId="33" borderId="7" xfId="0" applyFont="1" applyFill="1" applyBorder="1" applyAlignment="1" applyProtection="1">
      <alignment horizontal="center"/>
      <protection hidden="1"/>
    </xf>
    <xf numFmtId="0" fontId="26" fillId="28" borderId="6" xfId="0" applyFont="1" applyFill="1" applyBorder="1" applyAlignment="1" applyProtection="1">
      <alignment horizontal="center"/>
      <protection hidden="1"/>
    </xf>
    <xf numFmtId="0" fontId="0" fillId="0" borderId="95" xfId="0" applyBorder="1" applyAlignment="1" applyProtection="1">
      <alignment horizontal="center"/>
      <protection locked="0"/>
    </xf>
    <xf numFmtId="0" fontId="0" fillId="0" borderId="96" xfId="0" applyBorder="1" applyAlignment="1" applyProtection="1">
      <alignment horizontal="center"/>
      <protection locked="0"/>
    </xf>
    <xf numFmtId="0" fontId="0" fillId="0" borderId="97" xfId="0" applyBorder="1" applyAlignment="1" applyProtection="1">
      <alignment horizontal="center"/>
      <protection locked="0"/>
    </xf>
    <xf numFmtId="3" fontId="1" fillId="0" borderId="205" xfId="3" applyNumberFormat="1" applyBorder="1" applyAlignment="1" applyProtection="1">
      <alignment horizontal="center" vertical="center"/>
      <protection hidden="1"/>
    </xf>
    <xf numFmtId="3" fontId="1" fillId="0" borderId="207" xfId="3" applyNumberFormat="1" applyBorder="1" applyAlignment="1" applyProtection="1">
      <alignment horizontal="center" vertical="center"/>
      <protection hidden="1"/>
    </xf>
    <xf numFmtId="3" fontId="1" fillId="0" borderId="114" xfId="3" applyNumberFormat="1" applyBorder="1" applyAlignment="1" applyProtection="1">
      <alignment horizontal="center" vertical="center"/>
      <protection hidden="1"/>
    </xf>
    <xf numFmtId="0" fontId="1" fillId="0" borderId="205" xfId="3" applyBorder="1" applyAlignment="1" applyProtection="1">
      <alignment horizontal="center" vertical="center"/>
      <protection hidden="1"/>
    </xf>
    <xf numFmtId="0" fontId="1" fillId="0" borderId="207" xfId="3" applyBorder="1" applyAlignment="1" applyProtection="1">
      <alignment horizontal="center" vertical="center"/>
      <protection hidden="1"/>
    </xf>
    <xf numFmtId="2" fontId="5" fillId="0" borderId="123" xfId="3" applyNumberFormat="1" applyFont="1" applyBorder="1" applyAlignment="1" applyProtection="1">
      <alignment horizontal="center" vertical="center" wrapText="1"/>
      <protection hidden="1"/>
    </xf>
    <xf numFmtId="2" fontId="5" fillId="0" borderId="213" xfId="3" applyNumberFormat="1" applyFont="1" applyBorder="1" applyAlignment="1" applyProtection="1">
      <alignment horizontal="center" vertical="center" wrapText="1"/>
      <protection hidden="1"/>
    </xf>
    <xf numFmtId="2" fontId="5" fillId="0" borderId="215" xfId="3" applyNumberFormat="1" applyFont="1" applyBorder="1" applyAlignment="1" applyProtection="1">
      <alignment horizontal="center" vertical="center" wrapText="1"/>
      <protection hidden="1"/>
    </xf>
    <xf numFmtId="2" fontId="5" fillId="0" borderId="69" xfId="3" applyNumberFormat="1" applyFont="1" applyBorder="1" applyAlignment="1" applyProtection="1">
      <alignment horizontal="center" vertical="center" wrapText="1"/>
      <protection hidden="1"/>
    </xf>
    <xf numFmtId="2" fontId="5" fillId="0" borderId="70" xfId="3" applyNumberFormat="1" applyFont="1" applyBorder="1" applyAlignment="1" applyProtection="1">
      <alignment horizontal="center" vertical="center" wrapText="1"/>
      <protection hidden="1"/>
    </xf>
    <xf numFmtId="2" fontId="5" fillId="0" borderId="216" xfId="3" applyNumberFormat="1" applyFont="1" applyBorder="1" applyAlignment="1" applyProtection="1">
      <alignment horizontal="center" vertical="center" wrapText="1"/>
      <protection hidden="1"/>
    </xf>
    <xf numFmtId="2" fontId="5" fillId="0" borderId="217" xfId="3" applyNumberFormat="1" applyFont="1" applyBorder="1" applyAlignment="1" applyProtection="1">
      <alignment horizontal="center" vertical="center" wrapText="1"/>
      <protection hidden="1"/>
    </xf>
    <xf numFmtId="2" fontId="5" fillId="0" borderId="218" xfId="3" applyNumberFormat="1" applyFont="1" applyBorder="1" applyAlignment="1" applyProtection="1">
      <alignment horizontal="center" vertical="center" wrapText="1"/>
      <protection hidden="1"/>
    </xf>
    <xf numFmtId="2" fontId="5" fillId="0" borderId="2" xfId="3" applyNumberFormat="1" applyFont="1" applyBorder="1" applyAlignment="1" applyProtection="1">
      <alignment horizontal="center" vertical="center" wrapText="1"/>
      <protection hidden="1"/>
    </xf>
    <xf numFmtId="2" fontId="5" fillId="0" borderId="219" xfId="3" applyNumberFormat="1" applyFont="1" applyBorder="1" applyAlignment="1" applyProtection="1">
      <alignment horizontal="center" vertical="center" wrapText="1"/>
      <protection hidden="1"/>
    </xf>
    <xf numFmtId="2" fontId="4" fillId="0" borderId="216" xfId="3" applyNumberFormat="1" applyFont="1" applyBorder="1" applyAlignment="1" applyProtection="1">
      <alignment horizontal="center" vertical="center"/>
      <protection hidden="1"/>
    </xf>
    <xf numFmtId="2" fontId="4" fillId="0" borderId="211" xfId="3" applyNumberFormat="1" applyFont="1" applyBorder="1" applyAlignment="1" applyProtection="1">
      <alignment horizontal="center" vertical="center"/>
      <protection hidden="1"/>
    </xf>
    <xf numFmtId="2" fontId="4" fillId="0" borderId="220" xfId="3" applyNumberFormat="1" applyFont="1" applyBorder="1" applyAlignment="1" applyProtection="1">
      <alignment horizontal="center" vertical="center"/>
      <protection hidden="1"/>
    </xf>
    <xf numFmtId="0" fontId="5" fillId="0" borderId="218" xfId="3" applyFont="1" applyBorder="1" applyAlignment="1" applyProtection="1">
      <alignment horizontal="center" vertical="center"/>
      <protection hidden="1"/>
    </xf>
    <xf numFmtId="0" fontId="5" fillId="0" borderId="2" xfId="3" applyFont="1" applyBorder="1" applyAlignment="1" applyProtection="1">
      <alignment horizontal="center" vertical="center"/>
      <protection hidden="1"/>
    </xf>
    <xf numFmtId="0" fontId="5" fillId="0" borderId="219" xfId="3" applyFont="1" applyBorder="1" applyAlignment="1" applyProtection="1">
      <alignment horizontal="center" vertical="center"/>
      <protection hidden="1"/>
    </xf>
    <xf numFmtId="2" fontId="55" fillId="0" borderId="69" xfId="3" applyNumberFormat="1" applyFont="1" applyBorder="1" applyAlignment="1" applyProtection="1">
      <alignment horizontal="center" vertical="center"/>
      <protection hidden="1"/>
    </xf>
    <xf numFmtId="2" fontId="55" fillId="0" borderId="0" xfId="3" applyNumberFormat="1" applyFont="1" applyAlignment="1" applyProtection="1">
      <alignment horizontal="center" vertical="center"/>
      <protection hidden="1"/>
    </xf>
    <xf numFmtId="2" fontId="55" fillId="0" borderId="9" xfId="3" applyNumberFormat="1" applyFont="1" applyBorder="1" applyAlignment="1" applyProtection="1">
      <alignment horizontal="center" vertical="center"/>
      <protection hidden="1"/>
    </xf>
    <xf numFmtId="2" fontId="57" fillId="0" borderId="219" xfId="3" applyNumberFormat="1" applyFont="1" applyBorder="1" applyAlignment="1" applyProtection="1">
      <alignment horizontal="center" vertical="center" wrapText="1"/>
      <protection hidden="1"/>
    </xf>
    <xf numFmtId="2" fontId="57" fillId="0" borderId="123" xfId="3" applyNumberFormat="1" applyFont="1" applyBorder="1" applyAlignment="1" applyProtection="1">
      <alignment horizontal="center" vertical="center" wrapText="1"/>
      <protection hidden="1"/>
    </xf>
    <xf numFmtId="0" fontId="1" fillId="0" borderId="123" xfId="3" applyBorder="1" applyAlignment="1" applyProtection="1">
      <alignment horizontal="center" vertical="center"/>
      <protection hidden="1"/>
    </xf>
    <xf numFmtId="0" fontId="5" fillId="0" borderId="218" xfId="3" applyFont="1" applyBorder="1" applyAlignment="1" applyProtection="1">
      <alignment horizontal="center" vertical="center" wrapText="1"/>
      <protection hidden="1"/>
    </xf>
    <xf numFmtId="0" fontId="6" fillId="0" borderId="123" xfId="3" applyFont="1" applyBorder="1" applyAlignment="1" applyProtection="1">
      <alignment horizontal="left" vertical="center"/>
      <protection hidden="1"/>
    </xf>
    <xf numFmtId="2" fontId="1" fillId="0" borderId="205" xfId="3" applyNumberFormat="1" applyBorder="1" applyAlignment="1" applyProtection="1">
      <alignment horizontal="left" vertical="center"/>
      <protection hidden="1"/>
    </xf>
    <xf numFmtId="2" fontId="1" fillId="0" borderId="206" xfId="3" applyNumberFormat="1" applyBorder="1" applyAlignment="1" applyProtection="1">
      <alignment horizontal="left" vertical="center"/>
      <protection hidden="1"/>
    </xf>
    <xf numFmtId="0" fontId="55" fillId="0" borderId="213" xfId="3" applyFont="1" applyBorder="1" applyAlignment="1" applyProtection="1">
      <alignment horizontal="center" vertical="center"/>
      <protection hidden="1"/>
    </xf>
    <xf numFmtId="0" fontId="55" fillId="0" borderId="214" xfId="3" applyFont="1" applyBorder="1" applyAlignment="1" applyProtection="1">
      <alignment horizontal="center" vertical="center"/>
      <protection hidden="1"/>
    </xf>
    <xf numFmtId="0" fontId="55" fillId="0" borderId="215" xfId="3" applyFont="1" applyBorder="1" applyAlignment="1" applyProtection="1">
      <alignment horizontal="center" vertical="center"/>
      <protection hidden="1"/>
    </xf>
    <xf numFmtId="0" fontId="55" fillId="0" borderId="216" xfId="3" applyFont="1" applyBorder="1" applyAlignment="1" applyProtection="1">
      <alignment horizontal="center" vertical="center"/>
      <protection hidden="1"/>
    </xf>
    <xf numFmtId="0" fontId="55" fillId="0" borderId="211" xfId="3" applyFont="1" applyBorder="1" applyAlignment="1" applyProtection="1">
      <alignment horizontal="center" vertical="center"/>
      <protection hidden="1"/>
    </xf>
    <xf numFmtId="0" fontId="55" fillId="0" borderId="217" xfId="3" applyFont="1" applyBorder="1" applyAlignment="1" applyProtection="1">
      <alignment horizontal="center" vertical="center"/>
      <protection hidden="1"/>
    </xf>
    <xf numFmtId="0" fontId="55" fillId="0" borderId="0" xfId="3" applyFont="1" applyAlignment="1" applyProtection="1">
      <alignment horizontal="center" vertical="center"/>
      <protection hidden="1"/>
    </xf>
    <xf numFmtId="0" fontId="55" fillId="0" borderId="70" xfId="3" applyFont="1" applyBorder="1" applyAlignment="1" applyProtection="1">
      <alignment horizontal="center" vertical="center"/>
      <protection hidden="1"/>
    </xf>
    <xf numFmtId="2" fontId="5" fillId="0" borderId="2" xfId="3" applyNumberFormat="1" applyFont="1" applyBorder="1" applyAlignment="1" applyProtection="1">
      <alignment horizontal="center" vertical="center"/>
      <protection hidden="1"/>
    </xf>
    <xf numFmtId="2" fontId="5" fillId="0" borderId="219" xfId="3" applyNumberFormat="1" applyFont="1" applyBorder="1" applyAlignment="1" applyProtection="1">
      <alignment horizontal="center" vertical="center"/>
      <protection hidden="1"/>
    </xf>
    <xf numFmtId="2" fontId="1" fillId="0" borderId="0" xfId="3" applyNumberFormat="1" applyAlignment="1" applyProtection="1">
      <alignment horizontal="left" vertical="center"/>
      <protection hidden="1"/>
    </xf>
    <xf numFmtId="0" fontId="1" fillId="0" borderId="69" xfId="3" applyBorder="1" applyAlignment="1" applyProtection="1">
      <alignment horizontal="right" vertical="center"/>
      <protection hidden="1"/>
    </xf>
    <xf numFmtId="0" fontId="1" fillId="0" borderId="0" xfId="3" applyAlignment="1" applyProtection="1">
      <alignment horizontal="right" vertical="center"/>
      <protection hidden="1"/>
    </xf>
    <xf numFmtId="4" fontId="1" fillId="0" borderId="0" xfId="3" applyNumberFormat="1" applyAlignment="1" applyProtection="1">
      <alignment horizontal="center" vertical="center"/>
      <protection hidden="1"/>
    </xf>
    <xf numFmtId="4" fontId="1" fillId="0" borderId="70" xfId="3" applyNumberFormat="1" applyBorder="1" applyAlignment="1" applyProtection="1">
      <alignment horizontal="center" vertical="center"/>
      <protection hidden="1"/>
    </xf>
    <xf numFmtId="2" fontId="1" fillId="0" borderId="213" xfId="3" applyNumberFormat="1" applyBorder="1" applyAlignment="1" applyProtection="1">
      <alignment horizontal="left" vertical="center"/>
      <protection hidden="1"/>
    </xf>
    <xf numFmtId="2" fontId="1" fillId="0" borderId="214" xfId="3" applyNumberFormat="1" applyBorder="1" applyAlignment="1" applyProtection="1">
      <alignment horizontal="left" vertical="center"/>
      <protection hidden="1"/>
    </xf>
    <xf numFmtId="2" fontId="1" fillId="0" borderId="215" xfId="3" applyNumberFormat="1" applyBorder="1" applyAlignment="1" applyProtection="1">
      <alignment horizontal="left" vertical="center"/>
      <protection hidden="1"/>
    </xf>
    <xf numFmtId="2" fontId="1" fillId="0" borderId="216" xfId="3" applyNumberFormat="1" applyBorder="1" applyAlignment="1" applyProtection="1">
      <alignment horizontal="left" vertical="center"/>
      <protection hidden="1"/>
    </xf>
    <xf numFmtId="2" fontId="1" fillId="0" borderId="211" xfId="3" applyNumberFormat="1" applyBorder="1" applyAlignment="1" applyProtection="1">
      <alignment horizontal="left" vertical="center"/>
      <protection hidden="1"/>
    </xf>
    <xf numFmtId="2" fontId="1" fillId="0" borderId="217" xfId="3" applyNumberFormat="1" applyBorder="1" applyAlignment="1" applyProtection="1">
      <alignment horizontal="left" vertical="center"/>
      <protection hidden="1"/>
    </xf>
    <xf numFmtId="2" fontId="1" fillId="0" borderId="69" xfId="3" applyNumberFormat="1" applyBorder="1" applyAlignment="1" applyProtection="1">
      <alignment horizontal="right" vertical="center"/>
      <protection hidden="1"/>
    </xf>
    <xf numFmtId="2" fontId="1" fillId="0" borderId="0" xfId="3" applyNumberFormat="1" applyAlignment="1" applyProtection="1">
      <alignment horizontal="right" vertical="center"/>
      <protection hidden="1"/>
    </xf>
    <xf numFmtId="2" fontId="1" fillId="0" borderId="216" xfId="3" applyNumberFormat="1" applyBorder="1" applyAlignment="1" applyProtection="1">
      <alignment horizontal="right" vertical="center"/>
      <protection hidden="1"/>
    </xf>
    <xf numFmtId="2" fontId="1" fillId="0" borderId="211" xfId="3" applyNumberFormat="1" applyBorder="1" applyAlignment="1" applyProtection="1">
      <alignment horizontal="right" vertical="center"/>
      <protection hidden="1"/>
    </xf>
    <xf numFmtId="4" fontId="1" fillId="0" borderId="211" xfId="3" applyNumberFormat="1" applyBorder="1" applyAlignment="1" applyProtection="1">
      <alignment horizontal="center" vertical="center"/>
      <protection hidden="1"/>
    </xf>
    <xf numFmtId="2" fontId="1" fillId="0" borderId="0" xfId="3" applyNumberFormat="1" applyAlignment="1" applyProtection="1">
      <alignment horizontal="center" vertical="center"/>
      <protection hidden="1"/>
    </xf>
    <xf numFmtId="2" fontId="1" fillId="0" borderId="211" xfId="3" applyNumberFormat="1" applyBorder="1" applyAlignment="1" applyProtection="1">
      <alignment horizontal="center" vertical="center"/>
      <protection hidden="1"/>
    </xf>
    <xf numFmtId="4" fontId="1" fillId="0" borderId="217" xfId="3" applyNumberFormat="1" applyBorder="1" applyAlignment="1" applyProtection="1">
      <alignment horizontal="center" vertical="center"/>
      <protection hidden="1"/>
    </xf>
    <xf numFmtId="2" fontId="1" fillId="0" borderId="213" xfId="3" applyNumberFormat="1" applyBorder="1" applyAlignment="1" applyProtection="1">
      <alignment vertical="center"/>
      <protection hidden="1"/>
    </xf>
    <xf numFmtId="2" fontId="1" fillId="0" borderId="214" xfId="3" applyNumberFormat="1" applyBorder="1" applyAlignment="1" applyProtection="1">
      <alignment vertical="center"/>
      <protection hidden="1"/>
    </xf>
    <xf numFmtId="2" fontId="1" fillId="0" borderId="215" xfId="3" applyNumberFormat="1" applyBorder="1" applyAlignment="1" applyProtection="1">
      <alignment vertical="center"/>
      <protection hidden="1"/>
    </xf>
    <xf numFmtId="2" fontId="1" fillId="0" borderId="216" xfId="3" applyNumberFormat="1" applyBorder="1" applyAlignment="1" applyProtection="1">
      <alignment vertical="center"/>
      <protection hidden="1"/>
    </xf>
    <xf numFmtId="2" fontId="1" fillId="0" borderId="211" xfId="3" applyNumberFormat="1" applyBorder="1" applyAlignment="1" applyProtection="1">
      <alignment vertical="center"/>
      <protection hidden="1"/>
    </xf>
    <xf numFmtId="2" fontId="1" fillId="0" borderId="217" xfId="3" applyNumberFormat="1" applyBorder="1" applyAlignment="1" applyProtection="1">
      <alignment vertical="center"/>
      <protection hidden="1"/>
    </xf>
    <xf numFmtId="2" fontId="1" fillId="0" borderId="67" xfId="3" applyNumberFormat="1" applyBorder="1" applyAlignment="1" applyProtection="1">
      <alignment horizontal="center" vertical="center"/>
      <protection hidden="1"/>
    </xf>
    <xf numFmtId="2" fontId="1" fillId="0" borderId="69" xfId="3" applyNumberFormat="1" applyBorder="1" applyAlignment="1" applyProtection="1">
      <alignment horizontal="center" vertical="center"/>
      <protection hidden="1"/>
    </xf>
    <xf numFmtId="2" fontId="1" fillId="0" borderId="216" xfId="3" applyNumberFormat="1" applyBorder="1" applyAlignment="1" applyProtection="1">
      <alignment horizontal="center" vertical="center"/>
      <protection hidden="1"/>
    </xf>
    <xf numFmtId="2" fontId="1" fillId="0" borderId="37" xfId="3" applyNumberFormat="1" applyBorder="1" applyAlignment="1" applyProtection="1">
      <alignment horizontal="center" vertical="center"/>
      <protection hidden="1"/>
    </xf>
    <xf numFmtId="2" fontId="1" fillId="0" borderId="38" xfId="3" applyNumberFormat="1" applyBorder="1" applyAlignment="1" applyProtection="1">
      <alignment horizontal="center" vertical="center"/>
      <protection hidden="1"/>
    </xf>
    <xf numFmtId="2" fontId="1" fillId="0" borderId="9" xfId="3" applyNumberFormat="1" applyBorder="1" applyAlignment="1" applyProtection="1">
      <alignment horizontal="center" vertical="center"/>
      <protection hidden="1"/>
    </xf>
    <xf numFmtId="1" fontId="1" fillId="0" borderId="0" xfId="3" applyNumberFormat="1" applyAlignment="1" applyProtection="1">
      <alignment horizontal="left" vertical="center"/>
      <protection hidden="1"/>
    </xf>
    <xf numFmtId="2" fontId="56" fillId="0" borderId="67" xfId="3" applyNumberFormat="1" applyFont="1" applyBorder="1" applyAlignment="1" applyProtection="1">
      <alignment horizontal="center" vertical="center"/>
      <protection hidden="1"/>
    </xf>
    <xf numFmtId="2" fontId="56" fillId="0" borderId="37" xfId="3" applyNumberFormat="1" applyFont="1" applyBorder="1" applyAlignment="1" applyProtection="1">
      <alignment horizontal="center" vertical="center"/>
      <protection hidden="1"/>
    </xf>
    <xf numFmtId="2" fontId="56" fillId="0" borderId="68" xfId="3" applyNumberFormat="1" applyFont="1" applyBorder="1" applyAlignment="1" applyProtection="1">
      <alignment horizontal="center" vertical="center"/>
      <protection hidden="1"/>
    </xf>
    <xf numFmtId="2" fontId="56" fillId="0" borderId="69" xfId="3" applyNumberFormat="1" applyFont="1" applyBorder="1" applyAlignment="1" applyProtection="1">
      <alignment horizontal="center" vertical="center"/>
      <protection hidden="1"/>
    </xf>
    <xf numFmtId="2" fontId="56" fillId="0" borderId="0" xfId="3" applyNumberFormat="1" applyFont="1" applyAlignment="1" applyProtection="1">
      <alignment horizontal="center" vertical="center"/>
      <protection hidden="1"/>
    </xf>
    <xf numFmtId="2" fontId="56" fillId="0" borderId="70" xfId="3" applyNumberFormat="1" applyFont="1" applyBorder="1" applyAlignment="1" applyProtection="1">
      <alignment horizontal="center" vertical="center"/>
      <protection hidden="1"/>
    </xf>
    <xf numFmtId="2" fontId="56" fillId="0" borderId="216" xfId="3" applyNumberFormat="1" applyFont="1" applyBorder="1" applyAlignment="1" applyProtection="1">
      <alignment horizontal="center" vertical="center"/>
      <protection hidden="1"/>
    </xf>
    <xf numFmtId="2" fontId="56" fillId="0" borderId="211" xfId="3" applyNumberFormat="1" applyFont="1" applyBorder="1" applyAlignment="1" applyProtection="1">
      <alignment horizontal="center" vertical="center"/>
      <protection hidden="1"/>
    </xf>
    <xf numFmtId="2" fontId="56" fillId="0" borderId="217" xfId="3" applyNumberFormat="1" applyFont="1" applyBorder="1" applyAlignment="1" applyProtection="1">
      <alignment horizontal="center" vertical="center"/>
      <protection hidden="1"/>
    </xf>
    <xf numFmtId="0" fontId="1" fillId="0" borderId="37" xfId="3" applyBorder="1" applyAlignment="1" applyProtection="1">
      <alignment horizontal="center" vertical="center"/>
      <protection hidden="1"/>
    </xf>
    <xf numFmtId="0" fontId="1" fillId="0" borderId="0" xfId="3" applyAlignment="1" applyProtection="1">
      <alignment horizontal="center" vertical="center"/>
      <protection hidden="1"/>
    </xf>
    <xf numFmtId="0" fontId="54" fillId="12" borderId="0" xfId="3" applyFont="1" applyFill="1" applyAlignment="1" applyProtection="1">
      <alignment horizontal="center" vertical="center"/>
      <protection hidden="1"/>
    </xf>
    <xf numFmtId="2" fontId="1" fillId="0" borderId="67" xfId="3" applyNumberFormat="1" applyBorder="1" applyAlignment="1" applyProtection="1">
      <alignment horizontal="right" vertical="center"/>
      <protection hidden="1"/>
    </xf>
    <xf numFmtId="2" fontId="1" fillId="0" borderId="37" xfId="3" applyNumberFormat="1" applyBorder="1" applyAlignment="1" applyProtection="1">
      <alignment horizontal="right" vertical="center"/>
      <protection hidden="1"/>
    </xf>
  </cellXfs>
  <cellStyles count="18">
    <cellStyle name="Comma [0]" xfId="1" xr:uid="{00000000-0005-0000-0000-000000000000}"/>
    <cellStyle name="Currency [0]" xfId="2" xr:uid="{00000000-0005-0000-0000-000001000000}"/>
    <cellStyle name="Euro" xfId="5" xr:uid="{00000000-0005-0000-0000-000002000000}"/>
    <cellStyle name="Hipervínculo 2" xfId="6" xr:uid="{00000000-0005-0000-0000-000003000000}"/>
    <cellStyle name="Millares 2" xfId="7" xr:uid="{00000000-0005-0000-0000-000004000000}"/>
    <cellStyle name="Moneda 2" xfId="8" xr:uid="{00000000-0005-0000-0000-000005000000}"/>
    <cellStyle name="Moneda 3" xfId="9" xr:uid="{00000000-0005-0000-0000-000006000000}"/>
    <cellStyle name="Normal" xfId="0" builtinId="0"/>
    <cellStyle name="Normal 2" xfId="3" xr:uid="{00000000-0005-0000-0000-000008000000}"/>
    <cellStyle name="Normal 2 2" xfId="4" xr:uid="{00000000-0005-0000-0000-000009000000}"/>
    <cellStyle name="Normal 3" xfId="10" xr:uid="{00000000-0005-0000-0000-00000A000000}"/>
    <cellStyle name="Normal 3 2" xfId="11" xr:uid="{00000000-0005-0000-0000-00000B000000}"/>
    <cellStyle name="Normal 3 3" xfId="12" xr:uid="{00000000-0005-0000-0000-00000C000000}"/>
    <cellStyle name="Normal 4" xfId="13" xr:uid="{00000000-0005-0000-0000-00000D000000}"/>
    <cellStyle name="Normal 4 2" xfId="14" xr:uid="{00000000-0005-0000-0000-00000E000000}"/>
    <cellStyle name="Normal 5" xfId="15" xr:uid="{00000000-0005-0000-0000-00000F000000}"/>
    <cellStyle name="Normal 6" xfId="16" xr:uid="{00000000-0005-0000-0000-000010000000}"/>
    <cellStyle name="Normal 7" xfId="17" xr:uid="{00000000-0005-0000-0000-000011000000}"/>
  </cellStyles>
  <dxfs count="765"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indexed="10"/>
        </patternFill>
      </fill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indexed="10"/>
        </patternFill>
      </fill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indexed="10"/>
        </patternFill>
      </fill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indexed="10"/>
        </patternFill>
      </fill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indexed="10"/>
        </patternFill>
      </fill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indexed="10"/>
        </patternFill>
      </fill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indexed="10"/>
        </patternFill>
      </fill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indexed="10"/>
        </patternFill>
      </fill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indexed="10"/>
        </patternFill>
      </fill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indexed="1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1" hidden="1"/>
    </dxf>
    <dxf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color auto="1"/>
      </font>
      <fill>
        <patternFill patternType="solid">
          <bgColor theme="8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rgb="FFFF0000"/>
      </font>
      <fill>
        <patternFill>
          <bgColor theme="8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indexed="10"/>
        </patternFill>
      </fill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indexed="10"/>
        </patternFill>
      </fill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9" defaultPivotStyle="PivotStyleLight16"/>
  <colors>
    <mruColors>
      <color rgb="FF84C6B6"/>
      <color rgb="FF66FFCC"/>
      <color rgb="FF66FFFF"/>
      <color rgb="FF66FF66"/>
      <color rgb="FFFFFF00"/>
      <color rgb="FFF8A968"/>
      <color rgb="FF008000"/>
      <color rgb="FF4D4D4D"/>
      <color rgb="FF5F5F5F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8562</xdr:colOff>
      <xdr:row>0</xdr:row>
      <xdr:rowOff>17124</xdr:rowOff>
    </xdr:from>
    <xdr:to>
      <xdr:col>0</xdr:col>
      <xdr:colOff>839920</xdr:colOff>
      <xdr:row>2</xdr:row>
      <xdr:rowOff>154113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62" y="17124"/>
          <a:ext cx="831358" cy="5393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87585</xdr:colOff>
      <xdr:row>0</xdr:row>
      <xdr:rowOff>8759</xdr:rowOff>
    </xdr:from>
    <xdr:to>
      <xdr:col>4</xdr:col>
      <xdr:colOff>0</xdr:colOff>
      <xdr:row>1</xdr:row>
      <xdr:rowOff>172895</xdr:rowOff>
    </xdr:to>
    <xdr:sp macro="[0]!ir_a_cable" textlink="">
      <xdr:nvSpPr>
        <xdr:cNvPr id="3" name="6 Rectángulo redondeado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87585" y="8759"/>
          <a:ext cx="1821794" cy="350344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000" b="1">
              <a:solidFill>
                <a:schemeClr val="tx1"/>
              </a:solidFill>
            </a:rPr>
            <a:t>Ir</a:t>
          </a:r>
          <a:r>
            <a:rPr lang="es-MX" sz="1000" b="1" baseline="0">
              <a:solidFill>
                <a:schemeClr val="tx1"/>
              </a:solidFill>
            </a:rPr>
            <a:t> a Cable →→</a:t>
          </a:r>
          <a:endParaRPr lang="es-MX" sz="10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</xdr:col>
      <xdr:colOff>40662</xdr:colOff>
      <xdr:row>22</xdr:row>
      <xdr:rowOff>76573</xdr:rowOff>
    </xdr:from>
    <xdr:to>
      <xdr:col>3</xdr:col>
      <xdr:colOff>306552</xdr:colOff>
      <xdr:row>25</xdr:row>
      <xdr:rowOff>132519</xdr:rowOff>
    </xdr:to>
    <xdr:sp macro="[0]!RecalcularTodo" textlink="">
      <xdr:nvSpPr>
        <xdr:cNvPr id="4" name="6 Rectángulo redondead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820179" y="672159"/>
          <a:ext cx="1010373" cy="536531"/>
        </a:xfrm>
        <a:prstGeom prst="roundRect">
          <a:avLst/>
        </a:prstGeom>
        <a:gradFill flip="none" rotWithShape="1">
          <a:gsLst>
            <a:gs pos="0">
              <a:schemeClr val="accent6">
                <a:lumMod val="40000"/>
                <a:lumOff val="60000"/>
              </a:schemeClr>
            </a:gs>
            <a:gs pos="46000">
              <a:schemeClr val="accent6">
                <a:lumMod val="95000"/>
                <a:lumOff val="5000"/>
              </a:schemeClr>
            </a:gs>
            <a:gs pos="100000">
              <a:schemeClr val="accent6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000" b="1">
              <a:solidFill>
                <a:schemeClr val="tx1"/>
              </a:solidFill>
            </a:rPr>
            <a:t>Recalcular</a:t>
          </a:r>
        </a:p>
      </xdr:txBody>
    </xdr:sp>
    <xdr:clientData/>
  </xdr:twoCellAnchor>
  <xdr:twoCellAnchor>
    <xdr:from>
      <xdr:col>71</xdr:col>
      <xdr:colOff>332828</xdr:colOff>
      <xdr:row>0</xdr:row>
      <xdr:rowOff>43794</xdr:rowOff>
    </xdr:from>
    <xdr:to>
      <xdr:col>78</xdr:col>
      <xdr:colOff>166413</xdr:colOff>
      <xdr:row>1</xdr:row>
      <xdr:rowOff>150314</xdr:rowOff>
    </xdr:to>
    <xdr:sp macro="[0]!ir_a_distancia" textlink="">
      <xdr:nvSpPr>
        <xdr:cNvPr id="8" name="6 Rectángulo redondeado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>
          <a:spLocks noChangeAspect="1"/>
        </xdr:cNvSpPr>
      </xdr:nvSpPr>
      <xdr:spPr>
        <a:xfrm>
          <a:off x="75884690" y="43794"/>
          <a:ext cx="6349999" cy="30796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000" b="1">
              <a:solidFill>
                <a:schemeClr val="tx1"/>
              </a:solidFill>
            </a:rPr>
            <a:t>←← Ir</a:t>
          </a:r>
          <a:r>
            <a:rPr lang="es-MX" sz="1000" b="1" baseline="0">
              <a:solidFill>
                <a:schemeClr val="tx1"/>
              </a:solidFill>
            </a:rPr>
            <a:t> a Distancia</a:t>
          </a:r>
          <a:endParaRPr lang="es-MX" sz="1000" b="1">
            <a:solidFill>
              <a:schemeClr val="tx1"/>
            </a:solidFill>
          </a:endParaRPr>
        </a:p>
      </xdr:txBody>
    </xdr:sp>
    <xdr:clientData fPrintsWithSheet="0"/>
  </xdr:twoCellAnchor>
  <xdr:twoCellAnchor>
    <xdr:from>
      <xdr:col>0</xdr:col>
      <xdr:colOff>8761</xdr:colOff>
      <xdr:row>23</xdr:row>
      <xdr:rowOff>35035</xdr:rowOff>
    </xdr:from>
    <xdr:to>
      <xdr:col>0</xdr:col>
      <xdr:colOff>751233</xdr:colOff>
      <xdr:row>26</xdr:row>
      <xdr:rowOff>35033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1" y="788276"/>
          <a:ext cx="742472" cy="481723"/>
        </a:xfrm>
        <a:prstGeom prst="rect">
          <a:avLst/>
        </a:prstGeom>
      </xdr:spPr>
    </xdr:pic>
    <xdr:clientData/>
  </xdr:twoCellAnchor>
  <xdr:twoCellAnchor editAs="oneCell">
    <xdr:from>
      <xdr:col>145</xdr:col>
      <xdr:colOff>35035</xdr:colOff>
      <xdr:row>23</xdr:row>
      <xdr:rowOff>17518</xdr:rowOff>
    </xdr:from>
    <xdr:to>
      <xdr:col>145</xdr:col>
      <xdr:colOff>1045408</xdr:colOff>
      <xdr:row>26</xdr:row>
      <xdr:rowOff>17518</xdr:rowOff>
    </xdr:to>
    <xdr:sp macro="[0]!simbolotablero" textlink="">
      <xdr:nvSpPr>
        <xdr:cNvPr id="5" name="6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36215321" y="769622"/>
          <a:ext cx="1010373" cy="484909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000" b="1">
              <a:solidFill>
                <a:schemeClr val="tx1"/>
              </a:solidFill>
            </a:rPr>
            <a:t>Símbolo</a:t>
          </a:r>
          <a:r>
            <a:rPr lang="es-MX" sz="1000" b="1" baseline="0">
              <a:solidFill>
                <a:schemeClr val="tx1"/>
              </a:solidFill>
            </a:rPr>
            <a:t> Tablero</a:t>
          </a:r>
          <a:endParaRPr lang="es-MX" sz="10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146</xdr:col>
      <xdr:colOff>131379</xdr:colOff>
      <xdr:row>23</xdr:row>
      <xdr:rowOff>35033</xdr:rowOff>
    </xdr:from>
    <xdr:to>
      <xdr:col>146</xdr:col>
      <xdr:colOff>1141752</xdr:colOff>
      <xdr:row>26</xdr:row>
      <xdr:rowOff>8758</xdr:rowOff>
    </xdr:to>
    <xdr:sp macro="[0]!dibujocampo" textlink="">
      <xdr:nvSpPr>
        <xdr:cNvPr id="6" name="6 Rectángulo redondeado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9885034" y="788274"/>
          <a:ext cx="1010373" cy="455449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000" b="1">
              <a:solidFill>
                <a:schemeClr val="tx1"/>
              </a:solidFill>
            </a:rPr>
            <a:t>Símbolo</a:t>
          </a:r>
          <a:r>
            <a:rPr lang="es-MX" sz="1000" b="1" baseline="0">
              <a:solidFill>
                <a:schemeClr val="tx1"/>
              </a:solidFill>
            </a:rPr>
            <a:t> Derivado</a:t>
          </a:r>
          <a:endParaRPr lang="es-MX" sz="10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145</xdr:col>
      <xdr:colOff>0</xdr:colOff>
      <xdr:row>2</xdr:row>
      <xdr:rowOff>0</xdr:rowOff>
    </xdr:from>
    <xdr:to>
      <xdr:col>146</xdr:col>
      <xdr:colOff>1033517</xdr:colOff>
      <xdr:row>22</xdr:row>
      <xdr:rowOff>108076</xdr:rowOff>
    </xdr:to>
    <xdr:sp macro="[0]!restaurasimbolo" textlink="">
      <xdr:nvSpPr>
        <xdr:cNvPr id="7" name="6 Rectángulo redondeado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36748345" y="376621"/>
          <a:ext cx="2259724" cy="324069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000" b="1">
              <a:solidFill>
                <a:schemeClr val="tx1"/>
              </a:solidFill>
            </a:rPr>
            <a:t>Restaura</a:t>
          </a:r>
          <a:r>
            <a:rPr lang="es-MX" sz="1000" b="1" baseline="0">
              <a:solidFill>
                <a:schemeClr val="tx1"/>
              </a:solidFill>
            </a:rPr>
            <a:t> Símbolo</a:t>
          </a:r>
          <a:endParaRPr lang="es-MX" sz="10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39585</xdr:colOff>
      <xdr:row>24</xdr:row>
      <xdr:rowOff>79168</xdr:rowOff>
    </xdr:from>
    <xdr:to>
      <xdr:col>7</xdr:col>
      <xdr:colOff>1049958</xdr:colOff>
      <xdr:row>28</xdr:row>
      <xdr:rowOff>148440</xdr:rowOff>
    </xdr:to>
    <xdr:sp macro="[0]!ACAELE_CARGA_TIPO_PUENTE" textlink="">
      <xdr:nvSpPr>
        <xdr:cNvPr id="11" name="6 Rectángulo redondeado">
          <a:extLst>
            <a:ext uri="{FF2B5EF4-FFF2-40B4-BE49-F238E27FC236}">
              <a16:creationId xmlns:a16="http://schemas.microsoft.com/office/drawing/2014/main" id="{8E02FFB1-9AAF-4343-93EC-558E9EF0A4DD}"/>
            </a:ext>
          </a:extLst>
        </xdr:cNvPr>
        <xdr:cNvSpPr/>
      </xdr:nvSpPr>
      <xdr:spPr>
        <a:xfrm>
          <a:off x="5264728" y="989610"/>
          <a:ext cx="1010373" cy="722415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000" b="1">
              <a:solidFill>
                <a:schemeClr val="tx1"/>
              </a:solidFill>
            </a:rPr>
            <a:t>DESCRIPCIÓNTIPO DE CARGA</a:t>
          </a:r>
        </a:p>
      </xdr:txBody>
    </xdr:sp>
    <xdr:clientData/>
  </xdr:twoCellAnchor>
  <xdr:twoCellAnchor editAs="oneCell">
    <xdr:from>
      <xdr:col>12</xdr:col>
      <xdr:colOff>1</xdr:colOff>
      <xdr:row>26</xdr:row>
      <xdr:rowOff>39584</xdr:rowOff>
    </xdr:from>
    <xdr:to>
      <xdr:col>12</xdr:col>
      <xdr:colOff>771897</xdr:colOff>
      <xdr:row>29</xdr:row>
      <xdr:rowOff>0</xdr:rowOff>
    </xdr:to>
    <xdr:sp macro="[0]!tipocanalizacion" textlink="">
      <xdr:nvSpPr>
        <xdr:cNvPr id="12" name="6 Rectángulo redondeado">
          <a:extLst>
            <a:ext uri="{FF2B5EF4-FFF2-40B4-BE49-F238E27FC236}">
              <a16:creationId xmlns:a16="http://schemas.microsoft.com/office/drawing/2014/main" id="{5BD56DD5-A3E6-49DD-AFCD-28A2DCCEDDF3}"/>
            </a:ext>
          </a:extLst>
        </xdr:cNvPr>
        <xdr:cNvSpPr/>
      </xdr:nvSpPr>
      <xdr:spPr>
        <a:xfrm>
          <a:off x="9223170" y="1276597"/>
          <a:ext cx="771896" cy="475013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000" b="1">
              <a:solidFill>
                <a:schemeClr val="tx1"/>
              </a:solidFill>
            </a:rPr>
            <a:t>TIPO DE CANALIZ</a:t>
          </a:r>
        </a:p>
      </xdr:txBody>
    </xdr:sp>
    <xdr:clientData/>
  </xdr:twoCellAnchor>
  <xdr:twoCellAnchor>
    <xdr:from>
      <xdr:col>17</xdr:col>
      <xdr:colOff>771896</xdr:colOff>
      <xdr:row>25</xdr:row>
      <xdr:rowOff>138545</xdr:rowOff>
    </xdr:from>
    <xdr:to>
      <xdr:col>19</xdr:col>
      <xdr:colOff>19792</xdr:colOff>
      <xdr:row>28</xdr:row>
      <xdr:rowOff>168233</xdr:rowOff>
    </xdr:to>
    <xdr:sp macro="[0]!tipocanalizacion2" textlink="">
      <xdr:nvSpPr>
        <xdr:cNvPr id="13" name="6 Rectángulo redondeado">
          <a:extLst>
            <a:ext uri="{FF2B5EF4-FFF2-40B4-BE49-F238E27FC236}">
              <a16:creationId xmlns:a16="http://schemas.microsoft.com/office/drawing/2014/main" id="{AADCE673-D04A-468C-801F-23368AB37F16}"/>
            </a:ext>
          </a:extLst>
        </xdr:cNvPr>
        <xdr:cNvSpPr/>
      </xdr:nvSpPr>
      <xdr:spPr>
        <a:xfrm>
          <a:off x="13607143" y="1207324"/>
          <a:ext cx="811480" cy="524493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000" b="1">
              <a:solidFill>
                <a:schemeClr val="tx1"/>
              </a:solidFill>
            </a:rPr>
            <a:t>TIPO DE CANALIZ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</xdr:row>
          <xdr:rowOff>30480</xdr:rowOff>
        </xdr:from>
        <xdr:to>
          <xdr:col>7</xdr:col>
          <xdr:colOff>45720</xdr:colOff>
          <xdr:row>2</xdr:row>
          <xdr:rowOff>83820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6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TABLA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acaele_5.xlam" TargetMode="External"/><Relationship Id="rId2" Type="http://schemas.openxmlformats.org/officeDocument/2006/relationships/externalLinkPath" Target="file:///C:\acaele\acaele_5.xlam" TargetMode="External"/><Relationship Id="rId1" Type="http://schemas.openxmlformats.org/officeDocument/2006/relationships/externalLinkPath" Target="/acaele/acaele_5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ACAELE_BD"/>
      <sheetName val="Hoja1"/>
      <sheetName val="LOG"/>
    </sheetNames>
    <definedNames>
      <definedName name="ACAELE_AREACAISLAMIENTO"/>
      <definedName name="ACAELE_AREACONDPTE"/>
      <definedName name="ACAELE_AREATOTAL"/>
      <definedName name="ACAELE_AREATOTAL2"/>
      <definedName name="ACAELE_Cablecaida"/>
      <definedName name="ACAELE_Cablecaida2"/>
      <definedName name="ACAELE_cablecalculo"/>
      <definedName name="ACAELE_CableCalTab"/>
      <definedName name="ACAELE_cabledetierra"/>
      <definedName name="ACAELE_CAIDAVOLTSFINAL"/>
      <definedName name="ACAELE_CAIDAVOLTSFINAL2"/>
      <definedName name="ACAELE_CAPACIDADCABLE"/>
      <definedName name="ACAELE_CAPACONDCORRIENTE"/>
      <definedName name="ACAELE_CARGA_CIRCUITO"/>
      <definedName name="ACAELE_CONDPORTCORRIENTE"/>
      <definedName name="ACAELE_DIAMECAISLA"/>
      <definedName name="acaele_DIB_UNIFILAR"/>
      <definedName name="ACAELE_Disparocalculado"/>
      <definedName name="ACAELE_encontrarcaida"/>
      <definedName name="ACAELE_encontrarcaidaequipo"/>
      <definedName name="ACAELE_fasecorresponde"/>
      <definedName name="ACAELE_Icorregida"/>
      <definedName name="ACAELE_Icorregida2"/>
      <definedName name="ACAELE_Inominal"/>
      <definedName name="acaele_Iproteccion"/>
      <definedName name="ACAELE_LineaCAD"/>
      <definedName name="ACAELE_MOTOR"/>
      <definedName name="acaele_ProtCalculada"/>
      <definedName name="ACAELE_REACTANCIA"/>
      <definedName name="ACAELE_RESISTENCIA"/>
      <definedName name="ACAELE_TAMATUBERIA"/>
    </definedNames>
    <sheetDataSet>
      <sheetData sheetId="0"/>
      <sheetData sheetId="1"/>
      <sheetData sheetId="2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olfo E. Hernández Rodríguez" refreshedDate="46057.812423379626" createdVersion="4" refreshedVersion="8" recordCount="42" xr:uid="{00000000-000A-0000-FFFF-FFFF04000000}">
  <cacheSource type="worksheet">
    <worksheetSource ref="C7:E49" sheet="CUANTIFICACION"/>
  </cacheSource>
  <cacheFields count="3">
    <cacheField name="PROTECCION" numFmtId="0">
      <sharedItems count="13">
        <s v="1P-15 A"/>
        <s v=""/>
        <s v="3P-50 A"/>
        <s v="3P-100 A" u="1"/>
        <s v="3P-30 A" u="1"/>
        <s v="1P-20 A" u="1"/>
        <s v="3P-20 A" u="1"/>
        <s v="1P-30 A" u="1"/>
        <s v="1P-250 A" u="1"/>
        <s v="1P-60 A" u="1"/>
        <s v="3P-15 A" u="1"/>
        <s v="3P-600 A" u="1"/>
        <s v="2P-20 A" u="1"/>
      </sharedItems>
    </cacheField>
    <cacheField name="POLOS" numFmtId="0">
      <sharedItems containsMixedTypes="1" containsNumber="1" containsInteger="1" minValue="1" maxValue="3"/>
    </cacheField>
    <cacheField name="CANTIDAD" numFmtId="0">
      <sharedItems containsMixedTypes="1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">
  <r>
    <x v="0"/>
    <n v="1"/>
    <n v="1"/>
  </r>
  <r>
    <x v="0"/>
    <n v="1"/>
    <n v="1"/>
  </r>
  <r>
    <x v="1"/>
    <s v=""/>
    <s v=""/>
  </r>
  <r>
    <x v="2"/>
    <n v="3"/>
    <n v="1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 dinámica5" cacheId="0" dataOnRows="1" applyNumberFormats="0" applyBorderFormats="0" applyFontFormats="0" applyPatternFormats="0" applyAlignmentFormats="0" applyWidthHeightFormats="1" dataCaption="Datos" updatedVersion="8" minRefreshableVersion="3" showMemberPropertyTips="0" useAutoFormatting="1" itemPrintTitles="1" createdVersion="4" indent="0" compact="0" compactData="0" gridDropZones="1">
  <location ref="G5:H10" firstHeaderRow="2" firstDataRow="2" firstDataCol="1"/>
  <pivotFields count="3">
    <pivotField axis="axisRow" compact="0" outline="0" subtotalTop="0" showAll="0" includeNewItemsInFilter="1" sortType="ascending">
      <items count="14">
        <item x="1"/>
        <item x="0"/>
        <item m="1" x="5"/>
        <item m="1" x="8"/>
        <item m="1" x="7"/>
        <item m="1" x="9"/>
        <item m="1" x="12"/>
        <item m="1" x="3"/>
        <item m="1" x="10"/>
        <item m="1" x="6"/>
        <item m="1" x="4"/>
        <item x="2"/>
        <item m="1" x="11"/>
        <item t="default"/>
      </items>
    </pivotField>
    <pivotField compact="0" outline="0" subtotalTop="0" showAll="0" includeNewItemsInFilter="1"/>
    <pivotField dataField="1" compact="0" outline="0" subtotalTop="0" showAll="0" includeNewItemsInFilter="1"/>
  </pivotFields>
  <rowFields count="1">
    <field x="0"/>
  </rowFields>
  <rowItems count="4">
    <i>
      <x/>
    </i>
    <i>
      <x v="1"/>
    </i>
    <i>
      <x v="11"/>
    </i>
    <i t="grand">
      <x/>
    </i>
  </rowItems>
  <colItems count="1">
    <i/>
  </colItems>
  <dataFields count="1">
    <dataField name="Cuenta de CANTIDAD" fld="2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7A2C5C-D6FB-40CB-A3DE-DDE906E6063D}" name="DERIVADOS2" displayName="DERIVADOS2" ref="K402:K450" totalsRowShown="0" headerRowDxfId="621" dataDxfId="620">
  <autoFilter ref="K402:K450" xr:uid="{547A2C5C-D6FB-40CB-A3DE-DDE906E6063D}"/>
  <tableColumns count="1">
    <tableColumn id="1" xr3:uid="{F1DB799C-43C3-420F-9B1D-63B3A87C6080}" name="DERIVADOS" dataDxfId="61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95BDDB-5432-4926-933F-02E83219F005}" name="Tabla2" displayName="Tabla2" ref="A401:A421" totalsRowShown="0" headerRowDxfId="618" dataDxfId="617">
  <autoFilter ref="A401:A421" xr:uid="{B495BDDB-5432-4926-933F-02E83219F005}"/>
  <tableColumns count="1">
    <tableColumn id="1" xr3:uid="{FDD369AD-2852-4CEC-923C-A46269855DF9}" name="DIBUJO EN EL TABLERO" dataDxfId="61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4B6C70-1883-4927-AA9E-2E14D8E8EF3D}" name="TIPOCARGA2" displayName="TIPOCARGA2" ref="A250:A262" totalsRowShown="0" headerRowDxfId="615" dataDxfId="614">
  <autoFilter ref="A250:A262" xr:uid="{D34B6C70-1883-4927-AA9E-2E14D8E8EF3D}"/>
  <tableColumns count="1">
    <tableColumn id="1" xr3:uid="{D91C25FD-ABCF-4FDA-A97C-A8385127BDB8}" name="TIPO DE CARGA" dataDxfId="613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32E97C3-E2B2-4B7A-8562-9A7421115CF7}" name="Tabla4" displayName="Tabla4" ref="D329:D349" totalsRowShown="0" headerRowDxfId="612" dataDxfId="611">
  <autoFilter ref="D329:D349" xr:uid="{F32E97C3-E2B2-4B7A-8562-9A7421115CF7}"/>
  <tableColumns count="1">
    <tableColumn id="1" xr3:uid="{58CE48A1-AC93-4F18-9C95-A07676DECFF8}" name="DESCRIPCION DEL TIPO DE CARGA" dataDxfId="610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4AF5E6C-7F77-4D35-A257-CBBF84B3D5C6}" name="tipotrafos2" displayName="tipotrafos2" ref="E401:E414" totalsRowShown="0" headerRowDxfId="609" dataDxfId="608">
  <autoFilter ref="E401:E414" xr:uid="{B4AF5E6C-7F77-4D35-A257-CBBF84B3D5C6}"/>
  <tableColumns count="1">
    <tableColumn id="1" xr3:uid="{68067F9C-F8F1-4149-9AFA-513E7E8228D8}" name="tipos" dataDxfId="60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0F60CEF-4814-48F8-991E-82B3D345FF8F}" name="TIPOACOMETIDA" displayName="TIPOACOMETIDA" ref="G401:G407" totalsRowShown="0" headerRowDxfId="606" dataDxfId="605">
  <autoFilter ref="G401:G407" xr:uid="{F0F60CEF-4814-48F8-991E-82B3D345FF8F}"/>
  <tableColumns count="1">
    <tableColumn id="1" xr3:uid="{7B3FCEA4-3BDF-4D89-BB99-0BCBE703B575}" name="tipoacometida" dataDxfId="60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U2001"/>
  <sheetViews>
    <sheetView workbookViewId="0">
      <pane xSplit="1" ySplit="1" topLeftCell="B3" activePane="bottomRight" state="frozen"/>
      <selection pane="topRight" activeCell="B1" sqref="B1"/>
      <selection pane="bottomLeft" activeCell="A2" sqref="A2"/>
      <selection pane="bottomRight" activeCell="A181" sqref="A181"/>
    </sheetView>
  </sheetViews>
  <sheetFormatPr baseColWidth="10" defaultColWidth="11.44140625" defaultRowHeight="13.2"/>
  <cols>
    <col min="3" max="3" width="23" customWidth="1"/>
    <col min="4" max="4" width="23.88671875" customWidth="1"/>
    <col min="6" max="17" width="11.44140625" customWidth="1"/>
    <col min="18" max="19" width="12.33203125" bestFit="1" customWidth="1"/>
  </cols>
  <sheetData>
    <row r="1" spans="1:21" s="126" customFormat="1" ht="14.4">
      <c r="A1" s="126" t="s">
        <v>4</v>
      </c>
      <c r="B1" s="126" t="s">
        <v>14</v>
      </c>
      <c r="C1" s="126" t="s">
        <v>15</v>
      </c>
      <c r="D1" s="126" t="s">
        <v>16</v>
      </c>
      <c r="E1" s="126" t="s">
        <v>17</v>
      </c>
      <c r="F1" s="126" t="s">
        <v>18</v>
      </c>
      <c r="G1" s="126" t="s">
        <v>19</v>
      </c>
      <c r="H1" s="126" t="s">
        <v>20</v>
      </c>
      <c r="I1" s="126" t="s">
        <v>21</v>
      </c>
      <c r="J1" s="126" t="s">
        <v>22</v>
      </c>
      <c r="K1" s="126" t="s">
        <v>23</v>
      </c>
      <c r="L1" s="126" t="s">
        <v>24</v>
      </c>
      <c r="M1" s="126" t="s">
        <v>5</v>
      </c>
      <c r="N1" s="126" t="s">
        <v>6</v>
      </c>
      <c r="O1" s="126" t="s">
        <v>25</v>
      </c>
      <c r="P1" s="126" t="s">
        <v>26</v>
      </c>
      <c r="S1" s="126" t="s">
        <v>27</v>
      </c>
      <c r="T1" s="126" t="s">
        <v>28</v>
      </c>
      <c r="U1" s="126" t="s">
        <v>29</v>
      </c>
    </row>
    <row r="2" spans="1:21">
      <c r="A2" t="s">
        <v>30</v>
      </c>
      <c r="B2" t="s">
        <v>31</v>
      </c>
      <c r="C2" t="s">
        <v>32</v>
      </c>
      <c r="E2">
        <v>40.53</v>
      </c>
      <c r="F2">
        <v>72.61</v>
      </c>
      <c r="G2">
        <v>0</v>
      </c>
      <c r="R2" t="str">
        <f>"TAB-"&amp;LEFT(A2,FIND("-",A2) -1)</f>
        <v>TAB-TAB</v>
      </c>
      <c r="S2">
        <f>IFERROR(VLOOKUP(R2,$A$2:$F$700,5,0),E2)</f>
        <v>40.53</v>
      </c>
      <c r="T2">
        <f>IFERROR(VLOOKUP(R2,$A$2:$F$700,6,0),F2)</f>
        <v>72.61</v>
      </c>
      <c r="U2">
        <f>IF(SQRT(POWER(T2-F2,2))+SQRT(POWER(E2-S2,2))=0,0,SQRT(POWER(T2-F2,2))+SQRT(POWER(E2-S2,2))+DATOS!$H$20)</f>
        <v>0</v>
      </c>
    </row>
    <row r="3" spans="1:21">
      <c r="A3" t="s">
        <v>33</v>
      </c>
      <c r="B3" t="s">
        <v>34</v>
      </c>
      <c r="C3" t="s">
        <v>32</v>
      </c>
      <c r="E3">
        <v>40.53</v>
      </c>
      <c r="F3">
        <v>73.739999999999995</v>
      </c>
      <c r="G3">
        <v>0</v>
      </c>
      <c r="R3" t="str">
        <f>"TAB-"&amp;LEFT(A3,FIND("-",A3) -1)</f>
        <v>TAB-TAB</v>
      </c>
      <c r="S3">
        <f t="shared" ref="S3:S66" si="0">IFERROR(VLOOKUP(R3,$A$2:$F$700,5,0),E3)</f>
        <v>40.53</v>
      </c>
      <c r="T3">
        <f t="shared" ref="T3:T66" si="1">IFERROR(VLOOKUP(R3,$A$2:$F$700,6,0),F3)</f>
        <v>73.739999999999995</v>
      </c>
      <c r="U3">
        <f>IF(SQRT(POWER(T3-F3,2))+SQRT(POWER(E3-S3,2))=0,0,SQRT(POWER(T3-F3,2))+SQRT(POWER(E3-S3,2))+DATOS!$H$20)</f>
        <v>0</v>
      </c>
    </row>
    <row r="4" spans="1:21">
      <c r="A4" t="s">
        <v>35</v>
      </c>
      <c r="B4" t="s">
        <v>34</v>
      </c>
      <c r="C4" t="s">
        <v>32</v>
      </c>
      <c r="E4">
        <v>85.3</v>
      </c>
      <c r="F4">
        <v>77.930000000000007</v>
      </c>
      <c r="G4">
        <v>0</v>
      </c>
      <c r="R4" t="str">
        <f t="shared" ref="R4:R16" si="2">"TAB-"&amp;LEFT(A4,FIND("-",A4) -1)</f>
        <v>TAB-TAB</v>
      </c>
      <c r="S4">
        <f t="shared" si="0"/>
        <v>85.3</v>
      </c>
      <c r="T4">
        <f t="shared" si="1"/>
        <v>77.930000000000007</v>
      </c>
      <c r="U4">
        <f>IF(SQRT(POWER(T4-F4,2))+SQRT(POWER(E4-S4,2))=0,0,SQRT(POWER(T4-F4,2))+SQRT(POWER(E4-S4,2))+DATOS!$H$20)</f>
        <v>0</v>
      </c>
    </row>
    <row r="5" spans="1:21">
      <c r="A5" t="s">
        <v>36</v>
      </c>
      <c r="B5" t="s">
        <v>31</v>
      </c>
      <c r="C5" t="s">
        <v>32</v>
      </c>
      <c r="E5">
        <v>84.71</v>
      </c>
      <c r="F5">
        <v>77.930000000000007</v>
      </c>
      <c r="G5">
        <v>0</v>
      </c>
      <c r="R5" t="str">
        <f t="shared" si="2"/>
        <v>TAB-TAB</v>
      </c>
      <c r="S5">
        <f t="shared" si="0"/>
        <v>84.71</v>
      </c>
      <c r="T5">
        <f t="shared" si="1"/>
        <v>77.930000000000007</v>
      </c>
      <c r="U5">
        <f>IF(SQRT(POWER(T5-F5,2))+SQRT(POWER(E5-S5,2))=0,0,SQRT(POWER(T5-F5,2))+SQRT(POWER(E5-S5,2))+DATOS!$H$20)</f>
        <v>0</v>
      </c>
    </row>
    <row r="6" spans="1:21">
      <c r="A6" t="s">
        <v>37</v>
      </c>
      <c r="B6" t="s">
        <v>34</v>
      </c>
      <c r="C6" t="s">
        <v>32</v>
      </c>
      <c r="E6">
        <v>85.9</v>
      </c>
      <c r="F6">
        <v>77.930000000000007</v>
      </c>
      <c r="G6">
        <v>0</v>
      </c>
      <c r="R6" t="str">
        <f t="shared" si="2"/>
        <v>TAB-TAB</v>
      </c>
      <c r="S6">
        <f t="shared" si="0"/>
        <v>85.9</v>
      </c>
      <c r="T6">
        <f t="shared" si="1"/>
        <v>77.930000000000007</v>
      </c>
      <c r="U6">
        <f>IF(SQRT(POWER(T6-F6,2))+SQRT(POWER(E6-S6,2))=0,0,SQRT(POWER(T6-F6,2))+SQRT(POWER(E6-S6,2))+DATOS!$H$20)</f>
        <v>0</v>
      </c>
    </row>
    <row r="7" spans="1:21">
      <c r="A7" t="s">
        <v>38</v>
      </c>
      <c r="B7" t="s">
        <v>39</v>
      </c>
      <c r="C7" t="s">
        <v>40</v>
      </c>
      <c r="E7">
        <v>90.7</v>
      </c>
      <c r="F7">
        <v>46.09</v>
      </c>
      <c r="G7">
        <v>0</v>
      </c>
      <c r="H7">
        <v>762</v>
      </c>
      <c r="I7">
        <v>762</v>
      </c>
      <c r="L7">
        <v>127</v>
      </c>
      <c r="M7">
        <v>1</v>
      </c>
      <c r="N7">
        <v>2</v>
      </c>
      <c r="P7" t="s">
        <v>41</v>
      </c>
      <c r="R7" t="str">
        <f t="shared" si="2"/>
        <v>TAB-ES</v>
      </c>
      <c r="S7">
        <f t="shared" si="0"/>
        <v>75.87</v>
      </c>
      <c r="T7">
        <f t="shared" si="1"/>
        <v>41.76</v>
      </c>
      <c r="U7">
        <f>IF(SQRT(POWER(T7-F7,2))+SQRT(POWER(E7-S7,2))=0,0,SQRT(POWER(T7-F7,2))+SQRT(POWER(E7-S7,2))+DATOS!$H$20)</f>
        <v>24.160000000000004</v>
      </c>
    </row>
    <row r="8" spans="1:21">
      <c r="A8" t="s">
        <v>42</v>
      </c>
      <c r="B8" t="s">
        <v>39</v>
      </c>
      <c r="C8" t="s">
        <v>40</v>
      </c>
      <c r="E8">
        <v>90.7</v>
      </c>
      <c r="F8">
        <v>47.9</v>
      </c>
      <c r="G8">
        <v>0</v>
      </c>
      <c r="H8">
        <v>762</v>
      </c>
      <c r="I8">
        <v>762</v>
      </c>
      <c r="L8">
        <v>127</v>
      </c>
      <c r="M8">
        <v>1</v>
      </c>
      <c r="N8">
        <v>2</v>
      </c>
      <c r="P8" t="s">
        <v>41</v>
      </c>
      <c r="R8" t="str">
        <f t="shared" si="2"/>
        <v>TAB-ES</v>
      </c>
      <c r="S8">
        <f t="shared" si="0"/>
        <v>75.87</v>
      </c>
      <c r="T8">
        <f t="shared" si="1"/>
        <v>41.76</v>
      </c>
      <c r="U8">
        <f>IF(SQRT(POWER(T8-F8,2))+SQRT(POWER(E8-S8,2))=0,0,SQRT(POWER(T8-F8,2))+SQRT(POWER(E8-S8,2))+DATOS!$H$20)</f>
        <v>25.97</v>
      </c>
    </row>
    <row r="9" spans="1:21">
      <c r="A9" t="s">
        <v>43</v>
      </c>
      <c r="B9" t="s">
        <v>31</v>
      </c>
      <c r="C9" t="s">
        <v>32</v>
      </c>
      <c r="E9">
        <v>87.01</v>
      </c>
      <c r="F9">
        <v>38.32</v>
      </c>
      <c r="G9">
        <v>0</v>
      </c>
      <c r="R9" t="str">
        <f t="shared" si="2"/>
        <v>TAB-TAB</v>
      </c>
      <c r="S9">
        <f t="shared" si="0"/>
        <v>87.01</v>
      </c>
      <c r="T9">
        <f t="shared" si="1"/>
        <v>38.32</v>
      </c>
      <c r="U9">
        <f>IF(SQRT(POWER(T9-F9,2))+SQRT(POWER(E9-S9,2))=0,0,SQRT(POWER(T9-F9,2))+SQRT(POWER(E9-S9,2))+DATOS!$H$20)</f>
        <v>0</v>
      </c>
    </row>
    <row r="10" spans="1:21">
      <c r="A10" t="s">
        <v>44</v>
      </c>
      <c r="B10" t="s">
        <v>45</v>
      </c>
      <c r="C10" t="s">
        <v>32</v>
      </c>
      <c r="E10">
        <v>75.87</v>
      </c>
      <c r="F10">
        <v>41.76</v>
      </c>
      <c r="G10">
        <v>0</v>
      </c>
      <c r="R10" t="str">
        <f t="shared" si="2"/>
        <v>TAB-TAB</v>
      </c>
      <c r="S10">
        <f t="shared" si="0"/>
        <v>75.87</v>
      </c>
      <c r="T10">
        <f t="shared" si="1"/>
        <v>41.76</v>
      </c>
      <c r="U10">
        <f>IF(SQRT(POWER(T10-F10,2))+SQRT(POWER(E10-S10,2))=0,0,SQRT(POWER(T10-F10,2))+SQRT(POWER(E10-S10,2))+DATOS!$H$20)</f>
        <v>0</v>
      </c>
    </row>
    <row r="11" spans="1:21">
      <c r="A11" t="s">
        <v>46</v>
      </c>
      <c r="B11" t="s">
        <v>31</v>
      </c>
      <c r="C11" t="s">
        <v>32</v>
      </c>
      <c r="E11">
        <v>88.09</v>
      </c>
      <c r="F11">
        <v>38.32</v>
      </c>
      <c r="G11">
        <v>0</v>
      </c>
      <c r="R11" t="str">
        <f t="shared" si="2"/>
        <v>TAB-TAB</v>
      </c>
      <c r="S11">
        <f t="shared" si="0"/>
        <v>88.09</v>
      </c>
      <c r="T11">
        <f t="shared" si="1"/>
        <v>38.32</v>
      </c>
      <c r="U11">
        <f>IF(SQRT(POWER(T11-F11,2))+SQRT(POWER(E11-S11,2))=0,0,SQRT(POWER(T11-F11,2))+SQRT(POWER(E11-S11,2))+DATOS!$H$20)</f>
        <v>0</v>
      </c>
    </row>
    <row r="12" spans="1:21">
      <c r="A12" t="s">
        <v>47</v>
      </c>
      <c r="B12" t="s">
        <v>34</v>
      </c>
      <c r="C12" t="s">
        <v>32</v>
      </c>
      <c r="E12">
        <v>89.11</v>
      </c>
      <c r="F12">
        <v>38.32</v>
      </c>
      <c r="G12">
        <v>0</v>
      </c>
      <c r="R12" t="str">
        <f t="shared" si="2"/>
        <v>TAB-TAB</v>
      </c>
      <c r="S12">
        <f t="shared" si="0"/>
        <v>89.11</v>
      </c>
      <c r="T12">
        <f t="shared" si="1"/>
        <v>38.32</v>
      </c>
      <c r="U12">
        <f>IF(SQRT(POWER(T12-F12,2))+SQRT(POWER(E12-S12,2))=0,0,SQRT(POWER(T12-F12,2))+SQRT(POWER(E12-S12,2))+DATOS!$H$20)</f>
        <v>0</v>
      </c>
    </row>
    <row r="13" spans="1:21">
      <c r="A13" t="s">
        <v>48</v>
      </c>
      <c r="B13" t="s">
        <v>45</v>
      </c>
      <c r="C13" t="s">
        <v>32</v>
      </c>
      <c r="E13">
        <v>37.19</v>
      </c>
      <c r="F13">
        <v>38.32</v>
      </c>
      <c r="G13">
        <v>0</v>
      </c>
      <c r="R13" t="str">
        <f t="shared" si="2"/>
        <v>TAB-TAB</v>
      </c>
      <c r="S13">
        <f t="shared" si="0"/>
        <v>37.19</v>
      </c>
      <c r="T13">
        <f t="shared" si="1"/>
        <v>38.32</v>
      </c>
      <c r="U13">
        <f>IF(SQRT(POWER(T13-F13,2))+SQRT(POWER(E13-S13,2))=0,0,SQRT(POWER(T13-F13,2))+SQRT(POWER(E13-S13,2))+DATOS!$H$20)</f>
        <v>0</v>
      </c>
    </row>
    <row r="14" spans="1:21">
      <c r="A14" t="s">
        <v>49</v>
      </c>
      <c r="B14" t="s">
        <v>31</v>
      </c>
      <c r="C14" t="s">
        <v>32</v>
      </c>
      <c r="E14">
        <v>37.19</v>
      </c>
      <c r="F14">
        <v>37.299999999999997</v>
      </c>
      <c r="G14">
        <v>0</v>
      </c>
      <c r="R14" t="str">
        <f t="shared" si="2"/>
        <v>TAB-TAB</v>
      </c>
      <c r="S14">
        <f t="shared" si="0"/>
        <v>37.19</v>
      </c>
      <c r="T14">
        <f t="shared" si="1"/>
        <v>37.299999999999997</v>
      </c>
      <c r="U14">
        <f>IF(SQRT(POWER(T14-F14,2))+SQRT(POWER(E14-S14,2))=0,0,SQRT(POWER(T14-F14,2))+SQRT(POWER(E14-S14,2))+DATOS!$H$20)</f>
        <v>0</v>
      </c>
    </row>
    <row r="15" spans="1:21">
      <c r="A15" t="s">
        <v>50</v>
      </c>
      <c r="B15" t="s">
        <v>34</v>
      </c>
      <c r="C15" t="s">
        <v>32</v>
      </c>
      <c r="E15">
        <v>37.19</v>
      </c>
      <c r="F15">
        <v>36.340000000000003</v>
      </c>
      <c r="G15">
        <v>0</v>
      </c>
      <c r="R15" t="str">
        <f t="shared" si="2"/>
        <v>TAB-TAB</v>
      </c>
      <c r="S15">
        <f t="shared" si="0"/>
        <v>37.19</v>
      </c>
      <c r="T15">
        <f t="shared" si="1"/>
        <v>36.340000000000003</v>
      </c>
      <c r="U15">
        <f>IF(SQRT(POWER(T15-F15,2))+SQRT(POWER(E15-S15,2))=0,0,SQRT(POWER(T15-F15,2))+SQRT(POWER(E15-S15,2))+DATOS!$H$20)</f>
        <v>0</v>
      </c>
    </row>
    <row r="16" spans="1:21">
      <c r="A16" t="s">
        <v>51</v>
      </c>
      <c r="B16" t="s">
        <v>45</v>
      </c>
      <c r="C16" t="s">
        <v>32</v>
      </c>
      <c r="E16">
        <v>55</v>
      </c>
      <c r="F16">
        <v>-19.29</v>
      </c>
      <c r="G16">
        <v>0</v>
      </c>
      <c r="R16" t="str">
        <f t="shared" si="2"/>
        <v>TAB-TAB</v>
      </c>
      <c r="S16">
        <f t="shared" si="0"/>
        <v>55</v>
      </c>
      <c r="T16">
        <f t="shared" si="1"/>
        <v>-19.29</v>
      </c>
      <c r="U16">
        <f>IF(SQRT(POWER(T16-F16,2))+SQRT(POWER(E16-S16,2))=0,0,SQRT(POWER(T16-F16,2))+SQRT(POWER(E16-S16,2))+DATOS!$H$20)</f>
        <v>0</v>
      </c>
    </row>
    <row r="17" spans="1:21">
      <c r="A17" t="s">
        <v>52</v>
      </c>
      <c r="B17" t="s">
        <v>31</v>
      </c>
      <c r="C17" t="s">
        <v>32</v>
      </c>
      <c r="E17">
        <v>55</v>
      </c>
      <c r="F17">
        <v>-20.46</v>
      </c>
      <c r="G17">
        <v>0</v>
      </c>
      <c r="R17" t="str">
        <f t="shared" ref="R17:R80" si="3">"TAB-"&amp;LEFT(A17,FIND("-",A17) -1)</f>
        <v>TAB-TAB</v>
      </c>
      <c r="S17">
        <f t="shared" si="0"/>
        <v>55</v>
      </c>
      <c r="T17">
        <f t="shared" si="1"/>
        <v>-20.46</v>
      </c>
      <c r="U17">
        <f>IF(SQRT(POWER(T17-F17,2))+SQRT(POWER(E17-S17,2))=0,0,SQRT(POWER(T17-F17,2))+SQRT(POWER(E17-S17,2))+DATOS!$H$20)</f>
        <v>0</v>
      </c>
    </row>
    <row r="18" spans="1:21">
      <c r="A18" t="s">
        <v>53</v>
      </c>
      <c r="B18" t="s">
        <v>34</v>
      </c>
      <c r="C18" t="s">
        <v>32</v>
      </c>
      <c r="E18">
        <v>55</v>
      </c>
      <c r="F18">
        <v>-21.64</v>
      </c>
      <c r="G18">
        <v>0</v>
      </c>
      <c r="R18" t="str">
        <f t="shared" si="3"/>
        <v>TAB-TAB</v>
      </c>
      <c r="S18">
        <f t="shared" si="0"/>
        <v>55</v>
      </c>
      <c r="T18">
        <f t="shared" si="1"/>
        <v>-21.64</v>
      </c>
      <c r="U18">
        <f>IF(SQRT(POWER(T18-F18,2))+SQRT(POWER(E18-S18,2))=0,0,SQRT(POWER(T18-F18,2))+SQRT(POWER(E18-S18,2))+DATOS!$H$20)</f>
        <v>0</v>
      </c>
    </row>
    <row r="19" spans="1:21">
      <c r="A19" t="s">
        <v>54</v>
      </c>
      <c r="B19" t="s">
        <v>45</v>
      </c>
      <c r="C19" t="s">
        <v>32</v>
      </c>
      <c r="E19">
        <v>5.01</v>
      </c>
      <c r="F19">
        <v>9.1</v>
      </c>
      <c r="G19">
        <v>0</v>
      </c>
      <c r="R19" t="str">
        <f t="shared" si="3"/>
        <v>TAB-TAB</v>
      </c>
      <c r="S19">
        <f t="shared" si="0"/>
        <v>5.01</v>
      </c>
      <c r="T19">
        <f t="shared" si="1"/>
        <v>9.1</v>
      </c>
      <c r="U19">
        <f>IF(SQRT(POWER(T19-F19,2))+SQRT(POWER(E19-S19,2))=0,0,SQRT(POWER(T19-F19,2))+SQRT(POWER(E19-S19,2))+DATOS!$H$20)</f>
        <v>0</v>
      </c>
    </row>
    <row r="20" spans="1:21">
      <c r="A20" t="s">
        <v>55</v>
      </c>
      <c r="B20" t="s">
        <v>31</v>
      </c>
      <c r="C20" t="s">
        <v>32</v>
      </c>
      <c r="E20">
        <v>6</v>
      </c>
      <c r="F20">
        <v>9.1</v>
      </c>
      <c r="G20">
        <v>0</v>
      </c>
      <c r="R20" t="str">
        <f t="shared" si="3"/>
        <v>TAB-TAB</v>
      </c>
      <c r="S20">
        <f t="shared" si="0"/>
        <v>6</v>
      </c>
      <c r="T20">
        <f t="shared" si="1"/>
        <v>9.1</v>
      </c>
      <c r="U20">
        <f>IF(SQRT(POWER(T20-F20,2))+SQRT(POWER(E20-S20,2))=0,0,SQRT(POWER(T20-F20,2))+SQRT(POWER(E20-S20,2))+DATOS!$H$20)</f>
        <v>0</v>
      </c>
    </row>
    <row r="21" spans="1:21">
      <c r="A21" t="s">
        <v>56</v>
      </c>
      <c r="B21" t="s">
        <v>34</v>
      </c>
      <c r="C21" t="s">
        <v>32</v>
      </c>
      <c r="E21">
        <v>6.99</v>
      </c>
      <c r="F21">
        <v>9.1</v>
      </c>
      <c r="G21">
        <v>0</v>
      </c>
      <c r="R21" t="str">
        <f t="shared" si="3"/>
        <v>TAB-TAB</v>
      </c>
      <c r="S21">
        <f t="shared" si="0"/>
        <v>6.99</v>
      </c>
      <c r="T21">
        <f t="shared" si="1"/>
        <v>9.1</v>
      </c>
      <c r="U21">
        <f>IF(SQRT(POWER(T21-F21,2))+SQRT(POWER(E21-S21,2))=0,0,SQRT(POWER(T21-F21,2))+SQRT(POWER(E21-S21,2))+DATOS!$H$20)</f>
        <v>0</v>
      </c>
    </row>
    <row r="22" spans="1:21">
      <c r="A22" t="s">
        <v>57</v>
      </c>
      <c r="B22" t="s">
        <v>39</v>
      </c>
      <c r="C22" t="s">
        <v>40</v>
      </c>
      <c r="E22">
        <v>51.04</v>
      </c>
      <c r="F22">
        <v>27.66</v>
      </c>
      <c r="G22">
        <v>0</v>
      </c>
      <c r="H22">
        <v>762</v>
      </c>
      <c r="I22">
        <v>762</v>
      </c>
      <c r="L22">
        <v>127</v>
      </c>
      <c r="M22">
        <v>1</v>
      </c>
      <c r="N22">
        <v>2</v>
      </c>
      <c r="P22" t="s">
        <v>41</v>
      </c>
      <c r="R22" t="str">
        <f t="shared" si="3"/>
        <v>TAB-CS</v>
      </c>
      <c r="S22">
        <f t="shared" si="0"/>
        <v>37.19</v>
      </c>
      <c r="T22">
        <f t="shared" si="1"/>
        <v>38.32</v>
      </c>
      <c r="U22">
        <f>IF(SQRT(POWER(T22-F22,2))+SQRT(POWER(E22-S22,2))=0,0,SQRT(POWER(T22-F22,2))+SQRT(POWER(E22-S22,2))+DATOS!$H$20)</f>
        <v>29.51</v>
      </c>
    </row>
    <row r="23" spans="1:21">
      <c r="A23" t="s">
        <v>58</v>
      </c>
      <c r="B23" t="s">
        <v>39</v>
      </c>
      <c r="C23" t="s">
        <v>40</v>
      </c>
      <c r="E23">
        <v>44.95</v>
      </c>
      <c r="F23">
        <v>51.22</v>
      </c>
      <c r="G23">
        <v>0</v>
      </c>
      <c r="H23">
        <v>762</v>
      </c>
      <c r="I23">
        <v>762</v>
      </c>
      <c r="L23">
        <v>127</v>
      </c>
      <c r="M23">
        <v>1</v>
      </c>
      <c r="N23">
        <v>2</v>
      </c>
      <c r="P23" t="s">
        <v>41</v>
      </c>
      <c r="R23" t="str">
        <f t="shared" si="3"/>
        <v>TAB-CS</v>
      </c>
      <c r="S23">
        <f t="shared" si="0"/>
        <v>37.19</v>
      </c>
      <c r="T23">
        <f t="shared" si="1"/>
        <v>38.32</v>
      </c>
      <c r="U23">
        <f>IF(SQRT(POWER(T23-F23,2))+SQRT(POWER(E23-S23,2))=0,0,SQRT(POWER(T23-F23,2))+SQRT(POWER(E23-S23,2))+DATOS!$H$20)</f>
        <v>25.660000000000004</v>
      </c>
    </row>
    <row r="24" spans="1:21">
      <c r="A24" t="s">
        <v>59</v>
      </c>
      <c r="B24" t="s">
        <v>60</v>
      </c>
      <c r="C24" t="s">
        <v>32</v>
      </c>
      <c r="E24">
        <v>45.69</v>
      </c>
      <c r="F24">
        <v>67.48</v>
      </c>
      <c r="G24">
        <v>0</v>
      </c>
      <c r="H24">
        <v>180</v>
      </c>
      <c r="L24">
        <v>127</v>
      </c>
      <c r="M24">
        <v>1</v>
      </c>
      <c r="N24">
        <v>2</v>
      </c>
      <c r="P24" t="s">
        <v>61</v>
      </c>
      <c r="R24" t="str">
        <f t="shared" si="3"/>
        <v>TAB-HE</v>
      </c>
      <c r="S24">
        <f t="shared" si="0"/>
        <v>40.53</v>
      </c>
      <c r="T24">
        <f t="shared" si="1"/>
        <v>72.61</v>
      </c>
      <c r="U24">
        <f>IF(SQRT(POWER(T24-F24,2))+SQRT(POWER(E24-S24,2))=0,0,SQRT(POWER(T24-F24,2))+SQRT(POWER(E24-S24,2))+DATOS!$H$20)</f>
        <v>15.289999999999992</v>
      </c>
    </row>
    <row r="25" spans="1:21">
      <c r="A25" t="s">
        <v>59</v>
      </c>
      <c r="B25" t="s">
        <v>60</v>
      </c>
      <c r="C25" t="s">
        <v>32</v>
      </c>
      <c r="E25">
        <v>44.48</v>
      </c>
      <c r="F25">
        <v>60.15</v>
      </c>
      <c r="G25">
        <v>0</v>
      </c>
      <c r="H25">
        <v>180</v>
      </c>
      <c r="L25">
        <v>127</v>
      </c>
      <c r="M25">
        <v>1</v>
      </c>
      <c r="N25">
        <v>2</v>
      </c>
      <c r="P25" t="s">
        <v>61</v>
      </c>
      <c r="R25" t="str">
        <f t="shared" si="3"/>
        <v>TAB-HE</v>
      </c>
      <c r="S25">
        <f t="shared" si="0"/>
        <v>40.53</v>
      </c>
      <c r="T25">
        <f t="shared" si="1"/>
        <v>72.61</v>
      </c>
      <c r="U25">
        <f>IF(SQRT(POWER(T25-F25,2))+SQRT(POWER(E25-S25,2))=0,0,SQRT(POWER(T25-F25,2))+SQRT(POWER(E25-S25,2))+DATOS!$H$20)</f>
        <v>21.409999999999997</v>
      </c>
    </row>
    <row r="26" spans="1:21">
      <c r="A26" t="s">
        <v>59</v>
      </c>
      <c r="B26" t="s">
        <v>39</v>
      </c>
      <c r="C26" t="s">
        <v>40</v>
      </c>
      <c r="E26">
        <v>44.39</v>
      </c>
      <c r="F26">
        <v>59.65</v>
      </c>
      <c r="G26">
        <v>0</v>
      </c>
      <c r="H26">
        <v>826</v>
      </c>
      <c r="I26">
        <v>826</v>
      </c>
      <c r="L26">
        <v>127</v>
      </c>
      <c r="M26">
        <v>1</v>
      </c>
      <c r="N26">
        <v>2</v>
      </c>
      <c r="P26" t="s">
        <v>61</v>
      </c>
      <c r="R26" t="str">
        <f t="shared" si="3"/>
        <v>TAB-HE</v>
      </c>
      <c r="S26">
        <f t="shared" si="0"/>
        <v>40.53</v>
      </c>
      <c r="T26">
        <f t="shared" si="1"/>
        <v>72.61</v>
      </c>
      <c r="U26">
        <f>IF(SQRT(POWER(T26-F26,2))+SQRT(POWER(E26-S26,2))=0,0,SQRT(POWER(T26-F26,2))+SQRT(POWER(E26-S26,2))+DATOS!$H$20)</f>
        <v>21.82</v>
      </c>
    </row>
    <row r="27" spans="1:21">
      <c r="A27" t="s">
        <v>62</v>
      </c>
      <c r="B27" t="s">
        <v>63</v>
      </c>
      <c r="C27" t="s">
        <v>32</v>
      </c>
      <c r="E27">
        <v>85.16</v>
      </c>
      <c r="F27">
        <v>77.53</v>
      </c>
      <c r="G27">
        <v>0</v>
      </c>
      <c r="I27">
        <v>826</v>
      </c>
      <c r="L27">
        <v>127</v>
      </c>
      <c r="M27">
        <v>1</v>
      </c>
      <c r="N27">
        <v>2</v>
      </c>
      <c r="P27" t="s">
        <v>64</v>
      </c>
      <c r="R27" t="str">
        <f t="shared" si="3"/>
        <v>TAB-JE</v>
      </c>
      <c r="S27">
        <f t="shared" si="0"/>
        <v>84.71</v>
      </c>
      <c r="T27">
        <f t="shared" si="1"/>
        <v>77.930000000000007</v>
      </c>
      <c r="U27">
        <f>IF(SQRT(POWER(T27-F27,2))+SQRT(POWER(E27-S27,2))=0,0,SQRT(POWER(T27-F27,2))+SQRT(POWER(E27-S27,2))+DATOS!$H$20)</f>
        <v>5.8500000000000085</v>
      </c>
    </row>
    <row r="28" spans="1:21">
      <c r="A28" t="s">
        <v>65</v>
      </c>
      <c r="B28" t="s">
        <v>66</v>
      </c>
      <c r="C28" t="s">
        <v>32</v>
      </c>
      <c r="E28">
        <v>84.17</v>
      </c>
      <c r="F28">
        <v>71.66</v>
      </c>
      <c r="G28">
        <v>0</v>
      </c>
      <c r="I28">
        <v>6222</v>
      </c>
      <c r="L28">
        <v>220</v>
      </c>
      <c r="M28">
        <v>2</v>
      </c>
      <c r="N28">
        <v>3</v>
      </c>
      <c r="P28" t="s">
        <v>67</v>
      </c>
      <c r="R28" t="str">
        <f t="shared" si="3"/>
        <v>TAB-JE</v>
      </c>
      <c r="S28">
        <f t="shared" si="0"/>
        <v>84.71</v>
      </c>
      <c r="T28">
        <f t="shared" si="1"/>
        <v>77.930000000000007</v>
      </c>
      <c r="U28">
        <f>IF(SQRT(POWER(T28-F28,2))+SQRT(POWER(E28-S28,2))=0,0,SQRT(POWER(T28-F28,2))+SQRT(POWER(E28-S28,2))+DATOS!$H$20)</f>
        <v>11.810000000000002</v>
      </c>
    </row>
    <row r="29" spans="1:21">
      <c r="B29" t="s">
        <v>68</v>
      </c>
      <c r="C29" t="s">
        <v>32</v>
      </c>
      <c r="E29">
        <v>84.22</v>
      </c>
      <c r="F29">
        <v>71.180000000000007</v>
      </c>
      <c r="G29">
        <v>0</v>
      </c>
      <c r="R29" t="e">
        <f t="shared" si="3"/>
        <v>#VALUE!</v>
      </c>
      <c r="S29">
        <f t="shared" si="0"/>
        <v>84.22</v>
      </c>
      <c r="T29">
        <f t="shared" si="1"/>
        <v>71.180000000000007</v>
      </c>
      <c r="U29">
        <f>IF(SQRT(POWER(T29-F29,2))+SQRT(POWER(E29-S29,2))=0,0,SQRT(POWER(T29-F29,2))+SQRT(POWER(E29-S29,2))+DATOS!$H$20)</f>
        <v>0</v>
      </c>
    </row>
    <row r="30" spans="1:21">
      <c r="A30" t="s">
        <v>69</v>
      </c>
      <c r="B30" t="s">
        <v>66</v>
      </c>
      <c r="C30" t="s">
        <v>32</v>
      </c>
      <c r="E30">
        <v>84.17</v>
      </c>
      <c r="F30">
        <v>76.12</v>
      </c>
      <c r="G30">
        <v>0</v>
      </c>
      <c r="I30">
        <v>3048</v>
      </c>
      <c r="L30">
        <v>220</v>
      </c>
      <c r="M30">
        <v>3</v>
      </c>
      <c r="N30">
        <v>4</v>
      </c>
      <c r="P30" t="s">
        <v>70</v>
      </c>
      <c r="R30" t="str">
        <f t="shared" si="3"/>
        <v>TAB-JE</v>
      </c>
      <c r="S30">
        <f t="shared" si="0"/>
        <v>84.71</v>
      </c>
      <c r="T30">
        <f t="shared" si="1"/>
        <v>77.930000000000007</v>
      </c>
      <c r="U30">
        <f>IF(SQRT(POWER(T30-F30,2))+SQRT(POWER(E30-S30,2))=0,0,SQRT(POWER(T30-F30,2))+SQRT(POWER(E30-S30,2))+DATOS!$H$20)</f>
        <v>7.3499999999999943</v>
      </c>
    </row>
    <row r="31" spans="1:21">
      <c r="B31" t="s">
        <v>68</v>
      </c>
      <c r="C31" t="s">
        <v>32</v>
      </c>
      <c r="E31">
        <v>84.22</v>
      </c>
      <c r="F31">
        <v>75.64</v>
      </c>
      <c r="G31">
        <v>0</v>
      </c>
      <c r="R31" t="e">
        <f t="shared" si="3"/>
        <v>#VALUE!</v>
      </c>
      <c r="S31">
        <f t="shared" si="0"/>
        <v>84.22</v>
      </c>
      <c r="T31">
        <f t="shared" si="1"/>
        <v>75.64</v>
      </c>
      <c r="U31">
        <f>IF(SQRT(POWER(T31-F31,2))+SQRT(POWER(E31-S31,2))=0,0,SQRT(POWER(T31-F31,2))+SQRT(POWER(E31-S31,2))+DATOS!$H$20)</f>
        <v>0</v>
      </c>
    </row>
    <row r="32" spans="1:21">
      <c r="A32" t="s">
        <v>62</v>
      </c>
      <c r="B32" t="s">
        <v>63</v>
      </c>
      <c r="C32" t="s">
        <v>32</v>
      </c>
      <c r="E32">
        <v>82.37</v>
      </c>
      <c r="F32">
        <v>72.650000000000006</v>
      </c>
      <c r="G32">
        <v>0</v>
      </c>
      <c r="I32">
        <v>826</v>
      </c>
      <c r="L32">
        <v>127</v>
      </c>
      <c r="M32">
        <v>1</v>
      </c>
      <c r="N32">
        <v>2</v>
      </c>
      <c r="P32" t="s">
        <v>64</v>
      </c>
      <c r="R32" t="str">
        <f t="shared" si="3"/>
        <v>TAB-JE</v>
      </c>
      <c r="S32">
        <f t="shared" si="0"/>
        <v>84.71</v>
      </c>
      <c r="T32">
        <f t="shared" si="1"/>
        <v>77.930000000000007</v>
      </c>
      <c r="U32">
        <f>IF(SQRT(POWER(T32-F32,2))+SQRT(POWER(E32-S32,2))=0,0,SQRT(POWER(T32-F32,2))+SQRT(POWER(E32-S32,2))+DATOS!$H$20)</f>
        <v>12.61999999999999</v>
      </c>
    </row>
    <row r="33" spans="1:21">
      <c r="A33" t="s">
        <v>71</v>
      </c>
      <c r="B33" t="s">
        <v>63</v>
      </c>
      <c r="C33" t="s">
        <v>32</v>
      </c>
      <c r="E33">
        <v>74.22</v>
      </c>
      <c r="F33">
        <v>74.69</v>
      </c>
      <c r="G33">
        <v>0</v>
      </c>
      <c r="I33">
        <v>826</v>
      </c>
      <c r="L33">
        <v>127</v>
      </c>
      <c r="M33">
        <v>1</v>
      </c>
      <c r="N33">
        <v>2</v>
      </c>
      <c r="P33" t="s">
        <v>72</v>
      </c>
      <c r="R33" t="str">
        <f t="shared" si="3"/>
        <v>TAB-JE</v>
      </c>
      <c r="S33">
        <f t="shared" si="0"/>
        <v>84.71</v>
      </c>
      <c r="T33">
        <f t="shared" si="1"/>
        <v>77.930000000000007</v>
      </c>
      <c r="U33">
        <f>IF(SQRT(POWER(T33-F33,2))+SQRT(POWER(E33-S33,2))=0,0,SQRT(POWER(T33-F33,2))+SQRT(POWER(E33-S33,2))+DATOS!$H$20)</f>
        <v>18.730000000000004</v>
      </c>
    </row>
    <row r="34" spans="1:21">
      <c r="A34" t="s">
        <v>73</v>
      </c>
      <c r="B34" t="s">
        <v>74</v>
      </c>
      <c r="C34" t="s">
        <v>32</v>
      </c>
      <c r="E34">
        <v>83.87</v>
      </c>
      <c r="F34">
        <v>80.78</v>
      </c>
      <c r="G34">
        <v>0</v>
      </c>
      <c r="I34">
        <v>500</v>
      </c>
      <c r="L34">
        <v>127</v>
      </c>
      <c r="M34">
        <v>1</v>
      </c>
      <c r="N34">
        <v>2</v>
      </c>
      <c r="P34" t="s">
        <v>75</v>
      </c>
      <c r="R34" t="str">
        <f t="shared" si="3"/>
        <v>TAB-JE</v>
      </c>
      <c r="S34">
        <f t="shared" si="0"/>
        <v>84.71</v>
      </c>
      <c r="T34">
        <f t="shared" si="1"/>
        <v>77.930000000000007</v>
      </c>
      <c r="U34">
        <f>IF(SQRT(POWER(T34-F34,2))+SQRT(POWER(E34-S34,2))=0,0,SQRT(POWER(T34-F34,2))+SQRT(POWER(E34-S34,2))+DATOS!$H$20)</f>
        <v>8.6899999999999835</v>
      </c>
    </row>
    <row r="35" spans="1:21">
      <c r="A35" t="s">
        <v>76</v>
      </c>
      <c r="B35" t="s">
        <v>63</v>
      </c>
      <c r="C35" t="s">
        <v>32</v>
      </c>
      <c r="E35">
        <v>85.26</v>
      </c>
      <c r="F35">
        <v>85.79</v>
      </c>
      <c r="G35">
        <v>0</v>
      </c>
      <c r="I35">
        <v>1078</v>
      </c>
      <c r="L35">
        <v>127</v>
      </c>
      <c r="M35">
        <v>1</v>
      </c>
      <c r="N35">
        <v>2</v>
      </c>
      <c r="P35" t="s">
        <v>77</v>
      </c>
      <c r="R35" t="str">
        <f t="shared" si="3"/>
        <v>TAB-JE</v>
      </c>
      <c r="S35">
        <f t="shared" si="0"/>
        <v>84.71</v>
      </c>
      <c r="T35">
        <f t="shared" si="1"/>
        <v>77.930000000000007</v>
      </c>
      <c r="U35">
        <f>IF(SQRT(POWER(T35-F35,2))+SQRT(POWER(E35-S35,2))=0,0,SQRT(POWER(T35-F35,2))+SQRT(POWER(E35-S35,2))+DATOS!$H$20)</f>
        <v>13.410000000000011</v>
      </c>
    </row>
    <row r="36" spans="1:21">
      <c r="A36" t="s">
        <v>78</v>
      </c>
      <c r="B36" t="s">
        <v>63</v>
      </c>
      <c r="C36" t="s">
        <v>32</v>
      </c>
      <c r="E36">
        <v>79.400000000000006</v>
      </c>
      <c r="F36">
        <v>85.79</v>
      </c>
      <c r="G36">
        <v>0</v>
      </c>
      <c r="I36">
        <v>826</v>
      </c>
      <c r="L36">
        <v>127</v>
      </c>
      <c r="M36">
        <v>1</v>
      </c>
      <c r="N36">
        <v>2</v>
      </c>
      <c r="P36" t="s">
        <v>77</v>
      </c>
      <c r="R36" t="str">
        <f t="shared" si="3"/>
        <v>TAB-JE</v>
      </c>
      <c r="S36">
        <f t="shared" si="0"/>
        <v>84.71</v>
      </c>
      <c r="T36">
        <f t="shared" si="1"/>
        <v>77.930000000000007</v>
      </c>
      <c r="U36">
        <f>IF(SQRT(POWER(T36-F36,2))+SQRT(POWER(E36-S36,2))=0,0,SQRT(POWER(T36-F36,2))+SQRT(POWER(E36-S36,2))+DATOS!$H$20)</f>
        <v>18.169999999999987</v>
      </c>
    </row>
    <row r="37" spans="1:21">
      <c r="A37" t="s">
        <v>79</v>
      </c>
      <c r="B37" t="s">
        <v>63</v>
      </c>
      <c r="C37" t="s">
        <v>32</v>
      </c>
      <c r="E37">
        <v>87.31</v>
      </c>
      <c r="F37">
        <v>80.67</v>
      </c>
      <c r="G37">
        <v>0</v>
      </c>
      <c r="I37">
        <v>826</v>
      </c>
      <c r="L37">
        <v>127</v>
      </c>
      <c r="M37">
        <v>1</v>
      </c>
      <c r="N37">
        <v>2</v>
      </c>
      <c r="P37" t="s">
        <v>80</v>
      </c>
      <c r="R37" t="str">
        <f t="shared" si="3"/>
        <v>TAB-JE</v>
      </c>
      <c r="S37">
        <f t="shared" si="0"/>
        <v>84.71</v>
      </c>
      <c r="T37">
        <f t="shared" si="1"/>
        <v>77.930000000000007</v>
      </c>
      <c r="U37">
        <f>IF(SQRT(POWER(T37-F37,2))+SQRT(POWER(E37-S37,2))=0,0,SQRT(POWER(T37-F37,2))+SQRT(POWER(E37-S37,2))+DATOS!$H$20)</f>
        <v>10.340000000000003</v>
      </c>
    </row>
    <row r="38" spans="1:21">
      <c r="A38" t="s">
        <v>81</v>
      </c>
      <c r="B38" t="s">
        <v>63</v>
      </c>
      <c r="C38" t="s">
        <v>32</v>
      </c>
      <c r="E38">
        <v>88.97</v>
      </c>
      <c r="F38">
        <v>80.67</v>
      </c>
      <c r="G38">
        <v>0</v>
      </c>
      <c r="I38">
        <v>826</v>
      </c>
      <c r="L38">
        <v>127</v>
      </c>
      <c r="M38">
        <v>1</v>
      </c>
      <c r="N38">
        <v>2</v>
      </c>
      <c r="P38" t="s">
        <v>80</v>
      </c>
      <c r="R38" t="str">
        <f t="shared" si="3"/>
        <v>TAB-JE</v>
      </c>
      <c r="S38">
        <f t="shared" si="0"/>
        <v>84.71</v>
      </c>
      <c r="T38">
        <f t="shared" si="1"/>
        <v>77.930000000000007</v>
      </c>
      <c r="U38">
        <f>IF(SQRT(POWER(T38-F38,2))+SQRT(POWER(E38-S38,2))=0,0,SQRT(POWER(T38-F38,2))+SQRT(POWER(E38-S38,2))+DATOS!$H$20)</f>
        <v>12</v>
      </c>
    </row>
    <row r="39" spans="1:21">
      <c r="A39" t="s">
        <v>82</v>
      </c>
      <c r="B39" t="s">
        <v>63</v>
      </c>
      <c r="C39" t="s">
        <v>32</v>
      </c>
      <c r="E39">
        <v>95.48</v>
      </c>
      <c r="F39">
        <v>83.74</v>
      </c>
      <c r="G39">
        <v>0</v>
      </c>
      <c r="I39">
        <v>826</v>
      </c>
      <c r="L39">
        <v>127</v>
      </c>
      <c r="M39">
        <v>1</v>
      </c>
      <c r="N39">
        <v>2</v>
      </c>
      <c r="P39" t="s">
        <v>83</v>
      </c>
      <c r="R39" t="str">
        <f t="shared" si="3"/>
        <v>TAB-JE</v>
      </c>
      <c r="S39">
        <f t="shared" si="0"/>
        <v>84.71</v>
      </c>
      <c r="T39">
        <f t="shared" si="1"/>
        <v>77.930000000000007</v>
      </c>
      <c r="U39">
        <f>IF(SQRT(POWER(T39-F39,2))+SQRT(POWER(E39-S39,2))=0,0,SQRT(POWER(T39-F39,2))+SQRT(POWER(E39-S39,2))+DATOS!$H$20)</f>
        <v>21.58</v>
      </c>
    </row>
    <row r="40" spans="1:21">
      <c r="A40" t="s">
        <v>84</v>
      </c>
      <c r="B40" t="s">
        <v>85</v>
      </c>
      <c r="C40" t="s">
        <v>32</v>
      </c>
      <c r="E40">
        <v>96.01</v>
      </c>
      <c r="F40">
        <v>83.88</v>
      </c>
      <c r="G40">
        <v>0</v>
      </c>
      <c r="I40">
        <v>1461</v>
      </c>
      <c r="L40">
        <v>127</v>
      </c>
      <c r="M40">
        <v>1</v>
      </c>
      <c r="N40">
        <v>2</v>
      </c>
      <c r="P40" t="s">
        <v>86</v>
      </c>
      <c r="R40" t="str">
        <f t="shared" si="3"/>
        <v>TAB-JE</v>
      </c>
      <c r="S40">
        <f t="shared" si="0"/>
        <v>84.71</v>
      </c>
      <c r="T40">
        <f t="shared" si="1"/>
        <v>77.930000000000007</v>
      </c>
      <c r="U40">
        <f>IF(SQRT(POWER(T40-F40,2))+SQRT(POWER(E40-S40,2))=0,0,SQRT(POWER(T40-F40,2))+SQRT(POWER(E40-S40,2))+DATOS!$H$20)</f>
        <v>22.25</v>
      </c>
    </row>
    <row r="41" spans="1:21">
      <c r="A41" t="s">
        <v>87</v>
      </c>
      <c r="B41" t="s">
        <v>85</v>
      </c>
      <c r="C41" t="s">
        <v>32</v>
      </c>
      <c r="E41">
        <v>96.01</v>
      </c>
      <c r="F41">
        <v>84.77</v>
      </c>
      <c r="G41">
        <v>0</v>
      </c>
      <c r="I41">
        <v>1461</v>
      </c>
      <c r="L41">
        <v>127</v>
      </c>
      <c r="M41">
        <v>1</v>
      </c>
      <c r="N41">
        <v>2</v>
      </c>
      <c r="P41" t="s">
        <v>86</v>
      </c>
      <c r="R41" t="str">
        <f t="shared" si="3"/>
        <v>TAB-JE</v>
      </c>
      <c r="S41">
        <f t="shared" si="0"/>
        <v>84.71</v>
      </c>
      <c r="T41">
        <f t="shared" si="1"/>
        <v>77.930000000000007</v>
      </c>
      <c r="U41">
        <f>IF(SQRT(POWER(T41-F41,2))+SQRT(POWER(E41-S41,2))=0,0,SQRT(POWER(T41-F41,2))+SQRT(POWER(E41-S41,2))+DATOS!$H$20)</f>
        <v>23.14</v>
      </c>
    </row>
    <row r="42" spans="1:21">
      <c r="A42" t="s">
        <v>88</v>
      </c>
      <c r="B42" t="s">
        <v>89</v>
      </c>
      <c r="C42" t="s">
        <v>32</v>
      </c>
      <c r="E42">
        <v>89.54</v>
      </c>
      <c r="F42">
        <v>37.36</v>
      </c>
      <c r="G42">
        <v>0</v>
      </c>
      <c r="I42">
        <v>180</v>
      </c>
      <c r="L42">
        <v>127</v>
      </c>
      <c r="M42">
        <v>1</v>
      </c>
      <c r="N42">
        <v>2</v>
      </c>
      <c r="P42" t="s">
        <v>90</v>
      </c>
      <c r="R42" t="str">
        <f t="shared" si="3"/>
        <v>TAB-EE</v>
      </c>
      <c r="S42">
        <f t="shared" si="0"/>
        <v>88.09</v>
      </c>
      <c r="T42">
        <f t="shared" si="1"/>
        <v>38.32</v>
      </c>
      <c r="U42">
        <f>IF(SQRT(POWER(T42-F42,2))+SQRT(POWER(E42-S42,2))=0,0,SQRT(POWER(T42-F42,2))+SQRT(POWER(E42-S42,2))+DATOS!$H$20)</f>
        <v>7.4100000000000037</v>
      </c>
    </row>
    <row r="43" spans="1:21">
      <c r="A43" t="s">
        <v>88</v>
      </c>
      <c r="B43" t="s">
        <v>89</v>
      </c>
      <c r="C43" t="s">
        <v>32</v>
      </c>
      <c r="E43">
        <v>89.21</v>
      </c>
      <c r="F43">
        <v>33.06</v>
      </c>
      <c r="G43">
        <v>0</v>
      </c>
      <c r="I43">
        <v>180</v>
      </c>
      <c r="L43">
        <v>127</v>
      </c>
      <c r="M43">
        <v>1</v>
      </c>
      <c r="N43">
        <v>2</v>
      </c>
      <c r="P43" t="s">
        <v>90</v>
      </c>
      <c r="R43" t="str">
        <f t="shared" si="3"/>
        <v>TAB-EE</v>
      </c>
      <c r="S43">
        <f t="shared" si="0"/>
        <v>88.09</v>
      </c>
      <c r="T43">
        <f t="shared" si="1"/>
        <v>38.32</v>
      </c>
      <c r="U43">
        <f>IF(SQRT(POWER(T43-F43,2))+SQRT(POWER(E43-S43,2))=0,0,SQRT(POWER(T43-F43,2))+SQRT(POWER(E43-S43,2))+DATOS!$H$20)</f>
        <v>11.379999999999988</v>
      </c>
    </row>
    <row r="44" spans="1:21">
      <c r="A44" t="s">
        <v>88</v>
      </c>
      <c r="B44" t="s">
        <v>89</v>
      </c>
      <c r="C44" t="s">
        <v>32</v>
      </c>
      <c r="E44">
        <v>76.92</v>
      </c>
      <c r="F44">
        <v>34.11</v>
      </c>
      <c r="G44">
        <v>0</v>
      </c>
      <c r="I44">
        <v>180</v>
      </c>
      <c r="L44">
        <v>127</v>
      </c>
      <c r="M44">
        <v>1</v>
      </c>
      <c r="N44">
        <v>2</v>
      </c>
      <c r="P44" t="s">
        <v>90</v>
      </c>
      <c r="R44" t="str">
        <f t="shared" si="3"/>
        <v>TAB-EE</v>
      </c>
      <c r="S44">
        <f t="shared" si="0"/>
        <v>88.09</v>
      </c>
      <c r="T44">
        <f t="shared" si="1"/>
        <v>38.32</v>
      </c>
      <c r="U44">
        <f>IF(SQRT(POWER(T44-F44,2))+SQRT(POWER(E44-S44,2))=0,0,SQRT(POWER(T44-F44,2))+SQRT(POWER(E44-S44,2))+DATOS!$H$20)</f>
        <v>20.380000000000003</v>
      </c>
    </row>
    <row r="45" spans="1:21">
      <c r="A45" t="s">
        <v>88</v>
      </c>
      <c r="B45" t="s">
        <v>89</v>
      </c>
      <c r="C45" t="s">
        <v>32</v>
      </c>
      <c r="E45">
        <v>83.96</v>
      </c>
      <c r="F45">
        <v>33.06</v>
      </c>
      <c r="G45">
        <v>0</v>
      </c>
      <c r="I45">
        <v>180</v>
      </c>
      <c r="L45">
        <v>127</v>
      </c>
      <c r="M45">
        <v>1</v>
      </c>
      <c r="N45">
        <v>2</v>
      </c>
      <c r="P45" t="s">
        <v>90</v>
      </c>
      <c r="R45" t="str">
        <f t="shared" si="3"/>
        <v>TAB-EE</v>
      </c>
      <c r="S45">
        <f t="shared" si="0"/>
        <v>88.09</v>
      </c>
      <c r="T45">
        <f t="shared" si="1"/>
        <v>38.32</v>
      </c>
      <c r="U45">
        <f>IF(SQRT(POWER(T45-F45,2))+SQRT(POWER(E45-S45,2))=0,0,SQRT(POWER(T45-F45,2))+SQRT(POWER(E45-S45,2))+DATOS!$H$20)</f>
        <v>14.390000000000008</v>
      </c>
    </row>
    <row r="46" spans="1:21">
      <c r="A46" t="s">
        <v>88</v>
      </c>
      <c r="B46" t="s">
        <v>60</v>
      </c>
      <c r="C46" t="s">
        <v>32</v>
      </c>
      <c r="E46">
        <v>70.78</v>
      </c>
      <c r="F46">
        <v>39.81</v>
      </c>
      <c r="G46">
        <v>0</v>
      </c>
      <c r="I46">
        <v>180</v>
      </c>
      <c r="L46">
        <v>127</v>
      </c>
      <c r="M46">
        <v>1</v>
      </c>
      <c r="N46">
        <v>2</v>
      </c>
      <c r="P46" t="s">
        <v>91</v>
      </c>
      <c r="R46" t="str">
        <f t="shared" si="3"/>
        <v>TAB-EE</v>
      </c>
      <c r="S46">
        <f t="shared" si="0"/>
        <v>88.09</v>
      </c>
      <c r="T46">
        <f t="shared" si="1"/>
        <v>38.32</v>
      </c>
      <c r="U46">
        <f>IF(SQRT(POWER(T46-F46,2))+SQRT(POWER(E46-S46,2))=0,0,SQRT(POWER(T46-F46,2))+SQRT(POWER(E46-S46,2))+DATOS!$H$20)</f>
        <v>23.800000000000004</v>
      </c>
    </row>
    <row r="47" spans="1:21">
      <c r="A47" t="s">
        <v>92</v>
      </c>
      <c r="B47" t="s">
        <v>63</v>
      </c>
      <c r="C47" t="s">
        <v>32</v>
      </c>
      <c r="E47">
        <v>80.16</v>
      </c>
      <c r="F47">
        <v>38.909999999999997</v>
      </c>
      <c r="G47">
        <v>0</v>
      </c>
      <c r="H47">
        <v>826</v>
      </c>
      <c r="L47">
        <v>127</v>
      </c>
      <c r="M47">
        <v>1</v>
      </c>
      <c r="N47">
        <v>2</v>
      </c>
      <c r="P47" t="s">
        <v>93</v>
      </c>
      <c r="R47" t="str">
        <f t="shared" si="3"/>
        <v>TAB-EE</v>
      </c>
      <c r="S47">
        <f t="shared" si="0"/>
        <v>88.09</v>
      </c>
      <c r="T47">
        <f t="shared" si="1"/>
        <v>38.32</v>
      </c>
      <c r="U47">
        <f>IF(SQRT(POWER(T47-F47,2))+SQRT(POWER(E47-S47,2))=0,0,SQRT(POWER(T47-F47,2))+SQRT(POWER(E47-S47,2))+DATOS!$H$20)</f>
        <v>13.520000000000003</v>
      </c>
    </row>
    <row r="48" spans="1:21">
      <c r="A48" t="s">
        <v>92</v>
      </c>
      <c r="B48" t="s">
        <v>63</v>
      </c>
      <c r="C48" t="s">
        <v>32</v>
      </c>
      <c r="E48">
        <v>76.209999999999994</v>
      </c>
      <c r="F48">
        <v>41.1</v>
      </c>
      <c r="G48">
        <v>0</v>
      </c>
      <c r="H48">
        <v>826</v>
      </c>
      <c r="L48">
        <v>127</v>
      </c>
      <c r="M48">
        <v>1</v>
      </c>
      <c r="N48">
        <v>2</v>
      </c>
      <c r="P48" t="s">
        <v>93</v>
      </c>
      <c r="R48" t="str">
        <f t="shared" si="3"/>
        <v>TAB-EE</v>
      </c>
      <c r="S48">
        <f t="shared" si="0"/>
        <v>88.09</v>
      </c>
      <c r="T48">
        <f t="shared" si="1"/>
        <v>38.32</v>
      </c>
      <c r="U48">
        <f>IF(SQRT(POWER(T48-F48,2))+SQRT(POWER(E48-S48,2))=0,0,SQRT(POWER(T48-F48,2))+SQRT(POWER(E48-S48,2))+DATOS!$H$20)</f>
        <v>19.660000000000011</v>
      </c>
    </row>
    <row r="49" spans="1:21">
      <c r="A49" t="s">
        <v>88</v>
      </c>
      <c r="B49" t="s">
        <v>60</v>
      </c>
      <c r="C49" t="s">
        <v>32</v>
      </c>
      <c r="E49">
        <v>79.84</v>
      </c>
      <c r="F49">
        <v>52.47</v>
      </c>
      <c r="G49">
        <v>0</v>
      </c>
      <c r="I49">
        <v>180</v>
      </c>
      <c r="L49">
        <v>127</v>
      </c>
      <c r="M49">
        <v>1</v>
      </c>
      <c r="N49">
        <v>2</v>
      </c>
      <c r="P49" t="s">
        <v>91</v>
      </c>
      <c r="R49" t="str">
        <f t="shared" si="3"/>
        <v>TAB-EE</v>
      </c>
      <c r="S49">
        <f t="shared" si="0"/>
        <v>88.09</v>
      </c>
      <c r="T49">
        <f t="shared" si="1"/>
        <v>38.32</v>
      </c>
      <c r="U49">
        <f>IF(SQRT(POWER(T49-F49,2))+SQRT(POWER(E49-S49,2))=0,0,SQRT(POWER(T49-F49,2))+SQRT(POWER(E49-S49,2))+DATOS!$H$20)</f>
        <v>27.4</v>
      </c>
    </row>
    <row r="50" spans="1:21">
      <c r="A50" t="s">
        <v>88</v>
      </c>
      <c r="B50" t="s">
        <v>60</v>
      </c>
      <c r="C50" t="s">
        <v>32</v>
      </c>
      <c r="E50">
        <v>77.459999999999994</v>
      </c>
      <c r="F50">
        <v>52.47</v>
      </c>
      <c r="G50">
        <v>0</v>
      </c>
      <c r="I50">
        <v>180</v>
      </c>
      <c r="L50">
        <v>127</v>
      </c>
      <c r="M50">
        <v>1</v>
      </c>
      <c r="N50">
        <v>2</v>
      </c>
      <c r="P50" t="s">
        <v>91</v>
      </c>
      <c r="R50" t="str">
        <f t="shared" si="3"/>
        <v>TAB-EE</v>
      </c>
      <c r="S50">
        <f t="shared" si="0"/>
        <v>88.09</v>
      </c>
      <c r="T50">
        <f t="shared" si="1"/>
        <v>38.32</v>
      </c>
      <c r="U50">
        <f>IF(SQRT(POWER(T50-F50,2))+SQRT(POWER(E50-S50,2))=0,0,SQRT(POWER(T50-F50,2))+SQRT(POWER(E50-S50,2))+DATOS!$H$20)</f>
        <v>29.780000000000008</v>
      </c>
    </row>
    <row r="51" spans="1:21">
      <c r="A51" t="s">
        <v>94</v>
      </c>
      <c r="B51" t="s">
        <v>95</v>
      </c>
      <c r="C51" t="s">
        <v>32</v>
      </c>
      <c r="E51">
        <v>76.38</v>
      </c>
      <c r="F51">
        <v>52.45</v>
      </c>
      <c r="G51">
        <v>0</v>
      </c>
      <c r="I51">
        <v>1540</v>
      </c>
      <c r="L51">
        <v>220</v>
      </c>
      <c r="M51">
        <v>2</v>
      </c>
      <c r="N51">
        <v>2</v>
      </c>
      <c r="P51" t="s">
        <v>96</v>
      </c>
      <c r="R51" t="str">
        <f t="shared" si="3"/>
        <v>TAB-PE</v>
      </c>
      <c r="S51">
        <f t="shared" si="0"/>
        <v>87.01</v>
      </c>
      <c r="T51">
        <f t="shared" si="1"/>
        <v>38.32</v>
      </c>
      <c r="U51">
        <f>IF(SQRT(POWER(T51-F51,2))+SQRT(POWER(E51-S51,2))=0,0,SQRT(POWER(T51-F51,2))+SQRT(POWER(E51-S51,2))+DATOS!$H$20)</f>
        <v>29.760000000000012</v>
      </c>
    </row>
    <row r="52" spans="1:21">
      <c r="A52" t="s">
        <v>97</v>
      </c>
      <c r="B52" t="s">
        <v>95</v>
      </c>
      <c r="C52" t="s">
        <v>32</v>
      </c>
      <c r="E52">
        <v>75.5</v>
      </c>
      <c r="F52">
        <v>52.45</v>
      </c>
      <c r="G52">
        <v>0</v>
      </c>
      <c r="I52">
        <v>1540</v>
      </c>
      <c r="L52">
        <v>220</v>
      </c>
      <c r="M52">
        <v>2</v>
      </c>
      <c r="N52">
        <v>2</v>
      </c>
      <c r="P52" t="s">
        <v>96</v>
      </c>
      <c r="R52" t="str">
        <f t="shared" si="3"/>
        <v>TAB-PE</v>
      </c>
      <c r="S52">
        <f t="shared" si="0"/>
        <v>87.01</v>
      </c>
      <c r="T52">
        <f t="shared" si="1"/>
        <v>38.32</v>
      </c>
      <c r="U52">
        <f>IF(SQRT(POWER(T52-F52,2))+SQRT(POWER(E52-S52,2))=0,0,SQRT(POWER(T52-F52,2))+SQRT(POWER(E52-S52,2))+DATOS!$H$20)</f>
        <v>30.640000000000008</v>
      </c>
    </row>
    <row r="53" spans="1:21">
      <c r="A53" t="s">
        <v>98</v>
      </c>
      <c r="B53" t="s">
        <v>95</v>
      </c>
      <c r="C53" t="s">
        <v>32</v>
      </c>
      <c r="E53">
        <v>76.14</v>
      </c>
      <c r="F53">
        <v>55.73</v>
      </c>
      <c r="G53">
        <v>0</v>
      </c>
      <c r="I53">
        <v>1540</v>
      </c>
      <c r="L53">
        <v>220</v>
      </c>
      <c r="M53">
        <v>2</v>
      </c>
      <c r="N53">
        <v>2</v>
      </c>
      <c r="P53" t="s">
        <v>99</v>
      </c>
      <c r="R53" t="str">
        <f t="shared" si="3"/>
        <v>TAB-PE</v>
      </c>
      <c r="S53">
        <f t="shared" si="0"/>
        <v>87.01</v>
      </c>
      <c r="T53">
        <f t="shared" si="1"/>
        <v>38.32</v>
      </c>
      <c r="U53">
        <f>IF(SQRT(POWER(T53-F53,2))+SQRT(POWER(E53-S53,2))=0,0,SQRT(POWER(T53-F53,2))+SQRT(POWER(E53-S53,2))+DATOS!$H$20)</f>
        <v>33.28</v>
      </c>
    </row>
    <row r="54" spans="1:21">
      <c r="A54" t="s">
        <v>100</v>
      </c>
      <c r="B54" t="s">
        <v>95</v>
      </c>
      <c r="C54" t="s">
        <v>32</v>
      </c>
      <c r="E54">
        <v>76.14</v>
      </c>
      <c r="F54">
        <v>56.62</v>
      </c>
      <c r="G54">
        <v>0</v>
      </c>
      <c r="I54">
        <v>1540</v>
      </c>
      <c r="L54">
        <v>220</v>
      </c>
      <c r="M54">
        <v>2</v>
      </c>
      <c r="N54">
        <v>2</v>
      </c>
      <c r="P54" t="s">
        <v>99</v>
      </c>
      <c r="R54" t="str">
        <f t="shared" si="3"/>
        <v>TAB-PE</v>
      </c>
      <c r="S54">
        <f t="shared" si="0"/>
        <v>87.01</v>
      </c>
      <c r="T54">
        <f t="shared" si="1"/>
        <v>38.32</v>
      </c>
      <c r="U54">
        <f>IF(SQRT(POWER(T54-F54,2))+SQRT(POWER(E54-S54,2))=0,0,SQRT(POWER(T54-F54,2))+SQRT(POWER(E54-S54,2))+DATOS!$H$20)</f>
        <v>34.17</v>
      </c>
    </row>
    <row r="55" spans="1:21">
      <c r="A55" t="s">
        <v>101</v>
      </c>
      <c r="B55" t="s">
        <v>95</v>
      </c>
      <c r="C55" t="s">
        <v>32</v>
      </c>
      <c r="E55">
        <v>73.069999999999993</v>
      </c>
      <c r="F55">
        <v>54.85</v>
      </c>
      <c r="G55">
        <v>0</v>
      </c>
      <c r="I55">
        <v>1540</v>
      </c>
      <c r="L55">
        <v>220</v>
      </c>
      <c r="M55">
        <v>2</v>
      </c>
      <c r="N55">
        <v>2</v>
      </c>
      <c r="P55" t="s">
        <v>99</v>
      </c>
      <c r="R55" t="str">
        <f t="shared" si="3"/>
        <v>TAB-PE</v>
      </c>
      <c r="S55">
        <f t="shared" si="0"/>
        <v>87.01</v>
      </c>
      <c r="T55">
        <f t="shared" si="1"/>
        <v>38.32</v>
      </c>
      <c r="U55">
        <f>IF(SQRT(POWER(T55-F55,2))+SQRT(POWER(E55-S55,2))=0,0,SQRT(POWER(T55-F55,2))+SQRT(POWER(E55-S55,2))+DATOS!$H$20)</f>
        <v>35.470000000000013</v>
      </c>
    </row>
    <row r="56" spans="1:21">
      <c r="A56" t="s">
        <v>102</v>
      </c>
      <c r="B56" t="s">
        <v>95</v>
      </c>
      <c r="C56" t="s">
        <v>32</v>
      </c>
      <c r="E56">
        <v>73.069999999999993</v>
      </c>
      <c r="F56">
        <v>55.54</v>
      </c>
      <c r="G56">
        <v>0</v>
      </c>
      <c r="I56">
        <v>1540</v>
      </c>
      <c r="L56">
        <v>220</v>
      </c>
      <c r="M56">
        <v>2</v>
      </c>
      <c r="N56">
        <v>2</v>
      </c>
      <c r="P56" t="s">
        <v>99</v>
      </c>
      <c r="R56" t="str">
        <f t="shared" si="3"/>
        <v>TAB-PE</v>
      </c>
      <c r="S56">
        <f t="shared" si="0"/>
        <v>87.01</v>
      </c>
      <c r="T56">
        <f t="shared" si="1"/>
        <v>38.32</v>
      </c>
      <c r="U56">
        <f>IF(SQRT(POWER(T56-F56,2))+SQRT(POWER(E56-S56,2))=0,0,SQRT(POWER(T56-F56,2))+SQRT(POWER(E56-S56,2))+DATOS!$H$20)</f>
        <v>36.160000000000011</v>
      </c>
    </row>
    <row r="57" spans="1:21">
      <c r="A57" t="s">
        <v>103</v>
      </c>
      <c r="B57" t="s">
        <v>95</v>
      </c>
      <c r="C57" t="s">
        <v>32</v>
      </c>
      <c r="E57">
        <v>66.959999999999994</v>
      </c>
      <c r="F57">
        <v>52.71</v>
      </c>
      <c r="G57">
        <v>0</v>
      </c>
      <c r="I57">
        <v>1578</v>
      </c>
      <c r="L57">
        <v>220</v>
      </c>
      <c r="M57">
        <v>2</v>
      </c>
      <c r="N57">
        <v>2</v>
      </c>
      <c r="P57" t="s">
        <v>104</v>
      </c>
      <c r="R57" t="str">
        <f t="shared" si="3"/>
        <v>TAB-PE</v>
      </c>
      <c r="S57">
        <f t="shared" si="0"/>
        <v>87.01</v>
      </c>
      <c r="T57">
        <f t="shared" si="1"/>
        <v>38.32</v>
      </c>
      <c r="U57">
        <f>IF(SQRT(POWER(T57-F57,2))+SQRT(POWER(E57-S57,2))=0,0,SQRT(POWER(T57-F57,2))+SQRT(POWER(E57-S57,2))+DATOS!$H$20)</f>
        <v>39.440000000000012</v>
      </c>
    </row>
    <row r="58" spans="1:21">
      <c r="A58" t="s">
        <v>105</v>
      </c>
      <c r="B58" t="s">
        <v>63</v>
      </c>
      <c r="C58" t="s">
        <v>32</v>
      </c>
      <c r="E58">
        <v>66.63</v>
      </c>
      <c r="F58">
        <v>55.1</v>
      </c>
      <c r="G58">
        <v>0</v>
      </c>
      <c r="I58">
        <v>762</v>
      </c>
      <c r="L58">
        <v>127</v>
      </c>
      <c r="M58">
        <v>1</v>
      </c>
      <c r="N58">
        <v>2</v>
      </c>
      <c r="P58" t="s">
        <v>106</v>
      </c>
      <c r="R58" t="str">
        <f t="shared" si="3"/>
        <v>TAB-PE</v>
      </c>
      <c r="S58">
        <f t="shared" si="0"/>
        <v>87.01</v>
      </c>
      <c r="T58">
        <f t="shared" si="1"/>
        <v>38.32</v>
      </c>
      <c r="U58">
        <f>IF(SQRT(POWER(T58-F58,2))+SQRT(POWER(E58-S58,2))=0,0,SQRT(POWER(T58-F58,2))+SQRT(POWER(E58-S58,2))+DATOS!$H$20)</f>
        <v>42.160000000000011</v>
      </c>
    </row>
    <row r="59" spans="1:21">
      <c r="A59" t="s">
        <v>105</v>
      </c>
      <c r="B59" t="s">
        <v>63</v>
      </c>
      <c r="C59" t="s">
        <v>32</v>
      </c>
      <c r="E59">
        <v>67.02</v>
      </c>
      <c r="F59">
        <v>55.1</v>
      </c>
      <c r="G59">
        <v>0</v>
      </c>
      <c r="I59">
        <v>762</v>
      </c>
      <c r="L59">
        <v>127</v>
      </c>
      <c r="M59">
        <v>1</v>
      </c>
      <c r="N59">
        <v>2</v>
      </c>
      <c r="P59" t="s">
        <v>106</v>
      </c>
      <c r="R59" t="str">
        <f t="shared" si="3"/>
        <v>TAB-PE</v>
      </c>
      <c r="S59">
        <f t="shared" si="0"/>
        <v>87.01</v>
      </c>
      <c r="T59">
        <f t="shared" si="1"/>
        <v>38.32</v>
      </c>
      <c r="U59">
        <f>IF(SQRT(POWER(T59-F59,2))+SQRT(POWER(E59-S59,2))=0,0,SQRT(POWER(T59-F59,2))+SQRT(POWER(E59-S59,2))+DATOS!$H$20)</f>
        <v>41.77000000000001</v>
      </c>
    </row>
    <row r="60" spans="1:21">
      <c r="A60" t="s">
        <v>107</v>
      </c>
      <c r="B60" t="s">
        <v>63</v>
      </c>
      <c r="C60" t="s">
        <v>32</v>
      </c>
      <c r="E60">
        <v>70.650000000000006</v>
      </c>
      <c r="F60">
        <v>51.52</v>
      </c>
      <c r="G60">
        <v>0</v>
      </c>
      <c r="I60">
        <v>360</v>
      </c>
      <c r="L60">
        <v>127</v>
      </c>
      <c r="M60">
        <v>1</v>
      </c>
      <c r="N60">
        <v>2</v>
      </c>
      <c r="P60" t="s">
        <v>104</v>
      </c>
      <c r="R60" t="str">
        <f t="shared" si="3"/>
        <v>TAB-PE</v>
      </c>
      <c r="S60">
        <f t="shared" si="0"/>
        <v>87.01</v>
      </c>
      <c r="T60">
        <f t="shared" si="1"/>
        <v>38.32</v>
      </c>
      <c r="U60">
        <f>IF(SQRT(POWER(T60-F60,2))+SQRT(POWER(E60-S60,2))=0,0,SQRT(POWER(T60-F60,2))+SQRT(POWER(E60-S60,2))+DATOS!$H$20)</f>
        <v>34.56</v>
      </c>
    </row>
    <row r="61" spans="1:21">
      <c r="A61" t="s">
        <v>107</v>
      </c>
      <c r="B61" t="s">
        <v>63</v>
      </c>
      <c r="C61" t="s">
        <v>32</v>
      </c>
      <c r="E61">
        <v>70.650000000000006</v>
      </c>
      <c r="F61">
        <v>54.52</v>
      </c>
      <c r="G61">
        <v>0</v>
      </c>
      <c r="I61">
        <v>360</v>
      </c>
      <c r="L61">
        <v>127</v>
      </c>
      <c r="M61">
        <v>1</v>
      </c>
      <c r="N61">
        <v>2</v>
      </c>
      <c r="P61" t="s">
        <v>104</v>
      </c>
      <c r="R61" t="str">
        <f t="shared" si="3"/>
        <v>TAB-PE</v>
      </c>
      <c r="S61">
        <f t="shared" si="0"/>
        <v>87.01</v>
      </c>
      <c r="T61">
        <f t="shared" si="1"/>
        <v>38.32</v>
      </c>
      <c r="U61">
        <f>IF(SQRT(POWER(T61-F61,2))+SQRT(POWER(E61-S61,2))=0,0,SQRT(POWER(T61-F61,2))+SQRT(POWER(E61-S61,2))+DATOS!$H$20)</f>
        <v>37.56</v>
      </c>
    </row>
    <row r="62" spans="1:21">
      <c r="A62" t="s">
        <v>107</v>
      </c>
      <c r="B62" t="s">
        <v>63</v>
      </c>
      <c r="C62" t="s">
        <v>32</v>
      </c>
      <c r="E62">
        <v>62.87</v>
      </c>
      <c r="F62">
        <v>53.25</v>
      </c>
      <c r="G62">
        <v>0</v>
      </c>
      <c r="I62">
        <v>360</v>
      </c>
      <c r="L62">
        <v>127</v>
      </c>
      <c r="M62">
        <v>1</v>
      </c>
      <c r="N62">
        <v>2</v>
      </c>
      <c r="P62" t="s">
        <v>108</v>
      </c>
      <c r="R62" t="str">
        <f t="shared" si="3"/>
        <v>TAB-PE</v>
      </c>
      <c r="S62">
        <f t="shared" si="0"/>
        <v>87.01</v>
      </c>
      <c r="T62">
        <f t="shared" si="1"/>
        <v>38.32</v>
      </c>
      <c r="U62">
        <f>IF(SQRT(POWER(T62-F62,2))+SQRT(POWER(E62-S62,2))=0,0,SQRT(POWER(T62-F62,2))+SQRT(POWER(E62-S62,2))+DATOS!$H$20)</f>
        <v>44.070000000000007</v>
      </c>
    </row>
    <row r="63" spans="1:21">
      <c r="A63" t="s">
        <v>88</v>
      </c>
      <c r="B63" t="s">
        <v>109</v>
      </c>
      <c r="C63" t="s">
        <v>32</v>
      </c>
      <c r="E63">
        <v>69.849999999999994</v>
      </c>
      <c r="F63">
        <v>57.22</v>
      </c>
      <c r="G63">
        <v>0</v>
      </c>
      <c r="I63">
        <v>384</v>
      </c>
      <c r="L63">
        <v>127</v>
      </c>
      <c r="M63">
        <v>1</v>
      </c>
      <c r="N63">
        <v>2</v>
      </c>
      <c r="P63" t="s">
        <v>110</v>
      </c>
      <c r="R63" t="str">
        <f t="shared" si="3"/>
        <v>TAB-EE</v>
      </c>
      <c r="S63">
        <f t="shared" si="0"/>
        <v>88.09</v>
      </c>
      <c r="T63">
        <f t="shared" si="1"/>
        <v>38.32</v>
      </c>
      <c r="U63">
        <f>IF(SQRT(POWER(T63-F63,2))+SQRT(POWER(E63-S63,2))=0,0,SQRT(POWER(T63-F63,2))+SQRT(POWER(E63-S63,2))+DATOS!$H$20)</f>
        <v>42.140000000000008</v>
      </c>
    </row>
    <row r="64" spans="1:21">
      <c r="A64" t="s">
        <v>111</v>
      </c>
      <c r="B64" t="s">
        <v>112</v>
      </c>
      <c r="C64" t="s">
        <v>32</v>
      </c>
      <c r="E64">
        <v>69.900000000000006</v>
      </c>
      <c r="F64">
        <v>60.97</v>
      </c>
      <c r="G64">
        <v>0</v>
      </c>
      <c r="I64">
        <v>967</v>
      </c>
      <c r="L64">
        <v>127</v>
      </c>
      <c r="M64">
        <v>1</v>
      </c>
      <c r="N64">
        <v>2</v>
      </c>
      <c r="P64" t="s">
        <v>113</v>
      </c>
      <c r="R64" t="str">
        <f t="shared" si="3"/>
        <v>TAB-EE</v>
      </c>
      <c r="S64">
        <f t="shared" si="0"/>
        <v>88.09</v>
      </c>
      <c r="T64">
        <f t="shared" si="1"/>
        <v>38.32</v>
      </c>
      <c r="U64">
        <f>IF(SQRT(POWER(T64-F64,2))+SQRT(POWER(E64-S64,2))=0,0,SQRT(POWER(T64-F64,2))+SQRT(POWER(E64-S64,2))+DATOS!$H$20)</f>
        <v>45.839999999999996</v>
      </c>
    </row>
    <row r="65" spans="1:21">
      <c r="A65" t="s">
        <v>111</v>
      </c>
      <c r="B65" t="s">
        <v>112</v>
      </c>
      <c r="C65" t="s">
        <v>32</v>
      </c>
      <c r="E65">
        <v>69.459999999999994</v>
      </c>
      <c r="F65">
        <v>60.97</v>
      </c>
      <c r="G65">
        <v>0</v>
      </c>
      <c r="I65">
        <v>333</v>
      </c>
      <c r="L65">
        <v>127</v>
      </c>
      <c r="M65">
        <v>1</v>
      </c>
      <c r="N65">
        <v>2</v>
      </c>
      <c r="P65" t="s">
        <v>114</v>
      </c>
      <c r="R65" t="str">
        <f t="shared" si="3"/>
        <v>TAB-EE</v>
      </c>
      <c r="S65">
        <f t="shared" si="0"/>
        <v>88.09</v>
      </c>
      <c r="T65">
        <f t="shared" si="1"/>
        <v>38.32</v>
      </c>
      <c r="U65">
        <f>IF(SQRT(POWER(T65-F65,2))+SQRT(POWER(E65-S65,2))=0,0,SQRT(POWER(T65-F65,2))+SQRT(POWER(E65-S65,2))+DATOS!$H$20)</f>
        <v>46.280000000000008</v>
      </c>
    </row>
    <row r="66" spans="1:21">
      <c r="A66" t="s">
        <v>111</v>
      </c>
      <c r="B66" t="s">
        <v>112</v>
      </c>
      <c r="C66" t="s">
        <v>32</v>
      </c>
      <c r="E66">
        <v>69.900000000000006</v>
      </c>
      <c r="F66">
        <v>62.48</v>
      </c>
      <c r="G66">
        <v>0</v>
      </c>
      <c r="I66">
        <v>333</v>
      </c>
      <c r="L66">
        <v>127</v>
      </c>
      <c r="M66">
        <v>1</v>
      </c>
      <c r="N66">
        <v>2</v>
      </c>
      <c r="P66" t="s">
        <v>114</v>
      </c>
      <c r="R66" t="str">
        <f t="shared" si="3"/>
        <v>TAB-EE</v>
      </c>
      <c r="S66">
        <f t="shared" si="0"/>
        <v>88.09</v>
      </c>
      <c r="T66">
        <f t="shared" si="1"/>
        <v>38.32</v>
      </c>
      <c r="U66">
        <f>IF(SQRT(POWER(T66-F66,2))+SQRT(POWER(E66-S66,2))=0,0,SQRT(POWER(T66-F66,2))+SQRT(POWER(E66-S66,2))+DATOS!$H$20)</f>
        <v>47.349999999999994</v>
      </c>
    </row>
    <row r="67" spans="1:21">
      <c r="A67" t="s">
        <v>115</v>
      </c>
      <c r="B67" t="s">
        <v>112</v>
      </c>
      <c r="C67" t="s">
        <v>32</v>
      </c>
      <c r="E67">
        <v>69.459999999999994</v>
      </c>
      <c r="F67">
        <v>62.48</v>
      </c>
      <c r="G67">
        <v>0</v>
      </c>
      <c r="I67">
        <v>333</v>
      </c>
      <c r="L67">
        <v>127</v>
      </c>
      <c r="M67">
        <v>1</v>
      </c>
      <c r="N67">
        <v>2</v>
      </c>
      <c r="P67" t="s">
        <v>114</v>
      </c>
      <c r="R67" t="str">
        <f t="shared" si="3"/>
        <v>TAB-EE</v>
      </c>
      <c r="S67">
        <f t="shared" ref="S67:S130" si="4">IFERROR(VLOOKUP(R67,$A$2:$F$700,5,0),E67)</f>
        <v>88.09</v>
      </c>
      <c r="T67">
        <f t="shared" ref="T67:T130" si="5">IFERROR(VLOOKUP(R67,$A$2:$F$700,6,0),F67)</f>
        <v>38.32</v>
      </c>
      <c r="U67">
        <f>IF(SQRT(POWER(T67-F67,2))+SQRT(POWER(E67-S67,2))=0,0,SQRT(POWER(T67-F67,2))+SQRT(POWER(E67-S67,2))+DATOS!$H$20)</f>
        <v>47.790000000000006</v>
      </c>
    </row>
    <row r="68" spans="1:21">
      <c r="A68" t="s">
        <v>116</v>
      </c>
      <c r="B68" t="s">
        <v>112</v>
      </c>
      <c r="C68" t="s">
        <v>32</v>
      </c>
      <c r="E68">
        <v>73.180000000000007</v>
      </c>
      <c r="F68">
        <v>60.97</v>
      </c>
      <c r="G68">
        <v>0</v>
      </c>
      <c r="I68">
        <v>180</v>
      </c>
      <c r="L68">
        <v>127</v>
      </c>
      <c r="M68">
        <v>1</v>
      </c>
      <c r="N68">
        <v>2</v>
      </c>
      <c r="P68" t="s">
        <v>113</v>
      </c>
      <c r="R68" t="str">
        <f t="shared" si="3"/>
        <v>TAB-EE</v>
      </c>
      <c r="S68">
        <f t="shared" si="4"/>
        <v>88.09</v>
      </c>
      <c r="T68">
        <f t="shared" si="5"/>
        <v>38.32</v>
      </c>
      <c r="U68">
        <f>IF(SQRT(POWER(T68-F68,2))+SQRT(POWER(E68-S68,2))=0,0,SQRT(POWER(T68-F68,2))+SQRT(POWER(E68-S68,2))+DATOS!$H$20)</f>
        <v>42.559999999999995</v>
      </c>
    </row>
    <row r="69" spans="1:21">
      <c r="A69" t="s">
        <v>116</v>
      </c>
      <c r="B69" t="s">
        <v>112</v>
      </c>
      <c r="C69" t="s">
        <v>32</v>
      </c>
      <c r="E69">
        <v>73.180000000000007</v>
      </c>
      <c r="F69">
        <v>62.48</v>
      </c>
      <c r="G69">
        <v>0</v>
      </c>
      <c r="I69">
        <v>180</v>
      </c>
      <c r="L69">
        <v>127</v>
      </c>
      <c r="M69">
        <v>1</v>
      </c>
      <c r="N69">
        <v>2</v>
      </c>
      <c r="P69" t="s">
        <v>113</v>
      </c>
      <c r="R69" t="str">
        <f t="shared" si="3"/>
        <v>TAB-EE</v>
      </c>
      <c r="S69">
        <f t="shared" si="4"/>
        <v>88.09</v>
      </c>
      <c r="T69">
        <f t="shared" si="5"/>
        <v>38.32</v>
      </c>
      <c r="U69">
        <f>IF(SQRT(POWER(T69-F69,2))+SQRT(POWER(E69-S69,2))=0,0,SQRT(POWER(T69-F69,2))+SQRT(POWER(E69-S69,2))+DATOS!$H$20)</f>
        <v>44.069999999999993</v>
      </c>
    </row>
    <row r="70" spans="1:21">
      <c r="A70" t="s">
        <v>116</v>
      </c>
      <c r="B70" t="s">
        <v>63</v>
      </c>
      <c r="C70" t="s">
        <v>32</v>
      </c>
      <c r="E70">
        <v>73.180000000000007</v>
      </c>
      <c r="F70">
        <v>63.23</v>
      </c>
      <c r="G70">
        <v>0</v>
      </c>
      <c r="I70">
        <v>1130</v>
      </c>
      <c r="L70">
        <v>127</v>
      </c>
      <c r="M70">
        <v>1</v>
      </c>
      <c r="N70">
        <v>2</v>
      </c>
      <c r="P70" t="s">
        <v>113</v>
      </c>
      <c r="R70" t="str">
        <f t="shared" si="3"/>
        <v>TAB-EE</v>
      </c>
      <c r="S70">
        <f t="shared" si="4"/>
        <v>88.09</v>
      </c>
      <c r="T70">
        <f t="shared" si="5"/>
        <v>38.32</v>
      </c>
      <c r="U70">
        <f>IF(SQRT(POWER(T70-F70,2))+SQRT(POWER(E70-S70,2))=0,0,SQRT(POWER(T70-F70,2))+SQRT(POWER(E70-S70,2))+DATOS!$H$20)</f>
        <v>44.819999999999993</v>
      </c>
    </row>
    <row r="71" spans="1:21">
      <c r="A71" t="s">
        <v>117</v>
      </c>
      <c r="B71" t="s">
        <v>112</v>
      </c>
      <c r="C71" t="s">
        <v>32</v>
      </c>
      <c r="E71">
        <v>69.900000000000006</v>
      </c>
      <c r="F71">
        <v>63.23</v>
      </c>
      <c r="G71">
        <v>0</v>
      </c>
      <c r="I71">
        <v>1461</v>
      </c>
      <c r="L71">
        <v>127</v>
      </c>
      <c r="M71">
        <v>1</v>
      </c>
      <c r="N71">
        <v>2</v>
      </c>
      <c r="P71" t="s">
        <v>113</v>
      </c>
      <c r="R71" t="str">
        <f t="shared" si="3"/>
        <v>TAB-EE</v>
      </c>
      <c r="S71">
        <f t="shared" si="4"/>
        <v>88.09</v>
      </c>
      <c r="T71">
        <f t="shared" si="5"/>
        <v>38.32</v>
      </c>
      <c r="U71">
        <f>IF(SQRT(POWER(T71-F71,2))+SQRT(POWER(E71-S71,2))=0,0,SQRT(POWER(T71-F71,2))+SQRT(POWER(E71-S71,2))+DATOS!$H$20)</f>
        <v>48.099999999999994</v>
      </c>
    </row>
    <row r="72" spans="1:21">
      <c r="A72" t="s">
        <v>115</v>
      </c>
      <c r="B72" t="s">
        <v>112</v>
      </c>
      <c r="C72" t="s">
        <v>32</v>
      </c>
      <c r="E72">
        <v>69.459999999999994</v>
      </c>
      <c r="F72">
        <v>63.23</v>
      </c>
      <c r="G72">
        <v>0</v>
      </c>
      <c r="I72">
        <v>180</v>
      </c>
      <c r="L72">
        <v>127</v>
      </c>
      <c r="M72">
        <v>1</v>
      </c>
      <c r="N72">
        <v>2</v>
      </c>
      <c r="P72" t="s">
        <v>114</v>
      </c>
      <c r="R72" t="str">
        <f t="shared" si="3"/>
        <v>TAB-EE</v>
      </c>
      <c r="S72">
        <f t="shared" si="4"/>
        <v>88.09</v>
      </c>
      <c r="T72">
        <f t="shared" si="5"/>
        <v>38.32</v>
      </c>
      <c r="U72">
        <f>IF(SQRT(POWER(T72-F72,2))+SQRT(POWER(E72-S72,2))=0,0,SQRT(POWER(T72-F72,2))+SQRT(POWER(E72-S72,2))+DATOS!$H$20)</f>
        <v>48.540000000000006</v>
      </c>
    </row>
    <row r="73" spans="1:21">
      <c r="A73" t="s">
        <v>115</v>
      </c>
      <c r="B73" t="s">
        <v>63</v>
      </c>
      <c r="C73" t="s">
        <v>32</v>
      </c>
      <c r="E73">
        <v>66.430000000000007</v>
      </c>
      <c r="F73">
        <v>62.87</v>
      </c>
      <c r="G73">
        <v>0</v>
      </c>
      <c r="I73">
        <v>826</v>
      </c>
      <c r="L73">
        <v>127</v>
      </c>
      <c r="M73">
        <v>1</v>
      </c>
      <c r="N73">
        <v>2</v>
      </c>
      <c r="P73" t="s">
        <v>114</v>
      </c>
      <c r="R73" t="str">
        <f t="shared" si="3"/>
        <v>TAB-EE</v>
      </c>
      <c r="S73">
        <f t="shared" si="4"/>
        <v>88.09</v>
      </c>
      <c r="T73">
        <f t="shared" si="5"/>
        <v>38.32</v>
      </c>
      <c r="U73">
        <f>IF(SQRT(POWER(T73-F73,2))+SQRT(POWER(E73-S73,2))=0,0,SQRT(POWER(T73-F73,2))+SQRT(POWER(E73-S73,2))+DATOS!$H$20)</f>
        <v>51.209999999999994</v>
      </c>
    </row>
    <row r="74" spans="1:21">
      <c r="A74" t="s">
        <v>115</v>
      </c>
      <c r="B74" t="s">
        <v>112</v>
      </c>
      <c r="C74" t="s">
        <v>32</v>
      </c>
      <c r="E74">
        <v>66.47</v>
      </c>
      <c r="F74">
        <v>61.04</v>
      </c>
      <c r="G74">
        <v>0</v>
      </c>
      <c r="I74">
        <v>191</v>
      </c>
      <c r="L74">
        <v>127</v>
      </c>
      <c r="M74">
        <v>1</v>
      </c>
      <c r="N74">
        <v>2</v>
      </c>
      <c r="P74" t="s">
        <v>118</v>
      </c>
      <c r="R74" t="str">
        <f t="shared" si="3"/>
        <v>TAB-EE</v>
      </c>
      <c r="S74">
        <f t="shared" si="4"/>
        <v>88.09</v>
      </c>
      <c r="T74">
        <f t="shared" si="5"/>
        <v>38.32</v>
      </c>
      <c r="U74">
        <f>IF(SQRT(POWER(T74-F74,2))+SQRT(POWER(E74-S74,2))=0,0,SQRT(POWER(T74-F74,2))+SQRT(POWER(E74-S74,2))+DATOS!$H$20)</f>
        <v>49.34</v>
      </c>
    </row>
    <row r="75" spans="1:21">
      <c r="A75" t="s">
        <v>115</v>
      </c>
      <c r="B75" t="s">
        <v>112</v>
      </c>
      <c r="C75" t="s">
        <v>32</v>
      </c>
      <c r="E75">
        <v>66.47</v>
      </c>
      <c r="F75">
        <v>59.56</v>
      </c>
      <c r="G75">
        <v>0</v>
      </c>
      <c r="I75">
        <v>191</v>
      </c>
      <c r="L75">
        <v>127</v>
      </c>
      <c r="M75">
        <v>1</v>
      </c>
      <c r="N75">
        <v>2</v>
      </c>
      <c r="P75" t="s">
        <v>114</v>
      </c>
      <c r="R75" t="str">
        <f t="shared" si="3"/>
        <v>TAB-EE</v>
      </c>
      <c r="S75">
        <f t="shared" si="4"/>
        <v>88.09</v>
      </c>
      <c r="T75">
        <f t="shared" si="5"/>
        <v>38.32</v>
      </c>
      <c r="U75">
        <f>IF(SQRT(POWER(T75-F75,2))+SQRT(POWER(E75-S75,2))=0,0,SQRT(POWER(T75-F75,2))+SQRT(POWER(E75-S75,2))+DATOS!$H$20)</f>
        <v>47.860000000000007</v>
      </c>
    </row>
    <row r="76" spans="1:21">
      <c r="A76" t="s">
        <v>119</v>
      </c>
      <c r="B76" t="s">
        <v>120</v>
      </c>
      <c r="C76" t="s">
        <v>121</v>
      </c>
      <c r="E76">
        <v>43.44</v>
      </c>
      <c r="F76">
        <v>42.57</v>
      </c>
      <c r="G76">
        <v>0</v>
      </c>
      <c r="I76">
        <v>180</v>
      </c>
      <c r="L76">
        <v>127</v>
      </c>
      <c r="M76">
        <v>1</v>
      </c>
      <c r="N76">
        <v>2</v>
      </c>
      <c r="P76" t="s">
        <v>122</v>
      </c>
      <c r="R76" t="str">
        <f t="shared" si="3"/>
        <v>TAB-CN</v>
      </c>
      <c r="S76">
        <f t="shared" si="4"/>
        <v>37.19</v>
      </c>
      <c r="T76">
        <f t="shared" si="5"/>
        <v>36.340000000000003</v>
      </c>
      <c r="U76">
        <f>IF(SQRT(POWER(T76-F76,2))+SQRT(POWER(E76-S76,2))=0,0,SQRT(POWER(T76-F76,2))+SQRT(POWER(E76-S76,2))+DATOS!$H$20)</f>
        <v>17.479999999999997</v>
      </c>
    </row>
    <row r="77" spans="1:21">
      <c r="A77" t="s">
        <v>123</v>
      </c>
      <c r="B77" t="s">
        <v>124</v>
      </c>
      <c r="C77" t="s">
        <v>32</v>
      </c>
      <c r="E77">
        <v>70.64</v>
      </c>
      <c r="F77">
        <v>35.56</v>
      </c>
      <c r="G77">
        <v>0</v>
      </c>
      <c r="I77">
        <v>180</v>
      </c>
      <c r="L77">
        <v>127</v>
      </c>
      <c r="M77">
        <v>1</v>
      </c>
      <c r="N77">
        <v>2</v>
      </c>
      <c r="P77" t="s">
        <v>125</v>
      </c>
      <c r="R77" t="str">
        <f t="shared" si="3"/>
        <v>TAB-EN</v>
      </c>
      <c r="S77">
        <f t="shared" si="4"/>
        <v>89.11</v>
      </c>
      <c r="T77">
        <f t="shared" si="5"/>
        <v>38.32</v>
      </c>
      <c r="U77">
        <f>IF(SQRT(POWER(T77-F77,2))+SQRT(POWER(E77-S77,2))=0,0,SQRT(POWER(T77-F77,2))+SQRT(POWER(E77-S77,2))+DATOS!$H$20)</f>
        <v>26.229999999999997</v>
      </c>
    </row>
    <row r="78" spans="1:21">
      <c r="A78" t="s">
        <v>123</v>
      </c>
      <c r="B78" t="s">
        <v>120</v>
      </c>
      <c r="C78" t="s">
        <v>121</v>
      </c>
      <c r="E78">
        <v>69.72</v>
      </c>
      <c r="F78">
        <v>36.119999999999997</v>
      </c>
      <c r="G78">
        <v>0</v>
      </c>
      <c r="I78">
        <v>180</v>
      </c>
      <c r="L78">
        <v>127</v>
      </c>
      <c r="M78">
        <v>1</v>
      </c>
      <c r="N78">
        <v>2</v>
      </c>
      <c r="P78" t="s">
        <v>125</v>
      </c>
      <c r="R78" t="str">
        <f t="shared" si="3"/>
        <v>TAB-EN</v>
      </c>
      <c r="S78">
        <f t="shared" si="4"/>
        <v>89.11</v>
      </c>
      <c r="T78">
        <f t="shared" si="5"/>
        <v>38.32</v>
      </c>
      <c r="U78">
        <f>IF(SQRT(POWER(T78-F78,2))+SQRT(POWER(E78-S78,2))=0,0,SQRT(POWER(T78-F78,2))+SQRT(POWER(E78-S78,2))+DATOS!$H$20)</f>
        <v>26.590000000000003</v>
      </c>
    </row>
    <row r="79" spans="1:21">
      <c r="A79" t="s">
        <v>123</v>
      </c>
      <c r="B79" t="s">
        <v>124</v>
      </c>
      <c r="C79" t="s">
        <v>32</v>
      </c>
      <c r="E79">
        <v>68.239999999999995</v>
      </c>
      <c r="F79">
        <v>35.56</v>
      </c>
      <c r="G79">
        <v>0</v>
      </c>
      <c r="I79">
        <v>180</v>
      </c>
      <c r="L79">
        <v>127</v>
      </c>
      <c r="M79">
        <v>1</v>
      </c>
      <c r="N79">
        <v>2</v>
      </c>
      <c r="P79" t="s">
        <v>125</v>
      </c>
      <c r="R79" t="str">
        <f t="shared" si="3"/>
        <v>TAB-EN</v>
      </c>
      <c r="S79">
        <f t="shared" si="4"/>
        <v>89.11</v>
      </c>
      <c r="T79">
        <f t="shared" si="5"/>
        <v>38.32</v>
      </c>
      <c r="U79">
        <f>IF(SQRT(POWER(T79-F79,2))+SQRT(POWER(E79-S79,2))=0,0,SQRT(POWER(T79-F79,2))+SQRT(POWER(E79-S79,2))+DATOS!$H$20)</f>
        <v>28.630000000000003</v>
      </c>
    </row>
    <row r="80" spans="1:21">
      <c r="A80" t="s">
        <v>126</v>
      </c>
      <c r="B80" t="s">
        <v>127</v>
      </c>
      <c r="C80" t="s">
        <v>32</v>
      </c>
      <c r="E80">
        <v>70.63</v>
      </c>
      <c r="F80">
        <v>34.64</v>
      </c>
      <c r="G80">
        <v>0</v>
      </c>
      <c r="H80">
        <v>180</v>
      </c>
      <c r="L80">
        <v>127</v>
      </c>
      <c r="M80">
        <v>1</v>
      </c>
      <c r="N80">
        <v>2</v>
      </c>
      <c r="P80" t="s">
        <v>128</v>
      </c>
      <c r="R80" t="str">
        <f t="shared" si="3"/>
        <v>TAB-EE</v>
      </c>
      <c r="S80">
        <f t="shared" si="4"/>
        <v>88.09</v>
      </c>
      <c r="T80">
        <f t="shared" si="5"/>
        <v>38.32</v>
      </c>
      <c r="U80">
        <f>IF(SQRT(POWER(T80-F80,2))+SQRT(POWER(E80-S80,2))=0,0,SQRT(POWER(T80-F80,2))+SQRT(POWER(E80-S80,2))+DATOS!$H$20)</f>
        <v>26.140000000000008</v>
      </c>
    </row>
    <row r="81" spans="1:21">
      <c r="A81" t="s">
        <v>126</v>
      </c>
      <c r="B81" t="s">
        <v>127</v>
      </c>
      <c r="C81" t="s">
        <v>32</v>
      </c>
      <c r="E81">
        <v>68.239999999999995</v>
      </c>
      <c r="F81">
        <v>34.64</v>
      </c>
      <c r="G81">
        <v>0</v>
      </c>
      <c r="H81">
        <v>180</v>
      </c>
      <c r="L81">
        <v>127</v>
      </c>
      <c r="M81">
        <v>1</v>
      </c>
      <c r="N81">
        <v>2</v>
      </c>
      <c r="P81" t="s">
        <v>128</v>
      </c>
      <c r="R81" t="str">
        <f t="shared" ref="R81:R144" si="6">"TAB-"&amp;LEFT(A81,FIND("-",A81) -1)</f>
        <v>TAB-EE</v>
      </c>
      <c r="S81">
        <f t="shared" si="4"/>
        <v>88.09</v>
      </c>
      <c r="T81">
        <f t="shared" si="5"/>
        <v>38.32</v>
      </c>
      <c r="U81">
        <f>IF(SQRT(POWER(T81-F81,2))+SQRT(POWER(E81-S81,2))=0,0,SQRT(POWER(T81-F81,2))+SQRT(POWER(E81-S81,2))+DATOS!$H$20)</f>
        <v>28.530000000000008</v>
      </c>
    </row>
    <row r="82" spans="1:21">
      <c r="A82" t="s">
        <v>126</v>
      </c>
      <c r="B82" t="s">
        <v>63</v>
      </c>
      <c r="C82" t="s">
        <v>32</v>
      </c>
      <c r="E82">
        <v>62.48</v>
      </c>
      <c r="F82">
        <v>39.479999999999997</v>
      </c>
      <c r="G82">
        <v>0</v>
      </c>
      <c r="I82">
        <v>180</v>
      </c>
      <c r="L82">
        <v>127</v>
      </c>
      <c r="M82">
        <v>1</v>
      </c>
      <c r="N82">
        <v>2</v>
      </c>
      <c r="P82" t="s">
        <v>129</v>
      </c>
      <c r="R82" t="str">
        <f t="shared" si="6"/>
        <v>TAB-EE</v>
      </c>
      <c r="S82">
        <f t="shared" si="4"/>
        <v>88.09</v>
      </c>
      <c r="T82">
        <f t="shared" si="5"/>
        <v>38.32</v>
      </c>
      <c r="U82">
        <f>IF(SQRT(POWER(T82-F82,2))+SQRT(POWER(E82-S82,2))=0,0,SQRT(POWER(T82-F82,2))+SQRT(POWER(E82-S82,2))+DATOS!$H$20)</f>
        <v>31.770000000000003</v>
      </c>
    </row>
    <row r="83" spans="1:21">
      <c r="A83" t="s">
        <v>126</v>
      </c>
      <c r="B83" t="s">
        <v>127</v>
      </c>
      <c r="C83" t="s">
        <v>32</v>
      </c>
      <c r="E83">
        <v>62.96</v>
      </c>
      <c r="F83">
        <v>34.64</v>
      </c>
      <c r="G83">
        <v>0</v>
      </c>
      <c r="H83">
        <v>180</v>
      </c>
      <c r="L83">
        <v>127</v>
      </c>
      <c r="M83">
        <v>1</v>
      </c>
      <c r="N83">
        <v>2</v>
      </c>
      <c r="P83" t="s">
        <v>128</v>
      </c>
      <c r="R83" t="str">
        <f t="shared" si="6"/>
        <v>TAB-EE</v>
      </c>
      <c r="S83">
        <f t="shared" si="4"/>
        <v>88.09</v>
      </c>
      <c r="T83">
        <f t="shared" si="5"/>
        <v>38.32</v>
      </c>
      <c r="U83">
        <f>IF(SQRT(POWER(T83-F83,2))+SQRT(POWER(E83-S83,2))=0,0,SQRT(POWER(T83-F83,2))+SQRT(POWER(E83-S83,2))+DATOS!$H$20)</f>
        <v>33.81</v>
      </c>
    </row>
    <row r="84" spans="1:21">
      <c r="A84" t="s">
        <v>126</v>
      </c>
      <c r="B84" t="s">
        <v>60</v>
      </c>
      <c r="C84" t="s">
        <v>32</v>
      </c>
      <c r="E84">
        <v>62.62</v>
      </c>
      <c r="F84">
        <v>42.57</v>
      </c>
      <c r="G84">
        <v>0</v>
      </c>
      <c r="H84">
        <v>180</v>
      </c>
      <c r="L84">
        <v>127</v>
      </c>
      <c r="M84">
        <v>1</v>
      </c>
      <c r="N84">
        <v>2</v>
      </c>
      <c r="P84" t="s">
        <v>130</v>
      </c>
      <c r="R84" t="str">
        <f t="shared" si="6"/>
        <v>TAB-EE</v>
      </c>
      <c r="S84">
        <f t="shared" si="4"/>
        <v>88.09</v>
      </c>
      <c r="T84">
        <f t="shared" si="5"/>
        <v>38.32</v>
      </c>
      <c r="U84">
        <f>IF(SQRT(POWER(T84-F84,2))+SQRT(POWER(E84-S84,2))=0,0,SQRT(POWER(T84-F84,2))+SQRT(POWER(E84-S84,2))+DATOS!$H$20)</f>
        <v>34.720000000000006</v>
      </c>
    </row>
    <row r="85" spans="1:21">
      <c r="A85" t="s">
        <v>126</v>
      </c>
      <c r="B85" t="s">
        <v>89</v>
      </c>
      <c r="C85" t="s">
        <v>32</v>
      </c>
      <c r="E85">
        <v>62.97</v>
      </c>
      <c r="F85">
        <v>38.9</v>
      </c>
      <c r="G85">
        <v>0</v>
      </c>
      <c r="I85">
        <v>180</v>
      </c>
      <c r="L85">
        <v>127</v>
      </c>
      <c r="M85">
        <v>1</v>
      </c>
      <c r="N85">
        <v>2</v>
      </c>
      <c r="P85" t="s">
        <v>131</v>
      </c>
      <c r="R85" t="str">
        <f t="shared" si="6"/>
        <v>TAB-EE</v>
      </c>
      <c r="S85">
        <f t="shared" si="4"/>
        <v>88.09</v>
      </c>
      <c r="T85">
        <f t="shared" si="5"/>
        <v>38.32</v>
      </c>
      <c r="U85">
        <f>IF(SQRT(POWER(T85-F85,2))+SQRT(POWER(E85-S85,2))=0,0,SQRT(POWER(T85-F85,2))+SQRT(POWER(E85-S85,2))+DATOS!$H$20)</f>
        <v>30.700000000000003</v>
      </c>
    </row>
    <row r="86" spans="1:21">
      <c r="A86" t="s">
        <v>126</v>
      </c>
      <c r="B86" t="s">
        <v>60</v>
      </c>
      <c r="C86" t="s">
        <v>32</v>
      </c>
      <c r="E86">
        <v>62.23</v>
      </c>
      <c r="F86">
        <v>46.97</v>
      </c>
      <c r="G86">
        <v>0</v>
      </c>
      <c r="H86">
        <v>180</v>
      </c>
      <c r="L86">
        <v>127</v>
      </c>
      <c r="M86">
        <v>1</v>
      </c>
      <c r="N86">
        <v>2</v>
      </c>
      <c r="P86" t="s">
        <v>130</v>
      </c>
      <c r="R86" t="str">
        <f t="shared" si="6"/>
        <v>TAB-EE</v>
      </c>
      <c r="S86">
        <f t="shared" si="4"/>
        <v>88.09</v>
      </c>
      <c r="T86">
        <f t="shared" si="5"/>
        <v>38.32</v>
      </c>
      <c r="U86">
        <f>IF(SQRT(POWER(T86-F86,2))+SQRT(POWER(E86-S86,2))=0,0,SQRT(POWER(T86-F86,2))+SQRT(POWER(E86-S86,2))+DATOS!$H$20)</f>
        <v>39.510000000000005</v>
      </c>
    </row>
    <row r="87" spans="1:21">
      <c r="A87" t="s">
        <v>126</v>
      </c>
      <c r="B87" t="s">
        <v>60</v>
      </c>
      <c r="C87" t="s">
        <v>32</v>
      </c>
      <c r="E87">
        <v>60.32</v>
      </c>
      <c r="F87">
        <v>49.99</v>
      </c>
      <c r="G87">
        <v>0</v>
      </c>
      <c r="H87">
        <v>180</v>
      </c>
      <c r="L87">
        <v>127</v>
      </c>
      <c r="M87">
        <v>1</v>
      </c>
      <c r="N87">
        <v>2</v>
      </c>
      <c r="P87" t="s">
        <v>130</v>
      </c>
      <c r="R87" t="str">
        <f t="shared" si="6"/>
        <v>TAB-EE</v>
      </c>
      <c r="S87">
        <f t="shared" si="4"/>
        <v>88.09</v>
      </c>
      <c r="T87">
        <f t="shared" si="5"/>
        <v>38.32</v>
      </c>
      <c r="U87">
        <f>IF(SQRT(POWER(T87-F87,2))+SQRT(POWER(E87-S87,2))=0,0,SQRT(POWER(T87-F87,2))+SQRT(POWER(E87-S87,2))+DATOS!$H$20)</f>
        <v>44.440000000000005</v>
      </c>
    </row>
    <row r="88" spans="1:21">
      <c r="A88" t="s">
        <v>126</v>
      </c>
      <c r="B88" t="s">
        <v>60</v>
      </c>
      <c r="C88" t="s">
        <v>32</v>
      </c>
      <c r="E88">
        <v>59.61</v>
      </c>
      <c r="F88">
        <v>56.84</v>
      </c>
      <c r="G88">
        <v>0</v>
      </c>
      <c r="H88">
        <v>180</v>
      </c>
      <c r="L88">
        <v>127</v>
      </c>
      <c r="M88">
        <v>1</v>
      </c>
      <c r="N88">
        <v>2</v>
      </c>
      <c r="P88" t="s">
        <v>130</v>
      </c>
      <c r="R88" t="str">
        <f t="shared" si="6"/>
        <v>TAB-EE</v>
      </c>
      <c r="S88">
        <f t="shared" si="4"/>
        <v>88.09</v>
      </c>
      <c r="T88">
        <f t="shared" si="5"/>
        <v>38.32</v>
      </c>
      <c r="U88">
        <f>IF(SQRT(POWER(T88-F88,2))+SQRT(POWER(E88-S88,2))=0,0,SQRT(POWER(T88-F88,2))+SQRT(POWER(E88-S88,2))+DATOS!$H$20)</f>
        <v>52.000000000000007</v>
      </c>
    </row>
    <row r="89" spans="1:21">
      <c r="A89" t="s">
        <v>132</v>
      </c>
      <c r="B89" t="s">
        <v>63</v>
      </c>
      <c r="C89" t="s">
        <v>32</v>
      </c>
      <c r="E89">
        <v>100.31</v>
      </c>
      <c r="F89">
        <v>49.39</v>
      </c>
      <c r="G89">
        <v>0</v>
      </c>
      <c r="I89">
        <v>826</v>
      </c>
      <c r="L89">
        <v>127</v>
      </c>
      <c r="M89">
        <v>1</v>
      </c>
      <c r="N89">
        <v>2</v>
      </c>
      <c r="P89" t="s">
        <v>133</v>
      </c>
      <c r="R89" t="str">
        <f t="shared" si="6"/>
        <v>TAB-EE</v>
      </c>
      <c r="S89">
        <f t="shared" si="4"/>
        <v>88.09</v>
      </c>
      <c r="T89">
        <f t="shared" si="5"/>
        <v>38.32</v>
      </c>
      <c r="U89">
        <f>IF(SQRT(POWER(T89-F89,2))+SQRT(POWER(E89-S89,2))=0,0,SQRT(POWER(T89-F89,2))+SQRT(POWER(E89-S89,2))+DATOS!$H$20)</f>
        <v>28.29</v>
      </c>
    </row>
    <row r="90" spans="1:21">
      <c r="A90" t="s">
        <v>134</v>
      </c>
      <c r="B90" t="s">
        <v>63</v>
      </c>
      <c r="C90" t="s">
        <v>32</v>
      </c>
      <c r="E90">
        <v>101.15</v>
      </c>
      <c r="F90">
        <v>49.39</v>
      </c>
      <c r="G90">
        <v>0</v>
      </c>
      <c r="I90">
        <v>826</v>
      </c>
      <c r="L90">
        <v>127</v>
      </c>
      <c r="M90">
        <v>1</v>
      </c>
      <c r="N90">
        <v>2</v>
      </c>
      <c r="P90" t="s">
        <v>133</v>
      </c>
      <c r="R90" t="str">
        <f t="shared" si="6"/>
        <v>TAB-EE</v>
      </c>
      <c r="S90">
        <f t="shared" si="4"/>
        <v>88.09</v>
      </c>
      <c r="T90">
        <f t="shared" si="5"/>
        <v>38.32</v>
      </c>
      <c r="U90">
        <f>IF(SQRT(POWER(T90-F90,2))+SQRT(POWER(E90-S90,2))=0,0,SQRT(POWER(T90-F90,2))+SQRT(POWER(E90-S90,2))+DATOS!$H$20)</f>
        <v>29.130000000000003</v>
      </c>
    </row>
    <row r="91" spans="1:21">
      <c r="A91" t="s">
        <v>135</v>
      </c>
      <c r="B91" t="s">
        <v>63</v>
      </c>
      <c r="C91" t="s">
        <v>32</v>
      </c>
      <c r="E91">
        <v>116</v>
      </c>
      <c r="F91">
        <v>57.05</v>
      </c>
      <c r="G91">
        <v>0</v>
      </c>
      <c r="I91">
        <v>1130</v>
      </c>
      <c r="L91">
        <v>127</v>
      </c>
      <c r="M91">
        <v>1</v>
      </c>
      <c r="N91">
        <v>2</v>
      </c>
      <c r="P91" t="s">
        <v>133</v>
      </c>
      <c r="R91" t="str">
        <f t="shared" si="6"/>
        <v>TAB-EE</v>
      </c>
      <c r="S91">
        <f t="shared" si="4"/>
        <v>88.09</v>
      </c>
      <c r="T91">
        <f t="shared" si="5"/>
        <v>38.32</v>
      </c>
      <c r="U91">
        <f>IF(SQRT(POWER(T91-F91,2))+SQRT(POWER(E91-S91,2))=0,0,SQRT(POWER(T91-F91,2))+SQRT(POWER(E91-S91,2))+DATOS!$H$20)</f>
        <v>51.639999999999993</v>
      </c>
    </row>
    <row r="92" spans="1:21">
      <c r="A92" t="s">
        <v>136</v>
      </c>
      <c r="B92" t="s">
        <v>63</v>
      </c>
      <c r="C92" t="s">
        <v>32</v>
      </c>
      <c r="E92">
        <v>107.55</v>
      </c>
      <c r="F92">
        <v>62.3</v>
      </c>
      <c r="G92">
        <v>0</v>
      </c>
      <c r="I92">
        <v>1130</v>
      </c>
      <c r="L92">
        <v>127</v>
      </c>
      <c r="M92">
        <v>1</v>
      </c>
      <c r="N92">
        <v>2</v>
      </c>
      <c r="P92" t="s">
        <v>137</v>
      </c>
      <c r="R92" t="str">
        <f t="shared" si="6"/>
        <v>TAB-EE</v>
      </c>
      <c r="S92">
        <f t="shared" si="4"/>
        <v>88.09</v>
      </c>
      <c r="T92">
        <f t="shared" si="5"/>
        <v>38.32</v>
      </c>
      <c r="U92">
        <f>IF(SQRT(POWER(T92-F92,2))+SQRT(POWER(E92-S92,2))=0,0,SQRT(POWER(T92-F92,2))+SQRT(POWER(E92-S92,2))+DATOS!$H$20)</f>
        <v>48.439999999999991</v>
      </c>
    </row>
    <row r="93" spans="1:21">
      <c r="A93" t="s">
        <v>138</v>
      </c>
      <c r="B93" t="s">
        <v>60</v>
      </c>
      <c r="C93" t="s">
        <v>32</v>
      </c>
      <c r="E93">
        <v>40.36</v>
      </c>
      <c r="F93">
        <v>46.3</v>
      </c>
      <c r="G93">
        <v>0</v>
      </c>
      <c r="H93">
        <v>180</v>
      </c>
      <c r="L93">
        <v>127</v>
      </c>
      <c r="M93">
        <v>1</v>
      </c>
      <c r="N93">
        <v>2</v>
      </c>
      <c r="P93" t="s">
        <v>139</v>
      </c>
      <c r="R93" t="str">
        <f t="shared" si="6"/>
        <v>TAB-CE</v>
      </c>
      <c r="S93">
        <f t="shared" si="4"/>
        <v>37.19</v>
      </c>
      <c r="T93">
        <f t="shared" si="5"/>
        <v>37.299999999999997</v>
      </c>
      <c r="U93">
        <f>IF(SQRT(POWER(T93-F93,2))+SQRT(POWER(E93-S93,2))=0,0,SQRT(POWER(T93-F93,2))+SQRT(POWER(E93-S93,2))+DATOS!$H$20)</f>
        <v>17.170000000000002</v>
      </c>
    </row>
    <row r="94" spans="1:21">
      <c r="A94" t="s">
        <v>138</v>
      </c>
      <c r="B94" t="s">
        <v>63</v>
      </c>
      <c r="C94" t="s">
        <v>32</v>
      </c>
      <c r="E94">
        <v>36.01</v>
      </c>
      <c r="F94">
        <v>34.58</v>
      </c>
      <c r="G94">
        <v>0</v>
      </c>
      <c r="I94">
        <v>826</v>
      </c>
      <c r="L94">
        <v>127</v>
      </c>
      <c r="M94">
        <v>1</v>
      </c>
      <c r="N94">
        <v>2</v>
      </c>
      <c r="P94" t="s">
        <v>140</v>
      </c>
      <c r="R94" t="str">
        <f t="shared" si="6"/>
        <v>TAB-CE</v>
      </c>
      <c r="S94">
        <f t="shared" si="4"/>
        <v>37.19</v>
      </c>
      <c r="T94">
        <f t="shared" si="5"/>
        <v>37.299999999999997</v>
      </c>
      <c r="U94">
        <f>IF(SQRT(POWER(T94-F94,2))+SQRT(POWER(E94-S94,2))=0,0,SQRT(POWER(T94-F94,2))+SQRT(POWER(E94-S94,2))+DATOS!$H$20)</f>
        <v>8.8999999999999986</v>
      </c>
    </row>
    <row r="95" spans="1:21">
      <c r="A95" t="s">
        <v>141</v>
      </c>
      <c r="B95" t="s">
        <v>60</v>
      </c>
      <c r="C95" t="s">
        <v>32</v>
      </c>
      <c r="E95">
        <v>52</v>
      </c>
      <c r="F95">
        <v>51</v>
      </c>
      <c r="G95">
        <v>0</v>
      </c>
      <c r="H95">
        <v>180</v>
      </c>
      <c r="L95">
        <v>127</v>
      </c>
      <c r="M95">
        <v>1</v>
      </c>
      <c r="N95">
        <v>2</v>
      </c>
      <c r="P95" t="s">
        <v>139</v>
      </c>
      <c r="R95" t="str">
        <f t="shared" si="6"/>
        <v>TAB-CE</v>
      </c>
      <c r="S95">
        <f t="shared" si="4"/>
        <v>37.19</v>
      </c>
      <c r="T95">
        <f t="shared" si="5"/>
        <v>37.299999999999997</v>
      </c>
      <c r="U95">
        <f>IF(SQRT(POWER(T95-F95,2))+SQRT(POWER(E95-S95,2))=0,0,SQRT(POWER(T95-F95,2))+SQRT(POWER(E95-S95,2))+DATOS!$H$20)</f>
        <v>33.510000000000005</v>
      </c>
    </row>
    <row r="96" spans="1:21">
      <c r="A96" t="s">
        <v>141</v>
      </c>
      <c r="B96" t="s">
        <v>60</v>
      </c>
      <c r="C96" t="s">
        <v>32</v>
      </c>
      <c r="E96">
        <v>52</v>
      </c>
      <c r="F96">
        <v>44.78</v>
      </c>
      <c r="G96">
        <v>0</v>
      </c>
      <c r="H96">
        <v>180</v>
      </c>
      <c r="L96">
        <v>127</v>
      </c>
      <c r="M96">
        <v>1</v>
      </c>
      <c r="N96">
        <v>2</v>
      </c>
      <c r="P96" t="s">
        <v>139</v>
      </c>
      <c r="R96" t="str">
        <f t="shared" si="6"/>
        <v>TAB-CE</v>
      </c>
      <c r="S96">
        <f t="shared" si="4"/>
        <v>37.19</v>
      </c>
      <c r="T96">
        <f t="shared" si="5"/>
        <v>37.299999999999997</v>
      </c>
      <c r="U96">
        <f>IF(SQRT(POWER(T96-F96,2))+SQRT(POWER(E96-S96,2))=0,0,SQRT(POWER(T96-F96,2))+SQRT(POWER(E96-S96,2))+DATOS!$H$20)</f>
        <v>27.290000000000006</v>
      </c>
    </row>
    <row r="97" spans="1:21">
      <c r="A97" t="s">
        <v>141</v>
      </c>
      <c r="B97" t="s">
        <v>60</v>
      </c>
      <c r="C97" t="s">
        <v>32</v>
      </c>
      <c r="E97">
        <v>51.91</v>
      </c>
      <c r="F97">
        <v>36.5</v>
      </c>
      <c r="G97">
        <v>0</v>
      </c>
      <c r="H97">
        <v>180</v>
      </c>
      <c r="L97">
        <v>127</v>
      </c>
      <c r="M97">
        <v>1</v>
      </c>
      <c r="N97">
        <v>2</v>
      </c>
      <c r="P97" t="s">
        <v>139</v>
      </c>
      <c r="R97" t="str">
        <f t="shared" si="6"/>
        <v>TAB-CE</v>
      </c>
      <c r="S97">
        <f t="shared" si="4"/>
        <v>37.19</v>
      </c>
      <c r="T97">
        <f t="shared" si="5"/>
        <v>37.299999999999997</v>
      </c>
      <c r="U97">
        <f>IF(SQRT(POWER(T97-F97,2))+SQRT(POWER(E97-S97,2))=0,0,SQRT(POWER(T97-F97,2))+SQRT(POWER(E97-S97,2))+DATOS!$H$20)</f>
        <v>20.519999999999996</v>
      </c>
    </row>
    <row r="98" spans="1:21">
      <c r="A98" t="s">
        <v>141</v>
      </c>
      <c r="B98" t="s">
        <v>60</v>
      </c>
      <c r="C98" t="s">
        <v>32</v>
      </c>
      <c r="E98">
        <v>53.03</v>
      </c>
      <c r="F98">
        <v>36.14</v>
      </c>
      <c r="G98">
        <v>0</v>
      </c>
      <c r="H98">
        <v>180</v>
      </c>
      <c r="L98">
        <v>127</v>
      </c>
      <c r="M98">
        <v>1</v>
      </c>
      <c r="N98">
        <v>2</v>
      </c>
      <c r="P98" t="s">
        <v>139</v>
      </c>
      <c r="R98" t="str">
        <f t="shared" si="6"/>
        <v>TAB-CE</v>
      </c>
      <c r="S98">
        <f t="shared" si="4"/>
        <v>37.19</v>
      </c>
      <c r="T98">
        <f t="shared" si="5"/>
        <v>37.299999999999997</v>
      </c>
      <c r="U98">
        <f>IF(SQRT(POWER(T98-F98,2))+SQRT(POWER(E98-S98,2))=0,0,SQRT(POWER(T98-F98,2))+SQRT(POWER(E98-S98,2))+DATOS!$H$20)</f>
        <v>22</v>
      </c>
    </row>
    <row r="99" spans="1:21">
      <c r="A99" t="s">
        <v>141</v>
      </c>
      <c r="B99" t="s">
        <v>60</v>
      </c>
      <c r="C99" t="s">
        <v>32</v>
      </c>
      <c r="E99">
        <v>51.91</v>
      </c>
      <c r="F99">
        <v>32.630000000000003</v>
      </c>
      <c r="G99">
        <v>0</v>
      </c>
      <c r="H99">
        <v>180</v>
      </c>
      <c r="L99">
        <v>127</v>
      </c>
      <c r="M99">
        <v>1</v>
      </c>
      <c r="N99">
        <v>2</v>
      </c>
      <c r="P99" t="s">
        <v>139</v>
      </c>
      <c r="R99" t="str">
        <f t="shared" si="6"/>
        <v>TAB-CE</v>
      </c>
      <c r="S99">
        <f t="shared" si="4"/>
        <v>37.19</v>
      </c>
      <c r="T99">
        <f t="shared" si="5"/>
        <v>37.299999999999997</v>
      </c>
      <c r="U99">
        <f>IF(SQRT(POWER(T99-F99,2))+SQRT(POWER(E99-S99,2))=0,0,SQRT(POWER(T99-F99,2))+SQRT(POWER(E99-S99,2))+DATOS!$H$20)</f>
        <v>24.389999999999993</v>
      </c>
    </row>
    <row r="100" spans="1:21">
      <c r="A100" t="s">
        <v>141</v>
      </c>
      <c r="B100" t="s">
        <v>63</v>
      </c>
      <c r="C100" t="s">
        <v>32</v>
      </c>
      <c r="E100">
        <v>44.51</v>
      </c>
      <c r="F100">
        <v>24.14</v>
      </c>
      <c r="G100">
        <v>0</v>
      </c>
      <c r="I100">
        <v>180</v>
      </c>
      <c r="L100">
        <v>127</v>
      </c>
      <c r="M100">
        <v>1</v>
      </c>
      <c r="N100">
        <v>2</v>
      </c>
      <c r="P100" t="s">
        <v>142</v>
      </c>
      <c r="R100" t="str">
        <f t="shared" si="6"/>
        <v>TAB-CE</v>
      </c>
      <c r="S100">
        <f t="shared" si="4"/>
        <v>37.19</v>
      </c>
      <c r="T100">
        <f t="shared" si="5"/>
        <v>37.299999999999997</v>
      </c>
      <c r="U100">
        <f>IF(SQRT(POWER(T100-F100,2))+SQRT(POWER(E100-S100,2))=0,0,SQRT(POWER(T100-F100,2))+SQRT(POWER(E100-S100,2))+DATOS!$H$20)</f>
        <v>25.479999999999997</v>
      </c>
    </row>
    <row r="101" spans="1:21">
      <c r="A101" t="s">
        <v>141</v>
      </c>
      <c r="B101" t="s">
        <v>63</v>
      </c>
      <c r="C101" t="s">
        <v>32</v>
      </c>
      <c r="E101">
        <v>44.97</v>
      </c>
      <c r="F101">
        <v>20.58</v>
      </c>
      <c r="G101">
        <v>0</v>
      </c>
      <c r="I101">
        <v>180</v>
      </c>
      <c r="L101">
        <v>127</v>
      </c>
      <c r="M101">
        <v>1</v>
      </c>
      <c r="N101">
        <v>2</v>
      </c>
      <c r="P101" t="s">
        <v>142</v>
      </c>
      <c r="R101" t="str">
        <f t="shared" si="6"/>
        <v>TAB-CE</v>
      </c>
      <c r="S101">
        <f t="shared" si="4"/>
        <v>37.19</v>
      </c>
      <c r="T101">
        <f t="shared" si="5"/>
        <v>37.299999999999997</v>
      </c>
      <c r="U101">
        <f>IF(SQRT(POWER(T101-F101,2))+SQRT(POWER(E101-S101,2))=0,0,SQRT(POWER(T101-F101,2))+SQRT(POWER(E101-S101,2))+DATOS!$H$20)</f>
        <v>29.5</v>
      </c>
    </row>
    <row r="102" spans="1:21">
      <c r="A102" t="s">
        <v>141</v>
      </c>
      <c r="B102" t="s">
        <v>63</v>
      </c>
      <c r="C102" t="s">
        <v>32</v>
      </c>
      <c r="E102">
        <v>52.93</v>
      </c>
      <c r="F102">
        <v>21.21</v>
      </c>
      <c r="G102">
        <v>0</v>
      </c>
      <c r="I102">
        <v>180</v>
      </c>
      <c r="L102">
        <v>127</v>
      </c>
      <c r="M102">
        <v>1</v>
      </c>
      <c r="N102">
        <v>2</v>
      </c>
      <c r="P102" t="s">
        <v>140</v>
      </c>
      <c r="R102" t="str">
        <f t="shared" si="6"/>
        <v>TAB-CE</v>
      </c>
      <c r="S102">
        <f t="shared" si="4"/>
        <v>37.19</v>
      </c>
      <c r="T102">
        <f t="shared" si="5"/>
        <v>37.299999999999997</v>
      </c>
      <c r="U102">
        <f>IF(SQRT(POWER(T102-F102,2))+SQRT(POWER(E102-S102,2))=0,0,SQRT(POWER(T102-F102,2))+SQRT(POWER(E102-S102,2))+DATOS!$H$20)</f>
        <v>36.83</v>
      </c>
    </row>
    <row r="103" spans="1:21">
      <c r="A103" t="s">
        <v>143</v>
      </c>
      <c r="B103" t="s">
        <v>112</v>
      </c>
      <c r="C103" t="s">
        <v>32</v>
      </c>
      <c r="E103">
        <v>24.69</v>
      </c>
      <c r="F103">
        <v>29.95</v>
      </c>
      <c r="G103">
        <v>0</v>
      </c>
      <c r="I103">
        <v>333</v>
      </c>
      <c r="L103">
        <v>127</v>
      </c>
      <c r="M103">
        <v>1</v>
      </c>
      <c r="N103">
        <v>2</v>
      </c>
      <c r="P103" t="s">
        <v>144</v>
      </c>
      <c r="R103" t="str">
        <f t="shared" si="6"/>
        <v>TAB-CE</v>
      </c>
      <c r="S103">
        <f t="shared" si="4"/>
        <v>37.19</v>
      </c>
      <c r="T103">
        <f t="shared" si="5"/>
        <v>37.299999999999997</v>
      </c>
      <c r="U103">
        <f>IF(SQRT(POWER(T103-F103,2))+SQRT(POWER(E103-S103,2))=0,0,SQRT(POWER(T103-F103,2))+SQRT(POWER(E103-S103,2))+DATOS!$H$20)</f>
        <v>24.849999999999994</v>
      </c>
    </row>
    <row r="104" spans="1:21">
      <c r="A104" t="s">
        <v>143</v>
      </c>
      <c r="B104" t="s">
        <v>112</v>
      </c>
      <c r="C104" t="s">
        <v>32</v>
      </c>
      <c r="E104">
        <v>25.82</v>
      </c>
      <c r="F104">
        <v>29.95</v>
      </c>
      <c r="G104">
        <v>0</v>
      </c>
      <c r="I104">
        <v>180</v>
      </c>
      <c r="L104">
        <v>127</v>
      </c>
      <c r="M104">
        <v>1</v>
      </c>
      <c r="N104">
        <v>2</v>
      </c>
      <c r="P104" t="s">
        <v>145</v>
      </c>
      <c r="R104" t="str">
        <f t="shared" si="6"/>
        <v>TAB-CE</v>
      </c>
      <c r="S104">
        <f t="shared" si="4"/>
        <v>37.19</v>
      </c>
      <c r="T104">
        <f t="shared" si="5"/>
        <v>37.299999999999997</v>
      </c>
      <c r="U104">
        <f>IF(SQRT(POWER(T104-F104,2))+SQRT(POWER(E104-S104,2))=0,0,SQRT(POWER(T104-F104,2))+SQRT(POWER(E104-S104,2))+DATOS!$H$20)</f>
        <v>23.719999999999995</v>
      </c>
    </row>
    <row r="105" spans="1:21">
      <c r="A105" t="s">
        <v>143</v>
      </c>
      <c r="B105" t="s">
        <v>112</v>
      </c>
      <c r="C105" t="s">
        <v>32</v>
      </c>
      <c r="E105">
        <v>23.58</v>
      </c>
      <c r="F105">
        <v>29.55</v>
      </c>
      <c r="G105">
        <v>0</v>
      </c>
      <c r="I105">
        <v>180</v>
      </c>
      <c r="L105">
        <v>127</v>
      </c>
      <c r="M105">
        <v>1</v>
      </c>
      <c r="N105">
        <v>2</v>
      </c>
      <c r="P105" t="s">
        <v>145</v>
      </c>
      <c r="R105" t="str">
        <f t="shared" si="6"/>
        <v>TAB-CE</v>
      </c>
      <c r="S105">
        <f t="shared" si="4"/>
        <v>37.19</v>
      </c>
      <c r="T105">
        <f t="shared" si="5"/>
        <v>37.299999999999997</v>
      </c>
      <c r="U105">
        <f>IF(SQRT(POWER(T105-F105,2))+SQRT(POWER(E105-S105,2))=0,0,SQRT(POWER(T105-F105,2))+SQRT(POWER(E105-S105,2))+DATOS!$H$20)</f>
        <v>26.359999999999996</v>
      </c>
    </row>
    <row r="106" spans="1:21">
      <c r="A106" t="s">
        <v>143</v>
      </c>
      <c r="B106" t="s">
        <v>112</v>
      </c>
      <c r="C106" t="s">
        <v>32</v>
      </c>
      <c r="E106">
        <v>22.8</v>
      </c>
      <c r="F106">
        <v>29.54</v>
      </c>
      <c r="G106">
        <v>0</v>
      </c>
      <c r="I106">
        <v>333</v>
      </c>
      <c r="L106">
        <v>127</v>
      </c>
      <c r="M106">
        <v>1</v>
      </c>
      <c r="N106">
        <v>2</v>
      </c>
      <c r="P106" t="s">
        <v>144</v>
      </c>
      <c r="R106" t="str">
        <f t="shared" si="6"/>
        <v>TAB-CE</v>
      </c>
      <c r="S106">
        <f t="shared" si="4"/>
        <v>37.19</v>
      </c>
      <c r="T106">
        <f t="shared" si="5"/>
        <v>37.299999999999997</v>
      </c>
      <c r="U106">
        <f>IF(SQRT(POWER(T106-F106,2))+SQRT(POWER(E106-S106,2))=0,0,SQRT(POWER(T106-F106,2))+SQRT(POWER(E106-S106,2))+DATOS!$H$20)</f>
        <v>27.149999999999995</v>
      </c>
    </row>
    <row r="107" spans="1:21">
      <c r="A107" t="s">
        <v>146</v>
      </c>
      <c r="B107" t="s">
        <v>63</v>
      </c>
      <c r="C107" t="s">
        <v>32</v>
      </c>
      <c r="E107">
        <v>23.48</v>
      </c>
      <c r="F107">
        <v>29.84</v>
      </c>
      <c r="G107">
        <v>0</v>
      </c>
      <c r="I107">
        <v>911</v>
      </c>
      <c r="L107">
        <v>127</v>
      </c>
      <c r="M107">
        <v>1</v>
      </c>
      <c r="N107">
        <v>2</v>
      </c>
      <c r="P107" t="s">
        <v>147</v>
      </c>
      <c r="R107" t="str">
        <f t="shared" si="6"/>
        <v>TAB-CE</v>
      </c>
      <c r="S107">
        <f t="shared" si="4"/>
        <v>37.19</v>
      </c>
      <c r="T107">
        <f t="shared" si="5"/>
        <v>37.299999999999997</v>
      </c>
      <c r="U107">
        <f>IF(SQRT(POWER(T107-F107,2))+SQRT(POWER(E107-S107,2))=0,0,SQRT(POWER(T107-F107,2))+SQRT(POWER(E107-S107,2))+DATOS!$H$20)</f>
        <v>26.169999999999995</v>
      </c>
    </row>
    <row r="108" spans="1:21">
      <c r="A108" t="s">
        <v>148</v>
      </c>
      <c r="B108" t="s">
        <v>112</v>
      </c>
      <c r="C108" t="s">
        <v>32</v>
      </c>
      <c r="E108">
        <v>25.82</v>
      </c>
      <c r="F108">
        <v>26.26</v>
      </c>
      <c r="G108">
        <v>0</v>
      </c>
      <c r="I108">
        <v>180</v>
      </c>
      <c r="L108">
        <v>127</v>
      </c>
      <c r="M108">
        <v>1</v>
      </c>
      <c r="N108">
        <v>2</v>
      </c>
      <c r="P108" t="s">
        <v>145</v>
      </c>
      <c r="R108" t="str">
        <f t="shared" si="6"/>
        <v>TAB-CE</v>
      </c>
      <c r="S108">
        <f t="shared" si="4"/>
        <v>37.19</v>
      </c>
      <c r="T108">
        <f t="shared" si="5"/>
        <v>37.299999999999997</v>
      </c>
      <c r="U108">
        <f>IF(SQRT(POWER(T108-F108,2))+SQRT(POWER(E108-S108,2))=0,0,SQRT(POWER(T108-F108,2))+SQRT(POWER(E108-S108,2))+DATOS!$H$20)</f>
        <v>27.409999999999993</v>
      </c>
    </row>
    <row r="109" spans="1:21">
      <c r="A109" t="s">
        <v>148</v>
      </c>
      <c r="B109" t="s">
        <v>112</v>
      </c>
      <c r="C109" t="s">
        <v>32</v>
      </c>
      <c r="E109">
        <v>24.97</v>
      </c>
      <c r="F109">
        <v>26.26</v>
      </c>
      <c r="G109">
        <v>0</v>
      </c>
      <c r="I109">
        <v>333</v>
      </c>
      <c r="L109">
        <v>127</v>
      </c>
      <c r="M109">
        <v>1</v>
      </c>
      <c r="N109">
        <v>2</v>
      </c>
      <c r="P109" t="s">
        <v>145</v>
      </c>
      <c r="R109" t="str">
        <f t="shared" si="6"/>
        <v>TAB-CE</v>
      </c>
      <c r="S109">
        <f t="shared" si="4"/>
        <v>37.19</v>
      </c>
      <c r="T109">
        <f t="shared" si="5"/>
        <v>37.299999999999997</v>
      </c>
      <c r="U109">
        <f>IF(SQRT(POWER(T109-F109,2))+SQRT(POWER(E109-S109,2))=0,0,SQRT(POWER(T109-F109,2))+SQRT(POWER(E109-S109,2))+DATOS!$H$20)</f>
        <v>28.259999999999994</v>
      </c>
    </row>
    <row r="110" spans="1:21">
      <c r="A110" t="s">
        <v>148</v>
      </c>
      <c r="B110" t="s">
        <v>63</v>
      </c>
      <c r="C110" t="s">
        <v>32</v>
      </c>
      <c r="E110">
        <v>23.42</v>
      </c>
      <c r="F110">
        <v>26.16</v>
      </c>
      <c r="G110">
        <v>0</v>
      </c>
      <c r="I110">
        <v>911</v>
      </c>
      <c r="L110">
        <v>127</v>
      </c>
      <c r="M110">
        <v>1</v>
      </c>
      <c r="N110">
        <v>2</v>
      </c>
      <c r="P110" t="s">
        <v>145</v>
      </c>
      <c r="R110" t="str">
        <f t="shared" si="6"/>
        <v>TAB-CE</v>
      </c>
      <c r="S110">
        <f t="shared" si="4"/>
        <v>37.19</v>
      </c>
      <c r="T110">
        <f t="shared" si="5"/>
        <v>37.299999999999997</v>
      </c>
      <c r="U110">
        <f>IF(SQRT(POWER(T110-F110,2))+SQRT(POWER(E110-S110,2))=0,0,SQRT(POWER(T110-F110,2))+SQRT(POWER(E110-S110,2))+DATOS!$H$20)</f>
        <v>29.909999999999993</v>
      </c>
    </row>
    <row r="111" spans="1:21">
      <c r="A111" t="s">
        <v>149</v>
      </c>
      <c r="B111" t="s">
        <v>112</v>
      </c>
      <c r="C111" t="s">
        <v>32</v>
      </c>
      <c r="E111">
        <v>25.82</v>
      </c>
      <c r="F111">
        <v>25.87</v>
      </c>
      <c r="G111">
        <v>0</v>
      </c>
      <c r="I111">
        <v>180</v>
      </c>
      <c r="L111">
        <v>127</v>
      </c>
      <c r="M111">
        <v>1</v>
      </c>
      <c r="N111">
        <v>2</v>
      </c>
      <c r="P111" t="s">
        <v>150</v>
      </c>
      <c r="R111" t="str">
        <f t="shared" si="6"/>
        <v>TAB-CE</v>
      </c>
      <c r="S111">
        <f t="shared" si="4"/>
        <v>37.19</v>
      </c>
      <c r="T111">
        <f t="shared" si="5"/>
        <v>37.299999999999997</v>
      </c>
      <c r="U111">
        <f>IF(SQRT(POWER(T111-F111,2))+SQRT(POWER(E111-S111,2))=0,0,SQRT(POWER(T111-F111,2))+SQRT(POWER(E111-S111,2))+DATOS!$H$20)</f>
        <v>27.799999999999994</v>
      </c>
    </row>
    <row r="112" spans="1:21">
      <c r="A112" t="s">
        <v>149</v>
      </c>
      <c r="B112" t="s">
        <v>112</v>
      </c>
      <c r="C112" t="s">
        <v>32</v>
      </c>
      <c r="E112">
        <v>24.97</v>
      </c>
      <c r="F112">
        <v>25.87</v>
      </c>
      <c r="G112">
        <v>0</v>
      </c>
      <c r="I112">
        <v>333</v>
      </c>
      <c r="L112">
        <v>127</v>
      </c>
      <c r="M112">
        <v>1</v>
      </c>
      <c r="N112">
        <v>2</v>
      </c>
      <c r="P112" t="s">
        <v>150</v>
      </c>
      <c r="R112" t="str">
        <f t="shared" si="6"/>
        <v>TAB-CE</v>
      </c>
      <c r="S112">
        <f t="shared" si="4"/>
        <v>37.19</v>
      </c>
      <c r="T112">
        <f t="shared" si="5"/>
        <v>37.299999999999997</v>
      </c>
      <c r="U112">
        <f>IF(SQRT(POWER(T112-F112,2))+SQRT(POWER(E112-S112,2))=0,0,SQRT(POWER(T112-F112,2))+SQRT(POWER(E112-S112,2))+DATOS!$H$20)</f>
        <v>28.649999999999995</v>
      </c>
    </row>
    <row r="113" spans="1:21">
      <c r="A113" t="s">
        <v>149</v>
      </c>
      <c r="B113" t="s">
        <v>63</v>
      </c>
      <c r="C113" t="s">
        <v>32</v>
      </c>
      <c r="E113">
        <v>23.42</v>
      </c>
      <c r="F113">
        <v>25.76</v>
      </c>
      <c r="G113">
        <v>0</v>
      </c>
      <c r="I113">
        <v>826</v>
      </c>
      <c r="L113">
        <v>127</v>
      </c>
      <c r="M113">
        <v>1</v>
      </c>
      <c r="N113">
        <v>2</v>
      </c>
      <c r="P113" t="s">
        <v>150</v>
      </c>
      <c r="R113" t="str">
        <f t="shared" si="6"/>
        <v>TAB-CE</v>
      </c>
      <c r="S113">
        <f t="shared" si="4"/>
        <v>37.19</v>
      </c>
      <c r="T113">
        <f t="shared" si="5"/>
        <v>37.299999999999997</v>
      </c>
      <c r="U113">
        <f>IF(SQRT(POWER(T113-F113,2))+SQRT(POWER(E113-S113,2))=0,0,SQRT(POWER(T113-F113,2))+SQRT(POWER(E113-S113,2))+DATOS!$H$20)</f>
        <v>30.309999999999992</v>
      </c>
    </row>
    <row r="114" spans="1:21">
      <c r="A114" t="s">
        <v>151</v>
      </c>
      <c r="B114" t="s">
        <v>112</v>
      </c>
      <c r="C114" t="s">
        <v>32</v>
      </c>
      <c r="E114">
        <v>25.82</v>
      </c>
      <c r="F114">
        <v>22.88</v>
      </c>
      <c r="G114">
        <v>0</v>
      </c>
      <c r="I114">
        <v>180</v>
      </c>
      <c r="L114">
        <v>127</v>
      </c>
      <c r="M114">
        <v>1</v>
      </c>
      <c r="N114">
        <v>2</v>
      </c>
      <c r="R114" t="str">
        <f t="shared" si="6"/>
        <v>TAB-CE</v>
      </c>
      <c r="S114">
        <f t="shared" si="4"/>
        <v>37.19</v>
      </c>
      <c r="T114">
        <f t="shared" si="5"/>
        <v>37.299999999999997</v>
      </c>
      <c r="U114">
        <f>IF(SQRT(POWER(T114-F114,2))+SQRT(POWER(E114-S114,2))=0,0,SQRT(POWER(T114-F114,2))+SQRT(POWER(E114-S114,2))+DATOS!$H$20)</f>
        <v>30.789999999999996</v>
      </c>
    </row>
    <row r="115" spans="1:21">
      <c r="A115" t="s">
        <v>152</v>
      </c>
      <c r="B115" t="s">
        <v>112</v>
      </c>
      <c r="C115" t="s">
        <v>32</v>
      </c>
      <c r="E115">
        <v>25.14</v>
      </c>
      <c r="F115">
        <v>22.88</v>
      </c>
      <c r="G115">
        <v>0</v>
      </c>
      <c r="I115">
        <v>333</v>
      </c>
      <c r="L115">
        <v>127</v>
      </c>
      <c r="M115">
        <v>1</v>
      </c>
      <c r="N115">
        <v>2</v>
      </c>
      <c r="P115" t="s">
        <v>153</v>
      </c>
      <c r="R115" t="str">
        <f t="shared" si="6"/>
        <v>TAB-CE</v>
      </c>
      <c r="S115">
        <f t="shared" si="4"/>
        <v>37.19</v>
      </c>
      <c r="T115">
        <f t="shared" si="5"/>
        <v>37.299999999999997</v>
      </c>
      <c r="U115">
        <f>IF(SQRT(POWER(T115-F115,2))+SQRT(POWER(E115-S115,2))=0,0,SQRT(POWER(T115-F115,2))+SQRT(POWER(E115-S115,2))+DATOS!$H$20)</f>
        <v>31.469999999999995</v>
      </c>
    </row>
    <row r="116" spans="1:21">
      <c r="A116" t="s">
        <v>154</v>
      </c>
      <c r="B116" t="s">
        <v>112</v>
      </c>
      <c r="C116" t="s">
        <v>32</v>
      </c>
      <c r="E116">
        <v>25.14</v>
      </c>
      <c r="F116">
        <v>22.49</v>
      </c>
      <c r="G116">
        <v>0</v>
      </c>
      <c r="I116">
        <v>333</v>
      </c>
      <c r="L116">
        <v>127</v>
      </c>
      <c r="M116">
        <v>1</v>
      </c>
      <c r="N116">
        <v>2</v>
      </c>
      <c r="P116" t="s">
        <v>153</v>
      </c>
      <c r="R116" t="str">
        <f t="shared" si="6"/>
        <v>TAB-CE</v>
      </c>
      <c r="S116">
        <f t="shared" si="4"/>
        <v>37.19</v>
      </c>
      <c r="T116">
        <f t="shared" si="5"/>
        <v>37.299999999999997</v>
      </c>
      <c r="U116">
        <f>IF(SQRT(POWER(T116-F116,2))+SQRT(POWER(E116-S116,2))=0,0,SQRT(POWER(T116-F116,2))+SQRT(POWER(E116-S116,2))+DATOS!$H$20)</f>
        <v>31.859999999999996</v>
      </c>
    </row>
    <row r="117" spans="1:21">
      <c r="A117" t="s">
        <v>152</v>
      </c>
      <c r="B117" t="s">
        <v>109</v>
      </c>
      <c r="C117" t="s">
        <v>32</v>
      </c>
      <c r="E117">
        <v>27.05</v>
      </c>
      <c r="F117">
        <v>19</v>
      </c>
      <c r="G117">
        <v>0</v>
      </c>
      <c r="I117">
        <v>833</v>
      </c>
      <c r="L117">
        <v>127</v>
      </c>
      <c r="M117">
        <v>1</v>
      </c>
      <c r="N117">
        <v>2</v>
      </c>
      <c r="P117" t="s">
        <v>153</v>
      </c>
      <c r="R117" t="str">
        <f t="shared" si="6"/>
        <v>TAB-CE</v>
      </c>
      <c r="S117">
        <f t="shared" si="4"/>
        <v>37.19</v>
      </c>
      <c r="T117">
        <f t="shared" si="5"/>
        <v>37.299999999999997</v>
      </c>
      <c r="U117">
        <f>IF(SQRT(POWER(T117-F117,2))+SQRT(POWER(E117-S117,2))=0,0,SQRT(POWER(T117-F117,2))+SQRT(POWER(E117-S117,2))+DATOS!$H$20)</f>
        <v>33.44</v>
      </c>
    </row>
    <row r="118" spans="1:21">
      <c r="A118" t="s">
        <v>155</v>
      </c>
      <c r="B118" t="s">
        <v>109</v>
      </c>
      <c r="C118" t="s">
        <v>32</v>
      </c>
      <c r="E118">
        <v>26.04</v>
      </c>
      <c r="F118">
        <v>19</v>
      </c>
      <c r="G118">
        <v>0</v>
      </c>
      <c r="I118">
        <v>1061</v>
      </c>
      <c r="L118">
        <v>127</v>
      </c>
      <c r="M118">
        <v>1</v>
      </c>
      <c r="N118">
        <v>2</v>
      </c>
      <c r="P118" t="s">
        <v>153</v>
      </c>
      <c r="R118" t="str">
        <f t="shared" si="6"/>
        <v>TAB-CE</v>
      </c>
      <c r="S118">
        <f t="shared" si="4"/>
        <v>37.19</v>
      </c>
      <c r="T118">
        <f t="shared" si="5"/>
        <v>37.299999999999997</v>
      </c>
      <c r="U118">
        <f>IF(SQRT(POWER(T118-F118,2))+SQRT(POWER(E118-S118,2))=0,0,SQRT(POWER(T118-F118,2))+SQRT(POWER(E118-S118,2))+DATOS!$H$20)</f>
        <v>34.449999999999996</v>
      </c>
    </row>
    <row r="119" spans="1:21">
      <c r="A119" t="s">
        <v>156</v>
      </c>
      <c r="B119" t="s">
        <v>109</v>
      </c>
      <c r="C119" t="s">
        <v>32</v>
      </c>
      <c r="E119">
        <v>25.16</v>
      </c>
      <c r="F119">
        <v>19</v>
      </c>
      <c r="G119">
        <v>0</v>
      </c>
      <c r="I119">
        <v>1270</v>
      </c>
      <c r="L119">
        <v>127</v>
      </c>
      <c r="M119">
        <v>1</v>
      </c>
      <c r="N119">
        <v>2</v>
      </c>
      <c r="P119" t="s">
        <v>153</v>
      </c>
      <c r="R119" t="str">
        <f t="shared" si="6"/>
        <v>TAB-CE</v>
      </c>
      <c r="S119">
        <f t="shared" si="4"/>
        <v>37.19</v>
      </c>
      <c r="T119">
        <f t="shared" si="5"/>
        <v>37.299999999999997</v>
      </c>
      <c r="U119">
        <f>IF(SQRT(POWER(T119-F119,2))+SQRT(POWER(E119-S119,2))=0,0,SQRT(POWER(T119-F119,2))+SQRT(POWER(E119-S119,2))+DATOS!$H$20)</f>
        <v>35.33</v>
      </c>
    </row>
    <row r="120" spans="1:21">
      <c r="A120" t="s">
        <v>154</v>
      </c>
      <c r="B120" t="s">
        <v>63</v>
      </c>
      <c r="C120" t="s">
        <v>32</v>
      </c>
      <c r="E120">
        <v>23.9</v>
      </c>
      <c r="F120">
        <v>19</v>
      </c>
      <c r="G120">
        <v>0</v>
      </c>
      <c r="I120">
        <v>826</v>
      </c>
      <c r="L120">
        <v>127</v>
      </c>
      <c r="M120">
        <v>1</v>
      </c>
      <c r="N120">
        <v>2</v>
      </c>
      <c r="P120" t="s">
        <v>153</v>
      </c>
      <c r="R120" t="str">
        <f t="shared" si="6"/>
        <v>TAB-CE</v>
      </c>
      <c r="S120">
        <f t="shared" si="4"/>
        <v>37.19</v>
      </c>
      <c r="T120">
        <f t="shared" si="5"/>
        <v>37.299999999999997</v>
      </c>
      <c r="U120">
        <f>IF(SQRT(POWER(T120-F120,2))+SQRT(POWER(E120-S120,2))=0,0,SQRT(POWER(T120-F120,2))+SQRT(POWER(E120-S120,2))+DATOS!$H$20)</f>
        <v>36.589999999999996</v>
      </c>
    </row>
    <row r="121" spans="1:21">
      <c r="A121" t="s">
        <v>157</v>
      </c>
      <c r="B121" t="s">
        <v>74</v>
      </c>
      <c r="C121" t="s">
        <v>32</v>
      </c>
      <c r="E121">
        <v>26.17</v>
      </c>
      <c r="F121">
        <v>18.600000000000001</v>
      </c>
      <c r="G121">
        <v>0</v>
      </c>
      <c r="I121">
        <v>840</v>
      </c>
      <c r="L121" t="s">
        <v>158</v>
      </c>
      <c r="M121">
        <v>3</v>
      </c>
      <c r="N121">
        <v>4</v>
      </c>
      <c r="P121" t="s">
        <v>159</v>
      </c>
      <c r="R121" t="str">
        <f t="shared" si="6"/>
        <v>TAB-CE</v>
      </c>
      <c r="S121">
        <f t="shared" si="4"/>
        <v>37.19</v>
      </c>
      <c r="T121">
        <f t="shared" si="5"/>
        <v>37.299999999999997</v>
      </c>
      <c r="U121">
        <f>IF(SQRT(POWER(T121-F121,2))+SQRT(POWER(E121-S121,2))=0,0,SQRT(POWER(T121-F121,2))+SQRT(POWER(E121-S121,2))+DATOS!$H$20)</f>
        <v>34.719999999999992</v>
      </c>
    </row>
    <row r="122" spans="1:21">
      <c r="B122" t="s">
        <v>68</v>
      </c>
      <c r="C122" t="s">
        <v>32</v>
      </c>
      <c r="E122">
        <v>26.45</v>
      </c>
      <c r="F122">
        <v>18.559999999999999</v>
      </c>
      <c r="G122">
        <v>0</v>
      </c>
      <c r="R122" t="e">
        <f t="shared" si="6"/>
        <v>#VALUE!</v>
      </c>
      <c r="S122">
        <f t="shared" si="4"/>
        <v>26.45</v>
      </c>
      <c r="T122">
        <f t="shared" si="5"/>
        <v>18.559999999999999</v>
      </c>
      <c r="U122">
        <f>IF(SQRT(POWER(T122-F122,2))+SQRT(POWER(E122-S122,2))=0,0,SQRT(POWER(T122-F122,2))+SQRT(POWER(E122-S122,2))+DATOS!$H$20)</f>
        <v>0</v>
      </c>
    </row>
    <row r="123" spans="1:21">
      <c r="A123" t="s">
        <v>151</v>
      </c>
      <c r="B123" t="s">
        <v>63</v>
      </c>
      <c r="C123" t="s">
        <v>32</v>
      </c>
      <c r="E123">
        <v>25.08</v>
      </c>
      <c r="F123">
        <v>18.62</v>
      </c>
      <c r="G123">
        <v>0</v>
      </c>
      <c r="I123">
        <v>180</v>
      </c>
      <c r="L123">
        <v>127</v>
      </c>
      <c r="M123">
        <v>1</v>
      </c>
      <c r="N123">
        <v>2</v>
      </c>
      <c r="P123" t="s">
        <v>160</v>
      </c>
      <c r="R123" t="str">
        <f t="shared" si="6"/>
        <v>TAB-CE</v>
      </c>
      <c r="S123">
        <f t="shared" si="4"/>
        <v>37.19</v>
      </c>
      <c r="T123">
        <f t="shared" si="5"/>
        <v>37.299999999999997</v>
      </c>
      <c r="U123">
        <f>IF(SQRT(POWER(T123-F123,2))+SQRT(POWER(E123-S123,2))=0,0,SQRT(POWER(T123-F123,2))+SQRT(POWER(E123-S123,2))+DATOS!$H$20)</f>
        <v>35.789999999999992</v>
      </c>
    </row>
    <row r="124" spans="1:21">
      <c r="A124" t="s">
        <v>151</v>
      </c>
      <c r="B124" t="s">
        <v>74</v>
      </c>
      <c r="C124" t="s">
        <v>32</v>
      </c>
      <c r="E124">
        <v>34.6</v>
      </c>
      <c r="F124">
        <v>15.09</v>
      </c>
      <c r="G124">
        <v>0</v>
      </c>
      <c r="I124">
        <v>191</v>
      </c>
      <c r="L124">
        <v>127</v>
      </c>
      <c r="M124">
        <v>1</v>
      </c>
      <c r="N124">
        <v>2</v>
      </c>
      <c r="P124" t="s">
        <v>161</v>
      </c>
      <c r="R124" t="str">
        <f t="shared" si="6"/>
        <v>TAB-CE</v>
      </c>
      <c r="S124">
        <f t="shared" si="4"/>
        <v>37.19</v>
      </c>
      <c r="T124">
        <f t="shared" si="5"/>
        <v>37.299999999999997</v>
      </c>
      <c r="U124">
        <f>IF(SQRT(POWER(T124-F124,2))+SQRT(POWER(E124-S124,2))=0,0,SQRT(POWER(T124-F124,2))+SQRT(POWER(E124-S124,2))+DATOS!$H$20)</f>
        <v>29.799999999999994</v>
      </c>
    </row>
    <row r="125" spans="1:21">
      <c r="A125" t="s">
        <v>162</v>
      </c>
      <c r="B125" t="s">
        <v>68</v>
      </c>
      <c r="C125" t="s">
        <v>32</v>
      </c>
      <c r="E125">
        <v>33.79</v>
      </c>
      <c r="F125">
        <v>16.239999999999998</v>
      </c>
      <c r="G125">
        <v>0</v>
      </c>
      <c r="I125">
        <v>2591</v>
      </c>
      <c r="L125" t="s">
        <v>158</v>
      </c>
      <c r="M125">
        <v>3</v>
      </c>
      <c r="N125">
        <v>4</v>
      </c>
      <c r="P125" t="s">
        <v>163</v>
      </c>
      <c r="R125" t="str">
        <f t="shared" si="6"/>
        <v>TAB-CE</v>
      </c>
      <c r="S125">
        <f t="shared" si="4"/>
        <v>37.19</v>
      </c>
      <c r="T125">
        <f t="shared" si="5"/>
        <v>37.299999999999997</v>
      </c>
      <c r="U125">
        <f>IF(SQRT(POWER(T125-F125,2))+SQRT(POWER(E125-S125,2))=0,0,SQRT(POWER(T125-F125,2))+SQRT(POWER(E125-S125,2))+DATOS!$H$20)</f>
        <v>29.459999999999997</v>
      </c>
    </row>
    <row r="126" spans="1:21">
      <c r="A126" t="s">
        <v>151</v>
      </c>
      <c r="B126" t="s">
        <v>109</v>
      </c>
      <c r="C126" t="s">
        <v>32</v>
      </c>
      <c r="E126">
        <v>29.84</v>
      </c>
      <c r="F126">
        <v>14.14</v>
      </c>
      <c r="G126">
        <v>0</v>
      </c>
      <c r="H126">
        <v>180</v>
      </c>
      <c r="I126">
        <v>180</v>
      </c>
      <c r="L126">
        <v>127</v>
      </c>
      <c r="M126">
        <v>1</v>
      </c>
      <c r="N126">
        <v>2</v>
      </c>
      <c r="P126" t="s">
        <v>164</v>
      </c>
      <c r="R126" t="str">
        <f t="shared" si="6"/>
        <v>TAB-CE</v>
      </c>
      <c r="S126">
        <f t="shared" si="4"/>
        <v>37.19</v>
      </c>
      <c r="T126">
        <f t="shared" si="5"/>
        <v>37.299999999999997</v>
      </c>
      <c r="U126">
        <f>IF(SQRT(POWER(T126-F126,2))+SQRT(POWER(E126-S126,2))=0,0,SQRT(POWER(T126-F126,2))+SQRT(POWER(E126-S126,2))+DATOS!$H$20)</f>
        <v>35.509999999999991</v>
      </c>
    </row>
    <row r="127" spans="1:21">
      <c r="A127" t="s">
        <v>165</v>
      </c>
      <c r="B127" t="s">
        <v>109</v>
      </c>
      <c r="C127" t="s">
        <v>32</v>
      </c>
      <c r="E127">
        <v>29.84</v>
      </c>
      <c r="F127">
        <v>14.91</v>
      </c>
      <c r="G127">
        <v>0</v>
      </c>
      <c r="I127">
        <v>1270</v>
      </c>
      <c r="L127">
        <v>127</v>
      </c>
      <c r="M127">
        <v>1</v>
      </c>
      <c r="N127">
        <v>2</v>
      </c>
      <c r="P127" t="s">
        <v>164</v>
      </c>
      <c r="R127" t="str">
        <f t="shared" si="6"/>
        <v>TAB-CE</v>
      </c>
      <c r="S127">
        <f t="shared" si="4"/>
        <v>37.19</v>
      </c>
      <c r="T127">
        <f t="shared" si="5"/>
        <v>37.299999999999997</v>
      </c>
      <c r="U127">
        <f>IF(SQRT(POWER(T127-F127,2))+SQRT(POWER(E127-S127,2))=0,0,SQRT(POWER(T127-F127,2))+SQRT(POWER(E127-S127,2))+DATOS!$H$20)</f>
        <v>34.739999999999995</v>
      </c>
    </row>
    <row r="128" spans="1:21">
      <c r="A128" t="s">
        <v>151</v>
      </c>
      <c r="B128" t="s">
        <v>109</v>
      </c>
      <c r="C128" t="s">
        <v>32</v>
      </c>
      <c r="E128">
        <v>35.64</v>
      </c>
      <c r="F128">
        <v>13.38</v>
      </c>
      <c r="G128">
        <v>0</v>
      </c>
      <c r="H128">
        <v>180</v>
      </c>
      <c r="I128">
        <v>180</v>
      </c>
      <c r="L128">
        <v>127</v>
      </c>
      <c r="M128">
        <v>1</v>
      </c>
      <c r="N128">
        <v>2</v>
      </c>
      <c r="P128" t="s">
        <v>164</v>
      </c>
      <c r="R128" t="str">
        <f t="shared" si="6"/>
        <v>TAB-CE</v>
      </c>
      <c r="S128">
        <f t="shared" si="4"/>
        <v>37.19</v>
      </c>
      <c r="T128">
        <f t="shared" si="5"/>
        <v>37.299999999999997</v>
      </c>
      <c r="U128">
        <f>IF(SQRT(POWER(T128-F128,2))+SQRT(POWER(E128-S128,2))=0,0,SQRT(POWER(T128-F128,2))+SQRT(POWER(E128-S128,2))+DATOS!$H$20)</f>
        <v>30.469999999999992</v>
      </c>
    </row>
    <row r="129" spans="1:21">
      <c r="A129" t="s">
        <v>151</v>
      </c>
      <c r="B129" t="s">
        <v>109</v>
      </c>
      <c r="C129" t="s">
        <v>32</v>
      </c>
      <c r="E129">
        <v>37.29</v>
      </c>
      <c r="F129">
        <v>15.3</v>
      </c>
      <c r="G129">
        <v>0</v>
      </c>
      <c r="H129">
        <v>180</v>
      </c>
      <c r="I129">
        <v>180</v>
      </c>
      <c r="L129">
        <v>127</v>
      </c>
      <c r="M129">
        <v>1</v>
      </c>
      <c r="N129">
        <v>2</v>
      </c>
      <c r="P129" t="s">
        <v>164</v>
      </c>
      <c r="R129" t="str">
        <f t="shared" si="6"/>
        <v>TAB-CE</v>
      </c>
      <c r="S129">
        <f t="shared" si="4"/>
        <v>37.19</v>
      </c>
      <c r="T129">
        <f t="shared" si="5"/>
        <v>37.299999999999997</v>
      </c>
      <c r="U129">
        <f>IF(SQRT(POWER(T129-F129,2))+SQRT(POWER(E129-S129,2))=0,0,SQRT(POWER(T129-F129,2))+SQRT(POWER(E129-S129,2))+DATOS!$H$20)</f>
        <v>27.099999999999998</v>
      </c>
    </row>
    <row r="130" spans="1:21">
      <c r="A130" t="s">
        <v>166</v>
      </c>
      <c r="B130" t="s">
        <v>39</v>
      </c>
      <c r="C130" t="s">
        <v>40</v>
      </c>
      <c r="E130">
        <v>3.2</v>
      </c>
      <c r="F130">
        <v>5.94</v>
      </c>
      <c r="G130">
        <v>0</v>
      </c>
      <c r="H130">
        <v>762</v>
      </c>
      <c r="I130">
        <v>762</v>
      </c>
      <c r="L130">
        <v>127</v>
      </c>
      <c r="M130">
        <v>1</v>
      </c>
      <c r="N130">
        <v>2</v>
      </c>
      <c r="P130" t="s">
        <v>167</v>
      </c>
      <c r="R130" t="str">
        <f t="shared" si="6"/>
        <v>TAB-MS</v>
      </c>
      <c r="S130">
        <f t="shared" si="4"/>
        <v>5.01</v>
      </c>
      <c r="T130">
        <f t="shared" si="5"/>
        <v>9.1</v>
      </c>
      <c r="U130">
        <f>IF(SQRT(POWER(T130-F130,2))+SQRT(POWER(E130-S130,2))=0,0,SQRT(POWER(T130-F130,2))+SQRT(POWER(E130-S130,2))+DATOS!$H$20)</f>
        <v>9.9699999999999989</v>
      </c>
    </row>
    <row r="131" spans="1:21">
      <c r="A131" t="s">
        <v>168</v>
      </c>
      <c r="B131" t="s">
        <v>63</v>
      </c>
      <c r="C131" t="s">
        <v>32</v>
      </c>
      <c r="E131">
        <v>37.29</v>
      </c>
      <c r="F131">
        <v>16.260000000000002</v>
      </c>
      <c r="G131">
        <v>0</v>
      </c>
      <c r="I131">
        <v>2667</v>
      </c>
      <c r="L131">
        <v>127</v>
      </c>
      <c r="M131">
        <v>1</v>
      </c>
      <c r="N131">
        <v>2</v>
      </c>
      <c r="P131" t="s">
        <v>163</v>
      </c>
      <c r="R131" t="str">
        <f t="shared" si="6"/>
        <v>TAB-CE</v>
      </c>
      <c r="S131">
        <f t="shared" ref="S131:S194" si="7">IFERROR(VLOOKUP(R131,$A$2:$F$700,5,0),E131)</f>
        <v>37.19</v>
      </c>
      <c r="T131">
        <f t="shared" ref="T131:T194" si="8">IFERROR(VLOOKUP(R131,$A$2:$F$700,6,0),F131)</f>
        <v>37.299999999999997</v>
      </c>
      <c r="U131">
        <f>IF(SQRT(POWER(T131-F131,2))+SQRT(POWER(E131-S131,2))=0,0,SQRT(POWER(T131-F131,2))+SQRT(POWER(E131-S131,2))+DATOS!$H$20)</f>
        <v>26.139999999999997</v>
      </c>
    </row>
    <row r="132" spans="1:21">
      <c r="A132" t="s">
        <v>169</v>
      </c>
      <c r="B132" t="s">
        <v>120</v>
      </c>
      <c r="C132" t="s">
        <v>121</v>
      </c>
      <c r="E132">
        <v>32.68</v>
      </c>
      <c r="F132">
        <v>72.14</v>
      </c>
      <c r="G132">
        <v>0</v>
      </c>
      <c r="H132">
        <v>180</v>
      </c>
      <c r="I132">
        <v>180</v>
      </c>
      <c r="L132">
        <v>127</v>
      </c>
      <c r="M132">
        <v>1</v>
      </c>
      <c r="N132">
        <v>2</v>
      </c>
      <c r="P132" t="s">
        <v>170</v>
      </c>
      <c r="R132" t="str">
        <f t="shared" si="6"/>
        <v>TAB-HN</v>
      </c>
      <c r="S132">
        <f t="shared" si="7"/>
        <v>40.53</v>
      </c>
      <c r="T132">
        <f t="shared" si="8"/>
        <v>73.739999999999995</v>
      </c>
      <c r="U132">
        <f>IF(SQRT(POWER(T132-F132,2))+SQRT(POWER(E132-S132,2))=0,0,SQRT(POWER(T132-F132,2))+SQRT(POWER(E132-S132,2))+DATOS!$H$20)</f>
        <v>14.449999999999996</v>
      </c>
    </row>
    <row r="133" spans="1:21">
      <c r="A133" t="s">
        <v>169</v>
      </c>
      <c r="B133" t="s">
        <v>120</v>
      </c>
      <c r="C133" t="s">
        <v>121</v>
      </c>
      <c r="E133">
        <v>32.47</v>
      </c>
      <c r="F133">
        <v>72.14</v>
      </c>
      <c r="G133">
        <v>0</v>
      </c>
      <c r="H133">
        <v>180</v>
      </c>
      <c r="I133">
        <v>180</v>
      </c>
      <c r="L133">
        <v>127</v>
      </c>
      <c r="M133">
        <v>1</v>
      </c>
      <c r="N133">
        <v>2</v>
      </c>
      <c r="P133" t="s">
        <v>170</v>
      </c>
      <c r="R133" t="str">
        <f t="shared" si="6"/>
        <v>TAB-HN</v>
      </c>
      <c r="S133">
        <f t="shared" si="7"/>
        <v>40.53</v>
      </c>
      <c r="T133">
        <f t="shared" si="8"/>
        <v>73.739999999999995</v>
      </c>
      <c r="U133">
        <f>IF(SQRT(POWER(T133-F133,2))+SQRT(POWER(E133-S133,2))=0,0,SQRT(POWER(T133-F133,2))+SQRT(POWER(E133-S133,2))+DATOS!$H$20)</f>
        <v>14.659999999999997</v>
      </c>
    </row>
    <row r="134" spans="1:21">
      <c r="A134" t="s">
        <v>171</v>
      </c>
      <c r="B134" t="s">
        <v>172</v>
      </c>
      <c r="C134" t="s">
        <v>32</v>
      </c>
      <c r="E134">
        <v>46.42</v>
      </c>
      <c r="F134">
        <v>67.48</v>
      </c>
      <c r="G134">
        <v>0</v>
      </c>
      <c r="H134">
        <v>180</v>
      </c>
      <c r="L134">
        <v>127</v>
      </c>
      <c r="M134">
        <v>1</v>
      </c>
      <c r="N134">
        <v>2</v>
      </c>
      <c r="P134" t="s">
        <v>173</v>
      </c>
      <c r="R134" t="str">
        <f t="shared" si="6"/>
        <v>TAB-HN</v>
      </c>
      <c r="S134">
        <f t="shared" si="7"/>
        <v>40.53</v>
      </c>
      <c r="T134">
        <f t="shared" si="8"/>
        <v>73.739999999999995</v>
      </c>
      <c r="U134">
        <f>IF(SQRT(POWER(T134-F134,2))+SQRT(POWER(E134-S134,2))=0,0,SQRT(POWER(T134-F134,2))+SQRT(POWER(E134-S134,2))+DATOS!$H$20)</f>
        <v>17.149999999999991</v>
      </c>
    </row>
    <row r="135" spans="1:21">
      <c r="A135" t="s">
        <v>171</v>
      </c>
      <c r="B135" t="s">
        <v>172</v>
      </c>
      <c r="C135" t="s">
        <v>32</v>
      </c>
      <c r="E135">
        <v>44.48</v>
      </c>
      <c r="F135">
        <v>60.88</v>
      </c>
      <c r="G135">
        <v>0</v>
      </c>
      <c r="H135">
        <v>180</v>
      </c>
      <c r="L135">
        <v>127</v>
      </c>
      <c r="M135">
        <v>1</v>
      </c>
      <c r="N135">
        <v>2</v>
      </c>
      <c r="P135" t="s">
        <v>173</v>
      </c>
      <c r="R135" t="str">
        <f t="shared" si="6"/>
        <v>TAB-HN</v>
      </c>
      <c r="S135">
        <f t="shared" si="7"/>
        <v>40.53</v>
      </c>
      <c r="T135">
        <f t="shared" si="8"/>
        <v>73.739999999999995</v>
      </c>
      <c r="U135">
        <f>IF(SQRT(POWER(T135-F135,2))+SQRT(POWER(E135-S135,2))=0,0,SQRT(POWER(T135-F135,2))+SQRT(POWER(E135-S135,2))+DATOS!$H$20)</f>
        <v>21.809999999999988</v>
      </c>
    </row>
    <row r="136" spans="1:21">
      <c r="A136" t="s">
        <v>171</v>
      </c>
      <c r="B136" t="s">
        <v>120</v>
      </c>
      <c r="C136" t="s">
        <v>121</v>
      </c>
      <c r="E136">
        <v>44.01</v>
      </c>
      <c r="F136">
        <v>61.81</v>
      </c>
      <c r="G136">
        <v>0</v>
      </c>
      <c r="H136">
        <v>180</v>
      </c>
      <c r="I136">
        <v>180</v>
      </c>
      <c r="L136">
        <v>127</v>
      </c>
      <c r="M136">
        <v>1</v>
      </c>
      <c r="N136">
        <v>2</v>
      </c>
      <c r="P136" t="s">
        <v>173</v>
      </c>
      <c r="R136" t="str">
        <f t="shared" si="6"/>
        <v>TAB-HN</v>
      </c>
      <c r="S136">
        <f t="shared" si="7"/>
        <v>40.53</v>
      </c>
      <c r="T136">
        <f t="shared" si="8"/>
        <v>73.739999999999995</v>
      </c>
      <c r="U136">
        <f>IF(SQRT(POWER(T136-F136,2))+SQRT(POWER(E136-S136,2))=0,0,SQRT(POWER(T136-F136,2))+SQRT(POWER(E136-S136,2))+DATOS!$H$20)</f>
        <v>20.409999999999989</v>
      </c>
    </row>
    <row r="137" spans="1:21">
      <c r="A137" t="s">
        <v>171</v>
      </c>
      <c r="B137" t="s">
        <v>120</v>
      </c>
      <c r="C137" t="s">
        <v>121</v>
      </c>
      <c r="E137">
        <v>39.869999999999997</v>
      </c>
      <c r="F137">
        <v>66.81</v>
      </c>
      <c r="G137">
        <v>0</v>
      </c>
      <c r="H137">
        <v>180</v>
      </c>
      <c r="I137">
        <v>180</v>
      </c>
      <c r="L137">
        <v>127</v>
      </c>
      <c r="M137">
        <v>1</v>
      </c>
      <c r="N137">
        <v>2</v>
      </c>
      <c r="P137" t="s">
        <v>173</v>
      </c>
      <c r="R137" t="str">
        <f t="shared" si="6"/>
        <v>TAB-HN</v>
      </c>
      <c r="S137">
        <f t="shared" si="7"/>
        <v>40.53</v>
      </c>
      <c r="T137">
        <f t="shared" si="8"/>
        <v>73.739999999999995</v>
      </c>
      <c r="U137">
        <f>IF(SQRT(POWER(T137-F137,2))+SQRT(POWER(E137-S137,2))=0,0,SQRT(POWER(T137-F137,2))+SQRT(POWER(E137-S137,2))+DATOS!$H$20)</f>
        <v>12.589999999999996</v>
      </c>
    </row>
    <row r="138" spans="1:21">
      <c r="A138" t="s">
        <v>171</v>
      </c>
      <c r="B138" t="s">
        <v>120</v>
      </c>
      <c r="C138" t="s">
        <v>121</v>
      </c>
      <c r="E138">
        <v>42.42</v>
      </c>
      <c r="F138">
        <v>66.41</v>
      </c>
      <c r="G138">
        <v>0</v>
      </c>
      <c r="H138">
        <v>180</v>
      </c>
      <c r="I138">
        <v>180</v>
      </c>
      <c r="L138">
        <v>127</v>
      </c>
      <c r="M138">
        <v>1</v>
      </c>
      <c r="N138">
        <v>2</v>
      </c>
      <c r="P138" t="s">
        <v>173</v>
      </c>
      <c r="R138" t="str">
        <f t="shared" si="6"/>
        <v>TAB-HN</v>
      </c>
      <c r="S138">
        <f t="shared" si="7"/>
        <v>40.53</v>
      </c>
      <c r="T138">
        <f t="shared" si="8"/>
        <v>73.739999999999995</v>
      </c>
      <c r="U138">
        <f>IF(SQRT(POWER(T138-F138,2))+SQRT(POWER(E138-S138,2))=0,0,SQRT(POWER(T138-F138,2))+SQRT(POWER(E138-S138,2))+DATOS!$H$20)</f>
        <v>14.219999999999999</v>
      </c>
    </row>
    <row r="139" spans="1:21">
      <c r="A139" t="s">
        <v>171</v>
      </c>
      <c r="B139" t="s">
        <v>120</v>
      </c>
      <c r="C139" t="s">
        <v>121</v>
      </c>
      <c r="E139">
        <v>43.89</v>
      </c>
      <c r="F139">
        <v>67.489999999999995</v>
      </c>
      <c r="G139">
        <v>0</v>
      </c>
      <c r="H139">
        <v>180</v>
      </c>
      <c r="I139">
        <v>180</v>
      </c>
      <c r="L139">
        <v>127</v>
      </c>
      <c r="M139">
        <v>1</v>
      </c>
      <c r="N139">
        <v>2</v>
      </c>
      <c r="P139" t="s">
        <v>173</v>
      </c>
      <c r="R139" t="str">
        <f t="shared" si="6"/>
        <v>TAB-HN</v>
      </c>
      <c r="S139">
        <f t="shared" si="7"/>
        <v>40.53</v>
      </c>
      <c r="T139">
        <f t="shared" si="8"/>
        <v>73.739999999999995</v>
      </c>
      <c r="U139">
        <f>IF(SQRT(POWER(T139-F139,2))+SQRT(POWER(E139-S139,2))=0,0,SQRT(POWER(T139-F139,2))+SQRT(POWER(E139-S139,2))+DATOS!$H$20)</f>
        <v>14.61</v>
      </c>
    </row>
    <row r="140" spans="1:21">
      <c r="A140" t="s">
        <v>171</v>
      </c>
      <c r="B140" t="s">
        <v>120</v>
      </c>
      <c r="C140" t="s">
        <v>121</v>
      </c>
      <c r="E140">
        <v>45.41</v>
      </c>
      <c r="F140">
        <v>64.27</v>
      </c>
      <c r="G140">
        <v>0</v>
      </c>
      <c r="H140">
        <v>180</v>
      </c>
      <c r="I140">
        <v>180</v>
      </c>
      <c r="L140">
        <v>127</v>
      </c>
      <c r="M140">
        <v>1</v>
      </c>
      <c r="N140">
        <v>2</v>
      </c>
      <c r="P140" t="s">
        <v>173</v>
      </c>
      <c r="R140" t="str">
        <f t="shared" si="6"/>
        <v>TAB-HN</v>
      </c>
      <c r="S140">
        <f t="shared" si="7"/>
        <v>40.53</v>
      </c>
      <c r="T140">
        <f t="shared" si="8"/>
        <v>73.739999999999995</v>
      </c>
      <c r="U140">
        <f>IF(SQRT(POWER(T140-F140,2))+SQRT(POWER(E140-S140,2))=0,0,SQRT(POWER(T140-F140,2))+SQRT(POWER(E140-S140,2))+DATOS!$H$20)</f>
        <v>19.349999999999994</v>
      </c>
    </row>
    <row r="141" spans="1:21">
      <c r="A141" t="s">
        <v>169</v>
      </c>
      <c r="B141" t="s">
        <v>120</v>
      </c>
      <c r="C141" t="s">
        <v>121</v>
      </c>
      <c r="E141">
        <v>40.25</v>
      </c>
      <c r="F141">
        <v>74.73</v>
      </c>
      <c r="G141">
        <v>0</v>
      </c>
      <c r="H141">
        <v>180</v>
      </c>
      <c r="I141">
        <v>180</v>
      </c>
      <c r="L141">
        <v>127</v>
      </c>
      <c r="M141">
        <v>1</v>
      </c>
      <c r="N141">
        <v>2</v>
      </c>
      <c r="P141" t="s">
        <v>170</v>
      </c>
      <c r="R141" t="str">
        <f t="shared" si="6"/>
        <v>TAB-HN</v>
      </c>
      <c r="S141">
        <f t="shared" si="7"/>
        <v>40.53</v>
      </c>
      <c r="T141">
        <f t="shared" si="8"/>
        <v>73.739999999999995</v>
      </c>
      <c r="U141">
        <f>IF(SQRT(POWER(T141-F141,2))+SQRT(POWER(E141-S141,2))=0,0,SQRT(POWER(T141-F141,2))+SQRT(POWER(E141-S141,2))+DATOS!$H$20)</f>
        <v>6.2700000000000102</v>
      </c>
    </row>
    <row r="142" spans="1:21">
      <c r="A142" t="s">
        <v>169</v>
      </c>
      <c r="B142" t="s">
        <v>120</v>
      </c>
      <c r="C142" t="s">
        <v>121</v>
      </c>
      <c r="E142">
        <v>39.869999999999997</v>
      </c>
      <c r="F142">
        <v>76.72</v>
      </c>
      <c r="G142">
        <v>0</v>
      </c>
      <c r="H142">
        <v>180</v>
      </c>
      <c r="I142">
        <v>180</v>
      </c>
      <c r="L142">
        <v>127</v>
      </c>
      <c r="M142">
        <v>1</v>
      </c>
      <c r="N142">
        <v>2</v>
      </c>
      <c r="P142" t="s">
        <v>170</v>
      </c>
      <c r="R142" t="str">
        <f t="shared" si="6"/>
        <v>TAB-HN</v>
      </c>
      <c r="S142">
        <f t="shared" si="7"/>
        <v>40.53</v>
      </c>
      <c r="T142">
        <f t="shared" si="8"/>
        <v>73.739999999999995</v>
      </c>
      <c r="U142">
        <f>IF(SQRT(POWER(T142-F142,2))+SQRT(POWER(E142-S142,2))=0,0,SQRT(POWER(T142-F142,2))+SQRT(POWER(E142-S142,2))+DATOS!$H$20)</f>
        <v>8.6400000000000077</v>
      </c>
    </row>
    <row r="143" spans="1:21">
      <c r="A143" t="s">
        <v>169</v>
      </c>
      <c r="B143" t="s">
        <v>120</v>
      </c>
      <c r="C143" t="s">
        <v>121</v>
      </c>
      <c r="E143">
        <v>36.36</v>
      </c>
      <c r="F143">
        <v>73.34</v>
      </c>
      <c r="G143">
        <v>0</v>
      </c>
      <c r="H143">
        <v>180</v>
      </c>
      <c r="I143">
        <v>180</v>
      </c>
      <c r="L143">
        <v>127</v>
      </c>
      <c r="M143">
        <v>1</v>
      </c>
      <c r="N143">
        <v>2</v>
      </c>
      <c r="P143" t="s">
        <v>170</v>
      </c>
      <c r="R143" t="str">
        <f t="shared" si="6"/>
        <v>TAB-HN</v>
      </c>
      <c r="S143">
        <f t="shared" si="7"/>
        <v>40.53</v>
      </c>
      <c r="T143">
        <f t="shared" si="8"/>
        <v>73.739999999999995</v>
      </c>
      <c r="U143">
        <f>IF(SQRT(POWER(T143-F143,2))+SQRT(POWER(E143-S143,2))=0,0,SQRT(POWER(T143-F143,2))+SQRT(POWER(E143-S143,2))+DATOS!$H$20)</f>
        <v>9.5699999999999932</v>
      </c>
    </row>
    <row r="144" spans="1:21">
      <c r="A144" t="s">
        <v>169</v>
      </c>
      <c r="B144" t="s">
        <v>120</v>
      </c>
      <c r="C144" t="s">
        <v>121</v>
      </c>
      <c r="E144">
        <v>32.68</v>
      </c>
      <c r="F144">
        <v>70.37</v>
      </c>
      <c r="G144">
        <v>0</v>
      </c>
      <c r="H144">
        <v>180</v>
      </c>
      <c r="I144">
        <v>180</v>
      </c>
      <c r="L144">
        <v>127</v>
      </c>
      <c r="M144">
        <v>1</v>
      </c>
      <c r="N144">
        <v>2</v>
      </c>
      <c r="P144" t="s">
        <v>170</v>
      </c>
      <c r="R144" t="str">
        <f t="shared" si="6"/>
        <v>TAB-HN</v>
      </c>
      <c r="S144">
        <f t="shared" si="7"/>
        <v>40.53</v>
      </c>
      <c r="T144">
        <f t="shared" si="8"/>
        <v>73.739999999999995</v>
      </c>
      <c r="U144">
        <f>IF(SQRT(POWER(T144-F144,2))+SQRT(POWER(E144-S144,2))=0,0,SQRT(POWER(T144-F144,2))+SQRT(POWER(E144-S144,2))+DATOS!$H$20)</f>
        <v>16.219999999999992</v>
      </c>
    </row>
    <row r="145" spans="1:21">
      <c r="A145" t="s">
        <v>169</v>
      </c>
      <c r="B145" t="s">
        <v>120</v>
      </c>
      <c r="C145" t="s">
        <v>121</v>
      </c>
      <c r="E145">
        <v>32.47</v>
      </c>
      <c r="F145">
        <v>70.37</v>
      </c>
      <c r="G145">
        <v>0</v>
      </c>
      <c r="H145">
        <v>180</v>
      </c>
      <c r="I145">
        <v>180</v>
      </c>
      <c r="L145">
        <v>127</v>
      </c>
      <c r="M145">
        <v>1</v>
      </c>
      <c r="N145">
        <v>2</v>
      </c>
      <c r="P145" t="s">
        <v>170</v>
      </c>
      <c r="R145" t="str">
        <f t="shared" ref="R145:R208" si="9">"TAB-"&amp;LEFT(A145,FIND("-",A145) -1)</f>
        <v>TAB-HN</v>
      </c>
      <c r="S145">
        <f t="shared" si="7"/>
        <v>40.53</v>
      </c>
      <c r="T145">
        <f t="shared" si="8"/>
        <v>73.739999999999995</v>
      </c>
      <c r="U145">
        <f>IF(SQRT(POWER(T145-F145,2))+SQRT(POWER(E145-S145,2))=0,0,SQRT(POWER(T145-F145,2))+SQRT(POWER(E145-S145,2))+DATOS!$H$20)</f>
        <v>16.429999999999993</v>
      </c>
    </row>
    <row r="146" spans="1:21">
      <c r="A146" t="s">
        <v>174</v>
      </c>
      <c r="B146" t="s">
        <v>120</v>
      </c>
      <c r="C146" t="s">
        <v>121</v>
      </c>
      <c r="E146">
        <v>35.72</v>
      </c>
      <c r="F146">
        <v>70.27</v>
      </c>
      <c r="G146">
        <v>0</v>
      </c>
      <c r="H146">
        <v>1000</v>
      </c>
      <c r="I146">
        <v>1000</v>
      </c>
      <c r="L146">
        <v>127</v>
      </c>
      <c r="M146">
        <v>1</v>
      </c>
      <c r="N146">
        <v>2</v>
      </c>
      <c r="P146" t="s">
        <v>170</v>
      </c>
      <c r="R146" t="str">
        <f t="shared" si="9"/>
        <v>TAB-HN</v>
      </c>
      <c r="S146">
        <f t="shared" si="7"/>
        <v>40.53</v>
      </c>
      <c r="T146">
        <f t="shared" si="8"/>
        <v>73.739999999999995</v>
      </c>
      <c r="U146">
        <f>IF(SQRT(POWER(T146-F146,2))+SQRT(POWER(E146-S146,2))=0,0,SQRT(POWER(T146-F146,2))+SQRT(POWER(E146-S146,2))+DATOS!$H$20)</f>
        <v>13.280000000000001</v>
      </c>
    </row>
    <row r="147" spans="1:21">
      <c r="A147" t="s">
        <v>175</v>
      </c>
      <c r="B147" t="s">
        <v>120</v>
      </c>
      <c r="C147" t="s">
        <v>121</v>
      </c>
      <c r="E147">
        <v>26.17</v>
      </c>
      <c r="F147">
        <v>73.209999999999994</v>
      </c>
      <c r="G147">
        <v>0</v>
      </c>
      <c r="H147">
        <v>180</v>
      </c>
      <c r="I147">
        <v>180</v>
      </c>
      <c r="L147">
        <v>127</v>
      </c>
      <c r="M147">
        <v>1</v>
      </c>
      <c r="N147">
        <v>2</v>
      </c>
      <c r="P147" t="s">
        <v>170</v>
      </c>
      <c r="R147" t="str">
        <f t="shared" si="9"/>
        <v>TAB-HN</v>
      </c>
      <c r="S147">
        <f t="shared" si="7"/>
        <v>40.53</v>
      </c>
      <c r="T147">
        <f t="shared" si="8"/>
        <v>73.739999999999995</v>
      </c>
      <c r="U147">
        <f>IF(SQRT(POWER(T147-F147,2))+SQRT(POWER(E147-S147,2))=0,0,SQRT(POWER(T147-F147,2))+SQRT(POWER(E147-S147,2))+DATOS!$H$20)</f>
        <v>19.89</v>
      </c>
    </row>
    <row r="148" spans="1:21">
      <c r="A148" t="s">
        <v>175</v>
      </c>
      <c r="B148" t="s">
        <v>120</v>
      </c>
      <c r="C148" t="s">
        <v>121</v>
      </c>
      <c r="E148">
        <v>33.85</v>
      </c>
      <c r="F148">
        <v>76.739999999999995</v>
      </c>
      <c r="G148">
        <v>0</v>
      </c>
      <c r="H148">
        <v>180</v>
      </c>
      <c r="I148">
        <v>180</v>
      </c>
      <c r="L148">
        <v>127</v>
      </c>
      <c r="M148">
        <v>1</v>
      </c>
      <c r="N148">
        <v>2</v>
      </c>
      <c r="P148" t="s">
        <v>170</v>
      </c>
      <c r="R148" t="str">
        <f t="shared" si="9"/>
        <v>TAB-HN</v>
      </c>
      <c r="S148">
        <f t="shared" si="7"/>
        <v>40.53</v>
      </c>
      <c r="T148">
        <f t="shared" si="8"/>
        <v>73.739999999999995</v>
      </c>
      <c r="U148">
        <f>IF(SQRT(POWER(T148-F148,2))+SQRT(POWER(E148-S148,2))=0,0,SQRT(POWER(T148-F148,2))+SQRT(POWER(E148-S148,2))+DATOS!$H$20)</f>
        <v>14.68</v>
      </c>
    </row>
    <row r="149" spans="1:21">
      <c r="A149" t="s">
        <v>169</v>
      </c>
      <c r="B149" t="s">
        <v>120</v>
      </c>
      <c r="C149" t="s">
        <v>121</v>
      </c>
      <c r="E149">
        <v>33.69</v>
      </c>
      <c r="F149">
        <v>73.73</v>
      </c>
      <c r="G149">
        <v>0</v>
      </c>
      <c r="H149">
        <v>180</v>
      </c>
      <c r="I149">
        <v>180</v>
      </c>
      <c r="L149">
        <v>127</v>
      </c>
      <c r="M149">
        <v>1</v>
      </c>
      <c r="N149">
        <v>2</v>
      </c>
      <c r="P149" t="s">
        <v>170</v>
      </c>
      <c r="R149" t="str">
        <f t="shared" si="9"/>
        <v>TAB-HN</v>
      </c>
      <c r="S149">
        <f t="shared" si="7"/>
        <v>40.53</v>
      </c>
      <c r="T149">
        <f t="shared" si="8"/>
        <v>73.739999999999995</v>
      </c>
      <c r="U149">
        <f>IF(SQRT(POWER(T149-F149,2))+SQRT(POWER(E149-S149,2))=0,0,SQRT(POWER(T149-F149,2))+SQRT(POWER(E149-S149,2))+DATOS!$H$20)</f>
        <v>11.849999999999994</v>
      </c>
    </row>
    <row r="150" spans="1:21">
      <c r="A150" t="s">
        <v>175</v>
      </c>
      <c r="B150" t="s">
        <v>120</v>
      </c>
      <c r="C150" t="s">
        <v>121</v>
      </c>
      <c r="E150">
        <v>30.93</v>
      </c>
      <c r="F150">
        <v>76.739999999999995</v>
      </c>
      <c r="G150">
        <v>0</v>
      </c>
      <c r="H150">
        <v>180</v>
      </c>
      <c r="I150">
        <v>180</v>
      </c>
      <c r="L150">
        <v>127</v>
      </c>
      <c r="M150">
        <v>1</v>
      </c>
      <c r="N150">
        <v>2</v>
      </c>
      <c r="P150" t="s">
        <v>170</v>
      </c>
      <c r="R150" t="str">
        <f t="shared" si="9"/>
        <v>TAB-HN</v>
      </c>
      <c r="S150">
        <f t="shared" si="7"/>
        <v>40.53</v>
      </c>
      <c r="T150">
        <f t="shared" si="8"/>
        <v>73.739999999999995</v>
      </c>
      <c r="U150">
        <f>IF(SQRT(POWER(T150-F150,2))+SQRT(POWER(E150-S150,2))=0,0,SQRT(POWER(T150-F150,2))+SQRT(POWER(E150-S150,2))+DATOS!$H$20)</f>
        <v>17.600000000000001</v>
      </c>
    </row>
    <row r="151" spans="1:21">
      <c r="A151" t="s">
        <v>175</v>
      </c>
      <c r="B151" t="s">
        <v>120</v>
      </c>
      <c r="C151" t="s">
        <v>121</v>
      </c>
      <c r="E151">
        <v>30.61</v>
      </c>
      <c r="F151">
        <v>77.09</v>
      </c>
      <c r="G151">
        <v>0</v>
      </c>
      <c r="H151">
        <v>180</v>
      </c>
      <c r="I151">
        <v>180</v>
      </c>
      <c r="L151">
        <v>127</v>
      </c>
      <c r="M151">
        <v>1</v>
      </c>
      <c r="N151">
        <v>2</v>
      </c>
      <c r="P151" t="s">
        <v>170</v>
      </c>
      <c r="R151" t="str">
        <f t="shared" si="9"/>
        <v>TAB-HN</v>
      </c>
      <c r="S151">
        <f t="shared" si="7"/>
        <v>40.53</v>
      </c>
      <c r="T151">
        <f t="shared" si="8"/>
        <v>73.739999999999995</v>
      </c>
      <c r="U151">
        <f>IF(SQRT(POWER(T151-F151,2))+SQRT(POWER(E151-S151,2))=0,0,SQRT(POWER(T151-F151,2))+SQRT(POWER(E151-S151,2))+DATOS!$H$20)</f>
        <v>18.27000000000001</v>
      </c>
    </row>
    <row r="152" spans="1:21">
      <c r="A152" t="s">
        <v>175</v>
      </c>
      <c r="B152" t="s">
        <v>120</v>
      </c>
      <c r="C152" t="s">
        <v>121</v>
      </c>
      <c r="E152">
        <v>30.61</v>
      </c>
      <c r="F152">
        <v>75.819999999999993</v>
      </c>
      <c r="G152">
        <v>0</v>
      </c>
      <c r="H152">
        <v>180</v>
      </c>
      <c r="I152">
        <v>180</v>
      </c>
      <c r="L152">
        <v>127</v>
      </c>
      <c r="M152">
        <v>1</v>
      </c>
      <c r="N152">
        <v>2</v>
      </c>
      <c r="P152" t="s">
        <v>170</v>
      </c>
      <c r="R152" t="str">
        <f t="shared" si="9"/>
        <v>TAB-HN</v>
      </c>
      <c r="S152">
        <f t="shared" si="7"/>
        <v>40.53</v>
      </c>
      <c r="T152">
        <f t="shared" si="8"/>
        <v>73.739999999999995</v>
      </c>
      <c r="U152">
        <f>IF(SQRT(POWER(T152-F152,2))+SQRT(POWER(E152-S152,2))=0,0,SQRT(POWER(T152-F152,2))+SQRT(POWER(E152-S152,2))+DATOS!$H$20)</f>
        <v>17</v>
      </c>
    </row>
    <row r="153" spans="1:21">
      <c r="A153" t="s">
        <v>175</v>
      </c>
      <c r="B153" t="s">
        <v>120</v>
      </c>
      <c r="C153" t="s">
        <v>121</v>
      </c>
      <c r="E153">
        <v>26.56</v>
      </c>
      <c r="F153">
        <v>77.09</v>
      </c>
      <c r="G153">
        <v>0</v>
      </c>
      <c r="H153">
        <v>180</v>
      </c>
      <c r="I153">
        <v>180</v>
      </c>
      <c r="L153">
        <v>127</v>
      </c>
      <c r="M153">
        <v>1</v>
      </c>
      <c r="N153">
        <v>2</v>
      </c>
      <c r="P153" t="s">
        <v>170</v>
      </c>
      <c r="R153" t="str">
        <f t="shared" si="9"/>
        <v>TAB-HN</v>
      </c>
      <c r="S153">
        <f t="shared" si="7"/>
        <v>40.53</v>
      </c>
      <c r="T153">
        <f t="shared" si="8"/>
        <v>73.739999999999995</v>
      </c>
      <c r="U153">
        <f>IF(SQRT(POWER(T153-F153,2))+SQRT(POWER(E153-S153,2))=0,0,SQRT(POWER(T153-F153,2))+SQRT(POWER(E153-S153,2))+DATOS!$H$20)</f>
        <v>22.320000000000011</v>
      </c>
    </row>
    <row r="154" spans="1:21">
      <c r="A154" t="s">
        <v>175</v>
      </c>
      <c r="B154" t="s">
        <v>120</v>
      </c>
      <c r="C154" t="s">
        <v>121</v>
      </c>
      <c r="E154">
        <v>26.56</v>
      </c>
      <c r="F154">
        <v>75.83</v>
      </c>
      <c r="G154">
        <v>0</v>
      </c>
      <c r="H154">
        <v>180</v>
      </c>
      <c r="I154">
        <v>180</v>
      </c>
      <c r="L154">
        <v>127</v>
      </c>
      <c r="M154">
        <v>1</v>
      </c>
      <c r="N154">
        <v>2</v>
      </c>
      <c r="P154" t="s">
        <v>170</v>
      </c>
      <c r="R154" t="str">
        <f t="shared" si="9"/>
        <v>TAB-HN</v>
      </c>
      <c r="S154">
        <f t="shared" si="7"/>
        <v>40.53</v>
      </c>
      <c r="T154">
        <f t="shared" si="8"/>
        <v>73.739999999999995</v>
      </c>
      <c r="U154">
        <f>IF(SQRT(POWER(T154-F154,2))+SQRT(POWER(E154-S154,2))=0,0,SQRT(POWER(T154-F154,2))+SQRT(POWER(E154-S154,2))+DATOS!$H$20)</f>
        <v>21.060000000000006</v>
      </c>
    </row>
    <row r="155" spans="1:21">
      <c r="A155" t="s">
        <v>175</v>
      </c>
      <c r="B155" t="s">
        <v>120</v>
      </c>
      <c r="C155" t="s">
        <v>121</v>
      </c>
      <c r="E155">
        <v>25.05</v>
      </c>
      <c r="F155">
        <v>75.430000000000007</v>
      </c>
      <c r="G155">
        <v>0</v>
      </c>
      <c r="H155">
        <v>180</v>
      </c>
      <c r="I155">
        <v>180</v>
      </c>
      <c r="L155">
        <v>127</v>
      </c>
      <c r="M155">
        <v>1</v>
      </c>
      <c r="N155">
        <v>2</v>
      </c>
      <c r="P155" t="s">
        <v>170</v>
      </c>
      <c r="R155" t="str">
        <f t="shared" si="9"/>
        <v>TAB-HN</v>
      </c>
      <c r="S155">
        <f t="shared" si="7"/>
        <v>40.53</v>
      </c>
      <c r="T155">
        <f t="shared" si="8"/>
        <v>73.739999999999995</v>
      </c>
      <c r="U155">
        <f>IF(SQRT(POWER(T155-F155,2))+SQRT(POWER(E155-S155,2))=0,0,SQRT(POWER(T155-F155,2))+SQRT(POWER(E155-S155,2))+DATOS!$H$20)</f>
        <v>22.170000000000012</v>
      </c>
    </row>
    <row r="156" spans="1:21">
      <c r="A156" t="s">
        <v>176</v>
      </c>
      <c r="B156" t="s">
        <v>120</v>
      </c>
      <c r="C156" t="s">
        <v>121</v>
      </c>
      <c r="E156">
        <v>26.76</v>
      </c>
      <c r="F156">
        <v>71.069999999999993</v>
      </c>
      <c r="G156">
        <v>0</v>
      </c>
      <c r="H156">
        <v>180</v>
      </c>
      <c r="I156">
        <v>180</v>
      </c>
      <c r="L156">
        <v>127</v>
      </c>
      <c r="M156">
        <v>1</v>
      </c>
      <c r="N156">
        <v>2</v>
      </c>
      <c r="P156" t="s">
        <v>177</v>
      </c>
      <c r="R156" t="str">
        <f t="shared" si="9"/>
        <v>TAB-HN</v>
      </c>
      <c r="S156">
        <f t="shared" si="7"/>
        <v>40.53</v>
      </c>
      <c r="T156">
        <f t="shared" si="8"/>
        <v>73.739999999999995</v>
      </c>
      <c r="U156">
        <f>IF(SQRT(POWER(T156-F156,2))+SQRT(POWER(E156-S156,2))=0,0,SQRT(POWER(T156-F156,2))+SQRT(POWER(E156-S156,2))+DATOS!$H$20)</f>
        <v>21.44</v>
      </c>
    </row>
    <row r="157" spans="1:21">
      <c r="A157" t="s">
        <v>176</v>
      </c>
      <c r="B157" t="s">
        <v>120</v>
      </c>
      <c r="C157" t="s">
        <v>121</v>
      </c>
      <c r="E157">
        <v>24.26</v>
      </c>
      <c r="F157">
        <v>71.08</v>
      </c>
      <c r="G157">
        <v>0</v>
      </c>
      <c r="H157">
        <v>180</v>
      </c>
      <c r="I157">
        <v>180</v>
      </c>
      <c r="L157">
        <v>127</v>
      </c>
      <c r="M157">
        <v>1</v>
      </c>
      <c r="N157">
        <v>2</v>
      </c>
      <c r="P157" t="s">
        <v>177</v>
      </c>
      <c r="R157" t="str">
        <f t="shared" si="9"/>
        <v>TAB-HN</v>
      </c>
      <c r="S157">
        <f t="shared" si="7"/>
        <v>40.53</v>
      </c>
      <c r="T157">
        <f t="shared" si="8"/>
        <v>73.739999999999995</v>
      </c>
      <c r="U157">
        <f>IF(SQRT(POWER(T157-F157,2))+SQRT(POWER(E157-S157,2))=0,0,SQRT(POWER(T157-F157,2))+SQRT(POWER(E157-S157,2))+DATOS!$H$20)</f>
        <v>23.929999999999996</v>
      </c>
    </row>
    <row r="158" spans="1:21">
      <c r="A158" t="s">
        <v>176</v>
      </c>
      <c r="B158" t="s">
        <v>120</v>
      </c>
      <c r="C158" t="s">
        <v>121</v>
      </c>
      <c r="E158">
        <v>35.520000000000003</v>
      </c>
      <c r="F158">
        <v>66.98</v>
      </c>
      <c r="G158">
        <v>0</v>
      </c>
      <c r="H158">
        <v>180</v>
      </c>
      <c r="I158">
        <v>180</v>
      </c>
      <c r="L158">
        <v>127</v>
      </c>
      <c r="M158">
        <v>1</v>
      </c>
      <c r="N158">
        <v>2</v>
      </c>
      <c r="P158" t="s">
        <v>177</v>
      </c>
      <c r="R158" t="str">
        <f t="shared" si="9"/>
        <v>TAB-HN</v>
      </c>
      <c r="S158">
        <f t="shared" si="7"/>
        <v>40.53</v>
      </c>
      <c r="T158">
        <f t="shared" si="8"/>
        <v>73.739999999999995</v>
      </c>
      <c r="U158">
        <f>IF(SQRT(POWER(T158-F158,2))+SQRT(POWER(E158-S158,2))=0,0,SQRT(POWER(T158-F158,2))+SQRT(POWER(E158-S158,2))+DATOS!$H$20)</f>
        <v>16.769999999999989</v>
      </c>
    </row>
    <row r="159" spans="1:21">
      <c r="A159" t="s">
        <v>176</v>
      </c>
      <c r="B159" t="s">
        <v>120</v>
      </c>
      <c r="C159" t="s">
        <v>121</v>
      </c>
      <c r="E159">
        <v>35.520000000000003</v>
      </c>
      <c r="F159">
        <v>66.099999999999994</v>
      </c>
      <c r="G159">
        <v>0</v>
      </c>
      <c r="H159">
        <v>180</v>
      </c>
      <c r="I159">
        <v>180</v>
      </c>
      <c r="L159">
        <v>127</v>
      </c>
      <c r="M159">
        <v>1</v>
      </c>
      <c r="N159">
        <v>2</v>
      </c>
      <c r="P159" t="s">
        <v>177</v>
      </c>
      <c r="R159" t="str">
        <f t="shared" si="9"/>
        <v>TAB-HN</v>
      </c>
      <c r="S159">
        <f t="shared" si="7"/>
        <v>40.53</v>
      </c>
      <c r="T159">
        <f t="shared" si="8"/>
        <v>73.739999999999995</v>
      </c>
      <c r="U159">
        <f>IF(SQRT(POWER(T159-F159,2))+SQRT(POWER(E159-S159,2))=0,0,SQRT(POWER(T159-F159,2))+SQRT(POWER(E159-S159,2))+DATOS!$H$20)</f>
        <v>17.649999999999999</v>
      </c>
    </row>
    <row r="160" spans="1:21">
      <c r="A160" t="s">
        <v>176</v>
      </c>
      <c r="B160" t="s">
        <v>120</v>
      </c>
      <c r="C160" t="s">
        <v>121</v>
      </c>
      <c r="E160">
        <v>31.48</v>
      </c>
      <c r="F160">
        <v>65.84</v>
      </c>
      <c r="G160">
        <v>0</v>
      </c>
      <c r="H160">
        <v>180</v>
      </c>
      <c r="I160">
        <v>180</v>
      </c>
      <c r="L160">
        <v>127</v>
      </c>
      <c r="M160">
        <v>1</v>
      </c>
      <c r="N160">
        <v>2</v>
      </c>
      <c r="P160" t="s">
        <v>177</v>
      </c>
      <c r="R160" t="str">
        <f t="shared" si="9"/>
        <v>TAB-HN</v>
      </c>
      <c r="S160">
        <f t="shared" si="7"/>
        <v>40.53</v>
      </c>
      <c r="T160">
        <f t="shared" si="8"/>
        <v>73.739999999999995</v>
      </c>
      <c r="U160">
        <f>IF(SQRT(POWER(T160-F160,2))+SQRT(POWER(E160-S160,2))=0,0,SQRT(POWER(T160-F160,2))+SQRT(POWER(E160-S160,2))+DATOS!$H$20)</f>
        <v>21.949999999999992</v>
      </c>
    </row>
    <row r="161" spans="1:21">
      <c r="A161" t="s">
        <v>176</v>
      </c>
      <c r="B161" t="s">
        <v>120</v>
      </c>
      <c r="C161" t="s">
        <v>121</v>
      </c>
      <c r="E161">
        <v>28.67</v>
      </c>
      <c r="F161">
        <v>65.84</v>
      </c>
      <c r="G161">
        <v>0</v>
      </c>
      <c r="H161">
        <v>180</v>
      </c>
      <c r="I161">
        <v>180</v>
      </c>
      <c r="L161">
        <v>127</v>
      </c>
      <c r="M161">
        <v>1</v>
      </c>
      <c r="N161">
        <v>2</v>
      </c>
      <c r="P161" t="s">
        <v>177</v>
      </c>
      <c r="R161" t="str">
        <f t="shared" si="9"/>
        <v>TAB-HN</v>
      </c>
      <c r="S161">
        <f t="shared" si="7"/>
        <v>40.53</v>
      </c>
      <c r="T161">
        <f t="shared" si="8"/>
        <v>73.739999999999995</v>
      </c>
      <c r="U161">
        <f>IF(SQRT(POWER(T161-F161,2))+SQRT(POWER(E161-S161,2))=0,0,SQRT(POWER(T161-F161,2))+SQRT(POWER(E161-S161,2))+DATOS!$H$20)</f>
        <v>24.759999999999991</v>
      </c>
    </row>
    <row r="162" spans="1:21">
      <c r="A162" t="s">
        <v>176</v>
      </c>
      <c r="B162" t="s">
        <v>120</v>
      </c>
      <c r="C162" t="s">
        <v>121</v>
      </c>
      <c r="E162">
        <v>26.75</v>
      </c>
      <c r="F162">
        <v>65.84</v>
      </c>
      <c r="G162">
        <v>0</v>
      </c>
      <c r="H162">
        <v>180</v>
      </c>
      <c r="I162">
        <v>180</v>
      </c>
      <c r="L162">
        <v>127</v>
      </c>
      <c r="M162">
        <v>1</v>
      </c>
      <c r="N162">
        <v>2</v>
      </c>
      <c r="P162" t="s">
        <v>177</v>
      </c>
      <c r="R162" t="str">
        <f t="shared" si="9"/>
        <v>TAB-HN</v>
      </c>
      <c r="S162">
        <f t="shared" si="7"/>
        <v>40.53</v>
      </c>
      <c r="T162">
        <f t="shared" si="8"/>
        <v>73.739999999999995</v>
      </c>
      <c r="U162">
        <f>IF(SQRT(POWER(T162-F162,2))+SQRT(POWER(E162-S162,2))=0,0,SQRT(POWER(T162-F162,2))+SQRT(POWER(E162-S162,2))+DATOS!$H$20)</f>
        <v>26.679999999999993</v>
      </c>
    </row>
    <row r="163" spans="1:21">
      <c r="A163" t="s">
        <v>176</v>
      </c>
      <c r="B163" t="s">
        <v>120</v>
      </c>
      <c r="C163" t="s">
        <v>121</v>
      </c>
      <c r="E163">
        <v>24.11</v>
      </c>
      <c r="F163">
        <v>65.84</v>
      </c>
      <c r="G163">
        <v>0</v>
      </c>
      <c r="H163">
        <v>180</v>
      </c>
      <c r="I163">
        <v>180</v>
      </c>
      <c r="L163">
        <v>127</v>
      </c>
      <c r="M163">
        <v>1</v>
      </c>
      <c r="N163">
        <v>2</v>
      </c>
      <c r="P163" t="s">
        <v>177</v>
      </c>
      <c r="R163" t="str">
        <f t="shared" si="9"/>
        <v>TAB-HN</v>
      </c>
      <c r="S163">
        <f t="shared" si="7"/>
        <v>40.53</v>
      </c>
      <c r="T163">
        <f t="shared" si="8"/>
        <v>73.739999999999995</v>
      </c>
      <c r="U163">
        <f>IF(SQRT(POWER(T163-F163,2))+SQRT(POWER(E163-S163,2))=0,0,SQRT(POWER(T163-F163,2))+SQRT(POWER(E163-S163,2))+DATOS!$H$20)</f>
        <v>29.319999999999993</v>
      </c>
    </row>
    <row r="164" spans="1:21">
      <c r="A164" t="s">
        <v>178</v>
      </c>
      <c r="B164" t="s">
        <v>179</v>
      </c>
      <c r="C164" t="s">
        <v>180</v>
      </c>
      <c r="E164">
        <v>73.180000000000007</v>
      </c>
      <c r="F164">
        <v>60.27</v>
      </c>
      <c r="G164">
        <v>0</v>
      </c>
      <c r="H164">
        <v>1056</v>
      </c>
      <c r="I164">
        <v>1056</v>
      </c>
      <c r="L164">
        <v>127</v>
      </c>
      <c r="M164">
        <v>1</v>
      </c>
      <c r="N164">
        <v>2</v>
      </c>
      <c r="P164" t="s">
        <v>181</v>
      </c>
      <c r="R164" t="str">
        <f t="shared" si="9"/>
        <v>TAB-EN</v>
      </c>
      <c r="S164">
        <f t="shared" si="7"/>
        <v>89.11</v>
      </c>
      <c r="T164">
        <f t="shared" si="8"/>
        <v>38.32</v>
      </c>
      <c r="U164">
        <f>IF(SQRT(POWER(T164-F164,2))+SQRT(POWER(E164-S164,2))=0,0,SQRT(POWER(T164-F164,2))+SQRT(POWER(E164-S164,2))+DATOS!$H$20)</f>
        <v>42.879999999999995</v>
      </c>
    </row>
    <row r="165" spans="1:21">
      <c r="A165" t="s">
        <v>178</v>
      </c>
      <c r="B165" t="s">
        <v>179</v>
      </c>
      <c r="C165" t="s">
        <v>180</v>
      </c>
      <c r="E165">
        <v>73.14</v>
      </c>
      <c r="F165">
        <v>61.7</v>
      </c>
      <c r="G165">
        <v>0</v>
      </c>
      <c r="H165">
        <v>333</v>
      </c>
      <c r="I165">
        <v>333</v>
      </c>
      <c r="L165">
        <v>127</v>
      </c>
      <c r="M165">
        <v>1</v>
      </c>
      <c r="N165">
        <v>2</v>
      </c>
      <c r="P165" t="s">
        <v>113</v>
      </c>
      <c r="R165" t="str">
        <f t="shared" si="9"/>
        <v>TAB-EN</v>
      </c>
      <c r="S165">
        <f t="shared" si="7"/>
        <v>89.11</v>
      </c>
      <c r="T165">
        <f t="shared" si="8"/>
        <v>38.32</v>
      </c>
      <c r="U165">
        <f>IF(SQRT(POWER(T165-F165,2))+SQRT(POWER(E165-S165,2))=0,0,SQRT(POWER(T165-F165,2))+SQRT(POWER(E165-S165,2))+DATOS!$H$20)</f>
        <v>44.35</v>
      </c>
    </row>
    <row r="166" spans="1:21">
      <c r="A166" t="s">
        <v>182</v>
      </c>
      <c r="B166" t="s">
        <v>179</v>
      </c>
      <c r="C166" t="s">
        <v>180</v>
      </c>
      <c r="E166">
        <v>69.86</v>
      </c>
      <c r="F166">
        <v>60.27</v>
      </c>
      <c r="G166">
        <v>0</v>
      </c>
      <c r="H166">
        <v>1056</v>
      </c>
      <c r="I166">
        <v>1056</v>
      </c>
      <c r="L166">
        <v>127</v>
      </c>
      <c r="M166">
        <v>1</v>
      </c>
      <c r="N166">
        <v>2</v>
      </c>
      <c r="P166" t="s">
        <v>181</v>
      </c>
      <c r="R166" t="str">
        <f t="shared" si="9"/>
        <v>TAB-EN</v>
      </c>
      <c r="S166">
        <f t="shared" si="7"/>
        <v>89.11</v>
      </c>
      <c r="T166">
        <f t="shared" si="8"/>
        <v>38.32</v>
      </c>
      <c r="U166">
        <f>IF(SQRT(POWER(T166-F166,2))+SQRT(POWER(E166-S166,2))=0,0,SQRT(POWER(T166-F166,2))+SQRT(POWER(E166-S166,2))+DATOS!$H$20)</f>
        <v>46.2</v>
      </c>
    </row>
    <row r="167" spans="1:21">
      <c r="A167" t="s">
        <v>182</v>
      </c>
      <c r="B167" t="s">
        <v>179</v>
      </c>
      <c r="C167" t="s">
        <v>180</v>
      </c>
      <c r="E167">
        <v>69.900000000000006</v>
      </c>
      <c r="F167">
        <v>61.7</v>
      </c>
      <c r="G167">
        <v>0</v>
      </c>
      <c r="H167">
        <v>333</v>
      </c>
      <c r="I167">
        <v>333</v>
      </c>
      <c r="L167">
        <v>127</v>
      </c>
      <c r="M167">
        <v>1</v>
      </c>
      <c r="N167">
        <v>2</v>
      </c>
      <c r="P167" t="s">
        <v>113</v>
      </c>
      <c r="R167" t="str">
        <f t="shared" si="9"/>
        <v>TAB-EN</v>
      </c>
      <c r="S167">
        <f t="shared" si="7"/>
        <v>89.11</v>
      </c>
      <c r="T167">
        <f t="shared" si="8"/>
        <v>38.32</v>
      </c>
      <c r="U167">
        <f>IF(SQRT(POWER(T167-F167,2))+SQRT(POWER(E167-S167,2))=0,0,SQRT(POWER(T167-F167,2))+SQRT(POWER(E167-S167,2))+DATOS!$H$20)</f>
        <v>47.589999999999996</v>
      </c>
    </row>
    <row r="168" spans="1:21">
      <c r="A168" t="s">
        <v>183</v>
      </c>
      <c r="B168" t="s">
        <v>179</v>
      </c>
      <c r="C168" t="s">
        <v>180</v>
      </c>
      <c r="E168">
        <v>69.459999999999994</v>
      </c>
      <c r="F168">
        <v>60.27</v>
      </c>
      <c r="G168">
        <v>0</v>
      </c>
      <c r="H168">
        <v>1056</v>
      </c>
      <c r="I168">
        <v>1056</v>
      </c>
      <c r="L168">
        <v>127</v>
      </c>
      <c r="M168">
        <v>1</v>
      </c>
      <c r="N168">
        <v>2</v>
      </c>
      <c r="P168" t="s">
        <v>181</v>
      </c>
      <c r="R168" t="str">
        <f t="shared" si="9"/>
        <v>TAB-EN</v>
      </c>
      <c r="S168">
        <f t="shared" si="7"/>
        <v>89.11</v>
      </c>
      <c r="T168">
        <f t="shared" si="8"/>
        <v>38.32</v>
      </c>
      <c r="U168">
        <f>IF(SQRT(POWER(T168-F168,2))+SQRT(POWER(E168-S168,2))=0,0,SQRT(POWER(T168-F168,2))+SQRT(POWER(E168-S168,2))+DATOS!$H$20)</f>
        <v>46.600000000000009</v>
      </c>
    </row>
    <row r="169" spans="1:21">
      <c r="A169" t="s">
        <v>183</v>
      </c>
      <c r="B169" t="s">
        <v>179</v>
      </c>
      <c r="C169" t="s">
        <v>180</v>
      </c>
      <c r="E169">
        <v>69.459999999999994</v>
      </c>
      <c r="F169">
        <v>61.7</v>
      </c>
      <c r="G169">
        <v>0</v>
      </c>
      <c r="H169">
        <v>333</v>
      </c>
      <c r="I169">
        <v>333</v>
      </c>
      <c r="L169">
        <v>127</v>
      </c>
      <c r="M169">
        <v>1</v>
      </c>
      <c r="N169">
        <v>2</v>
      </c>
      <c r="P169" t="s">
        <v>181</v>
      </c>
      <c r="R169" t="str">
        <f t="shared" si="9"/>
        <v>TAB-EN</v>
      </c>
      <c r="S169">
        <f t="shared" si="7"/>
        <v>89.11</v>
      </c>
      <c r="T169">
        <f t="shared" si="8"/>
        <v>38.32</v>
      </c>
      <c r="U169">
        <f>IF(SQRT(POWER(T169-F169,2))+SQRT(POWER(E169-S169,2))=0,0,SQRT(POWER(T169-F169,2))+SQRT(POWER(E169-S169,2))+DATOS!$H$20)</f>
        <v>48.030000000000008</v>
      </c>
    </row>
    <row r="170" spans="1:21">
      <c r="A170" t="s">
        <v>184</v>
      </c>
      <c r="B170" t="s">
        <v>120</v>
      </c>
      <c r="C170" t="s">
        <v>121</v>
      </c>
      <c r="E170">
        <v>42.74</v>
      </c>
      <c r="F170">
        <v>75.11</v>
      </c>
      <c r="G170">
        <v>0</v>
      </c>
      <c r="I170">
        <v>180</v>
      </c>
      <c r="L170">
        <v>127</v>
      </c>
      <c r="M170">
        <v>1</v>
      </c>
      <c r="N170">
        <v>2</v>
      </c>
      <c r="P170" t="s">
        <v>185</v>
      </c>
      <c r="R170" t="str">
        <f t="shared" si="9"/>
        <v>TAB-HN</v>
      </c>
      <c r="S170">
        <f t="shared" si="7"/>
        <v>40.53</v>
      </c>
      <c r="T170">
        <f t="shared" si="8"/>
        <v>73.739999999999995</v>
      </c>
      <c r="U170">
        <f>IF(SQRT(POWER(T170-F170,2))+SQRT(POWER(E170-S170,2))=0,0,SQRT(POWER(T170-F170,2))+SQRT(POWER(E170-S170,2))+DATOS!$H$20)</f>
        <v>8.5800000000000054</v>
      </c>
    </row>
    <row r="171" spans="1:21">
      <c r="A171" t="s">
        <v>184</v>
      </c>
      <c r="B171" t="s">
        <v>120</v>
      </c>
      <c r="C171" t="s">
        <v>121</v>
      </c>
      <c r="E171">
        <v>40.85</v>
      </c>
      <c r="F171">
        <v>73.73</v>
      </c>
      <c r="G171">
        <v>0</v>
      </c>
      <c r="I171">
        <v>180</v>
      </c>
      <c r="L171">
        <v>127</v>
      </c>
      <c r="M171">
        <v>1</v>
      </c>
      <c r="N171">
        <v>2</v>
      </c>
      <c r="P171" t="s">
        <v>185</v>
      </c>
      <c r="R171" t="str">
        <f t="shared" si="9"/>
        <v>TAB-HN</v>
      </c>
      <c r="S171">
        <f t="shared" si="7"/>
        <v>40.53</v>
      </c>
      <c r="T171">
        <f t="shared" si="8"/>
        <v>73.739999999999995</v>
      </c>
      <c r="U171">
        <f>IF(SQRT(POWER(T171-F171,2))+SQRT(POWER(E171-S171,2))=0,0,SQRT(POWER(T171-F171,2))+SQRT(POWER(E171-S171,2))+DATOS!$H$20)</f>
        <v>5.3299999999999912</v>
      </c>
    </row>
    <row r="172" spans="1:21">
      <c r="A172" t="s">
        <v>184</v>
      </c>
      <c r="B172" t="s">
        <v>120</v>
      </c>
      <c r="C172" t="s">
        <v>121</v>
      </c>
      <c r="E172">
        <v>41.95</v>
      </c>
      <c r="F172">
        <v>70.45</v>
      </c>
      <c r="G172">
        <v>0</v>
      </c>
      <c r="I172">
        <v>180</v>
      </c>
      <c r="L172">
        <v>127</v>
      </c>
      <c r="M172">
        <v>1</v>
      </c>
      <c r="N172">
        <v>2</v>
      </c>
      <c r="P172" t="s">
        <v>185</v>
      </c>
      <c r="R172" t="str">
        <f t="shared" si="9"/>
        <v>TAB-HN</v>
      </c>
      <c r="S172">
        <f t="shared" si="7"/>
        <v>40.53</v>
      </c>
      <c r="T172">
        <f t="shared" si="8"/>
        <v>73.739999999999995</v>
      </c>
      <c r="U172">
        <f>IF(SQRT(POWER(T172-F172,2))+SQRT(POWER(E172-S172,2))=0,0,SQRT(POWER(T172-F172,2))+SQRT(POWER(E172-S172,2))+DATOS!$H$20)</f>
        <v>9.7099999999999937</v>
      </c>
    </row>
    <row r="173" spans="1:21">
      <c r="A173" t="s">
        <v>184</v>
      </c>
      <c r="B173" t="s">
        <v>120</v>
      </c>
      <c r="C173" t="s">
        <v>121</v>
      </c>
      <c r="E173">
        <v>45.35</v>
      </c>
      <c r="F173">
        <v>75.12</v>
      </c>
      <c r="G173">
        <v>0</v>
      </c>
      <c r="I173">
        <v>180</v>
      </c>
      <c r="L173">
        <v>127</v>
      </c>
      <c r="M173">
        <v>1</v>
      </c>
      <c r="N173">
        <v>2</v>
      </c>
      <c r="P173" t="s">
        <v>185</v>
      </c>
      <c r="R173" t="str">
        <f t="shared" si="9"/>
        <v>TAB-HN</v>
      </c>
      <c r="S173">
        <f t="shared" si="7"/>
        <v>40.53</v>
      </c>
      <c r="T173">
        <f t="shared" si="8"/>
        <v>73.739999999999995</v>
      </c>
      <c r="U173">
        <f>IF(SQRT(POWER(T173-F173,2))+SQRT(POWER(E173-S173,2))=0,0,SQRT(POWER(T173-F173,2))+SQRT(POWER(E173-S173,2))+DATOS!$H$20)</f>
        <v>11.20000000000001</v>
      </c>
    </row>
    <row r="174" spans="1:21">
      <c r="A174" t="s">
        <v>184</v>
      </c>
      <c r="B174" t="s">
        <v>120</v>
      </c>
      <c r="C174" t="s">
        <v>121</v>
      </c>
      <c r="E174">
        <v>41.63</v>
      </c>
      <c r="F174">
        <v>81.97</v>
      </c>
      <c r="G174">
        <v>0</v>
      </c>
      <c r="I174">
        <v>180</v>
      </c>
      <c r="L174">
        <v>127</v>
      </c>
      <c r="M174">
        <v>1</v>
      </c>
      <c r="N174">
        <v>2</v>
      </c>
      <c r="P174" t="s">
        <v>185</v>
      </c>
      <c r="R174" t="str">
        <f t="shared" si="9"/>
        <v>TAB-HN</v>
      </c>
      <c r="S174">
        <f t="shared" si="7"/>
        <v>40.53</v>
      </c>
      <c r="T174">
        <f t="shared" si="8"/>
        <v>73.739999999999995</v>
      </c>
      <c r="U174">
        <f>IF(SQRT(POWER(T174-F174,2))+SQRT(POWER(E174-S174,2))=0,0,SQRT(POWER(T174-F174,2))+SQRT(POWER(E174-S174,2))+DATOS!$H$20)</f>
        <v>14.330000000000005</v>
      </c>
    </row>
    <row r="175" spans="1:21">
      <c r="A175" t="s">
        <v>184</v>
      </c>
      <c r="B175" t="s">
        <v>120</v>
      </c>
      <c r="C175" t="s">
        <v>121</v>
      </c>
      <c r="E175">
        <v>47</v>
      </c>
      <c r="F175">
        <v>78.77</v>
      </c>
      <c r="G175">
        <v>0</v>
      </c>
      <c r="I175">
        <v>180</v>
      </c>
      <c r="L175">
        <v>127</v>
      </c>
      <c r="M175">
        <v>1</v>
      </c>
      <c r="N175">
        <v>2</v>
      </c>
      <c r="P175" t="s">
        <v>185</v>
      </c>
      <c r="R175" t="str">
        <f t="shared" si="9"/>
        <v>TAB-HN</v>
      </c>
      <c r="S175">
        <f t="shared" si="7"/>
        <v>40.53</v>
      </c>
      <c r="T175">
        <f t="shared" si="8"/>
        <v>73.739999999999995</v>
      </c>
      <c r="U175">
        <f>IF(SQRT(POWER(T175-F175,2))+SQRT(POWER(E175-S175,2))=0,0,SQRT(POWER(T175-F175,2))+SQRT(POWER(E175-S175,2))+DATOS!$H$20)</f>
        <v>16.5</v>
      </c>
    </row>
    <row r="176" spans="1:21">
      <c r="A176" t="s">
        <v>184</v>
      </c>
      <c r="B176" t="s">
        <v>120</v>
      </c>
      <c r="C176" t="s">
        <v>121</v>
      </c>
      <c r="E176">
        <v>47</v>
      </c>
      <c r="F176">
        <v>80.87</v>
      </c>
      <c r="G176">
        <v>0</v>
      </c>
      <c r="I176">
        <v>180</v>
      </c>
      <c r="L176">
        <v>127</v>
      </c>
      <c r="M176">
        <v>1</v>
      </c>
      <c r="N176">
        <v>2</v>
      </c>
      <c r="P176" t="s">
        <v>185</v>
      </c>
      <c r="R176" t="str">
        <f t="shared" si="9"/>
        <v>TAB-HN</v>
      </c>
      <c r="S176">
        <f t="shared" si="7"/>
        <v>40.53</v>
      </c>
      <c r="T176">
        <f t="shared" si="8"/>
        <v>73.739999999999995</v>
      </c>
      <c r="U176">
        <f>IF(SQRT(POWER(T176-F176,2))+SQRT(POWER(E176-S176,2))=0,0,SQRT(POWER(T176-F176,2))+SQRT(POWER(E176-S176,2))+DATOS!$H$20)</f>
        <v>18.600000000000009</v>
      </c>
    </row>
    <row r="177" spans="1:21">
      <c r="A177" t="s">
        <v>184</v>
      </c>
      <c r="B177" t="s">
        <v>120</v>
      </c>
      <c r="C177" t="s">
        <v>121</v>
      </c>
      <c r="E177">
        <v>50.09</v>
      </c>
      <c r="F177">
        <v>80.27</v>
      </c>
      <c r="G177">
        <v>0</v>
      </c>
      <c r="I177">
        <v>180</v>
      </c>
      <c r="L177">
        <v>127</v>
      </c>
      <c r="M177">
        <v>1</v>
      </c>
      <c r="N177">
        <v>2</v>
      </c>
      <c r="P177" t="s">
        <v>185</v>
      </c>
      <c r="R177" t="str">
        <f t="shared" si="9"/>
        <v>TAB-HN</v>
      </c>
      <c r="S177">
        <f t="shared" si="7"/>
        <v>40.53</v>
      </c>
      <c r="T177">
        <f t="shared" si="8"/>
        <v>73.739999999999995</v>
      </c>
      <c r="U177">
        <f>IF(SQRT(POWER(T177-F177,2))+SQRT(POWER(E177-S177,2))=0,0,SQRT(POWER(T177-F177,2))+SQRT(POWER(E177-S177,2))+DATOS!$H$20)</f>
        <v>21.090000000000003</v>
      </c>
    </row>
    <row r="178" spans="1:21">
      <c r="A178" t="s">
        <v>184</v>
      </c>
      <c r="B178" t="s">
        <v>120</v>
      </c>
      <c r="C178" t="s">
        <v>121</v>
      </c>
      <c r="E178">
        <v>53.18</v>
      </c>
      <c r="F178">
        <v>80.27</v>
      </c>
      <c r="G178">
        <v>0</v>
      </c>
      <c r="I178">
        <v>180</v>
      </c>
      <c r="L178">
        <v>127</v>
      </c>
      <c r="M178">
        <v>1</v>
      </c>
      <c r="N178">
        <v>2</v>
      </c>
      <c r="P178" t="s">
        <v>185</v>
      </c>
      <c r="R178" t="str">
        <f t="shared" si="9"/>
        <v>TAB-HN</v>
      </c>
      <c r="S178">
        <f t="shared" si="7"/>
        <v>40.53</v>
      </c>
      <c r="T178">
        <f t="shared" si="8"/>
        <v>73.739999999999995</v>
      </c>
      <c r="U178">
        <f>IF(SQRT(POWER(T178-F178,2))+SQRT(POWER(E178-S178,2))=0,0,SQRT(POWER(T178-F178,2))+SQRT(POWER(E178-S178,2))+DATOS!$H$20)</f>
        <v>24.18</v>
      </c>
    </row>
    <row r="179" spans="1:21">
      <c r="A179" t="s">
        <v>186</v>
      </c>
      <c r="B179" t="s">
        <v>120</v>
      </c>
      <c r="C179" t="s">
        <v>121</v>
      </c>
      <c r="E179">
        <v>47.56</v>
      </c>
      <c r="F179">
        <v>73.33</v>
      </c>
      <c r="G179">
        <v>0</v>
      </c>
      <c r="I179">
        <v>180</v>
      </c>
      <c r="L179">
        <v>127</v>
      </c>
      <c r="M179">
        <v>1</v>
      </c>
      <c r="N179">
        <v>2</v>
      </c>
      <c r="P179" t="s">
        <v>185</v>
      </c>
      <c r="R179" t="str">
        <f t="shared" si="9"/>
        <v>TAB-HN</v>
      </c>
      <c r="S179">
        <f t="shared" si="7"/>
        <v>40.53</v>
      </c>
      <c r="T179">
        <f t="shared" si="8"/>
        <v>73.739999999999995</v>
      </c>
      <c r="U179">
        <f>IF(SQRT(POWER(T179-F179,2))+SQRT(POWER(E179-S179,2))=0,0,SQRT(POWER(T179-F179,2))+SQRT(POWER(E179-S179,2))+DATOS!$H$20)</f>
        <v>12.439999999999998</v>
      </c>
    </row>
    <row r="180" spans="1:21">
      <c r="A180" t="s">
        <v>186</v>
      </c>
      <c r="B180" t="s">
        <v>120</v>
      </c>
      <c r="C180" t="s">
        <v>121</v>
      </c>
      <c r="E180">
        <v>47.24</v>
      </c>
      <c r="F180">
        <v>73.33</v>
      </c>
      <c r="G180">
        <v>0</v>
      </c>
      <c r="I180">
        <v>180</v>
      </c>
      <c r="L180">
        <v>127</v>
      </c>
      <c r="M180">
        <v>1</v>
      </c>
      <c r="N180">
        <v>2</v>
      </c>
      <c r="P180" t="s">
        <v>185</v>
      </c>
      <c r="R180" t="str">
        <f t="shared" si="9"/>
        <v>TAB-HN</v>
      </c>
      <c r="S180">
        <f t="shared" si="7"/>
        <v>40.53</v>
      </c>
      <c r="T180">
        <f t="shared" si="8"/>
        <v>73.739999999999995</v>
      </c>
      <c r="U180">
        <f>IF(SQRT(POWER(T180-F180,2))+SQRT(POWER(E180-S180,2))=0,0,SQRT(POWER(T180-F180,2))+SQRT(POWER(E180-S180,2))+DATOS!$H$20)</f>
        <v>12.119999999999997</v>
      </c>
    </row>
    <row r="181" spans="1:21">
      <c r="A181" t="s">
        <v>186</v>
      </c>
      <c r="B181" t="s">
        <v>120</v>
      </c>
      <c r="C181" t="s">
        <v>121</v>
      </c>
      <c r="E181">
        <v>46.16</v>
      </c>
      <c r="F181">
        <v>70.45</v>
      </c>
      <c r="G181">
        <v>0</v>
      </c>
      <c r="I181">
        <v>180</v>
      </c>
      <c r="L181">
        <v>127</v>
      </c>
      <c r="M181">
        <v>1</v>
      </c>
      <c r="N181">
        <v>2</v>
      </c>
      <c r="P181" t="s">
        <v>185</v>
      </c>
      <c r="R181" t="str">
        <f t="shared" si="9"/>
        <v>TAB-HN</v>
      </c>
      <c r="S181">
        <f t="shared" si="7"/>
        <v>40.53</v>
      </c>
      <c r="T181">
        <f t="shared" si="8"/>
        <v>73.739999999999995</v>
      </c>
      <c r="U181">
        <f>IF(SQRT(POWER(T181-F181,2))+SQRT(POWER(E181-S181,2))=0,0,SQRT(POWER(T181-F181,2))+SQRT(POWER(E181-S181,2))+DATOS!$H$20)</f>
        <v>13.919999999999987</v>
      </c>
    </row>
    <row r="182" spans="1:21">
      <c r="A182" t="s">
        <v>186</v>
      </c>
      <c r="B182" t="s">
        <v>120</v>
      </c>
      <c r="C182" t="s">
        <v>121</v>
      </c>
      <c r="E182">
        <v>53.18</v>
      </c>
      <c r="F182">
        <v>75.8</v>
      </c>
      <c r="G182">
        <v>0</v>
      </c>
      <c r="I182">
        <v>180</v>
      </c>
      <c r="L182">
        <v>127</v>
      </c>
      <c r="M182">
        <v>1</v>
      </c>
      <c r="N182">
        <v>2</v>
      </c>
      <c r="P182" t="s">
        <v>185</v>
      </c>
      <c r="R182" t="str">
        <f t="shared" si="9"/>
        <v>TAB-HN</v>
      </c>
      <c r="S182">
        <f t="shared" si="7"/>
        <v>40.53</v>
      </c>
      <c r="T182">
        <f t="shared" si="8"/>
        <v>73.739999999999995</v>
      </c>
      <c r="U182">
        <f>IF(SQRT(POWER(T182-F182,2))+SQRT(POWER(E182-S182,2))=0,0,SQRT(POWER(T182-F182,2))+SQRT(POWER(E182-S182,2))+DATOS!$H$20)</f>
        <v>19.71</v>
      </c>
    </row>
    <row r="183" spans="1:21">
      <c r="A183" t="s">
        <v>186</v>
      </c>
      <c r="B183" t="s">
        <v>120</v>
      </c>
      <c r="C183" t="s">
        <v>121</v>
      </c>
      <c r="E183">
        <v>53.18</v>
      </c>
      <c r="F183">
        <v>74.099999999999994</v>
      </c>
      <c r="G183">
        <v>0</v>
      </c>
      <c r="I183">
        <v>180</v>
      </c>
      <c r="L183">
        <v>127</v>
      </c>
      <c r="M183">
        <v>1</v>
      </c>
      <c r="N183">
        <v>2</v>
      </c>
      <c r="P183" t="s">
        <v>185</v>
      </c>
      <c r="R183" t="str">
        <f t="shared" si="9"/>
        <v>TAB-HN</v>
      </c>
      <c r="S183">
        <f t="shared" si="7"/>
        <v>40.53</v>
      </c>
      <c r="T183">
        <f t="shared" si="8"/>
        <v>73.739999999999995</v>
      </c>
      <c r="U183">
        <f>IF(SQRT(POWER(T183-F183,2))+SQRT(POWER(E183-S183,2))=0,0,SQRT(POWER(T183-F183,2))+SQRT(POWER(E183-S183,2))+DATOS!$H$20)</f>
        <v>18.009999999999998</v>
      </c>
    </row>
    <row r="184" spans="1:21">
      <c r="A184" t="s">
        <v>186</v>
      </c>
      <c r="B184" t="s">
        <v>120</v>
      </c>
      <c r="C184" t="s">
        <v>121</v>
      </c>
      <c r="E184">
        <v>53.18</v>
      </c>
      <c r="F184">
        <v>72.400000000000006</v>
      </c>
      <c r="G184">
        <v>0</v>
      </c>
      <c r="I184">
        <v>180</v>
      </c>
      <c r="L184">
        <v>127</v>
      </c>
      <c r="M184">
        <v>1</v>
      </c>
      <c r="N184">
        <v>2</v>
      </c>
      <c r="P184" t="s">
        <v>185</v>
      </c>
      <c r="R184" t="str">
        <f t="shared" si="9"/>
        <v>TAB-HN</v>
      </c>
      <c r="S184">
        <f t="shared" si="7"/>
        <v>40.53</v>
      </c>
      <c r="T184">
        <f t="shared" si="8"/>
        <v>73.739999999999995</v>
      </c>
      <c r="U184">
        <f>IF(SQRT(POWER(T184-F184,2))+SQRT(POWER(E184-S184,2))=0,0,SQRT(POWER(T184-F184,2))+SQRT(POWER(E184-S184,2))+DATOS!$H$20)</f>
        <v>18.989999999999988</v>
      </c>
    </row>
    <row r="185" spans="1:21">
      <c r="A185" t="s">
        <v>186</v>
      </c>
      <c r="B185" t="s">
        <v>120</v>
      </c>
      <c r="C185" t="s">
        <v>121</v>
      </c>
      <c r="E185">
        <v>49.43</v>
      </c>
      <c r="F185">
        <v>75.12</v>
      </c>
      <c r="G185">
        <v>0</v>
      </c>
      <c r="I185">
        <v>180</v>
      </c>
      <c r="L185">
        <v>127</v>
      </c>
      <c r="M185">
        <v>1</v>
      </c>
      <c r="N185">
        <v>2</v>
      </c>
      <c r="P185" t="s">
        <v>185</v>
      </c>
      <c r="R185" t="str">
        <f t="shared" si="9"/>
        <v>TAB-HN</v>
      </c>
      <c r="S185">
        <f t="shared" si="7"/>
        <v>40.53</v>
      </c>
      <c r="T185">
        <f t="shared" si="8"/>
        <v>73.739999999999995</v>
      </c>
      <c r="U185">
        <f>IF(SQRT(POWER(T185-F185,2))+SQRT(POWER(E185-S185,2))=0,0,SQRT(POWER(T185-F185,2))+SQRT(POWER(E185-S185,2))+DATOS!$H$20)</f>
        <v>15.280000000000008</v>
      </c>
    </row>
    <row r="186" spans="1:21">
      <c r="A186" t="s">
        <v>186</v>
      </c>
      <c r="B186" t="s">
        <v>120</v>
      </c>
      <c r="C186" t="s">
        <v>121</v>
      </c>
      <c r="E186">
        <v>49.48</v>
      </c>
      <c r="F186">
        <v>70.45</v>
      </c>
      <c r="G186">
        <v>0</v>
      </c>
      <c r="I186">
        <v>180</v>
      </c>
      <c r="L186">
        <v>127</v>
      </c>
      <c r="M186">
        <v>1</v>
      </c>
      <c r="N186">
        <v>2</v>
      </c>
      <c r="P186" t="s">
        <v>185</v>
      </c>
      <c r="R186" t="str">
        <f t="shared" si="9"/>
        <v>TAB-HN</v>
      </c>
      <c r="S186">
        <f t="shared" si="7"/>
        <v>40.53</v>
      </c>
      <c r="T186">
        <f t="shared" si="8"/>
        <v>73.739999999999995</v>
      </c>
      <c r="U186">
        <f>IF(SQRT(POWER(T186-F186,2))+SQRT(POWER(E186-S186,2))=0,0,SQRT(POWER(T186-F186,2))+SQRT(POWER(E186-S186,2))+DATOS!$H$20)</f>
        <v>17.239999999999988</v>
      </c>
    </row>
    <row r="187" spans="1:21">
      <c r="A187" t="s">
        <v>187</v>
      </c>
      <c r="B187" t="s">
        <v>66</v>
      </c>
      <c r="C187" t="s">
        <v>32</v>
      </c>
      <c r="E187">
        <v>85.98</v>
      </c>
      <c r="F187">
        <v>84.06</v>
      </c>
      <c r="G187">
        <v>0</v>
      </c>
      <c r="I187">
        <v>6630</v>
      </c>
      <c r="L187" t="s">
        <v>158</v>
      </c>
      <c r="M187">
        <v>3</v>
      </c>
      <c r="N187">
        <v>4</v>
      </c>
      <c r="P187" t="s">
        <v>188</v>
      </c>
      <c r="R187" t="str">
        <f t="shared" si="9"/>
        <v>TAB-QN</v>
      </c>
      <c r="S187">
        <f t="shared" si="7"/>
        <v>85.3</v>
      </c>
      <c r="T187">
        <f t="shared" si="8"/>
        <v>77.930000000000007</v>
      </c>
      <c r="U187">
        <f>IF(SQRT(POWER(T187-F187,2))+SQRT(POWER(E187-S187,2))=0,0,SQRT(POWER(T187-F187,2))+SQRT(POWER(E187-S187,2))+DATOS!$H$20)</f>
        <v>11.810000000000002</v>
      </c>
    </row>
    <row r="188" spans="1:21">
      <c r="A188" t="s">
        <v>189</v>
      </c>
      <c r="B188" t="s">
        <v>179</v>
      </c>
      <c r="C188" t="s">
        <v>180</v>
      </c>
      <c r="E188">
        <v>85.99</v>
      </c>
      <c r="F188">
        <v>83.09</v>
      </c>
      <c r="G188">
        <v>0</v>
      </c>
      <c r="H188">
        <v>1788</v>
      </c>
      <c r="I188">
        <v>1788</v>
      </c>
      <c r="L188">
        <v>127</v>
      </c>
      <c r="M188">
        <v>1</v>
      </c>
      <c r="N188">
        <v>2</v>
      </c>
      <c r="P188" t="s">
        <v>190</v>
      </c>
      <c r="R188" t="str">
        <f t="shared" si="9"/>
        <v>TAB-JN</v>
      </c>
      <c r="S188">
        <f t="shared" si="7"/>
        <v>85.9</v>
      </c>
      <c r="T188">
        <f t="shared" si="8"/>
        <v>77.930000000000007</v>
      </c>
      <c r="U188">
        <f>IF(SQRT(POWER(T188-F188,2))+SQRT(POWER(E188-S188,2))=0,0,SQRT(POWER(T188-F188,2))+SQRT(POWER(E188-S188,2))+DATOS!$H$20)</f>
        <v>10.249999999999986</v>
      </c>
    </row>
    <row r="189" spans="1:21">
      <c r="A189" t="s">
        <v>191</v>
      </c>
      <c r="B189" t="s">
        <v>179</v>
      </c>
      <c r="C189" t="s">
        <v>180</v>
      </c>
      <c r="E189">
        <v>85.98</v>
      </c>
      <c r="F189">
        <v>85.09</v>
      </c>
      <c r="G189">
        <v>0</v>
      </c>
      <c r="H189">
        <v>1461</v>
      </c>
      <c r="I189">
        <v>1461</v>
      </c>
      <c r="L189">
        <v>127</v>
      </c>
      <c r="M189">
        <v>1</v>
      </c>
      <c r="N189">
        <v>2</v>
      </c>
      <c r="P189" t="s">
        <v>190</v>
      </c>
      <c r="R189" t="str">
        <f t="shared" si="9"/>
        <v>TAB-JN</v>
      </c>
      <c r="S189">
        <f t="shared" si="7"/>
        <v>85.9</v>
      </c>
      <c r="T189">
        <f t="shared" si="8"/>
        <v>77.930000000000007</v>
      </c>
      <c r="U189">
        <f>IF(SQRT(POWER(T189-F189,2))+SQRT(POWER(E189-S189,2))=0,0,SQRT(POWER(T189-F189,2))+SQRT(POWER(E189-S189,2))+DATOS!$H$20)</f>
        <v>12.239999999999995</v>
      </c>
    </row>
    <row r="190" spans="1:21">
      <c r="A190" t="s">
        <v>192</v>
      </c>
      <c r="B190" t="s">
        <v>179</v>
      </c>
      <c r="C190" t="s">
        <v>180</v>
      </c>
      <c r="E190">
        <v>87.82</v>
      </c>
      <c r="F190">
        <v>85.09</v>
      </c>
      <c r="G190">
        <v>0</v>
      </c>
      <c r="H190">
        <v>1130</v>
      </c>
      <c r="I190">
        <v>1130</v>
      </c>
      <c r="L190">
        <v>127</v>
      </c>
      <c r="M190">
        <v>1</v>
      </c>
      <c r="N190">
        <v>2</v>
      </c>
      <c r="P190" t="s">
        <v>190</v>
      </c>
      <c r="R190" t="str">
        <f t="shared" si="9"/>
        <v>TAB-JN</v>
      </c>
      <c r="S190">
        <f t="shared" si="7"/>
        <v>85.9</v>
      </c>
      <c r="T190">
        <f t="shared" si="8"/>
        <v>77.930000000000007</v>
      </c>
      <c r="U190">
        <f>IF(SQRT(POWER(T190-F190,2))+SQRT(POWER(E190-S190,2))=0,0,SQRT(POWER(T190-F190,2))+SQRT(POWER(E190-S190,2))+DATOS!$H$20)</f>
        <v>14.079999999999984</v>
      </c>
    </row>
    <row r="191" spans="1:21">
      <c r="A191" t="s">
        <v>189</v>
      </c>
      <c r="B191" t="s">
        <v>179</v>
      </c>
      <c r="C191" t="s">
        <v>180</v>
      </c>
      <c r="E191">
        <v>88.41</v>
      </c>
      <c r="F191">
        <v>85.76</v>
      </c>
      <c r="G191">
        <v>0</v>
      </c>
      <c r="H191">
        <v>1788</v>
      </c>
      <c r="I191">
        <v>1788</v>
      </c>
      <c r="L191">
        <v>127</v>
      </c>
      <c r="M191">
        <v>1</v>
      </c>
      <c r="N191">
        <v>2</v>
      </c>
      <c r="P191" t="s">
        <v>190</v>
      </c>
      <c r="R191" t="str">
        <f t="shared" si="9"/>
        <v>TAB-JN</v>
      </c>
      <c r="S191">
        <f t="shared" si="7"/>
        <v>85.9</v>
      </c>
      <c r="T191">
        <f t="shared" si="8"/>
        <v>77.930000000000007</v>
      </c>
      <c r="U191">
        <f>IF(SQRT(POWER(T191-F191,2))+SQRT(POWER(E191-S191,2))=0,0,SQRT(POWER(T191-F191,2))+SQRT(POWER(E191-S191,2))+DATOS!$H$20)</f>
        <v>15.339999999999989</v>
      </c>
    </row>
    <row r="192" spans="1:21">
      <c r="A192" t="s">
        <v>193</v>
      </c>
      <c r="B192" t="s">
        <v>179</v>
      </c>
      <c r="C192" t="s">
        <v>180</v>
      </c>
      <c r="E192">
        <v>90.2</v>
      </c>
      <c r="F192">
        <v>85.76</v>
      </c>
      <c r="G192">
        <v>0</v>
      </c>
      <c r="H192">
        <v>826</v>
      </c>
      <c r="I192">
        <v>826</v>
      </c>
      <c r="L192">
        <v>127</v>
      </c>
      <c r="M192">
        <v>1</v>
      </c>
      <c r="N192">
        <v>2</v>
      </c>
      <c r="P192" t="s">
        <v>190</v>
      </c>
      <c r="R192" t="str">
        <f t="shared" si="9"/>
        <v>TAB-JN</v>
      </c>
      <c r="S192">
        <f t="shared" si="7"/>
        <v>85.9</v>
      </c>
      <c r="T192">
        <f t="shared" si="8"/>
        <v>77.930000000000007</v>
      </c>
      <c r="U192">
        <f>IF(SQRT(POWER(T192-F192,2))+SQRT(POWER(E192-S192,2))=0,0,SQRT(POWER(T192-F192,2))+SQRT(POWER(E192-S192,2))+DATOS!$H$20)</f>
        <v>17.129999999999995</v>
      </c>
    </row>
    <row r="193" spans="1:21">
      <c r="A193" t="s">
        <v>194</v>
      </c>
      <c r="B193" t="s">
        <v>179</v>
      </c>
      <c r="C193" t="s">
        <v>180</v>
      </c>
      <c r="E193">
        <v>91.36</v>
      </c>
      <c r="F193">
        <v>85.33</v>
      </c>
      <c r="G193">
        <v>0</v>
      </c>
      <c r="H193">
        <v>1788</v>
      </c>
      <c r="I193">
        <v>1788</v>
      </c>
      <c r="L193">
        <v>127</v>
      </c>
      <c r="M193">
        <v>1</v>
      </c>
      <c r="N193">
        <v>2</v>
      </c>
      <c r="P193" t="s">
        <v>190</v>
      </c>
      <c r="R193" t="str">
        <f t="shared" si="9"/>
        <v>TAB-JN</v>
      </c>
      <c r="S193">
        <f t="shared" si="7"/>
        <v>85.9</v>
      </c>
      <c r="T193">
        <f t="shared" si="8"/>
        <v>77.930000000000007</v>
      </c>
      <c r="U193">
        <f>IF(SQRT(POWER(T193-F193,2))+SQRT(POWER(E193-S193,2))=0,0,SQRT(POWER(T193-F193,2))+SQRT(POWER(E193-S193,2))+DATOS!$H$20)</f>
        <v>17.859999999999985</v>
      </c>
    </row>
    <row r="194" spans="1:21">
      <c r="A194" t="s">
        <v>195</v>
      </c>
      <c r="B194" t="s">
        <v>120</v>
      </c>
      <c r="C194" t="s">
        <v>121</v>
      </c>
      <c r="E194">
        <v>92.85</v>
      </c>
      <c r="F194">
        <v>75.61</v>
      </c>
      <c r="G194">
        <v>0</v>
      </c>
      <c r="I194">
        <v>180</v>
      </c>
      <c r="L194">
        <v>127</v>
      </c>
      <c r="M194">
        <v>1</v>
      </c>
      <c r="N194">
        <v>2</v>
      </c>
      <c r="P194" t="s">
        <v>196</v>
      </c>
      <c r="R194" t="str">
        <f t="shared" si="9"/>
        <v>TAB-JN</v>
      </c>
      <c r="S194">
        <f t="shared" si="7"/>
        <v>85.9</v>
      </c>
      <c r="T194">
        <f t="shared" si="8"/>
        <v>77.930000000000007</v>
      </c>
      <c r="U194">
        <f>IF(SQRT(POWER(T194-F194,2))+SQRT(POWER(E194-S194,2))=0,0,SQRT(POWER(T194-F194,2))+SQRT(POWER(E194-S194,2))+DATOS!$H$20)</f>
        <v>14.269999999999996</v>
      </c>
    </row>
    <row r="195" spans="1:21">
      <c r="A195" t="s">
        <v>195</v>
      </c>
      <c r="B195" t="s">
        <v>120</v>
      </c>
      <c r="C195" t="s">
        <v>121</v>
      </c>
      <c r="E195">
        <v>91.23</v>
      </c>
      <c r="F195">
        <v>75.08</v>
      </c>
      <c r="G195">
        <v>0</v>
      </c>
      <c r="I195">
        <v>180</v>
      </c>
      <c r="L195">
        <v>127</v>
      </c>
      <c r="M195">
        <v>1</v>
      </c>
      <c r="N195">
        <v>2</v>
      </c>
      <c r="P195" t="s">
        <v>196</v>
      </c>
      <c r="R195" t="str">
        <f t="shared" si="9"/>
        <v>TAB-JN</v>
      </c>
      <c r="S195">
        <f t="shared" ref="S195:S258" si="10">IFERROR(VLOOKUP(R195,$A$2:$F$700,5,0),E195)</f>
        <v>85.9</v>
      </c>
      <c r="T195">
        <f t="shared" ref="T195:T258" si="11">IFERROR(VLOOKUP(R195,$A$2:$F$700,6,0),F195)</f>
        <v>77.930000000000007</v>
      </c>
      <c r="U195">
        <f>IF(SQRT(POWER(T195-F195,2))+SQRT(POWER(E195-S195,2))=0,0,SQRT(POWER(T195-F195,2))+SQRT(POWER(E195-S195,2))+DATOS!$H$20)</f>
        <v>13.180000000000007</v>
      </c>
    </row>
    <row r="196" spans="1:21">
      <c r="A196" t="s">
        <v>195</v>
      </c>
      <c r="B196" t="s">
        <v>120</v>
      </c>
      <c r="C196" t="s">
        <v>121</v>
      </c>
      <c r="E196">
        <v>94.35</v>
      </c>
      <c r="F196">
        <v>71.83</v>
      </c>
      <c r="G196">
        <v>0</v>
      </c>
      <c r="I196">
        <v>180</v>
      </c>
      <c r="L196">
        <v>127</v>
      </c>
      <c r="M196">
        <v>1</v>
      </c>
      <c r="N196">
        <v>2</v>
      </c>
      <c r="P196" t="s">
        <v>196</v>
      </c>
      <c r="R196" t="str">
        <f t="shared" si="9"/>
        <v>TAB-JN</v>
      </c>
      <c r="S196">
        <f t="shared" si="10"/>
        <v>85.9</v>
      </c>
      <c r="T196">
        <f t="shared" si="11"/>
        <v>77.930000000000007</v>
      </c>
      <c r="U196">
        <f>IF(SQRT(POWER(T196-F196,2))+SQRT(POWER(E196-S196,2))=0,0,SQRT(POWER(T196-F196,2))+SQRT(POWER(E196-S196,2))+DATOS!$H$20)</f>
        <v>19.549999999999997</v>
      </c>
    </row>
    <row r="197" spans="1:21">
      <c r="A197" t="s">
        <v>195</v>
      </c>
      <c r="B197" t="s">
        <v>120</v>
      </c>
      <c r="C197" t="s">
        <v>121</v>
      </c>
      <c r="E197">
        <v>90.17</v>
      </c>
      <c r="F197">
        <v>71.83</v>
      </c>
      <c r="G197">
        <v>0</v>
      </c>
      <c r="I197">
        <v>180</v>
      </c>
      <c r="L197">
        <v>127</v>
      </c>
      <c r="M197">
        <v>1</v>
      </c>
      <c r="N197">
        <v>2</v>
      </c>
      <c r="P197" t="s">
        <v>196</v>
      </c>
      <c r="R197" t="str">
        <f t="shared" si="9"/>
        <v>TAB-JN</v>
      </c>
      <c r="S197">
        <f t="shared" si="10"/>
        <v>85.9</v>
      </c>
      <c r="T197">
        <f t="shared" si="11"/>
        <v>77.930000000000007</v>
      </c>
      <c r="U197">
        <f>IF(SQRT(POWER(T197-F197,2))+SQRT(POWER(E197-S197,2))=0,0,SQRT(POWER(T197-F197,2))+SQRT(POWER(E197-S197,2))+DATOS!$H$20)</f>
        <v>15.370000000000005</v>
      </c>
    </row>
    <row r="198" spans="1:21">
      <c r="A198" t="s">
        <v>195</v>
      </c>
      <c r="B198" t="s">
        <v>120</v>
      </c>
      <c r="C198" t="s">
        <v>121</v>
      </c>
      <c r="E198">
        <v>90.63</v>
      </c>
      <c r="F198">
        <v>70.33</v>
      </c>
      <c r="G198">
        <v>0</v>
      </c>
      <c r="I198">
        <v>180</v>
      </c>
      <c r="L198">
        <v>127</v>
      </c>
      <c r="M198">
        <v>1</v>
      </c>
      <c r="N198">
        <v>2</v>
      </c>
      <c r="P198" t="s">
        <v>196</v>
      </c>
      <c r="R198" t="str">
        <f t="shared" si="9"/>
        <v>TAB-JN</v>
      </c>
      <c r="S198">
        <f t="shared" si="10"/>
        <v>85.9</v>
      </c>
      <c r="T198">
        <f t="shared" si="11"/>
        <v>77.930000000000007</v>
      </c>
      <c r="U198">
        <f>IF(SQRT(POWER(T198-F198,2))+SQRT(POWER(E198-S198,2))=0,0,SQRT(POWER(T198-F198,2))+SQRT(POWER(E198-S198,2))+DATOS!$H$20)</f>
        <v>17.329999999999998</v>
      </c>
    </row>
    <row r="199" spans="1:21">
      <c r="A199" t="s">
        <v>195</v>
      </c>
      <c r="B199" t="s">
        <v>120</v>
      </c>
      <c r="C199" t="s">
        <v>121</v>
      </c>
      <c r="E199">
        <v>93.9</v>
      </c>
      <c r="F199">
        <v>70.33</v>
      </c>
      <c r="G199">
        <v>0</v>
      </c>
      <c r="I199">
        <v>180</v>
      </c>
      <c r="L199">
        <v>127</v>
      </c>
      <c r="M199">
        <v>1</v>
      </c>
      <c r="N199">
        <v>2</v>
      </c>
      <c r="P199" t="s">
        <v>196</v>
      </c>
      <c r="R199" t="str">
        <f t="shared" si="9"/>
        <v>TAB-JN</v>
      </c>
      <c r="S199">
        <f t="shared" si="10"/>
        <v>85.9</v>
      </c>
      <c r="T199">
        <f t="shared" si="11"/>
        <v>77.930000000000007</v>
      </c>
      <c r="U199">
        <f>IF(SQRT(POWER(T199-F199,2))+SQRT(POWER(E199-S199,2))=0,0,SQRT(POWER(T199-F199,2))+SQRT(POWER(E199-S199,2))+DATOS!$H$20)</f>
        <v>20.600000000000009</v>
      </c>
    </row>
    <row r="200" spans="1:21">
      <c r="A200" t="s">
        <v>195</v>
      </c>
      <c r="B200" t="s">
        <v>179</v>
      </c>
      <c r="C200" t="s">
        <v>180</v>
      </c>
      <c r="E200">
        <v>91.36</v>
      </c>
      <c r="F200">
        <v>83.44</v>
      </c>
      <c r="G200">
        <v>0</v>
      </c>
      <c r="H200">
        <v>180</v>
      </c>
      <c r="I200">
        <v>180</v>
      </c>
      <c r="L200">
        <v>127</v>
      </c>
      <c r="M200">
        <v>1</v>
      </c>
      <c r="N200">
        <v>2</v>
      </c>
      <c r="P200" t="s">
        <v>196</v>
      </c>
      <c r="R200" t="str">
        <f t="shared" si="9"/>
        <v>TAB-JN</v>
      </c>
      <c r="S200">
        <f t="shared" si="10"/>
        <v>85.9</v>
      </c>
      <c r="T200">
        <f t="shared" si="11"/>
        <v>77.930000000000007</v>
      </c>
      <c r="U200">
        <f>IF(SQRT(POWER(T200-F200,2))+SQRT(POWER(E200-S200,2))=0,0,SQRT(POWER(T200-F200,2))+SQRT(POWER(E200-S200,2))+DATOS!$H$20)</f>
        <v>15.969999999999985</v>
      </c>
    </row>
    <row r="201" spans="1:21">
      <c r="A201" t="s">
        <v>197</v>
      </c>
      <c r="B201" t="s">
        <v>179</v>
      </c>
      <c r="C201" t="s">
        <v>180</v>
      </c>
      <c r="E201">
        <v>86.06</v>
      </c>
      <c r="F201">
        <v>73.69</v>
      </c>
      <c r="G201">
        <v>0</v>
      </c>
      <c r="H201">
        <v>180</v>
      </c>
      <c r="I201">
        <v>180</v>
      </c>
      <c r="L201">
        <v>127</v>
      </c>
      <c r="M201">
        <v>1</v>
      </c>
      <c r="N201">
        <v>2</v>
      </c>
      <c r="P201" t="s">
        <v>198</v>
      </c>
      <c r="R201" t="str">
        <f t="shared" si="9"/>
        <v>TAB-JN</v>
      </c>
      <c r="S201">
        <f t="shared" si="10"/>
        <v>85.9</v>
      </c>
      <c r="T201">
        <f t="shared" si="11"/>
        <v>77.930000000000007</v>
      </c>
      <c r="U201">
        <f>IF(SQRT(POWER(T201-F201,2))+SQRT(POWER(E201-S201,2))=0,0,SQRT(POWER(T201-F201,2))+SQRT(POWER(E201-S201,2))+DATOS!$H$20)</f>
        <v>9.4000000000000057</v>
      </c>
    </row>
    <row r="202" spans="1:21">
      <c r="A202" t="s">
        <v>197</v>
      </c>
      <c r="B202" t="s">
        <v>179</v>
      </c>
      <c r="C202" t="s">
        <v>180</v>
      </c>
      <c r="E202">
        <v>85.66</v>
      </c>
      <c r="F202">
        <v>74.510000000000005</v>
      </c>
      <c r="G202">
        <v>0</v>
      </c>
      <c r="H202">
        <v>180</v>
      </c>
      <c r="I202">
        <v>180</v>
      </c>
      <c r="L202">
        <v>127</v>
      </c>
      <c r="M202">
        <v>1</v>
      </c>
      <c r="N202">
        <v>2</v>
      </c>
      <c r="P202" t="s">
        <v>198</v>
      </c>
      <c r="R202" t="str">
        <f t="shared" si="9"/>
        <v>TAB-JN</v>
      </c>
      <c r="S202">
        <f t="shared" si="10"/>
        <v>85.9</v>
      </c>
      <c r="T202">
        <f t="shared" si="11"/>
        <v>77.930000000000007</v>
      </c>
      <c r="U202">
        <f>IF(SQRT(POWER(T202-F202,2))+SQRT(POWER(E202-S202,2))=0,0,SQRT(POWER(T202-F202,2))+SQRT(POWER(E202-S202,2))+DATOS!$H$20)</f>
        <v>8.6600000000000108</v>
      </c>
    </row>
    <row r="203" spans="1:21">
      <c r="A203" t="s">
        <v>197</v>
      </c>
      <c r="B203" t="s">
        <v>179</v>
      </c>
      <c r="C203" t="s">
        <v>180</v>
      </c>
      <c r="E203">
        <v>84.08</v>
      </c>
      <c r="F203">
        <v>74.540000000000006</v>
      </c>
      <c r="G203">
        <v>0</v>
      </c>
      <c r="H203">
        <v>180</v>
      </c>
      <c r="I203">
        <v>180</v>
      </c>
      <c r="L203">
        <v>127</v>
      </c>
      <c r="M203">
        <v>1</v>
      </c>
      <c r="N203">
        <v>2</v>
      </c>
      <c r="P203" t="s">
        <v>198</v>
      </c>
      <c r="R203" t="str">
        <f t="shared" si="9"/>
        <v>TAB-JN</v>
      </c>
      <c r="S203">
        <f t="shared" si="10"/>
        <v>85.9</v>
      </c>
      <c r="T203">
        <f t="shared" si="11"/>
        <v>77.930000000000007</v>
      </c>
      <c r="U203">
        <f>IF(SQRT(POWER(T203-F203,2))+SQRT(POWER(E203-S203,2))=0,0,SQRT(POWER(T203-F203,2))+SQRT(POWER(E203-S203,2))+DATOS!$H$20)</f>
        <v>10.210000000000008</v>
      </c>
    </row>
    <row r="204" spans="1:21">
      <c r="A204" t="s">
        <v>197</v>
      </c>
      <c r="B204" t="s">
        <v>179</v>
      </c>
      <c r="C204" t="s">
        <v>180</v>
      </c>
      <c r="E204">
        <v>87.6</v>
      </c>
      <c r="F204">
        <v>77.489999999999995</v>
      </c>
      <c r="G204">
        <v>0</v>
      </c>
      <c r="H204">
        <v>180</v>
      </c>
      <c r="I204">
        <v>180</v>
      </c>
      <c r="L204">
        <v>127</v>
      </c>
      <c r="M204">
        <v>1</v>
      </c>
      <c r="N204">
        <v>2</v>
      </c>
      <c r="P204" t="s">
        <v>198</v>
      </c>
      <c r="R204" t="str">
        <f t="shared" si="9"/>
        <v>TAB-JN</v>
      </c>
      <c r="S204">
        <f t="shared" si="10"/>
        <v>85.9</v>
      </c>
      <c r="T204">
        <f t="shared" si="11"/>
        <v>77.930000000000007</v>
      </c>
      <c r="U204">
        <f>IF(SQRT(POWER(T204-F204,2))+SQRT(POWER(E204-S204,2))=0,0,SQRT(POWER(T204-F204,2))+SQRT(POWER(E204-S204,2))+DATOS!$H$20)</f>
        <v>7.1400000000000006</v>
      </c>
    </row>
    <row r="205" spans="1:21">
      <c r="A205" t="s">
        <v>197</v>
      </c>
      <c r="B205" t="s">
        <v>179</v>
      </c>
      <c r="C205" t="s">
        <v>180</v>
      </c>
      <c r="E205">
        <v>86.58</v>
      </c>
      <c r="F205">
        <v>77.489999999999995</v>
      </c>
      <c r="G205">
        <v>0</v>
      </c>
      <c r="H205">
        <v>180</v>
      </c>
      <c r="I205">
        <v>180</v>
      </c>
      <c r="L205">
        <v>127</v>
      </c>
      <c r="M205">
        <v>1</v>
      </c>
      <c r="N205">
        <v>2</v>
      </c>
      <c r="P205" t="s">
        <v>198</v>
      </c>
      <c r="R205" t="str">
        <f t="shared" si="9"/>
        <v>TAB-JN</v>
      </c>
      <c r="S205">
        <f t="shared" si="10"/>
        <v>85.9</v>
      </c>
      <c r="T205">
        <f t="shared" si="11"/>
        <v>77.930000000000007</v>
      </c>
      <c r="U205">
        <f>IF(SQRT(POWER(T205-F205,2))+SQRT(POWER(E205-S205,2))=0,0,SQRT(POWER(T205-F205,2))+SQRT(POWER(E205-S205,2))+DATOS!$H$20)</f>
        <v>6.1200000000000045</v>
      </c>
    </row>
    <row r="206" spans="1:21">
      <c r="A206" t="s">
        <v>199</v>
      </c>
      <c r="B206" t="s">
        <v>200</v>
      </c>
      <c r="C206" t="s">
        <v>32</v>
      </c>
      <c r="E206">
        <v>81.78</v>
      </c>
      <c r="F206">
        <v>72.650000000000006</v>
      </c>
      <c r="G206">
        <v>0</v>
      </c>
      <c r="I206">
        <v>2000</v>
      </c>
      <c r="L206">
        <v>127</v>
      </c>
      <c r="M206">
        <v>1</v>
      </c>
      <c r="N206">
        <v>2</v>
      </c>
      <c r="P206" t="s">
        <v>64</v>
      </c>
      <c r="R206" t="str">
        <f t="shared" si="9"/>
        <v>TAB-JN</v>
      </c>
      <c r="S206">
        <f t="shared" si="10"/>
        <v>85.9</v>
      </c>
      <c r="T206">
        <f t="shared" si="11"/>
        <v>77.930000000000007</v>
      </c>
      <c r="U206">
        <f>IF(SQRT(POWER(T206-F206,2))+SQRT(POWER(E206-S206,2))=0,0,SQRT(POWER(T206-F206,2))+SQRT(POWER(E206-S206,2))+DATOS!$H$20)</f>
        <v>14.400000000000006</v>
      </c>
    </row>
    <row r="207" spans="1:21">
      <c r="A207" t="s">
        <v>201</v>
      </c>
      <c r="B207" t="s">
        <v>200</v>
      </c>
      <c r="C207" t="s">
        <v>32</v>
      </c>
      <c r="E207">
        <v>80.78</v>
      </c>
      <c r="F207">
        <v>72.650000000000006</v>
      </c>
      <c r="G207">
        <v>0</v>
      </c>
      <c r="I207">
        <v>833</v>
      </c>
      <c r="L207">
        <v>127</v>
      </c>
      <c r="M207">
        <v>1</v>
      </c>
      <c r="N207">
        <v>2</v>
      </c>
      <c r="P207" t="s">
        <v>64</v>
      </c>
      <c r="R207" t="str">
        <f t="shared" si="9"/>
        <v>TAB-JN</v>
      </c>
      <c r="S207">
        <f t="shared" si="10"/>
        <v>85.9</v>
      </c>
      <c r="T207">
        <f t="shared" si="11"/>
        <v>77.930000000000007</v>
      </c>
      <c r="U207">
        <f>IF(SQRT(POWER(T207-F207,2))+SQRT(POWER(E207-S207,2))=0,0,SQRT(POWER(T207-F207,2))+SQRT(POWER(E207-S207,2))+DATOS!$H$20)</f>
        <v>15.400000000000006</v>
      </c>
    </row>
    <row r="208" spans="1:21">
      <c r="A208" t="s">
        <v>202</v>
      </c>
      <c r="B208" t="s">
        <v>200</v>
      </c>
      <c r="C208" t="s">
        <v>32</v>
      </c>
      <c r="E208">
        <v>83.1</v>
      </c>
      <c r="F208">
        <v>78.28</v>
      </c>
      <c r="G208">
        <v>0</v>
      </c>
      <c r="I208">
        <v>2000</v>
      </c>
      <c r="L208">
        <v>127</v>
      </c>
      <c r="M208">
        <v>1</v>
      </c>
      <c r="N208">
        <v>2</v>
      </c>
      <c r="P208" t="s">
        <v>203</v>
      </c>
      <c r="R208" t="str">
        <f t="shared" si="9"/>
        <v>TAB-JN</v>
      </c>
      <c r="S208">
        <f t="shared" si="10"/>
        <v>85.9</v>
      </c>
      <c r="T208">
        <f t="shared" si="11"/>
        <v>77.930000000000007</v>
      </c>
      <c r="U208">
        <f>IF(SQRT(POWER(T208-F208,2))+SQRT(POWER(E208-S208,2))=0,0,SQRT(POWER(T208-F208,2))+SQRT(POWER(E208-S208,2))+DATOS!$H$20)</f>
        <v>8.1500000000000057</v>
      </c>
    </row>
    <row r="209" spans="1:21">
      <c r="A209" t="s">
        <v>204</v>
      </c>
      <c r="B209" t="s">
        <v>200</v>
      </c>
      <c r="C209" t="s">
        <v>32</v>
      </c>
      <c r="E209">
        <v>82.2</v>
      </c>
      <c r="F209">
        <v>78.28</v>
      </c>
      <c r="G209">
        <v>0</v>
      </c>
      <c r="I209">
        <v>2000</v>
      </c>
      <c r="L209">
        <v>127</v>
      </c>
      <c r="M209">
        <v>1</v>
      </c>
      <c r="N209">
        <v>2</v>
      </c>
      <c r="P209" t="s">
        <v>203</v>
      </c>
      <c r="R209" t="str">
        <f t="shared" ref="R209:R272" si="12">"TAB-"&amp;LEFT(A209,FIND("-",A209) -1)</f>
        <v>TAB-JN</v>
      </c>
      <c r="S209">
        <f t="shared" si="10"/>
        <v>85.9</v>
      </c>
      <c r="T209">
        <f t="shared" si="11"/>
        <v>77.930000000000007</v>
      </c>
      <c r="U209">
        <f>IF(SQRT(POWER(T209-F209,2))+SQRT(POWER(E209-S209,2))=0,0,SQRT(POWER(T209-F209,2))+SQRT(POWER(E209-S209,2))+DATOS!$H$20)</f>
        <v>9.0499999999999972</v>
      </c>
    </row>
    <row r="210" spans="1:21">
      <c r="A210" t="s">
        <v>205</v>
      </c>
      <c r="B210" t="s">
        <v>66</v>
      </c>
      <c r="C210" t="s">
        <v>32</v>
      </c>
      <c r="E210">
        <v>79.150000000000006</v>
      </c>
      <c r="F210">
        <v>81.61</v>
      </c>
      <c r="G210">
        <v>0</v>
      </c>
      <c r="I210">
        <v>13333</v>
      </c>
      <c r="L210" t="s">
        <v>158</v>
      </c>
      <c r="M210">
        <v>3</v>
      </c>
      <c r="N210">
        <v>4</v>
      </c>
      <c r="P210" t="s">
        <v>206</v>
      </c>
      <c r="R210" t="str">
        <f t="shared" si="12"/>
        <v>TAB-QN</v>
      </c>
      <c r="S210">
        <f t="shared" si="10"/>
        <v>85.3</v>
      </c>
      <c r="T210">
        <f t="shared" si="11"/>
        <v>77.930000000000007</v>
      </c>
      <c r="U210">
        <f>IF(SQRT(POWER(T210-F210,2))+SQRT(POWER(E210-S210,2))=0,0,SQRT(POWER(T210-F210,2))+SQRT(POWER(E210-S210,2))+DATOS!$H$20)</f>
        <v>14.829999999999984</v>
      </c>
    </row>
    <row r="211" spans="1:21">
      <c r="B211" t="s">
        <v>68</v>
      </c>
      <c r="C211" t="s">
        <v>32</v>
      </c>
      <c r="E211">
        <v>78.67</v>
      </c>
      <c r="F211">
        <v>81.56</v>
      </c>
      <c r="G211">
        <v>0</v>
      </c>
      <c r="R211" t="e">
        <f t="shared" si="12"/>
        <v>#VALUE!</v>
      </c>
      <c r="S211">
        <f t="shared" si="10"/>
        <v>78.67</v>
      </c>
      <c r="T211">
        <f t="shared" si="11"/>
        <v>81.56</v>
      </c>
      <c r="U211">
        <f>IF(SQRT(POWER(T211-F211,2))+SQRT(POWER(E211-S211,2))=0,0,SQRT(POWER(T211-F211,2))+SQRT(POWER(E211-S211,2))+DATOS!$H$20)</f>
        <v>0</v>
      </c>
    </row>
    <row r="212" spans="1:21">
      <c r="A212" t="s">
        <v>207</v>
      </c>
      <c r="B212" t="s">
        <v>120</v>
      </c>
      <c r="C212" t="s">
        <v>121</v>
      </c>
      <c r="E212">
        <v>81.42</v>
      </c>
      <c r="F212">
        <v>70.040000000000006</v>
      </c>
      <c r="G212">
        <v>0</v>
      </c>
      <c r="I212">
        <v>180</v>
      </c>
      <c r="L212">
        <v>127</v>
      </c>
      <c r="M212">
        <v>1</v>
      </c>
      <c r="N212">
        <v>2</v>
      </c>
      <c r="P212" t="s">
        <v>208</v>
      </c>
      <c r="R212" t="str">
        <f t="shared" si="12"/>
        <v>TAB-JN</v>
      </c>
      <c r="S212">
        <f t="shared" si="10"/>
        <v>85.9</v>
      </c>
      <c r="T212">
        <f t="shared" si="11"/>
        <v>77.930000000000007</v>
      </c>
      <c r="U212">
        <f>IF(SQRT(POWER(T212-F212,2))+SQRT(POWER(E212-S212,2))=0,0,SQRT(POWER(T212-F212,2))+SQRT(POWER(E212-S212,2))+DATOS!$H$20)</f>
        <v>17.370000000000005</v>
      </c>
    </row>
    <row r="213" spans="1:21">
      <c r="A213" t="s">
        <v>209</v>
      </c>
      <c r="B213" t="s">
        <v>210</v>
      </c>
      <c r="C213" t="s">
        <v>32</v>
      </c>
      <c r="E213">
        <v>77.89</v>
      </c>
      <c r="F213">
        <v>75.75</v>
      </c>
      <c r="G213">
        <v>0</v>
      </c>
      <c r="I213">
        <v>149</v>
      </c>
      <c r="L213">
        <v>220</v>
      </c>
      <c r="M213">
        <v>3</v>
      </c>
      <c r="N213">
        <v>4</v>
      </c>
      <c r="P213" t="s">
        <v>211</v>
      </c>
      <c r="R213" t="str">
        <f t="shared" si="12"/>
        <v>TAB-QN</v>
      </c>
      <c r="S213">
        <f t="shared" si="10"/>
        <v>85.3</v>
      </c>
      <c r="T213">
        <f t="shared" si="11"/>
        <v>77.930000000000007</v>
      </c>
      <c r="U213">
        <f>IF(SQRT(POWER(T213-F213,2))+SQRT(POWER(E213-S213,2))=0,0,SQRT(POWER(T213-F213,2))+SQRT(POWER(E213-S213,2))+DATOS!$H$20)</f>
        <v>14.590000000000003</v>
      </c>
    </row>
    <row r="214" spans="1:21">
      <c r="A214" t="s">
        <v>212</v>
      </c>
      <c r="B214" t="s">
        <v>213</v>
      </c>
      <c r="C214" t="s">
        <v>32</v>
      </c>
      <c r="E214">
        <v>77.91</v>
      </c>
      <c r="F214">
        <v>74.41</v>
      </c>
      <c r="G214">
        <v>0</v>
      </c>
      <c r="I214">
        <v>3000</v>
      </c>
      <c r="L214">
        <v>127</v>
      </c>
      <c r="M214">
        <v>1</v>
      </c>
      <c r="N214">
        <v>2</v>
      </c>
      <c r="P214" t="s">
        <v>211</v>
      </c>
      <c r="R214" t="str">
        <f t="shared" si="12"/>
        <v>TAB-JN</v>
      </c>
      <c r="S214">
        <f t="shared" si="10"/>
        <v>85.9</v>
      </c>
      <c r="T214">
        <f t="shared" si="11"/>
        <v>77.930000000000007</v>
      </c>
      <c r="U214">
        <f>IF(SQRT(POWER(T214-F214,2))+SQRT(POWER(E214-S214,2))=0,0,SQRT(POWER(T214-F214,2))+SQRT(POWER(E214-S214,2))+DATOS!$H$20)</f>
        <v>16.510000000000019</v>
      </c>
    </row>
    <row r="215" spans="1:21">
      <c r="A215" t="s">
        <v>207</v>
      </c>
      <c r="B215" t="s">
        <v>179</v>
      </c>
      <c r="C215" t="s">
        <v>180</v>
      </c>
      <c r="E215">
        <v>87.04</v>
      </c>
      <c r="F215">
        <v>71.83</v>
      </c>
      <c r="G215">
        <v>0</v>
      </c>
      <c r="H215">
        <v>180</v>
      </c>
      <c r="I215">
        <v>180</v>
      </c>
      <c r="L215">
        <v>127</v>
      </c>
      <c r="M215">
        <v>1</v>
      </c>
      <c r="N215">
        <v>2</v>
      </c>
      <c r="P215" t="s">
        <v>206</v>
      </c>
      <c r="R215" t="str">
        <f t="shared" si="12"/>
        <v>TAB-JN</v>
      </c>
      <c r="S215">
        <f t="shared" si="10"/>
        <v>85.9</v>
      </c>
      <c r="T215">
        <f t="shared" si="11"/>
        <v>77.930000000000007</v>
      </c>
      <c r="U215">
        <f>IF(SQRT(POWER(T215-F215,2))+SQRT(POWER(E215-S215,2))=0,0,SQRT(POWER(T215-F215,2))+SQRT(POWER(E215-S215,2))+DATOS!$H$20)</f>
        <v>12.240000000000009</v>
      </c>
    </row>
    <row r="216" spans="1:21">
      <c r="A216" t="s">
        <v>207</v>
      </c>
      <c r="B216" t="s">
        <v>179</v>
      </c>
      <c r="C216" t="s">
        <v>180</v>
      </c>
      <c r="E216">
        <v>86.03</v>
      </c>
      <c r="F216">
        <v>70.45</v>
      </c>
      <c r="G216">
        <v>0</v>
      </c>
      <c r="H216">
        <v>180</v>
      </c>
      <c r="I216">
        <v>180</v>
      </c>
      <c r="L216">
        <v>127</v>
      </c>
      <c r="M216">
        <v>1</v>
      </c>
      <c r="N216">
        <v>2</v>
      </c>
      <c r="P216" t="s">
        <v>206</v>
      </c>
      <c r="R216" t="str">
        <f t="shared" si="12"/>
        <v>TAB-JN</v>
      </c>
      <c r="S216">
        <f t="shared" si="10"/>
        <v>85.9</v>
      </c>
      <c r="T216">
        <f t="shared" si="11"/>
        <v>77.930000000000007</v>
      </c>
      <c r="U216">
        <f>IF(SQRT(POWER(T216-F216,2))+SQRT(POWER(E216-S216,2))=0,0,SQRT(POWER(T216-F216,2))+SQRT(POWER(E216-S216,2))+DATOS!$H$20)</f>
        <v>12.61</v>
      </c>
    </row>
    <row r="217" spans="1:21">
      <c r="A217" t="s">
        <v>207</v>
      </c>
      <c r="B217" t="s">
        <v>179</v>
      </c>
      <c r="C217" t="s">
        <v>180</v>
      </c>
      <c r="E217">
        <v>83.05</v>
      </c>
      <c r="F217">
        <v>85.77</v>
      </c>
      <c r="G217">
        <v>0</v>
      </c>
      <c r="H217">
        <v>180</v>
      </c>
      <c r="I217">
        <v>180</v>
      </c>
      <c r="L217">
        <v>127</v>
      </c>
      <c r="M217">
        <v>1</v>
      </c>
      <c r="N217">
        <v>2</v>
      </c>
      <c r="P217" t="s">
        <v>206</v>
      </c>
      <c r="R217" t="str">
        <f t="shared" si="12"/>
        <v>TAB-JN</v>
      </c>
      <c r="S217">
        <f t="shared" si="10"/>
        <v>85.9</v>
      </c>
      <c r="T217">
        <f t="shared" si="11"/>
        <v>77.930000000000007</v>
      </c>
      <c r="U217">
        <f>IF(SQRT(POWER(T217-F217,2))+SQRT(POWER(E217-S217,2))=0,0,SQRT(POWER(T217-F217,2))+SQRT(POWER(E217-S217,2))+DATOS!$H$20)</f>
        <v>15.689999999999998</v>
      </c>
    </row>
    <row r="218" spans="1:21">
      <c r="A218" t="s">
        <v>207</v>
      </c>
      <c r="B218" t="s">
        <v>179</v>
      </c>
      <c r="C218" t="s">
        <v>180</v>
      </c>
      <c r="E218">
        <v>78.31</v>
      </c>
      <c r="F218">
        <v>81.61</v>
      </c>
      <c r="G218">
        <v>0</v>
      </c>
      <c r="H218">
        <v>180</v>
      </c>
      <c r="I218">
        <v>180</v>
      </c>
      <c r="L218">
        <v>127</v>
      </c>
      <c r="M218">
        <v>1</v>
      </c>
      <c r="N218">
        <v>2</v>
      </c>
      <c r="P218" t="s">
        <v>206</v>
      </c>
      <c r="R218" t="str">
        <f t="shared" si="12"/>
        <v>TAB-JN</v>
      </c>
      <c r="S218">
        <f t="shared" si="10"/>
        <v>85.9</v>
      </c>
      <c r="T218">
        <f t="shared" si="11"/>
        <v>77.930000000000007</v>
      </c>
      <c r="U218">
        <f>IF(SQRT(POWER(T218-F218,2))+SQRT(POWER(E218-S218,2))=0,0,SQRT(POWER(T218-F218,2))+SQRT(POWER(E218-S218,2))+DATOS!$H$20)</f>
        <v>16.269999999999996</v>
      </c>
    </row>
    <row r="219" spans="1:21">
      <c r="A219" t="s">
        <v>207</v>
      </c>
      <c r="B219" t="s">
        <v>179</v>
      </c>
      <c r="C219" t="s">
        <v>180</v>
      </c>
      <c r="E219">
        <v>81.83</v>
      </c>
      <c r="F219">
        <v>78.680000000000007</v>
      </c>
      <c r="G219">
        <v>0</v>
      </c>
      <c r="H219">
        <v>180</v>
      </c>
      <c r="I219">
        <v>180</v>
      </c>
      <c r="L219">
        <v>127</v>
      </c>
      <c r="M219">
        <v>1</v>
      </c>
      <c r="N219">
        <v>2</v>
      </c>
      <c r="P219" t="s">
        <v>206</v>
      </c>
      <c r="R219" t="str">
        <f t="shared" si="12"/>
        <v>TAB-JN</v>
      </c>
      <c r="S219">
        <f t="shared" si="10"/>
        <v>85.9</v>
      </c>
      <c r="T219">
        <f t="shared" si="11"/>
        <v>77.930000000000007</v>
      </c>
      <c r="U219">
        <f>IF(SQRT(POWER(T219-F219,2))+SQRT(POWER(E219-S219,2))=0,0,SQRT(POWER(T219-F219,2))+SQRT(POWER(E219-S219,2))+DATOS!$H$20)</f>
        <v>9.8200000000000074</v>
      </c>
    </row>
    <row r="220" spans="1:21">
      <c r="A220" t="s">
        <v>207</v>
      </c>
      <c r="B220" t="s">
        <v>179</v>
      </c>
      <c r="C220" t="s">
        <v>180</v>
      </c>
      <c r="E220">
        <v>81.209999999999994</v>
      </c>
      <c r="F220">
        <v>78.28</v>
      </c>
      <c r="G220">
        <v>0</v>
      </c>
      <c r="H220">
        <v>180</v>
      </c>
      <c r="I220">
        <v>180</v>
      </c>
      <c r="L220">
        <v>127</v>
      </c>
      <c r="M220">
        <v>1</v>
      </c>
      <c r="N220">
        <v>2</v>
      </c>
      <c r="P220" t="s">
        <v>206</v>
      </c>
      <c r="R220" t="str">
        <f t="shared" si="12"/>
        <v>TAB-JN</v>
      </c>
      <c r="S220">
        <f t="shared" si="10"/>
        <v>85.9</v>
      </c>
      <c r="T220">
        <f t="shared" si="11"/>
        <v>77.930000000000007</v>
      </c>
      <c r="U220">
        <f>IF(SQRT(POWER(T220-F220,2))+SQRT(POWER(E220-S220,2))=0,0,SQRT(POWER(T220-F220,2))+SQRT(POWER(E220-S220,2))+DATOS!$H$20)</f>
        <v>10.040000000000006</v>
      </c>
    </row>
    <row r="221" spans="1:21">
      <c r="A221" t="s">
        <v>207</v>
      </c>
      <c r="B221" t="s">
        <v>179</v>
      </c>
      <c r="C221" t="s">
        <v>180</v>
      </c>
      <c r="E221">
        <v>74.23</v>
      </c>
      <c r="F221">
        <v>75.37</v>
      </c>
      <c r="G221">
        <v>0</v>
      </c>
      <c r="H221">
        <v>180</v>
      </c>
      <c r="I221">
        <v>180</v>
      </c>
      <c r="L221">
        <v>127</v>
      </c>
      <c r="M221">
        <v>1</v>
      </c>
      <c r="N221">
        <v>2</v>
      </c>
      <c r="P221" t="s">
        <v>206</v>
      </c>
      <c r="R221" t="str">
        <f t="shared" si="12"/>
        <v>TAB-JN</v>
      </c>
      <c r="S221">
        <f t="shared" si="10"/>
        <v>85.9</v>
      </c>
      <c r="T221">
        <f t="shared" si="11"/>
        <v>77.930000000000007</v>
      </c>
      <c r="U221">
        <f>IF(SQRT(POWER(T221-F221,2))+SQRT(POWER(E221-S221,2))=0,0,SQRT(POWER(T221-F221,2))+SQRT(POWER(E221-S221,2))+DATOS!$H$20)</f>
        <v>19.230000000000004</v>
      </c>
    </row>
    <row r="222" spans="1:21">
      <c r="A222" t="s">
        <v>214</v>
      </c>
      <c r="B222" t="s">
        <v>66</v>
      </c>
      <c r="C222" t="s">
        <v>32</v>
      </c>
      <c r="E222">
        <v>70.91</v>
      </c>
      <c r="F222">
        <v>81.459999999999994</v>
      </c>
      <c r="G222">
        <v>0</v>
      </c>
      <c r="I222">
        <v>1600</v>
      </c>
      <c r="L222" t="s">
        <v>158</v>
      </c>
      <c r="M222">
        <v>3</v>
      </c>
      <c r="N222">
        <v>4</v>
      </c>
      <c r="P222" t="s">
        <v>215</v>
      </c>
      <c r="R222" t="str">
        <f t="shared" si="12"/>
        <v>TAB-QN</v>
      </c>
      <c r="S222">
        <f t="shared" si="10"/>
        <v>85.3</v>
      </c>
      <c r="T222">
        <f t="shared" si="11"/>
        <v>77.930000000000007</v>
      </c>
      <c r="U222">
        <f>IF(SQRT(POWER(T222-F222,2))+SQRT(POWER(E222-S222,2))=0,0,SQRT(POWER(T222-F222,2))+SQRT(POWER(E222-S222,2))+DATOS!$H$20)</f>
        <v>22.919999999999987</v>
      </c>
    </row>
    <row r="223" spans="1:21">
      <c r="A223" t="s">
        <v>216</v>
      </c>
      <c r="B223" t="s">
        <v>66</v>
      </c>
      <c r="C223" t="s">
        <v>32</v>
      </c>
      <c r="E223">
        <v>70.91</v>
      </c>
      <c r="F223">
        <v>72.31</v>
      </c>
      <c r="G223">
        <v>0</v>
      </c>
      <c r="I223">
        <v>1600</v>
      </c>
      <c r="L223" t="s">
        <v>158</v>
      </c>
      <c r="M223">
        <v>3</v>
      </c>
      <c r="N223">
        <v>4</v>
      </c>
      <c r="P223" t="s">
        <v>217</v>
      </c>
      <c r="R223" t="str">
        <f t="shared" si="12"/>
        <v>TAB-QN</v>
      </c>
      <c r="S223">
        <f t="shared" si="10"/>
        <v>85.3</v>
      </c>
      <c r="T223">
        <f t="shared" si="11"/>
        <v>77.930000000000007</v>
      </c>
      <c r="U223">
        <f>IF(SQRT(POWER(T223-F223,2))+SQRT(POWER(E223-S223,2))=0,0,SQRT(POWER(T223-F223,2))+SQRT(POWER(E223-S223,2))+DATOS!$H$20)</f>
        <v>25.010000000000005</v>
      </c>
    </row>
    <row r="224" spans="1:21">
      <c r="A224" t="s">
        <v>218</v>
      </c>
      <c r="B224" t="s">
        <v>120</v>
      </c>
      <c r="C224" t="s">
        <v>121</v>
      </c>
      <c r="E224">
        <v>53.11</v>
      </c>
      <c r="F224">
        <v>70.040000000000006</v>
      </c>
      <c r="G224">
        <v>0</v>
      </c>
      <c r="I224">
        <v>180</v>
      </c>
      <c r="L224">
        <v>127</v>
      </c>
      <c r="M224">
        <v>1</v>
      </c>
      <c r="N224">
        <v>2</v>
      </c>
      <c r="P224" t="s">
        <v>208</v>
      </c>
      <c r="R224" t="str">
        <f t="shared" si="12"/>
        <v>TAB-JN</v>
      </c>
      <c r="S224">
        <f t="shared" si="10"/>
        <v>85.9</v>
      </c>
      <c r="T224">
        <f t="shared" si="11"/>
        <v>77.930000000000007</v>
      </c>
      <c r="U224">
        <f>IF(SQRT(POWER(T224-F224,2))+SQRT(POWER(E224-S224,2))=0,0,SQRT(POWER(T224-F224,2))+SQRT(POWER(E224-S224,2))+DATOS!$H$20)</f>
        <v>45.680000000000007</v>
      </c>
    </row>
    <row r="225" spans="1:21">
      <c r="A225" t="s">
        <v>218</v>
      </c>
      <c r="B225" t="s">
        <v>120</v>
      </c>
      <c r="C225" t="s">
        <v>121</v>
      </c>
      <c r="E225">
        <v>69.39</v>
      </c>
      <c r="F225">
        <v>70.040000000000006</v>
      </c>
      <c r="G225">
        <v>0</v>
      </c>
      <c r="I225">
        <v>180</v>
      </c>
      <c r="L225">
        <v>127</v>
      </c>
      <c r="M225">
        <v>1</v>
      </c>
      <c r="N225">
        <v>2</v>
      </c>
      <c r="P225" t="s">
        <v>208</v>
      </c>
      <c r="R225" t="str">
        <f t="shared" si="12"/>
        <v>TAB-JN</v>
      </c>
      <c r="S225">
        <f t="shared" si="10"/>
        <v>85.9</v>
      </c>
      <c r="T225">
        <f t="shared" si="11"/>
        <v>77.930000000000007</v>
      </c>
      <c r="U225">
        <f>IF(SQRT(POWER(T225-F225,2))+SQRT(POWER(E225-S225,2))=0,0,SQRT(POWER(T225-F225,2))+SQRT(POWER(E225-S225,2))+DATOS!$H$20)</f>
        <v>29.400000000000006</v>
      </c>
    </row>
    <row r="226" spans="1:21">
      <c r="A226" t="s">
        <v>218</v>
      </c>
      <c r="B226" t="s">
        <v>179</v>
      </c>
      <c r="C226" t="s">
        <v>180</v>
      </c>
      <c r="E226">
        <v>70.510000000000005</v>
      </c>
      <c r="F226">
        <v>83.27</v>
      </c>
      <c r="G226">
        <v>0</v>
      </c>
      <c r="H226">
        <v>180</v>
      </c>
      <c r="I226">
        <v>180</v>
      </c>
      <c r="L226">
        <v>127</v>
      </c>
      <c r="M226">
        <v>1</v>
      </c>
      <c r="N226">
        <v>2</v>
      </c>
      <c r="P226" t="s">
        <v>208</v>
      </c>
      <c r="R226" t="str">
        <f t="shared" si="12"/>
        <v>TAB-JN</v>
      </c>
      <c r="S226">
        <f t="shared" si="10"/>
        <v>85.9</v>
      </c>
      <c r="T226">
        <f t="shared" si="11"/>
        <v>77.930000000000007</v>
      </c>
      <c r="U226">
        <f>IF(SQRT(POWER(T226-F226,2))+SQRT(POWER(E226-S226,2))=0,0,SQRT(POWER(T226-F226,2))+SQRT(POWER(E226-S226,2))+DATOS!$H$20)</f>
        <v>25.72999999999999</v>
      </c>
    </row>
    <row r="227" spans="1:21">
      <c r="A227" t="s">
        <v>218</v>
      </c>
      <c r="B227" t="s">
        <v>179</v>
      </c>
      <c r="C227" t="s">
        <v>180</v>
      </c>
      <c r="E227">
        <v>74.62</v>
      </c>
      <c r="F227">
        <v>71.14</v>
      </c>
      <c r="G227">
        <v>0</v>
      </c>
      <c r="H227">
        <v>180</v>
      </c>
      <c r="I227">
        <v>180</v>
      </c>
      <c r="L227">
        <v>127</v>
      </c>
      <c r="M227">
        <v>1</v>
      </c>
      <c r="N227">
        <v>2</v>
      </c>
      <c r="P227" t="s">
        <v>208</v>
      </c>
      <c r="R227" t="str">
        <f t="shared" si="12"/>
        <v>TAB-JN</v>
      </c>
      <c r="S227">
        <f t="shared" si="10"/>
        <v>85.9</v>
      </c>
      <c r="T227">
        <f t="shared" si="11"/>
        <v>77.930000000000007</v>
      </c>
      <c r="U227">
        <f>IF(SQRT(POWER(T227-F227,2))+SQRT(POWER(E227-S227,2))=0,0,SQRT(POWER(T227-F227,2))+SQRT(POWER(E227-S227,2))+DATOS!$H$20)</f>
        <v>23.070000000000007</v>
      </c>
    </row>
    <row r="228" spans="1:21">
      <c r="A228" t="s">
        <v>218</v>
      </c>
      <c r="B228" t="s">
        <v>179</v>
      </c>
      <c r="C228" t="s">
        <v>180</v>
      </c>
      <c r="E228">
        <v>70.180000000000007</v>
      </c>
      <c r="F228">
        <v>73.3</v>
      </c>
      <c r="G228">
        <v>0</v>
      </c>
      <c r="H228">
        <v>180</v>
      </c>
      <c r="I228">
        <v>180</v>
      </c>
      <c r="L228">
        <v>127</v>
      </c>
      <c r="M228">
        <v>1</v>
      </c>
      <c r="N228">
        <v>2</v>
      </c>
      <c r="P228" t="s">
        <v>208</v>
      </c>
      <c r="R228" t="str">
        <f t="shared" si="12"/>
        <v>TAB-JN</v>
      </c>
      <c r="S228">
        <f t="shared" si="10"/>
        <v>85.9</v>
      </c>
      <c r="T228">
        <f t="shared" si="11"/>
        <v>77.930000000000007</v>
      </c>
      <c r="U228">
        <f>IF(SQRT(POWER(T228-F228,2))+SQRT(POWER(E228-S228,2))=0,0,SQRT(POWER(T228-F228,2))+SQRT(POWER(E228-S228,2))+DATOS!$H$20)</f>
        <v>25.350000000000009</v>
      </c>
    </row>
    <row r="229" spans="1:21">
      <c r="A229" t="s">
        <v>218</v>
      </c>
      <c r="B229" t="s">
        <v>179</v>
      </c>
      <c r="C229" t="s">
        <v>180</v>
      </c>
      <c r="E229">
        <v>65.36</v>
      </c>
      <c r="F229">
        <v>70.790000000000006</v>
      </c>
      <c r="G229">
        <v>0</v>
      </c>
      <c r="H229">
        <v>180</v>
      </c>
      <c r="I229">
        <v>180</v>
      </c>
      <c r="L229">
        <v>127</v>
      </c>
      <c r="M229">
        <v>1</v>
      </c>
      <c r="N229">
        <v>2</v>
      </c>
      <c r="P229" t="s">
        <v>208</v>
      </c>
      <c r="R229" t="str">
        <f t="shared" si="12"/>
        <v>TAB-JN</v>
      </c>
      <c r="S229">
        <f t="shared" si="10"/>
        <v>85.9</v>
      </c>
      <c r="T229">
        <f t="shared" si="11"/>
        <v>77.930000000000007</v>
      </c>
      <c r="U229">
        <f>IF(SQRT(POWER(T229-F229,2))+SQRT(POWER(E229-S229,2))=0,0,SQRT(POWER(T229-F229,2))+SQRT(POWER(E229-S229,2))+DATOS!$H$20)</f>
        <v>32.680000000000007</v>
      </c>
    </row>
    <row r="230" spans="1:21">
      <c r="A230" t="s">
        <v>218</v>
      </c>
      <c r="B230" t="s">
        <v>179</v>
      </c>
      <c r="C230" t="s">
        <v>180</v>
      </c>
      <c r="E230">
        <v>53.58</v>
      </c>
      <c r="F230">
        <v>72.87</v>
      </c>
      <c r="G230">
        <v>0</v>
      </c>
      <c r="H230">
        <v>180</v>
      </c>
      <c r="I230">
        <v>180</v>
      </c>
      <c r="L230">
        <v>127</v>
      </c>
      <c r="M230">
        <v>1</v>
      </c>
      <c r="N230">
        <v>2</v>
      </c>
      <c r="P230" t="s">
        <v>208</v>
      </c>
      <c r="R230" t="str">
        <f t="shared" si="12"/>
        <v>TAB-JN</v>
      </c>
      <c r="S230">
        <f t="shared" si="10"/>
        <v>85.9</v>
      </c>
      <c r="T230">
        <f t="shared" si="11"/>
        <v>77.930000000000007</v>
      </c>
      <c r="U230">
        <f>IF(SQRT(POWER(T230-F230,2))+SQRT(POWER(E230-S230,2))=0,0,SQRT(POWER(T230-F230,2))+SQRT(POWER(E230-S230,2))+DATOS!$H$20)</f>
        <v>42.38000000000001</v>
      </c>
    </row>
    <row r="231" spans="1:21">
      <c r="A231" t="s">
        <v>218</v>
      </c>
      <c r="B231" t="s">
        <v>179</v>
      </c>
      <c r="C231" t="s">
        <v>180</v>
      </c>
      <c r="E231">
        <v>53.58</v>
      </c>
      <c r="F231">
        <v>83.27</v>
      </c>
      <c r="G231">
        <v>0</v>
      </c>
      <c r="H231">
        <v>180</v>
      </c>
      <c r="I231">
        <v>180</v>
      </c>
      <c r="L231">
        <v>127</v>
      </c>
      <c r="M231">
        <v>1</v>
      </c>
      <c r="N231">
        <v>2</v>
      </c>
      <c r="P231" t="s">
        <v>208</v>
      </c>
      <c r="R231" t="str">
        <f t="shared" si="12"/>
        <v>TAB-JN</v>
      </c>
      <c r="S231">
        <f t="shared" si="10"/>
        <v>85.9</v>
      </c>
      <c r="T231">
        <f t="shared" si="11"/>
        <v>77.930000000000007</v>
      </c>
      <c r="U231">
        <f>IF(SQRT(POWER(T231-F231,2))+SQRT(POWER(E231-S231,2))=0,0,SQRT(POWER(T231-F231,2))+SQRT(POWER(E231-S231,2))+DATOS!$H$20)</f>
        <v>42.66</v>
      </c>
    </row>
    <row r="232" spans="1:21">
      <c r="A232" t="s">
        <v>219</v>
      </c>
      <c r="B232" t="s">
        <v>120</v>
      </c>
      <c r="C232" t="s">
        <v>121</v>
      </c>
      <c r="E232">
        <v>102.09</v>
      </c>
      <c r="F232">
        <v>80.11</v>
      </c>
      <c r="G232">
        <v>0</v>
      </c>
      <c r="I232">
        <v>180</v>
      </c>
      <c r="L232">
        <v>127</v>
      </c>
      <c r="M232">
        <v>1</v>
      </c>
      <c r="N232">
        <v>2</v>
      </c>
      <c r="P232" t="s">
        <v>220</v>
      </c>
      <c r="R232" t="str">
        <f t="shared" si="12"/>
        <v>TAB-JN</v>
      </c>
      <c r="S232">
        <f t="shared" si="10"/>
        <v>85.9</v>
      </c>
      <c r="T232">
        <f t="shared" si="11"/>
        <v>77.930000000000007</v>
      </c>
      <c r="U232">
        <f>IF(SQRT(POWER(T232-F232,2))+SQRT(POWER(E232-S232,2))=0,0,SQRT(POWER(T232-F232,2))+SQRT(POWER(E232-S232,2))+DATOS!$H$20)</f>
        <v>23.36999999999999</v>
      </c>
    </row>
    <row r="233" spans="1:21">
      <c r="A233" t="s">
        <v>219</v>
      </c>
      <c r="B233" t="s">
        <v>120</v>
      </c>
      <c r="C233" t="s">
        <v>121</v>
      </c>
      <c r="E233">
        <v>98.31</v>
      </c>
      <c r="F233">
        <v>80.099999999999994</v>
      </c>
      <c r="G233">
        <v>0</v>
      </c>
      <c r="I233">
        <v>180</v>
      </c>
      <c r="L233">
        <v>127</v>
      </c>
      <c r="M233">
        <v>1</v>
      </c>
      <c r="N233">
        <v>2</v>
      </c>
      <c r="P233" t="s">
        <v>220</v>
      </c>
      <c r="R233" t="str">
        <f t="shared" si="12"/>
        <v>TAB-JN</v>
      </c>
      <c r="S233">
        <f t="shared" si="10"/>
        <v>85.9</v>
      </c>
      <c r="T233">
        <f t="shared" si="11"/>
        <v>77.930000000000007</v>
      </c>
      <c r="U233">
        <f>IF(SQRT(POWER(T233-F233,2))+SQRT(POWER(E233-S233,2))=0,0,SQRT(POWER(T233-F233,2))+SQRT(POWER(E233-S233,2))+DATOS!$H$20)</f>
        <v>19.579999999999984</v>
      </c>
    </row>
    <row r="234" spans="1:21">
      <c r="A234" t="s">
        <v>219</v>
      </c>
      <c r="B234" t="s">
        <v>120</v>
      </c>
      <c r="C234" t="s">
        <v>121</v>
      </c>
      <c r="E234">
        <v>98.87</v>
      </c>
      <c r="F234">
        <v>78.28</v>
      </c>
      <c r="G234">
        <v>0</v>
      </c>
      <c r="I234">
        <v>180</v>
      </c>
      <c r="L234">
        <v>127</v>
      </c>
      <c r="M234">
        <v>1</v>
      </c>
      <c r="N234">
        <v>2</v>
      </c>
      <c r="P234" t="s">
        <v>220</v>
      </c>
      <c r="R234" t="str">
        <f t="shared" si="12"/>
        <v>TAB-JN</v>
      </c>
      <c r="S234">
        <f t="shared" si="10"/>
        <v>85.9</v>
      </c>
      <c r="T234">
        <f t="shared" si="11"/>
        <v>77.930000000000007</v>
      </c>
      <c r="U234">
        <f>IF(SQRT(POWER(T234-F234,2))+SQRT(POWER(E234-S234,2))=0,0,SQRT(POWER(T234-F234,2))+SQRT(POWER(E234-S234,2))+DATOS!$H$20)</f>
        <v>18.319999999999993</v>
      </c>
    </row>
    <row r="235" spans="1:21">
      <c r="A235" t="s">
        <v>219</v>
      </c>
      <c r="B235" t="s">
        <v>120</v>
      </c>
      <c r="C235" t="s">
        <v>121</v>
      </c>
      <c r="E235">
        <v>102.09</v>
      </c>
      <c r="F235">
        <v>76.53</v>
      </c>
      <c r="G235">
        <v>0</v>
      </c>
      <c r="I235">
        <v>180</v>
      </c>
      <c r="L235">
        <v>127</v>
      </c>
      <c r="M235">
        <v>1</v>
      </c>
      <c r="N235">
        <v>2</v>
      </c>
      <c r="P235" t="s">
        <v>220</v>
      </c>
      <c r="R235" t="str">
        <f t="shared" si="12"/>
        <v>TAB-JN</v>
      </c>
      <c r="S235">
        <f t="shared" si="10"/>
        <v>85.9</v>
      </c>
      <c r="T235">
        <f t="shared" si="11"/>
        <v>77.930000000000007</v>
      </c>
      <c r="U235">
        <f>IF(SQRT(POWER(T235-F235,2))+SQRT(POWER(E235-S235,2))=0,0,SQRT(POWER(T235-F235,2))+SQRT(POWER(E235-S235,2))+DATOS!$H$20)</f>
        <v>22.590000000000003</v>
      </c>
    </row>
    <row r="236" spans="1:21">
      <c r="A236" t="s">
        <v>219</v>
      </c>
      <c r="B236" t="s">
        <v>120</v>
      </c>
      <c r="C236" t="s">
        <v>121</v>
      </c>
      <c r="E236">
        <v>95.29</v>
      </c>
      <c r="F236">
        <v>76.180000000000007</v>
      </c>
      <c r="G236">
        <v>0</v>
      </c>
      <c r="I236">
        <v>180</v>
      </c>
      <c r="L236">
        <v>127</v>
      </c>
      <c r="M236">
        <v>1</v>
      </c>
      <c r="N236">
        <v>2</v>
      </c>
      <c r="P236" t="s">
        <v>220</v>
      </c>
      <c r="R236" t="str">
        <f t="shared" si="12"/>
        <v>TAB-JN</v>
      </c>
      <c r="S236">
        <f t="shared" si="10"/>
        <v>85.9</v>
      </c>
      <c r="T236">
        <f t="shared" si="11"/>
        <v>77.930000000000007</v>
      </c>
      <c r="U236">
        <f>IF(SQRT(POWER(T236-F236,2))+SQRT(POWER(E236-S236,2))=0,0,SQRT(POWER(T236-F236,2))+SQRT(POWER(E236-S236,2))+DATOS!$H$20)</f>
        <v>16.14</v>
      </c>
    </row>
    <row r="237" spans="1:21">
      <c r="A237" t="s">
        <v>219</v>
      </c>
      <c r="B237" t="s">
        <v>120</v>
      </c>
      <c r="C237" t="s">
        <v>121</v>
      </c>
      <c r="E237">
        <v>101.44</v>
      </c>
      <c r="F237">
        <v>72.150000000000006</v>
      </c>
      <c r="G237">
        <v>0</v>
      </c>
      <c r="I237">
        <v>180</v>
      </c>
      <c r="L237">
        <v>127</v>
      </c>
      <c r="M237">
        <v>1</v>
      </c>
      <c r="N237">
        <v>2</v>
      </c>
      <c r="P237" t="s">
        <v>220</v>
      </c>
      <c r="R237" t="str">
        <f t="shared" si="12"/>
        <v>TAB-JN</v>
      </c>
      <c r="S237">
        <f t="shared" si="10"/>
        <v>85.9</v>
      </c>
      <c r="T237">
        <f t="shared" si="11"/>
        <v>77.930000000000007</v>
      </c>
      <c r="U237">
        <f>IF(SQRT(POWER(T237-F237,2))+SQRT(POWER(E237-S237,2))=0,0,SQRT(POWER(T237-F237,2))+SQRT(POWER(E237-S237,2))+DATOS!$H$20)</f>
        <v>26.319999999999993</v>
      </c>
    </row>
    <row r="238" spans="1:21">
      <c r="A238" t="s">
        <v>219</v>
      </c>
      <c r="B238" t="s">
        <v>120</v>
      </c>
      <c r="C238" t="s">
        <v>121</v>
      </c>
      <c r="E238">
        <v>96.74</v>
      </c>
      <c r="F238">
        <v>70.44</v>
      </c>
      <c r="G238">
        <v>0</v>
      </c>
      <c r="I238">
        <v>180</v>
      </c>
      <c r="L238">
        <v>127</v>
      </c>
      <c r="M238">
        <v>1</v>
      </c>
      <c r="N238">
        <v>2</v>
      </c>
      <c r="P238" t="s">
        <v>220</v>
      </c>
      <c r="R238" t="str">
        <f t="shared" si="12"/>
        <v>TAB-JN</v>
      </c>
      <c r="S238">
        <f t="shared" si="10"/>
        <v>85.9</v>
      </c>
      <c r="T238">
        <f t="shared" si="11"/>
        <v>77.930000000000007</v>
      </c>
      <c r="U238">
        <f>IF(SQRT(POWER(T238-F238,2))+SQRT(POWER(E238-S238,2))=0,0,SQRT(POWER(T238-F238,2))+SQRT(POWER(E238-S238,2))+DATOS!$H$20)</f>
        <v>23.33</v>
      </c>
    </row>
    <row r="239" spans="1:21">
      <c r="A239" t="s">
        <v>219</v>
      </c>
      <c r="B239" t="s">
        <v>120</v>
      </c>
      <c r="C239" t="s">
        <v>121</v>
      </c>
      <c r="E239">
        <v>100.94</v>
      </c>
      <c r="F239">
        <v>70.44</v>
      </c>
      <c r="G239">
        <v>0</v>
      </c>
      <c r="I239">
        <v>180</v>
      </c>
      <c r="L239">
        <v>127</v>
      </c>
      <c r="M239">
        <v>1</v>
      </c>
      <c r="N239">
        <v>2</v>
      </c>
      <c r="P239" t="s">
        <v>220</v>
      </c>
      <c r="R239" t="str">
        <f t="shared" si="12"/>
        <v>TAB-JN</v>
      </c>
      <c r="S239">
        <f t="shared" si="10"/>
        <v>85.9</v>
      </c>
      <c r="T239">
        <f t="shared" si="11"/>
        <v>77.930000000000007</v>
      </c>
      <c r="U239">
        <f>IF(SQRT(POWER(T239-F239,2))+SQRT(POWER(E239-S239,2))=0,0,SQRT(POWER(T239-F239,2))+SQRT(POWER(E239-S239,2))+DATOS!$H$20)</f>
        <v>27.53</v>
      </c>
    </row>
    <row r="240" spans="1:21">
      <c r="A240" t="s">
        <v>221</v>
      </c>
      <c r="B240" t="s">
        <v>179</v>
      </c>
      <c r="C240" t="s">
        <v>180</v>
      </c>
      <c r="E240">
        <v>101.25</v>
      </c>
      <c r="F240">
        <v>83.79</v>
      </c>
      <c r="G240">
        <v>0</v>
      </c>
      <c r="H240">
        <v>180</v>
      </c>
      <c r="I240">
        <v>180</v>
      </c>
      <c r="L240">
        <v>127</v>
      </c>
      <c r="M240">
        <v>1</v>
      </c>
      <c r="N240">
        <v>2</v>
      </c>
      <c r="P240" t="s">
        <v>222</v>
      </c>
      <c r="R240" t="str">
        <f t="shared" si="12"/>
        <v>TAB-JN</v>
      </c>
      <c r="S240">
        <f t="shared" si="10"/>
        <v>85.9</v>
      </c>
      <c r="T240">
        <f t="shared" si="11"/>
        <v>77.930000000000007</v>
      </c>
      <c r="U240">
        <f>IF(SQRT(POWER(T240-F240,2))+SQRT(POWER(E240-S240,2))=0,0,SQRT(POWER(T240-F240,2))+SQRT(POWER(E240-S240,2))+DATOS!$H$20)</f>
        <v>26.209999999999994</v>
      </c>
    </row>
    <row r="241" spans="1:21">
      <c r="A241" t="s">
        <v>221</v>
      </c>
      <c r="B241" t="s">
        <v>179</v>
      </c>
      <c r="C241" t="s">
        <v>180</v>
      </c>
      <c r="E241">
        <v>98.84</v>
      </c>
      <c r="F241">
        <v>83.79</v>
      </c>
      <c r="G241">
        <v>0</v>
      </c>
      <c r="H241">
        <v>180</v>
      </c>
      <c r="I241">
        <v>180</v>
      </c>
      <c r="L241">
        <v>127</v>
      </c>
      <c r="M241">
        <v>1</v>
      </c>
      <c r="N241">
        <v>2</v>
      </c>
      <c r="P241" t="s">
        <v>222</v>
      </c>
      <c r="R241" t="str">
        <f t="shared" si="12"/>
        <v>TAB-JN</v>
      </c>
      <c r="S241">
        <f t="shared" si="10"/>
        <v>85.9</v>
      </c>
      <c r="T241">
        <f t="shared" si="11"/>
        <v>77.930000000000007</v>
      </c>
      <c r="U241">
        <f>IF(SQRT(POWER(T241-F241,2))+SQRT(POWER(E241-S241,2))=0,0,SQRT(POWER(T241-F241,2))+SQRT(POWER(E241-S241,2))+DATOS!$H$20)</f>
        <v>23.799999999999997</v>
      </c>
    </row>
    <row r="242" spans="1:21">
      <c r="A242" t="s">
        <v>221</v>
      </c>
      <c r="B242" t="s">
        <v>120</v>
      </c>
      <c r="C242" t="s">
        <v>121</v>
      </c>
      <c r="E242">
        <v>112.78</v>
      </c>
      <c r="F242">
        <v>82.3</v>
      </c>
      <c r="G242">
        <v>0</v>
      </c>
      <c r="I242">
        <v>180</v>
      </c>
      <c r="L242">
        <v>127</v>
      </c>
      <c r="M242">
        <v>1</v>
      </c>
      <c r="N242">
        <v>2</v>
      </c>
      <c r="P242" t="s">
        <v>222</v>
      </c>
      <c r="R242" t="str">
        <f t="shared" si="12"/>
        <v>TAB-JN</v>
      </c>
      <c r="S242">
        <f t="shared" si="10"/>
        <v>85.9</v>
      </c>
      <c r="T242">
        <f t="shared" si="11"/>
        <v>77.930000000000007</v>
      </c>
      <c r="U242">
        <f>IF(SQRT(POWER(T242-F242,2))+SQRT(POWER(E242-S242,2))=0,0,SQRT(POWER(T242-F242,2))+SQRT(POWER(E242-S242,2))+DATOS!$H$20)</f>
        <v>36.249999999999986</v>
      </c>
    </row>
    <row r="243" spans="1:21">
      <c r="A243" t="s">
        <v>221</v>
      </c>
      <c r="B243" t="s">
        <v>120</v>
      </c>
      <c r="C243" t="s">
        <v>121</v>
      </c>
      <c r="E243">
        <v>104.66</v>
      </c>
      <c r="F243">
        <v>74.959999999999994</v>
      </c>
      <c r="G243">
        <v>0</v>
      </c>
      <c r="I243">
        <v>180</v>
      </c>
      <c r="L243">
        <v>127</v>
      </c>
      <c r="M243">
        <v>1</v>
      </c>
      <c r="N243">
        <v>2</v>
      </c>
      <c r="P243" t="s">
        <v>222</v>
      </c>
      <c r="R243" t="str">
        <f t="shared" si="12"/>
        <v>TAB-JN</v>
      </c>
      <c r="S243">
        <f t="shared" si="10"/>
        <v>85.9</v>
      </c>
      <c r="T243">
        <f t="shared" si="11"/>
        <v>77.930000000000007</v>
      </c>
      <c r="U243">
        <f>IF(SQRT(POWER(T243-F243,2))+SQRT(POWER(E243-S243,2))=0,0,SQRT(POWER(T243-F243,2))+SQRT(POWER(E243-S243,2))+DATOS!$H$20)</f>
        <v>26.730000000000004</v>
      </c>
    </row>
    <row r="244" spans="1:21">
      <c r="A244" t="s">
        <v>221</v>
      </c>
      <c r="B244" t="s">
        <v>120</v>
      </c>
      <c r="C244" t="s">
        <v>121</v>
      </c>
      <c r="E244">
        <v>110.66</v>
      </c>
      <c r="F244">
        <v>73.88</v>
      </c>
      <c r="G244">
        <v>0</v>
      </c>
      <c r="I244">
        <v>180</v>
      </c>
      <c r="L244">
        <v>127</v>
      </c>
      <c r="M244">
        <v>1</v>
      </c>
      <c r="N244">
        <v>2</v>
      </c>
      <c r="P244" t="s">
        <v>222</v>
      </c>
      <c r="R244" t="str">
        <f t="shared" si="12"/>
        <v>TAB-JN</v>
      </c>
      <c r="S244">
        <f t="shared" si="10"/>
        <v>85.9</v>
      </c>
      <c r="T244">
        <f t="shared" si="11"/>
        <v>77.930000000000007</v>
      </c>
      <c r="U244">
        <f>IF(SQRT(POWER(T244-F244,2))+SQRT(POWER(E244-S244,2))=0,0,SQRT(POWER(T244-F244,2))+SQRT(POWER(E244-S244,2))+DATOS!$H$20)</f>
        <v>33.81</v>
      </c>
    </row>
    <row r="245" spans="1:21">
      <c r="A245" t="s">
        <v>221</v>
      </c>
      <c r="B245" t="s">
        <v>120</v>
      </c>
      <c r="C245" t="s">
        <v>121</v>
      </c>
      <c r="E245">
        <v>123.69</v>
      </c>
      <c r="F245">
        <v>86.79</v>
      </c>
      <c r="G245">
        <v>0</v>
      </c>
      <c r="I245">
        <v>180</v>
      </c>
      <c r="L245">
        <v>127</v>
      </c>
      <c r="M245">
        <v>1</v>
      </c>
      <c r="N245">
        <v>2</v>
      </c>
      <c r="P245" t="s">
        <v>222</v>
      </c>
      <c r="R245" t="str">
        <f t="shared" si="12"/>
        <v>TAB-JN</v>
      </c>
      <c r="S245">
        <f t="shared" si="10"/>
        <v>85.9</v>
      </c>
      <c r="T245">
        <f t="shared" si="11"/>
        <v>77.930000000000007</v>
      </c>
      <c r="U245">
        <f>IF(SQRT(POWER(T245-F245,2))+SQRT(POWER(E245-S245,2))=0,0,SQRT(POWER(T245-F245,2))+SQRT(POWER(E245-S245,2))+DATOS!$H$20)</f>
        <v>51.649999999999991</v>
      </c>
    </row>
    <row r="246" spans="1:21">
      <c r="A246" t="s">
        <v>221</v>
      </c>
      <c r="B246" t="s">
        <v>120</v>
      </c>
      <c r="C246" t="s">
        <v>121</v>
      </c>
      <c r="E246">
        <v>105.05</v>
      </c>
      <c r="F246">
        <v>83.35</v>
      </c>
      <c r="G246">
        <v>0</v>
      </c>
      <c r="I246">
        <v>180</v>
      </c>
      <c r="L246">
        <v>127</v>
      </c>
      <c r="M246">
        <v>1</v>
      </c>
      <c r="N246">
        <v>2</v>
      </c>
      <c r="P246" t="s">
        <v>222</v>
      </c>
      <c r="R246" t="str">
        <f t="shared" si="12"/>
        <v>TAB-JN</v>
      </c>
      <c r="S246">
        <f t="shared" si="10"/>
        <v>85.9</v>
      </c>
      <c r="T246">
        <f t="shared" si="11"/>
        <v>77.930000000000007</v>
      </c>
      <c r="U246">
        <f>IF(SQRT(POWER(T246-F246,2))+SQRT(POWER(E246-S246,2))=0,0,SQRT(POWER(T246-F246,2))+SQRT(POWER(E246-S246,2))+DATOS!$H$20)</f>
        <v>29.569999999999979</v>
      </c>
    </row>
    <row r="247" spans="1:21">
      <c r="A247" t="s">
        <v>221</v>
      </c>
      <c r="B247" t="s">
        <v>120</v>
      </c>
      <c r="C247" t="s">
        <v>121</v>
      </c>
      <c r="E247">
        <v>106.1</v>
      </c>
      <c r="F247">
        <v>79.900000000000006</v>
      </c>
      <c r="G247">
        <v>0</v>
      </c>
      <c r="I247">
        <v>180</v>
      </c>
      <c r="L247">
        <v>127</v>
      </c>
      <c r="M247">
        <v>1</v>
      </c>
      <c r="N247">
        <v>2</v>
      </c>
      <c r="P247" t="s">
        <v>222</v>
      </c>
      <c r="R247" t="str">
        <f t="shared" si="12"/>
        <v>TAB-JN</v>
      </c>
      <c r="S247">
        <f t="shared" si="10"/>
        <v>85.9</v>
      </c>
      <c r="T247">
        <f t="shared" si="11"/>
        <v>77.930000000000007</v>
      </c>
      <c r="U247">
        <f>IF(SQRT(POWER(T247-F247,2))+SQRT(POWER(E247-S247,2))=0,0,SQRT(POWER(T247-F247,2))+SQRT(POWER(E247-S247,2))+DATOS!$H$20)</f>
        <v>27.169999999999987</v>
      </c>
    </row>
    <row r="248" spans="1:21">
      <c r="A248" t="s">
        <v>223</v>
      </c>
      <c r="B248" t="s">
        <v>124</v>
      </c>
      <c r="C248" t="s">
        <v>32</v>
      </c>
      <c r="E248">
        <v>88.32</v>
      </c>
      <c r="F248">
        <v>35.82</v>
      </c>
      <c r="G248">
        <v>0</v>
      </c>
      <c r="I248">
        <v>180</v>
      </c>
      <c r="L248">
        <v>127</v>
      </c>
      <c r="M248">
        <v>1</v>
      </c>
      <c r="N248">
        <v>2</v>
      </c>
      <c r="P248" t="s">
        <v>224</v>
      </c>
      <c r="R248" t="str">
        <f t="shared" si="12"/>
        <v>TAB-EN</v>
      </c>
      <c r="S248">
        <f t="shared" si="10"/>
        <v>89.11</v>
      </c>
      <c r="T248">
        <f t="shared" si="11"/>
        <v>38.32</v>
      </c>
      <c r="U248">
        <f>IF(SQRT(POWER(T248-F248,2))+SQRT(POWER(E248-S248,2))=0,0,SQRT(POWER(T248-F248,2))+SQRT(POWER(E248-S248,2))+DATOS!$H$20)</f>
        <v>8.2900000000000063</v>
      </c>
    </row>
    <row r="249" spans="1:21">
      <c r="A249" t="s">
        <v>223</v>
      </c>
      <c r="B249" t="s">
        <v>124</v>
      </c>
      <c r="C249" t="s">
        <v>32</v>
      </c>
      <c r="E249">
        <v>89.21</v>
      </c>
      <c r="F249">
        <v>34.24</v>
      </c>
      <c r="G249">
        <v>0</v>
      </c>
      <c r="I249">
        <v>180</v>
      </c>
      <c r="L249">
        <v>127</v>
      </c>
      <c r="M249">
        <v>1</v>
      </c>
      <c r="N249">
        <v>2</v>
      </c>
      <c r="P249" t="s">
        <v>224</v>
      </c>
      <c r="R249" t="str">
        <f t="shared" si="12"/>
        <v>TAB-EN</v>
      </c>
      <c r="S249">
        <f t="shared" si="10"/>
        <v>89.11</v>
      </c>
      <c r="T249">
        <f t="shared" si="11"/>
        <v>38.32</v>
      </c>
      <c r="U249">
        <f>IF(SQRT(POWER(T249-F249,2))+SQRT(POWER(E249-S249,2))=0,0,SQRT(POWER(T249-F249,2))+SQRT(POWER(E249-S249,2))+DATOS!$H$20)</f>
        <v>9.1799999999999926</v>
      </c>
    </row>
    <row r="250" spans="1:21">
      <c r="A250" t="s">
        <v>223</v>
      </c>
      <c r="B250" t="s">
        <v>120</v>
      </c>
      <c r="C250" t="s">
        <v>121</v>
      </c>
      <c r="E250">
        <v>91.75</v>
      </c>
      <c r="F250">
        <v>34.94</v>
      </c>
      <c r="G250">
        <v>0</v>
      </c>
      <c r="I250">
        <v>180</v>
      </c>
      <c r="L250">
        <v>127</v>
      </c>
      <c r="M250">
        <v>1</v>
      </c>
      <c r="N250">
        <v>2</v>
      </c>
      <c r="P250" t="s">
        <v>224</v>
      </c>
      <c r="R250" t="str">
        <f t="shared" si="12"/>
        <v>TAB-EN</v>
      </c>
      <c r="S250">
        <f t="shared" si="10"/>
        <v>89.11</v>
      </c>
      <c r="T250">
        <f t="shared" si="11"/>
        <v>38.32</v>
      </c>
      <c r="U250">
        <f>IF(SQRT(POWER(T250-F250,2))+SQRT(POWER(E250-S250,2))=0,0,SQRT(POWER(T250-F250,2))+SQRT(POWER(E250-S250,2))+DATOS!$H$20)</f>
        <v>11.020000000000003</v>
      </c>
    </row>
    <row r="251" spans="1:21">
      <c r="A251" t="s">
        <v>223</v>
      </c>
      <c r="B251" t="s">
        <v>179</v>
      </c>
      <c r="C251" t="s">
        <v>180</v>
      </c>
      <c r="E251">
        <v>93.44</v>
      </c>
      <c r="F251">
        <v>37.700000000000003</v>
      </c>
      <c r="G251">
        <v>0</v>
      </c>
      <c r="H251">
        <v>180</v>
      </c>
      <c r="I251">
        <v>180</v>
      </c>
      <c r="L251">
        <v>127</v>
      </c>
      <c r="M251">
        <v>1</v>
      </c>
      <c r="N251">
        <v>2</v>
      </c>
      <c r="P251" t="s">
        <v>224</v>
      </c>
      <c r="R251" t="str">
        <f t="shared" si="12"/>
        <v>TAB-EN</v>
      </c>
      <c r="S251">
        <f t="shared" si="10"/>
        <v>89.11</v>
      </c>
      <c r="T251">
        <f t="shared" si="11"/>
        <v>38.32</v>
      </c>
      <c r="U251">
        <f>IF(SQRT(POWER(T251-F251,2))+SQRT(POWER(E251-S251,2))=0,0,SQRT(POWER(T251-F251,2))+SQRT(POWER(E251-S251,2))+DATOS!$H$20)</f>
        <v>9.9499999999999957</v>
      </c>
    </row>
    <row r="252" spans="1:21">
      <c r="A252" t="s">
        <v>223</v>
      </c>
      <c r="B252" t="s">
        <v>124</v>
      </c>
      <c r="C252" t="s">
        <v>32</v>
      </c>
      <c r="E252">
        <v>89.56</v>
      </c>
      <c r="F252">
        <v>38.44</v>
      </c>
      <c r="G252">
        <v>0</v>
      </c>
      <c r="I252">
        <v>180</v>
      </c>
      <c r="L252">
        <v>127</v>
      </c>
      <c r="M252">
        <v>1</v>
      </c>
      <c r="N252">
        <v>2</v>
      </c>
      <c r="P252" t="s">
        <v>224</v>
      </c>
      <c r="R252" t="str">
        <f t="shared" si="12"/>
        <v>TAB-EN</v>
      </c>
      <c r="S252">
        <f t="shared" si="10"/>
        <v>89.11</v>
      </c>
      <c r="T252">
        <f t="shared" si="11"/>
        <v>38.32</v>
      </c>
      <c r="U252">
        <f>IF(SQRT(POWER(T252-F252,2))+SQRT(POWER(E252-S252,2))=0,0,SQRT(POWER(T252-F252,2))+SQRT(POWER(E252-S252,2))+DATOS!$H$20)</f>
        <v>5.57</v>
      </c>
    </row>
    <row r="253" spans="1:21">
      <c r="A253" t="s">
        <v>225</v>
      </c>
      <c r="B253" t="s">
        <v>120</v>
      </c>
      <c r="C253" t="s">
        <v>121</v>
      </c>
      <c r="E253">
        <v>91.97</v>
      </c>
      <c r="F253">
        <v>45.1</v>
      </c>
      <c r="G253">
        <v>0</v>
      </c>
      <c r="I253">
        <v>180</v>
      </c>
      <c r="L253">
        <v>127</v>
      </c>
      <c r="M253">
        <v>1</v>
      </c>
      <c r="N253">
        <v>2</v>
      </c>
      <c r="P253" t="s">
        <v>226</v>
      </c>
      <c r="R253" t="str">
        <f t="shared" si="12"/>
        <v>TAB-EN</v>
      </c>
      <c r="S253">
        <f t="shared" si="10"/>
        <v>89.11</v>
      </c>
      <c r="T253">
        <f t="shared" si="11"/>
        <v>38.32</v>
      </c>
      <c r="U253">
        <f>IF(SQRT(POWER(T253-F253,2))+SQRT(POWER(E253-S253,2))=0,0,SQRT(POWER(T253-F253,2))+SQRT(POWER(E253-S253,2))+DATOS!$H$20)</f>
        <v>14.64</v>
      </c>
    </row>
    <row r="254" spans="1:21">
      <c r="A254" t="s">
        <v>225</v>
      </c>
      <c r="B254" t="s">
        <v>120</v>
      </c>
      <c r="C254" t="s">
        <v>121</v>
      </c>
      <c r="E254">
        <v>90.31</v>
      </c>
      <c r="F254">
        <v>48.58</v>
      </c>
      <c r="G254">
        <v>0</v>
      </c>
      <c r="I254">
        <v>180</v>
      </c>
      <c r="L254">
        <v>127</v>
      </c>
      <c r="M254">
        <v>1</v>
      </c>
      <c r="N254">
        <v>2</v>
      </c>
      <c r="P254" t="s">
        <v>226</v>
      </c>
      <c r="R254" t="str">
        <f t="shared" si="12"/>
        <v>TAB-EN</v>
      </c>
      <c r="S254">
        <f t="shared" si="10"/>
        <v>89.11</v>
      </c>
      <c r="T254">
        <f t="shared" si="11"/>
        <v>38.32</v>
      </c>
      <c r="U254">
        <f>IF(SQRT(POWER(T254-F254,2))+SQRT(POWER(E254-S254,2))=0,0,SQRT(POWER(T254-F254,2))+SQRT(POWER(E254-S254,2))+DATOS!$H$20)</f>
        <v>16.46</v>
      </c>
    </row>
    <row r="255" spans="1:21">
      <c r="A255" t="s">
        <v>225</v>
      </c>
      <c r="B255" t="s">
        <v>120</v>
      </c>
      <c r="C255" t="s">
        <v>121</v>
      </c>
      <c r="E255">
        <v>103.18</v>
      </c>
      <c r="F255">
        <v>49.51</v>
      </c>
      <c r="G255">
        <v>0</v>
      </c>
      <c r="I255">
        <v>180</v>
      </c>
      <c r="L255">
        <v>127</v>
      </c>
      <c r="M255">
        <v>1</v>
      </c>
      <c r="N255">
        <v>2</v>
      </c>
      <c r="P255" t="s">
        <v>226</v>
      </c>
      <c r="R255" t="str">
        <f t="shared" si="12"/>
        <v>TAB-EN</v>
      </c>
      <c r="S255">
        <f t="shared" si="10"/>
        <v>89.11</v>
      </c>
      <c r="T255">
        <f t="shared" si="11"/>
        <v>38.32</v>
      </c>
      <c r="U255">
        <f>IF(SQRT(POWER(T255-F255,2))+SQRT(POWER(E255-S255,2))=0,0,SQRT(POWER(T255-F255,2))+SQRT(POWER(E255-S255,2))+DATOS!$H$20)</f>
        <v>30.260000000000005</v>
      </c>
    </row>
    <row r="256" spans="1:21">
      <c r="A256" t="s">
        <v>225</v>
      </c>
      <c r="B256" t="s">
        <v>120</v>
      </c>
      <c r="C256" t="s">
        <v>121</v>
      </c>
      <c r="E256">
        <v>104.61</v>
      </c>
      <c r="F256">
        <v>49.51</v>
      </c>
      <c r="G256">
        <v>0</v>
      </c>
      <c r="I256">
        <v>180</v>
      </c>
      <c r="L256">
        <v>127</v>
      </c>
      <c r="M256">
        <v>1</v>
      </c>
      <c r="N256">
        <v>2</v>
      </c>
      <c r="P256" t="s">
        <v>226</v>
      </c>
      <c r="R256" t="str">
        <f t="shared" si="12"/>
        <v>TAB-EN</v>
      </c>
      <c r="S256">
        <f t="shared" si="10"/>
        <v>89.11</v>
      </c>
      <c r="T256">
        <f t="shared" si="11"/>
        <v>38.32</v>
      </c>
      <c r="U256">
        <f>IF(SQRT(POWER(T256-F256,2))+SQRT(POWER(E256-S256,2))=0,0,SQRT(POWER(T256-F256,2))+SQRT(POWER(E256-S256,2))+DATOS!$H$20)</f>
        <v>31.689999999999998</v>
      </c>
    </row>
    <row r="257" spans="1:21">
      <c r="A257" t="s">
        <v>225</v>
      </c>
      <c r="B257" t="s">
        <v>120</v>
      </c>
      <c r="C257" t="s">
        <v>121</v>
      </c>
      <c r="E257">
        <v>106.12</v>
      </c>
      <c r="F257">
        <v>49.51</v>
      </c>
      <c r="G257">
        <v>0</v>
      </c>
      <c r="I257">
        <v>180</v>
      </c>
      <c r="L257">
        <v>127</v>
      </c>
      <c r="M257">
        <v>1</v>
      </c>
      <c r="N257">
        <v>2</v>
      </c>
      <c r="P257" t="s">
        <v>226</v>
      </c>
      <c r="R257" t="str">
        <f t="shared" si="12"/>
        <v>TAB-EN</v>
      </c>
      <c r="S257">
        <f t="shared" si="10"/>
        <v>89.11</v>
      </c>
      <c r="T257">
        <f t="shared" si="11"/>
        <v>38.32</v>
      </c>
      <c r="U257">
        <f>IF(SQRT(POWER(T257-F257,2))+SQRT(POWER(E257-S257,2))=0,0,SQRT(POWER(T257-F257,2))+SQRT(POWER(E257-S257,2))+DATOS!$H$20)</f>
        <v>33.200000000000003</v>
      </c>
    </row>
    <row r="258" spans="1:21">
      <c r="A258" t="s">
        <v>225</v>
      </c>
      <c r="B258" t="s">
        <v>120</v>
      </c>
      <c r="C258" t="s">
        <v>121</v>
      </c>
      <c r="E258">
        <v>107.79</v>
      </c>
      <c r="F258">
        <v>49.37</v>
      </c>
      <c r="G258">
        <v>0</v>
      </c>
      <c r="I258">
        <v>180</v>
      </c>
      <c r="L258">
        <v>127</v>
      </c>
      <c r="M258">
        <v>1</v>
      </c>
      <c r="N258">
        <v>2</v>
      </c>
      <c r="P258" t="s">
        <v>226</v>
      </c>
      <c r="R258" t="str">
        <f t="shared" si="12"/>
        <v>TAB-EN</v>
      </c>
      <c r="S258">
        <f t="shared" si="10"/>
        <v>89.11</v>
      </c>
      <c r="T258">
        <f t="shared" si="11"/>
        <v>38.32</v>
      </c>
      <c r="U258">
        <f>IF(SQRT(POWER(T258-F258,2))+SQRT(POWER(E258-S258,2))=0,0,SQRT(POWER(T258-F258,2))+SQRT(POWER(E258-S258,2))+DATOS!$H$20)</f>
        <v>34.730000000000004</v>
      </c>
    </row>
    <row r="259" spans="1:21">
      <c r="A259" t="s">
        <v>225</v>
      </c>
      <c r="B259" t="s">
        <v>120</v>
      </c>
      <c r="C259" t="s">
        <v>121</v>
      </c>
      <c r="E259">
        <v>110.69</v>
      </c>
      <c r="F259">
        <v>58.81</v>
      </c>
      <c r="G259">
        <v>0</v>
      </c>
      <c r="I259">
        <v>180</v>
      </c>
      <c r="L259">
        <v>127</v>
      </c>
      <c r="M259">
        <v>1</v>
      </c>
      <c r="N259">
        <v>2</v>
      </c>
      <c r="P259" t="s">
        <v>226</v>
      </c>
      <c r="R259" t="str">
        <f t="shared" si="12"/>
        <v>TAB-EN</v>
      </c>
      <c r="S259">
        <f t="shared" ref="S259:S322" si="13">IFERROR(VLOOKUP(R259,$A$2:$F$700,5,0),E259)</f>
        <v>89.11</v>
      </c>
      <c r="T259">
        <f t="shared" ref="T259:T322" si="14">IFERROR(VLOOKUP(R259,$A$2:$F$700,6,0),F259)</f>
        <v>38.32</v>
      </c>
      <c r="U259">
        <f>IF(SQRT(POWER(T259-F259,2))+SQRT(POWER(E259-S259,2))=0,0,SQRT(POWER(T259-F259,2))+SQRT(POWER(E259-S259,2))+DATOS!$H$20)</f>
        <v>47.07</v>
      </c>
    </row>
    <row r="260" spans="1:21">
      <c r="A260" t="s">
        <v>225</v>
      </c>
      <c r="B260" t="s">
        <v>120</v>
      </c>
      <c r="C260" t="s">
        <v>121</v>
      </c>
      <c r="E260">
        <v>106.96</v>
      </c>
      <c r="F260">
        <v>61.11</v>
      </c>
      <c r="G260">
        <v>0</v>
      </c>
      <c r="I260">
        <v>180</v>
      </c>
      <c r="L260">
        <v>127</v>
      </c>
      <c r="M260">
        <v>1</v>
      </c>
      <c r="N260">
        <v>2</v>
      </c>
      <c r="P260" t="s">
        <v>226</v>
      </c>
      <c r="R260" t="str">
        <f t="shared" si="12"/>
        <v>TAB-EN</v>
      </c>
      <c r="S260">
        <f t="shared" si="13"/>
        <v>89.11</v>
      </c>
      <c r="T260">
        <f t="shared" si="14"/>
        <v>38.32</v>
      </c>
      <c r="U260">
        <f>IF(SQRT(POWER(T260-F260,2))+SQRT(POWER(E260-S260,2))=0,0,SQRT(POWER(T260-F260,2))+SQRT(POWER(E260-S260,2))+DATOS!$H$20)</f>
        <v>45.639999999999993</v>
      </c>
    </row>
    <row r="261" spans="1:21">
      <c r="A261" t="s">
        <v>227</v>
      </c>
      <c r="B261" t="s">
        <v>120</v>
      </c>
      <c r="C261" t="s">
        <v>121</v>
      </c>
      <c r="E261">
        <v>96.42</v>
      </c>
      <c r="F261">
        <v>67.86</v>
      </c>
      <c r="G261">
        <v>0</v>
      </c>
      <c r="I261">
        <v>180</v>
      </c>
      <c r="L261">
        <v>127</v>
      </c>
      <c r="M261">
        <v>1</v>
      </c>
      <c r="N261">
        <v>2</v>
      </c>
      <c r="P261" t="s">
        <v>226</v>
      </c>
      <c r="R261" t="str">
        <f t="shared" si="12"/>
        <v>TAB-EN</v>
      </c>
      <c r="S261">
        <f t="shared" si="13"/>
        <v>89.11</v>
      </c>
      <c r="T261">
        <f t="shared" si="14"/>
        <v>38.32</v>
      </c>
      <c r="U261">
        <f>IF(SQRT(POWER(T261-F261,2))+SQRT(POWER(E261-S261,2))=0,0,SQRT(POWER(T261-F261,2))+SQRT(POWER(E261-S261,2))+DATOS!$H$20)</f>
        <v>41.85</v>
      </c>
    </row>
    <row r="262" spans="1:21">
      <c r="A262" t="s">
        <v>227</v>
      </c>
      <c r="B262" t="s">
        <v>120</v>
      </c>
      <c r="C262" t="s">
        <v>121</v>
      </c>
      <c r="E262">
        <v>109.01</v>
      </c>
      <c r="F262">
        <v>67.86</v>
      </c>
      <c r="G262">
        <v>0</v>
      </c>
      <c r="I262">
        <v>180</v>
      </c>
      <c r="L262">
        <v>127</v>
      </c>
      <c r="M262">
        <v>1</v>
      </c>
      <c r="N262">
        <v>2</v>
      </c>
      <c r="P262" t="s">
        <v>226</v>
      </c>
      <c r="R262" t="str">
        <f t="shared" si="12"/>
        <v>TAB-EN</v>
      </c>
      <c r="S262">
        <f t="shared" si="13"/>
        <v>89.11</v>
      </c>
      <c r="T262">
        <f t="shared" si="14"/>
        <v>38.32</v>
      </c>
      <c r="U262">
        <f>IF(SQRT(POWER(T262-F262,2))+SQRT(POWER(E262-S262,2))=0,0,SQRT(POWER(T262-F262,2))+SQRT(POWER(E262-S262,2))+DATOS!$H$20)</f>
        <v>54.440000000000005</v>
      </c>
    </row>
    <row r="263" spans="1:21">
      <c r="A263" t="s">
        <v>227</v>
      </c>
      <c r="B263" t="s">
        <v>120</v>
      </c>
      <c r="C263" t="s">
        <v>121</v>
      </c>
      <c r="E263">
        <v>114.7</v>
      </c>
      <c r="F263">
        <v>68.83</v>
      </c>
      <c r="G263">
        <v>0</v>
      </c>
      <c r="I263">
        <v>180</v>
      </c>
      <c r="L263">
        <v>127</v>
      </c>
      <c r="M263">
        <v>1</v>
      </c>
      <c r="N263">
        <v>2</v>
      </c>
      <c r="P263" t="s">
        <v>226</v>
      </c>
      <c r="R263" t="str">
        <f t="shared" si="12"/>
        <v>TAB-EN</v>
      </c>
      <c r="S263">
        <f t="shared" si="13"/>
        <v>89.11</v>
      </c>
      <c r="T263">
        <f t="shared" si="14"/>
        <v>38.32</v>
      </c>
      <c r="U263">
        <f>IF(SQRT(POWER(T263-F263,2))+SQRT(POWER(E263-S263,2))=0,0,SQRT(POWER(T263-F263,2))+SQRT(POWER(E263-S263,2))+DATOS!$H$20)</f>
        <v>61.1</v>
      </c>
    </row>
    <row r="264" spans="1:21">
      <c r="A264" t="s">
        <v>227</v>
      </c>
      <c r="B264" t="s">
        <v>120</v>
      </c>
      <c r="C264" t="s">
        <v>121</v>
      </c>
      <c r="E264">
        <v>114.7</v>
      </c>
      <c r="F264">
        <v>67.25</v>
      </c>
      <c r="G264">
        <v>0</v>
      </c>
      <c r="I264">
        <v>180</v>
      </c>
      <c r="L264">
        <v>127</v>
      </c>
      <c r="M264">
        <v>1</v>
      </c>
      <c r="N264">
        <v>2</v>
      </c>
      <c r="P264" t="s">
        <v>226</v>
      </c>
      <c r="R264" t="str">
        <f t="shared" si="12"/>
        <v>TAB-EN</v>
      </c>
      <c r="S264">
        <f t="shared" si="13"/>
        <v>89.11</v>
      </c>
      <c r="T264">
        <f t="shared" si="14"/>
        <v>38.32</v>
      </c>
      <c r="U264">
        <f>IF(SQRT(POWER(T264-F264,2))+SQRT(POWER(E264-S264,2))=0,0,SQRT(POWER(T264-F264,2))+SQRT(POWER(E264-S264,2))+DATOS!$H$20)</f>
        <v>59.52</v>
      </c>
    </row>
    <row r="265" spans="1:21">
      <c r="A265" t="s">
        <v>227</v>
      </c>
      <c r="B265" t="s">
        <v>120</v>
      </c>
      <c r="C265" t="s">
        <v>121</v>
      </c>
      <c r="E265">
        <v>112.45</v>
      </c>
      <c r="F265">
        <v>67.84</v>
      </c>
      <c r="G265">
        <v>0</v>
      </c>
      <c r="I265">
        <v>180</v>
      </c>
      <c r="L265">
        <v>127</v>
      </c>
      <c r="M265">
        <v>1</v>
      </c>
      <c r="N265">
        <v>2</v>
      </c>
      <c r="P265" t="s">
        <v>226</v>
      </c>
      <c r="R265" t="str">
        <f t="shared" si="12"/>
        <v>TAB-EN</v>
      </c>
      <c r="S265">
        <f t="shared" si="13"/>
        <v>89.11</v>
      </c>
      <c r="T265">
        <f t="shared" si="14"/>
        <v>38.32</v>
      </c>
      <c r="U265">
        <f>IF(SQRT(POWER(T265-F265,2))+SQRT(POWER(E265-S265,2))=0,0,SQRT(POWER(T265-F265,2))+SQRT(POWER(E265-S265,2))+DATOS!$H$20)</f>
        <v>57.860000000000007</v>
      </c>
    </row>
    <row r="266" spans="1:21">
      <c r="A266" t="s">
        <v>227</v>
      </c>
      <c r="B266" t="s">
        <v>120</v>
      </c>
      <c r="C266" t="s">
        <v>121</v>
      </c>
      <c r="E266">
        <v>114.89</v>
      </c>
      <c r="F266">
        <v>64.040000000000006</v>
      </c>
      <c r="G266">
        <v>0</v>
      </c>
      <c r="I266">
        <v>180</v>
      </c>
      <c r="L266">
        <v>127</v>
      </c>
      <c r="M266">
        <v>1</v>
      </c>
      <c r="N266">
        <v>2</v>
      </c>
      <c r="P266" t="s">
        <v>226</v>
      </c>
      <c r="R266" t="str">
        <f t="shared" si="12"/>
        <v>TAB-EN</v>
      </c>
      <c r="S266">
        <f t="shared" si="13"/>
        <v>89.11</v>
      </c>
      <c r="T266">
        <f t="shared" si="14"/>
        <v>38.32</v>
      </c>
      <c r="U266">
        <f>IF(SQRT(POWER(T266-F266,2))+SQRT(POWER(E266-S266,2))=0,0,SQRT(POWER(T266-F266,2))+SQRT(POWER(E266-S266,2))+DATOS!$H$20)</f>
        <v>56.500000000000007</v>
      </c>
    </row>
    <row r="267" spans="1:21">
      <c r="A267" t="s">
        <v>227</v>
      </c>
      <c r="B267" t="s">
        <v>120</v>
      </c>
      <c r="C267" t="s">
        <v>121</v>
      </c>
      <c r="E267">
        <v>112.2</v>
      </c>
      <c r="F267">
        <v>64.44</v>
      </c>
      <c r="G267">
        <v>0</v>
      </c>
      <c r="I267">
        <v>180</v>
      </c>
      <c r="L267">
        <v>127</v>
      </c>
      <c r="M267">
        <v>1</v>
      </c>
      <c r="N267">
        <v>2</v>
      </c>
      <c r="P267" t="s">
        <v>226</v>
      </c>
      <c r="R267" t="str">
        <f t="shared" si="12"/>
        <v>TAB-EN</v>
      </c>
      <c r="S267">
        <f t="shared" si="13"/>
        <v>89.11</v>
      </c>
      <c r="T267">
        <f t="shared" si="14"/>
        <v>38.32</v>
      </c>
      <c r="U267">
        <f>IF(SQRT(POWER(T267-F267,2))+SQRT(POWER(E267-S267,2))=0,0,SQRT(POWER(T267-F267,2))+SQRT(POWER(E267-S267,2))+DATOS!$H$20)</f>
        <v>54.21</v>
      </c>
    </row>
    <row r="268" spans="1:21">
      <c r="A268" t="s">
        <v>227</v>
      </c>
      <c r="B268" t="s">
        <v>120</v>
      </c>
      <c r="C268" t="s">
        <v>121</v>
      </c>
      <c r="E268">
        <v>114.89</v>
      </c>
      <c r="F268">
        <v>64.44</v>
      </c>
      <c r="G268">
        <v>0</v>
      </c>
      <c r="I268">
        <v>180</v>
      </c>
      <c r="L268">
        <v>127</v>
      </c>
      <c r="M268">
        <v>1</v>
      </c>
      <c r="N268">
        <v>2</v>
      </c>
      <c r="P268" t="s">
        <v>226</v>
      </c>
      <c r="R268" t="str">
        <f t="shared" si="12"/>
        <v>TAB-EN</v>
      </c>
      <c r="S268">
        <f t="shared" si="13"/>
        <v>89.11</v>
      </c>
      <c r="T268">
        <f t="shared" si="14"/>
        <v>38.32</v>
      </c>
      <c r="U268">
        <f>IF(SQRT(POWER(T268-F268,2))+SQRT(POWER(E268-S268,2))=0,0,SQRT(POWER(T268-F268,2))+SQRT(POWER(E268-S268,2))+DATOS!$H$20)</f>
        <v>56.9</v>
      </c>
    </row>
    <row r="269" spans="1:21">
      <c r="A269" t="s">
        <v>228</v>
      </c>
      <c r="B269" t="s">
        <v>124</v>
      </c>
      <c r="C269" t="s">
        <v>32</v>
      </c>
      <c r="E269">
        <v>86.18</v>
      </c>
      <c r="F269">
        <v>35.200000000000003</v>
      </c>
      <c r="G269">
        <v>0</v>
      </c>
      <c r="I269">
        <v>180</v>
      </c>
      <c r="L269">
        <v>127</v>
      </c>
      <c r="M269">
        <v>1</v>
      </c>
      <c r="N269">
        <v>2</v>
      </c>
      <c r="P269" t="s">
        <v>229</v>
      </c>
      <c r="R269" t="str">
        <f t="shared" si="12"/>
        <v>TAB-EN</v>
      </c>
      <c r="S269">
        <f t="shared" si="13"/>
        <v>89.11</v>
      </c>
      <c r="T269">
        <f t="shared" si="14"/>
        <v>38.32</v>
      </c>
      <c r="U269">
        <f>IF(SQRT(POWER(T269-F269,2))+SQRT(POWER(E269-S269,2))=0,0,SQRT(POWER(T269-F269,2))+SQRT(POWER(E269-S269,2))+DATOS!$H$20)</f>
        <v>11.04999999999999</v>
      </c>
    </row>
    <row r="270" spans="1:21">
      <c r="A270" t="s">
        <v>228</v>
      </c>
      <c r="B270" t="s">
        <v>124</v>
      </c>
      <c r="C270" t="s">
        <v>32</v>
      </c>
      <c r="E270">
        <v>83.96</v>
      </c>
      <c r="F270">
        <v>34.200000000000003</v>
      </c>
      <c r="G270">
        <v>0</v>
      </c>
      <c r="I270">
        <v>180</v>
      </c>
      <c r="L270">
        <v>127</v>
      </c>
      <c r="M270">
        <v>1</v>
      </c>
      <c r="N270">
        <v>2</v>
      </c>
      <c r="P270" t="s">
        <v>229</v>
      </c>
      <c r="R270" t="str">
        <f t="shared" si="12"/>
        <v>TAB-EN</v>
      </c>
      <c r="S270">
        <f t="shared" si="13"/>
        <v>89.11</v>
      </c>
      <c r="T270">
        <f t="shared" si="14"/>
        <v>38.32</v>
      </c>
      <c r="U270">
        <f>IF(SQRT(POWER(T270-F270,2))+SQRT(POWER(E270-S270,2))=0,0,SQRT(POWER(T270-F270,2))+SQRT(POWER(E270-S270,2))+DATOS!$H$20)</f>
        <v>14.270000000000003</v>
      </c>
    </row>
    <row r="271" spans="1:21">
      <c r="A271" t="s">
        <v>228</v>
      </c>
      <c r="B271" t="s">
        <v>120</v>
      </c>
      <c r="C271" t="s">
        <v>121</v>
      </c>
      <c r="E271">
        <v>81.260000000000005</v>
      </c>
      <c r="F271">
        <v>34.67</v>
      </c>
      <c r="G271">
        <v>0</v>
      </c>
      <c r="I271">
        <v>180</v>
      </c>
      <c r="L271">
        <v>127</v>
      </c>
      <c r="M271">
        <v>1</v>
      </c>
      <c r="N271">
        <v>2</v>
      </c>
      <c r="P271" t="s">
        <v>229</v>
      </c>
      <c r="R271" t="str">
        <f t="shared" si="12"/>
        <v>TAB-EN</v>
      </c>
      <c r="S271">
        <f t="shared" si="13"/>
        <v>89.11</v>
      </c>
      <c r="T271">
        <f t="shared" si="14"/>
        <v>38.32</v>
      </c>
      <c r="U271">
        <f>IF(SQRT(POWER(T271-F271,2))+SQRT(POWER(E271-S271,2))=0,0,SQRT(POWER(T271-F271,2))+SQRT(POWER(E271-S271,2))+DATOS!$H$20)</f>
        <v>16.499999999999993</v>
      </c>
    </row>
    <row r="272" spans="1:21">
      <c r="A272" t="s">
        <v>228</v>
      </c>
      <c r="B272" t="s">
        <v>120</v>
      </c>
      <c r="C272" t="s">
        <v>121</v>
      </c>
      <c r="E272">
        <v>81.36</v>
      </c>
      <c r="F272">
        <v>36.130000000000003</v>
      </c>
      <c r="G272">
        <v>0</v>
      </c>
      <c r="I272">
        <v>180</v>
      </c>
      <c r="L272">
        <v>127</v>
      </c>
      <c r="M272">
        <v>1</v>
      </c>
      <c r="N272">
        <v>2</v>
      </c>
      <c r="P272" t="s">
        <v>229</v>
      </c>
      <c r="R272" t="str">
        <f t="shared" si="12"/>
        <v>TAB-EN</v>
      </c>
      <c r="S272">
        <f t="shared" si="13"/>
        <v>89.11</v>
      </c>
      <c r="T272">
        <f t="shared" si="14"/>
        <v>38.32</v>
      </c>
      <c r="U272">
        <f>IF(SQRT(POWER(T272-F272,2))+SQRT(POWER(E272-S272,2))=0,0,SQRT(POWER(T272-F272,2))+SQRT(POWER(E272-S272,2))+DATOS!$H$20)</f>
        <v>14.939999999999998</v>
      </c>
    </row>
    <row r="273" spans="1:21">
      <c r="A273" t="s">
        <v>228</v>
      </c>
      <c r="B273" t="s">
        <v>124</v>
      </c>
      <c r="C273" t="s">
        <v>32</v>
      </c>
      <c r="E273">
        <v>76.92</v>
      </c>
      <c r="F273">
        <v>35.26</v>
      </c>
      <c r="G273">
        <v>0</v>
      </c>
      <c r="I273">
        <v>180</v>
      </c>
      <c r="L273">
        <v>127</v>
      </c>
      <c r="M273">
        <v>1</v>
      </c>
      <c r="N273">
        <v>2</v>
      </c>
      <c r="P273" t="s">
        <v>229</v>
      </c>
      <c r="R273" t="str">
        <f t="shared" ref="R273:R336" si="15">"TAB-"&amp;LEFT(A273,FIND("-",A273) -1)</f>
        <v>TAB-EN</v>
      </c>
      <c r="S273">
        <f t="shared" si="13"/>
        <v>89.11</v>
      </c>
      <c r="T273">
        <f t="shared" si="14"/>
        <v>38.32</v>
      </c>
      <c r="U273">
        <f>IF(SQRT(POWER(T273-F273,2))+SQRT(POWER(E273-S273,2))=0,0,SQRT(POWER(T273-F273,2))+SQRT(POWER(E273-S273,2))+DATOS!$H$20)</f>
        <v>20.25</v>
      </c>
    </row>
    <row r="274" spans="1:21">
      <c r="A274" t="s">
        <v>228</v>
      </c>
      <c r="B274" t="s">
        <v>124</v>
      </c>
      <c r="C274" t="s">
        <v>32</v>
      </c>
      <c r="E274">
        <v>76.92</v>
      </c>
      <c r="F274">
        <v>33.81</v>
      </c>
      <c r="G274">
        <v>0</v>
      </c>
      <c r="I274">
        <v>180</v>
      </c>
      <c r="L274">
        <v>127</v>
      </c>
      <c r="M274">
        <v>1</v>
      </c>
      <c r="N274">
        <v>2</v>
      </c>
      <c r="P274" t="s">
        <v>229</v>
      </c>
      <c r="R274" t="str">
        <f t="shared" si="15"/>
        <v>TAB-EN</v>
      </c>
      <c r="S274">
        <f t="shared" si="13"/>
        <v>89.11</v>
      </c>
      <c r="T274">
        <f t="shared" si="14"/>
        <v>38.32</v>
      </c>
      <c r="U274">
        <f>IF(SQRT(POWER(T274-F274,2))+SQRT(POWER(E274-S274,2))=0,0,SQRT(POWER(T274-F274,2))+SQRT(POWER(E274-S274,2))+DATOS!$H$20)</f>
        <v>21.699999999999996</v>
      </c>
    </row>
    <row r="275" spans="1:21">
      <c r="A275" t="s">
        <v>228</v>
      </c>
      <c r="B275" t="s">
        <v>179</v>
      </c>
      <c r="C275" t="s">
        <v>180</v>
      </c>
      <c r="E275">
        <v>77.03</v>
      </c>
      <c r="F275">
        <v>38.880000000000003</v>
      </c>
      <c r="G275">
        <v>0</v>
      </c>
      <c r="H275">
        <v>180</v>
      </c>
      <c r="I275">
        <v>180</v>
      </c>
      <c r="L275">
        <v>127</v>
      </c>
      <c r="M275">
        <v>1</v>
      </c>
      <c r="N275">
        <v>2</v>
      </c>
      <c r="P275" t="s">
        <v>229</v>
      </c>
      <c r="R275" t="str">
        <f t="shared" si="15"/>
        <v>TAB-EN</v>
      </c>
      <c r="S275">
        <f t="shared" si="13"/>
        <v>89.11</v>
      </c>
      <c r="T275">
        <f t="shared" si="14"/>
        <v>38.32</v>
      </c>
      <c r="U275">
        <f>IF(SQRT(POWER(T275-F275,2))+SQRT(POWER(E275-S275,2))=0,0,SQRT(POWER(T275-F275,2))+SQRT(POWER(E275-S275,2))+DATOS!$H$20)</f>
        <v>17.64</v>
      </c>
    </row>
    <row r="276" spans="1:21">
      <c r="A276" t="s">
        <v>228</v>
      </c>
      <c r="B276" t="s">
        <v>120</v>
      </c>
      <c r="C276" t="s">
        <v>121</v>
      </c>
      <c r="E276">
        <v>76.209999999999994</v>
      </c>
      <c r="F276">
        <v>39.700000000000003</v>
      </c>
      <c r="G276">
        <v>0</v>
      </c>
      <c r="I276">
        <v>180</v>
      </c>
      <c r="L276">
        <v>127</v>
      </c>
      <c r="M276">
        <v>1</v>
      </c>
      <c r="N276">
        <v>2</v>
      </c>
      <c r="P276" t="s">
        <v>229</v>
      </c>
      <c r="R276" t="str">
        <f t="shared" si="15"/>
        <v>TAB-EN</v>
      </c>
      <c r="S276">
        <f t="shared" si="13"/>
        <v>89.11</v>
      </c>
      <c r="T276">
        <f t="shared" si="14"/>
        <v>38.32</v>
      </c>
      <c r="U276">
        <f>IF(SQRT(POWER(T276-F276,2))+SQRT(POWER(E276-S276,2))=0,0,SQRT(POWER(T276-F276,2))+SQRT(POWER(E276-S276,2))+DATOS!$H$20)</f>
        <v>19.280000000000008</v>
      </c>
    </row>
    <row r="277" spans="1:21">
      <c r="A277" t="s">
        <v>230</v>
      </c>
      <c r="B277" t="s">
        <v>120</v>
      </c>
      <c r="C277" t="s">
        <v>121</v>
      </c>
      <c r="E277">
        <v>75.290000000000006</v>
      </c>
      <c r="F277">
        <v>32.590000000000003</v>
      </c>
      <c r="G277">
        <v>0</v>
      </c>
      <c r="I277">
        <v>180</v>
      </c>
      <c r="L277">
        <v>127</v>
      </c>
      <c r="M277">
        <v>1</v>
      </c>
      <c r="N277">
        <v>2</v>
      </c>
      <c r="P277" t="s">
        <v>231</v>
      </c>
      <c r="R277" t="str">
        <f t="shared" si="15"/>
        <v>TAB-EN</v>
      </c>
      <c r="S277">
        <f t="shared" si="13"/>
        <v>89.11</v>
      </c>
      <c r="T277">
        <f t="shared" si="14"/>
        <v>38.32</v>
      </c>
      <c r="U277">
        <f>IF(SQRT(POWER(T277-F277,2))+SQRT(POWER(E277-S277,2))=0,0,SQRT(POWER(T277-F277,2))+SQRT(POWER(E277-S277,2))+DATOS!$H$20)</f>
        <v>24.54999999999999</v>
      </c>
    </row>
    <row r="278" spans="1:21">
      <c r="A278" t="s">
        <v>230</v>
      </c>
      <c r="B278" t="s">
        <v>120</v>
      </c>
      <c r="C278" t="s">
        <v>121</v>
      </c>
      <c r="E278">
        <v>72.069999999999993</v>
      </c>
      <c r="F278">
        <v>32.590000000000003</v>
      </c>
      <c r="G278">
        <v>0</v>
      </c>
      <c r="I278">
        <v>180</v>
      </c>
      <c r="L278">
        <v>127</v>
      </c>
      <c r="M278">
        <v>1</v>
      </c>
      <c r="N278">
        <v>2</v>
      </c>
      <c r="P278" t="s">
        <v>231</v>
      </c>
      <c r="R278" t="str">
        <f t="shared" si="15"/>
        <v>TAB-EN</v>
      </c>
      <c r="S278">
        <f t="shared" si="13"/>
        <v>89.11</v>
      </c>
      <c r="T278">
        <f t="shared" si="14"/>
        <v>38.32</v>
      </c>
      <c r="U278">
        <f>IF(SQRT(POWER(T278-F278,2))+SQRT(POWER(E278-S278,2))=0,0,SQRT(POWER(T278-F278,2))+SQRT(POWER(E278-S278,2))+DATOS!$H$20)</f>
        <v>27.770000000000003</v>
      </c>
    </row>
    <row r="279" spans="1:21">
      <c r="A279" t="s">
        <v>230</v>
      </c>
      <c r="B279" t="s">
        <v>124</v>
      </c>
      <c r="C279" t="s">
        <v>32</v>
      </c>
      <c r="E279">
        <v>70.78</v>
      </c>
      <c r="F279">
        <v>38.68</v>
      </c>
      <c r="G279">
        <v>0</v>
      </c>
      <c r="L279">
        <v>127</v>
      </c>
      <c r="M279">
        <v>1</v>
      </c>
      <c r="N279">
        <v>2</v>
      </c>
      <c r="P279" t="s">
        <v>231</v>
      </c>
      <c r="R279" t="str">
        <f t="shared" si="15"/>
        <v>TAB-EN</v>
      </c>
      <c r="S279">
        <f t="shared" si="13"/>
        <v>89.11</v>
      </c>
      <c r="T279">
        <f t="shared" si="14"/>
        <v>38.32</v>
      </c>
      <c r="U279">
        <f>IF(SQRT(POWER(T279-F279,2))+SQRT(POWER(E279-S279,2))=0,0,SQRT(POWER(T279-F279,2))+SQRT(POWER(E279-S279,2))+DATOS!$H$20)</f>
        <v>23.689999999999998</v>
      </c>
    </row>
    <row r="280" spans="1:21">
      <c r="A280" t="s">
        <v>230</v>
      </c>
      <c r="B280" t="s">
        <v>124</v>
      </c>
      <c r="C280" t="s">
        <v>32</v>
      </c>
      <c r="E280">
        <v>70.44</v>
      </c>
      <c r="F280">
        <v>40.92</v>
      </c>
      <c r="G280">
        <v>0</v>
      </c>
      <c r="L280">
        <v>127</v>
      </c>
      <c r="M280">
        <v>1</v>
      </c>
      <c r="N280">
        <v>2</v>
      </c>
      <c r="P280" t="s">
        <v>231</v>
      </c>
      <c r="R280" t="str">
        <f t="shared" si="15"/>
        <v>TAB-EN</v>
      </c>
      <c r="S280">
        <f t="shared" si="13"/>
        <v>89.11</v>
      </c>
      <c r="T280">
        <f t="shared" si="14"/>
        <v>38.32</v>
      </c>
      <c r="U280">
        <f>IF(SQRT(POWER(T280-F280,2))+SQRT(POWER(E280-S280,2))=0,0,SQRT(POWER(T280-F280,2))+SQRT(POWER(E280-S280,2))+DATOS!$H$20)</f>
        <v>26.270000000000003</v>
      </c>
    </row>
    <row r="281" spans="1:21">
      <c r="A281" t="s">
        <v>230</v>
      </c>
      <c r="B281" t="s">
        <v>120</v>
      </c>
      <c r="C281" t="s">
        <v>121</v>
      </c>
      <c r="E281">
        <v>70.48</v>
      </c>
      <c r="F281">
        <v>41.31</v>
      </c>
      <c r="G281">
        <v>0</v>
      </c>
      <c r="I281">
        <v>180</v>
      </c>
      <c r="L281">
        <v>127</v>
      </c>
      <c r="M281">
        <v>1</v>
      </c>
      <c r="N281">
        <v>2</v>
      </c>
      <c r="P281" t="s">
        <v>231</v>
      </c>
      <c r="R281" t="str">
        <f t="shared" si="15"/>
        <v>TAB-EN</v>
      </c>
      <c r="S281">
        <f t="shared" si="13"/>
        <v>89.11</v>
      </c>
      <c r="T281">
        <f t="shared" si="14"/>
        <v>38.32</v>
      </c>
      <c r="U281">
        <f>IF(SQRT(POWER(T281-F281,2))+SQRT(POWER(E281-S281,2))=0,0,SQRT(POWER(T281-F281,2))+SQRT(POWER(E281-S281,2))+DATOS!$H$20)</f>
        <v>26.619999999999997</v>
      </c>
    </row>
    <row r="282" spans="1:21">
      <c r="A282" t="s">
        <v>230</v>
      </c>
      <c r="B282" t="s">
        <v>120</v>
      </c>
      <c r="C282" t="s">
        <v>121</v>
      </c>
      <c r="E282">
        <v>67.709999999999994</v>
      </c>
      <c r="F282">
        <v>41.31</v>
      </c>
      <c r="G282">
        <v>0</v>
      </c>
      <c r="I282">
        <v>180</v>
      </c>
      <c r="L282">
        <v>127</v>
      </c>
      <c r="M282">
        <v>1</v>
      </c>
      <c r="N282">
        <v>2</v>
      </c>
      <c r="P282" t="s">
        <v>231</v>
      </c>
      <c r="R282" t="str">
        <f t="shared" si="15"/>
        <v>TAB-EN</v>
      </c>
      <c r="S282">
        <f t="shared" si="13"/>
        <v>89.11</v>
      </c>
      <c r="T282">
        <f t="shared" si="14"/>
        <v>38.32</v>
      </c>
      <c r="U282">
        <f>IF(SQRT(POWER(T282-F282,2))+SQRT(POWER(E282-S282,2))=0,0,SQRT(POWER(T282-F282,2))+SQRT(POWER(E282-S282,2))+DATOS!$H$20)</f>
        <v>29.390000000000008</v>
      </c>
    </row>
    <row r="283" spans="1:21">
      <c r="A283" t="s">
        <v>230</v>
      </c>
      <c r="B283" t="s">
        <v>120</v>
      </c>
      <c r="C283" t="s">
        <v>121</v>
      </c>
      <c r="E283">
        <v>70.48</v>
      </c>
      <c r="F283">
        <v>48.56</v>
      </c>
      <c r="G283">
        <v>0</v>
      </c>
      <c r="I283">
        <v>180</v>
      </c>
      <c r="L283">
        <v>127</v>
      </c>
      <c r="M283">
        <v>1</v>
      </c>
      <c r="N283">
        <v>2</v>
      </c>
      <c r="P283" t="s">
        <v>231</v>
      </c>
      <c r="R283" t="str">
        <f t="shared" si="15"/>
        <v>TAB-EN</v>
      </c>
      <c r="S283">
        <f t="shared" si="13"/>
        <v>89.11</v>
      </c>
      <c r="T283">
        <f t="shared" si="14"/>
        <v>38.32</v>
      </c>
      <c r="U283">
        <f>IF(SQRT(POWER(T283-F283,2))+SQRT(POWER(E283-S283,2))=0,0,SQRT(POWER(T283-F283,2))+SQRT(POWER(E283-S283,2))+DATOS!$H$20)</f>
        <v>33.869999999999997</v>
      </c>
    </row>
    <row r="284" spans="1:21">
      <c r="A284" t="s">
        <v>230</v>
      </c>
      <c r="B284" t="s">
        <v>120</v>
      </c>
      <c r="C284" t="s">
        <v>121</v>
      </c>
      <c r="E284">
        <v>67.61</v>
      </c>
      <c r="F284">
        <v>48.58</v>
      </c>
      <c r="G284">
        <v>0</v>
      </c>
      <c r="I284">
        <v>180</v>
      </c>
      <c r="L284">
        <v>127</v>
      </c>
      <c r="M284">
        <v>1</v>
      </c>
      <c r="N284">
        <v>2</v>
      </c>
      <c r="P284" t="s">
        <v>231</v>
      </c>
      <c r="R284" t="str">
        <f t="shared" si="15"/>
        <v>TAB-EN</v>
      </c>
      <c r="S284">
        <f t="shared" si="13"/>
        <v>89.11</v>
      </c>
      <c r="T284">
        <f t="shared" si="14"/>
        <v>38.32</v>
      </c>
      <c r="U284">
        <f>IF(SQRT(POWER(T284-F284,2))+SQRT(POWER(E284-S284,2))=0,0,SQRT(POWER(T284-F284,2))+SQRT(POWER(E284-S284,2))+DATOS!$H$20)</f>
        <v>36.76</v>
      </c>
    </row>
    <row r="285" spans="1:21">
      <c r="A285" t="s">
        <v>232</v>
      </c>
      <c r="B285" t="s">
        <v>179</v>
      </c>
      <c r="C285" t="s">
        <v>180</v>
      </c>
      <c r="E285">
        <v>81.17</v>
      </c>
      <c r="F285">
        <v>45.1</v>
      </c>
      <c r="G285">
        <v>0</v>
      </c>
      <c r="H285">
        <v>180</v>
      </c>
      <c r="I285">
        <v>180</v>
      </c>
      <c r="L285">
        <v>127</v>
      </c>
      <c r="M285">
        <v>1</v>
      </c>
      <c r="N285">
        <v>2</v>
      </c>
      <c r="P285" t="s">
        <v>91</v>
      </c>
      <c r="R285" t="str">
        <f t="shared" si="15"/>
        <v>TAB-EN</v>
      </c>
      <c r="S285">
        <f t="shared" si="13"/>
        <v>89.11</v>
      </c>
      <c r="T285">
        <f t="shared" si="14"/>
        <v>38.32</v>
      </c>
      <c r="U285">
        <f>IF(SQRT(POWER(T285-F285,2))+SQRT(POWER(E285-S285,2))=0,0,SQRT(POWER(T285-F285,2))+SQRT(POWER(E285-S285,2))+DATOS!$H$20)</f>
        <v>19.72</v>
      </c>
    </row>
    <row r="286" spans="1:21">
      <c r="A286" t="s">
        <v>232</v>
      </c>
      <c r="B286" t="s">
        <v>120</v>
      </c>
      <c r="C286" t="s">
        <v>121</v>
      </c>
      <c r="E286">
        <v>79.53</v>
      </c>
      <c r="F286">
        <v>47.49</v>
      </c>
      <c r="G286">
        <v>0</v>
      </c>
      <c r="I286">
        <v>180</v>
      </c>
      <c r="L286">
        <v>127</v>
      </c>
      <c r="M286">
        <v>1</v>
      </c>
      <c r="N286">
        <v>2</v>
      </c>
      <c r="P286" t="s">
        <v>91</v>
      </c>
      <c r="R286" t="str">
        <f t="shared" si="15"/>
        <v>TAB-EN</v>
      </c>
      <c r="S286">
        <f t="shared" si="13"/>
        <v>89.11</v>
      </c>
      <c r="T286">
        <f t="shared" si="14"/>
        <v>38.32</v>
      </c>
      <c r="U286">
        <f>IF(SQRT(POWER(T286-F286,2))+SQRT(POWER(E286-S286,2))=0,0,SQRT(POWER(T286-F286,2))+SQRT(POWER(E286-S286,2))+DATOS!$H$20)</f>
        <v>23.75</v>
      </c>
    </row>
    <row r="287" spans="1:21">
      <c r="A287" t="s">
        <v>232</v>
      </c>
      <c r="B287" t="s">
        <v>120</v>
      </c>
      <c r="C287" t="s">
        <v>121</v>
      </c>
      <c r="E287">
        <v>81.17</v>
      </c>
      <c r="F287">
        <v>47.49</v>
      </c>
      <c r="G287">
        <v>0</v>
      </c>
      <c r="I287">
        <v>180</v>
      </c>
      <c r="L287">
        <v>127</v>
      </c>
      <c r="M287">
        <v>1</v>
      </c>
      <c r="N287">
        <v>2</v>
      </c>
      <c r="P287" t="s">
        <v>91</v>
      </c>
      <c r="R287" t="str">
        <f t="shared" si="15"/>
        <v>TAB-EN</v>
      </c>
      <c r="S287">
        <f t="shared" si="13"/>
        <v>89.11</v>
      </c>
      <c r="T287">
        <f t="shared" si="14"/>
        <v>38.32</v>
      </c>
      <c r="U287">
        <f>IF(SQRT(POWER(T287-F287,2))+SQRT(POWER(E287-S287,2))=0,0,SQRT(POWER(T287-F287,2))+SQRT(POWER(E287-S287,2))+DATOS!$H$20)</f>
        <v>22.11</v>
      </c>
    </row>
    <row r="288" spans="1:21">
      <c r="A288" t="s">
        <v>232</v>
      </c>
      <c r="B288" t="s">
        <v>172</v>
      </c>
      <c r="C288" t="s">
        <v>32</v>
      </c>
      <c r="E288">
        <v>78.56</v>
      </c>
      <c r="F288">
        <v>52.47</v>
      </c>
      <c r="G288">
        <v>0</v>
      </c>
      <c r="H288">
        <v>180</v>
      </c>
      <c r="L288">
        <v>127</v>
      </c>
      <c r="M288">
        <v>1</v>
      </c>
      <c r="N288">
        <v>2</v>
      </c>
      <c r="P288" t="s">
        <v>91</v>
      </c>
      <c r="R288" t="str">
        <f t="shared" si="15"/>
        <v>TAB-EN</v>
      </c>
      <c r="S288">
        <f t="shared" si="13"/>
        <v>89.11</v>
      </c>
      <c r="T288">
        <f t="shared" si="14"/>
        <v>38.32</v>
      </c>
      <c r="U288">
        <f>IF(SQRT(POWER(T288-F288,2))+SQRT(POWER(E288-S288,2))=0,0,SQRT(POWER(T288-F288,2))+SQRT(POWER(E288-S288,2))+DATOS!$H$20)</f>
        <v>29.699999999999996</v>
      </c>
    </row>
    <row r="289" spans="1:21">
      <c r="A289" t="s">
        <v>232</v>
      </c>
      <c r="B289" t="s">
        <v>172</v>
      </c>
      <c r="C289" t="s">
        <v>32</v>
      </c>
      <c r="E289">
        <v>80.94</v>
      </c>
      <c r="F289">
        <v>52.47</v>
      </c>
      <c r="G289">
        <v>0</v>
      </c>
      <c r="H289">
        <v>180</v>
      </c>
      <c r="L289">
        <v>127</v>
      </c>
      <c r="M289">
        <v>1</v>
      </c>
      <c r="N289">
        <v>2</v>
      </c>
      <c r="P289" t="s">
        <v>91</v>
      </c>
      <c r="R289" t="str">
        <f t="shared" si="15"/>
        <v>TAB-EN</v>
      </c>
      <c r="S289">
        <f t="shared" si="13"/>
        <v>89.11</v>
      </c>
      <c r="T289">
        <f t="shared" si="14"/>
        <v>38.32</v>
      </c>
      <c r="U289">
        <f>IF(SQRT(POWER(T289-F289,2))+SQRT(POWER(E289-S289,2))=0,0,SQRT(POWER(T289-F289,2))+SQRT(POWER(E289-S289,2))+DATOS!$H$20)</f>
        <v>27.32</v>
      </c>
    </row>
    <row r="290" spans="1:21">
      <c r="A290" t="s">
        <v>233</v>
      </c>
      <c r="B290" t="s">
        <v>120</v>
      </c>
      <c r="C290" t="s">
        <v>121</v>
      </c>
      <c r="E290">
        <v>85.57</v>
      </c>
      <c r="F290">
        <v>52.84</v>
      </c>
      <c r="G290">
        <v>0</v>
      </c>
      <c r="I290">
        <v>180</v>
      </c>
      <c r="L290">
        <v>127</v>
      </c>
      <c r="M290">
        <v>1</v>
      </c>
      <c r="N290">
        <v>2</v>
      </c>
      <c r="P290" t="s">
        <v>234</v>
      </c>
      <c r="R290" t="str">
        <f t="shared" si="15"/>
        <v>TAB-EN</v>
      </c>
      <c r="S290">
        <f t="shared" si="13"/>
        <v>89.11</v>
      </c>
      <c r="T290">
        <f t="shared" si="14"/>
        <v>38.32</v>
      </c>
      <c r="U290">
        <f>IF(SQRT(POWER(T290-F290,2))+SQRT(POWER(E290-S290,2))=0,0,SQRT(POWER(T290-F290,2))+SQRT(POWER(E290-S290,2))+DATOS!$H$20)</f>
        <v>23.060000000000009</v>
      </c>
    </row>
    <row r="291" spans="1:21">
      <c r="A291" t="s">
        <v>232</v>
      </c>
      <c r="B291" t="s">
        <v>120</v>
      </c>
      <c r="C291" t="s">
        <v>121</v>
      </c>
      <c r="E291">
        <v>82.55</v>
      </c>
      <c r="F291">
        <v>45.1</v>
      </c>
      <c r="G291">
        <v>0</v>
      </c>
      <c r="I291">
        <v>180</v>
      </c>
      <c r="L291">
        <v>127</v>
      </c>
      <c r="M291">
        <v>1</v>
      </c>
      <c r="N291">
        <v>2</v>
      </c>
      <c r="P291" t="s">
        <v>91</v>
      </c>
      <c r="R291" t="str">
        <f t="shared" si="15"/>
        <v>TAB-EN</v>
      </c>
      <c r="S291">
        <f t="shared" si="13"/>
        <v>89.11</v>
      </c>
      <c r="T291">
        <f t="shared" si="14"/>
        <v>38.32</v>
      </c>
      <c r="U291">
        <f>IF(SQRT(POWER(T291-F291,2))+SQRT(POWER(E291-S291,2))=0,0,SQRT(POWER(T291-F291,2))+SQRT(POWER(E291-S291,2))+DATOS!$H$20)</f>
        <v>18.340000000000003</v>
      </c>
    </row>
    <row r="292" spans="1:21">
      <c r="A292" t="s">
        <v>232</v>
      </c>
      <c r="B292" t="s">
        <v>120</v>
      </c>
      <c r="C292" t="s">
        <v>121</v>
      </c>
      <c r="E292">
        <v>84.9</v>
      </c>
      <c r="F292">
        <v>45.1</v>
      </c>
      <c r="G292">
        <v>0</v>
      </c>
      <c r="I292">
        <v>180</v>
      </c>
      <c r="L292">
        <v>127</v>
      </c>
      <c r="M292">
        <v>1</v>
      </c>
      <c r="N292">
        <v>2</v>
      </c>
      <c r="P292" t="s">
        <v>91</v>
      </c>
      <c r="R292" t="str">
        <f t="shared" si="15"/>
        <v>TAB-EN</v>
      </c>
      <c r="S292">
        <f t="shared" si="13"/>
        <v>89.11</v>
      </c>
      <c r="T292">
        <f t="shared" si="14"/>
        <v>38.32</v>
      </c>
      <c r="U292">
        <f>IF(SQRT(POWER(T292-F292,2))+SQRT(POWER(E292-S292,2))=0,0,SQRT(POWER(T292-F292,2))+SQRT(POWER(E292-S292,2))+DATOS!$H$20)</f>
        <v>15.989999999999995</v>
      </c>
    </row>
    <row r="293" spans="1:21">
      <c r="A293" t="s">
        <v>232</v>
      </c>
      <c r="B293" t="s">
        <v>120</v>
      </c>
      <c r="C293" t="s">
        <v>121</v>
      </c>
      <c r="E293">
        <v>83.22</v>
      </c>
      <c r="F293">
        <v>52.46</v>
      </c>
      <c r="G293">
        <v>0</v>
      </c>
      <c r="I293">
        <v>180</v>
      </c>
      <c r="L293">
        <v>127</v>
      </c>
      <c r="M293">
        <v>1</v>
      </c>
      <c r="N293">
        <v>2</v>
      </c>
      <c r="P293" t="s">
        <v>91</v>
      </c>
      <c r="R293" t="str">
        <f t="shared" si="15"/>
        <v>TAB-EN</v>
      </c>
      <c r="S293">
        <f t="shared" si="13"/>
        <v>89.11</v>
      </c>
      <c r="T293">
        <f t="shared" si="14"/>
        <v>38.32</v>
      </c>
      <c r="U293">
        <f>IF(SQRT(POWER(T293-F293,2))+SQRT(POWER(E293-S293,2))=0,0,SQRT(POWER(T293-F293,2))+SQRT(POWER(E293-S293,2))+DATOS!$H$20)</f>
        <v>25.03</v>
      </c>
    </row>
    <row r="294" spans="1:21">
      <c r="A294" t="s">
        <v>233</v>
      </c>
      <c r="B294" t="s">
        <v>120</v>
      </c>
      <c r="C294" t="s">
        <v>121</v>
      </c>
      <c r="E294">
        <v>85.57</v>
      </c>
      <c r="F294">
        <v>52.46</v>
      </c>
      <c r="G294">
        <v>0</v>
      </c>
      <c r="I294">
        <v>180</v>
      </c>
      <c r="L294">
        <v>127</v>
      </c>
      <c r="M294">
        <v>1</v>
      </c>
      <c r="N294">
        <v>2</v>
      </c>
      <c r="P294" t="s">
        <v>235</v>
      </c>
      <c r="R294" t="str">
        <f t="shared" si="15"/>
        <v>TAB-EN</v>
      </c>
      <c r="S294">
        <f t="shared" si="13"/>
        <v>89.11</v>
      </c>
      <c r="T294">
        <f t="shared" si="14"/>
        <v>38.32</v>
      </c>
      <c r="U294">
        <f>IF(SQRT(POWER(T294-F294,2))+SQRT(POWER(E294-S294,2))=0,0,SQRT(POWER(T294-F294,2))+SQRT(POWER(E294-S294,2))+DATOS!$H$20)</f>
        <v>22.680000000000007</v>
      </c>
    </row>
    <row r="295" spans="1:21">
      <c r="A295" t="s">
        <v>236</v>
      </c>
      <c r="B295" t="s">
        <v>120</v>
      </c>
      <c r="C295" t="s">
        <v>121</v>
      </c>
      <c r="E295">
        <v>66.63</v>
      </c>
      <c r="F295">
        <v>51.47</v>
      </c>
      <c r="G295">
        <v>0</v>
      </c>
      <c r="I295">
        <v>180</v>
      </c>
      <c r="L295">
        <v>127</v>
      </c>
      <c r="M295">
        <v>1</v>
      </c>
      <c r="N295">
        <v>2</v>
      </c>
      <c r="P295" t="s">
        <v>106</v>
      </c>
      <c r="R295" t="str">
        <f t="shared" si="15"/>
        <v>TAB-EN</v>
      </c>
      <c r="S295">
        <f t="shared" si="13"/>
        <v>89.11</v>
      </c>
      <c r="T295">
        <f t="shared" si="14"/>
        <v>38.32</v>
      </c>
      <c r="U295">
        <f>IF(SQRT(POWER(T295-F295,2))+SQRT(POWER(E295-S295,2))=0,0,SQRT(POWER(T295-F295,2))+SQRT(POWER(E295-S295,2))+DATOS!$H$20)</f>
        <v>40.630000000000003</v>
      </c>
    </row>
    <row r="296" spans="1:21">
      <c r="A296" t="s">
        <v>236</v>
      </c>
      <c r="B296" t="s">
        <v>120</v>
      </c>
      <c r="C296" t="s">
        <v>121</v>
      </c>
      <c r="E296">
        <v>66.63</v>
      </c>
      <c r="F296">
        <v>54.2</v>
      </c>
      <c r="G296">
        <v>0</v>
      </c>
      <c r="I296">
        <v>180</v>
      </c>
      <c r="L296">
        <v>127</v>
      </c>
      <c r="M296">
        <v>1</v>
      </c>
      <c r="N296">
        <v>2</v>
      </c>
      <c r="P296" t="s">
        <v>106</v>
      </c>
      <c r="R296" t="str">
        <f t="shared" si="15"/>
        <v>TAB-EN</v>
      </c>
      <c r="S296">
        <f t="shared" si="13"/>
        <v>89.11</v>
      </c>
      <c r="T296">
        <f t="shared" si="14"/>
        <v>38.32</v>
      </c>
      <c r="U296">
        <f>IF(SQRT(POWER(T296-F296,2))+SQRT(POWER(E296-S296,2))=0,0,SQRT(POWER(T296-F296,2))+SQRT(POWER(E296-S296,2))+DATOS!$H$20)</f>
        <v>43.360000000000007</v>
      </c>
    </row>
    <row r="297" spans="1:21">
      <c r="A297" t="s">
        <v>236</v>
      </c>
      <c r="B297" t="s">
        <v>120</v>
      </c>
      <c r="C297" t="s">
        <v>121</v>
      </c>
      <c r="E297">
        <v>62.87</v>
      </c>
      <c r="F297">
        <v>52.18</v>
      </c>
      <c r="G297">
        <v>0</v>
      </c>
      <c r="I297">
        <v>220</v>
      </c>
      <c r="L297">
        <v>127</v>
      </c>
      <c r="M297">
        <v>1</v>
      </c>
      <c r="N297">
        <v>2</v>
      </c>
      <c r="P297" t="s">
        <v>106</v>
      </c>
      <c r="R297" t="str">
        <f t="shared" si="15"/>
        <v>TAB-EN</v>
      </c>
      <c r="S297">
        <f t="shared" si="13"/>
        <v>89.11</v>
      </c>
      <c r="T297">
        <f t="shared" si="14"/>
        <v>38.32</v>
      </c>
      <c r="U297">
        <f>IF(SQRT(POWER(T297-F297,2))+SQRT(POWER(E297-S297,2))=0,0,SQRT(POWER(T297-F297,2))+SQRT(POWER(E297-S297,2))+DATOS!$H$20)</f>
        <v>45.1</v>
      </c>
    </row>
    <row r="298" spans="1:21">
      <c r="A298" t="s">
        <v>236</v>
      </c>
      <c r="B298" t="s">
        <v>120</v>
      </c>
      <c r="C298" t="s">
        <v>121</v>
      </c>
      <c r="E298">
        <v>62.87</v>
      </c>
      <c r="F298">
        <v>55.48</v>
      </c>
      <c r="G298">
        <v>0</v>
      </c>
      <c r="I298">
        <v>220</v>
      </c>
      <c r="L298">
        <v>127</v>
      </c>
      <c r="M298">
        <v>1</v>
      </c>
      <c r="N298">
        <v>2</v>
      </c>
      <c r="P298" t="s">
        <v>106</v>
      </c>
      <c r="R298" t="str">
        <f t="shared" si="15"/>
        <v>TAB-EN</v>
      </c>
      <c r="S298">
        <f t="shared" si="13"/>
        <v>89.11</v>
      </c>
      <c r="T298">
        <f t="shared" si="14"/>
        <v>38.32</v>
      </c>
      <c r="U298">
        <f>IF(SQRT(POWER(T298-F298,2))+SQRT(POWER(E298-S298,2))=0,0,SQRT(POWER(T298-F298,2))+SQRT(POWER(E298-S298,2))+DATOS!$H$20)</f>
        <v>48.4</v>
      </c>
    </row>
    <row r="299" spans="1:21">
      <c r="A299" t="s">
        <v>236</v>
      </c>
      <c r="B299" t="s">
        <v>120</v>
      </c>
      <c r="C299" t="s">
        <v>121</v>
      </c>
      <c r="E299">
        <v>66.959999999999994</v>
      </c>
      <c r="F299">
        <v>51.47</v>
      </c>
      <c r="G299">
        <v>0</v>
      </c>
      <c r="I299">
        <v>180</v>
      </c>
      <c r="L299">
        <v>127</v>
      </c>
      <c r="M299">
        <v>1</v>
      </c>
      <c r="N299">
        <v>2</v>
      </c>
      <c r="P299" t="s">
        <v>106</v>
      </c>
      <c r="R299" t="str">
        <f t="shared" si="15"/>
        <v>TAB-EN</v>
      </c>
      <c r="S299">
        <f t="shared" si="13"/>
        <v>89.11</v>
      </c>
      <c r="T299">
        <f t="shared" si="14"/>
        <v>38.32</v>
      </c>
      <c r="U299">
        <f>IF(SQRT(POWER(T299-F299,2))+SQRT(POWER(E299-S299,2))=0,0,SQRT(POWER(T299-F299,2))+SQRT(POWER(E299-S299,2))+DATOS!$H$20)</f>
        <v>40.300000000000004</v>
      </c>
    </row>
    <row r="300" spans="1:21">
      <c r="A300" t="s">
        <v>236</v>
      </c>
      <c r="B300" t="s">
        <v>120</v>
      </c>
      <c r="C300" t="s">
        <v>121</v>
      </c>
      <c r="E300">
        <v>66.959999999999994</v>
      </c>
      <c r="F300">
        <v>54.2</v>
      </c>
      <c r="G300">
        <v>0</v>
      </c>
      <c r="I300">
        <v>180</v>
      </c>
      <c r="L300">
        <v>127</v>
      </c>
      <c r="M300">
        <v>1</v>
      </c>
      <c r="N300">
        <v>2</v>
      </c>
      <c r="P300" t="s">
        <v>106</v>
      </c>
      <c r="R300" t="str">
        <f t="shared" si="15"/>
        <v>TAB-EN</v>
      </c>
      <c r="S300">
        <f t="shared" si="13"/>
        <v>89.11</v>
      </c>
      <c r="T300">
        <f t="shared" si="14"/>
        <v>38.32</v>
      </c>
      <c r="U300">
        <f>IF(SQRT(POWER(T300-F300,2))+SQRT(POWER(E300-S300,2))=0,0,SQRT(POWER(T300-F300,2))+SQRT(POWER(E300-S300,2))+DATOS!$H$20)</f>
        <v>43.030000000000008</v>
      </c>
    </row>
    <row r="301" spans="1:21">
      <c r="A301" t="s">
        <v>236</v>
      </c>
      <c r="B301" t="s">
        <v>120</v>
      </c>
      <c r="C301" t="s">
        <v>121</v>
      </c>
      <c r="E301">
        <v>70.66</v>
      </c>
      <c r="F301">
        <v>53.44</v>
      </c>
      <c r="G301">
        <v>0</v>
      </c>
      <c r="I301">
        <v>220</v>
      </c>
      <c r="L301">
        <v>127</v>
      </c>
      <c r="M301">
        <v>1</v>
      </c>
      <c r="N301">
        <v>2</v>
      </c>
      <c r="P301" t="s">
        <v>106</v>
      </c>
      <c r="R301" t="str">
        <f t="shared" si="15"/>
        <v>TAB-EN</v>
      </c>
      <c r="S301">
        <f t="shared" si="13"/>
        <v>89.11</v>
      </c>
      <c r="T301">
        <f t="shared" si="14"/>
        <v>38.32</v>
      </c>
      <c r="U301">
        <f>IF(SQRT(POWER(T301-F301,2))+SQRT(POWER(E301-S301,2))=0,0,SQRT(POWER(T301-F301,2))+SQRT(POWER(E301-S301,2))+DATOS!$H$20)</f>
        <v>38.57</v>
      </c>
    </row>
    <row r="302" spans="1:21">
      <c r="A302" t="s">
        <v>236</v>
      </c>
      <c r="B302" t="s">
        <v>120</v>
      </c>
      <c r="C302" t="s">
        <v>121</v>
      </c>
      <c r="E302">
        <v>70.66</v>
      </c>
      <c r="F302">
        <v>55.48</v>
      </c>
      <c r="G302">
        <v>0</v>
      </c>
      <c r="I302">
        <v>220</v>
      </c>
      <c r="L302">
        <v>127</v>
      </c>
      <c r="M302">
        <v>1</v>
      </c>
      <c r="N302">
        <v>2</v>
      </c>
      <c r="P302" t="s">
        <v>106</v>
      </c>
      <c r="R302" t="str">
        <f t="shared" si="15"/>
        <v>TAB-EN</v>
      </c>
      <c r="S302">
        <f t="shared" si="13"/>
        <v>89.11</v>
      </c>
      <c r="T302">
        <f t="shared" si="14"/>
        <v>38.32</v>
      </c>
      <c r="U302">
        <f>IF(SQRT(POWER(T302-F302,2))+SQRT(POWER(E302-S302,2))=0,0,SQRT(POWER(T302-F302,2))+SQRT(POWER(E302-S302,2))+DATOS!$H$20)</f>
        <v>40.61</v>
      </c>
    </row>
    <row r="303" spans="1:21">
      <c r="A303" t="s">
        <v>233</v>
      </c>
      <c r="B303" t="s">
        <v>179</v>
      </c>
      <c r="C303" t="s">
        <v>180</v>
      </c>
      <c r="E303">
        <v>76.53</v>
      </c>
      <c r="F303">
        <v>54.98</v>
      </c>
      <c r="G303">
        <v>0</v>
      </c>
      <c r="H303">
        <v>180</v>
      </c>
      <c r="I303">
        <v>180</v>
      </c>
      <c r="L303">
        <v>127</v>
      </c>
      <c r="M303">
        <v>1</v>
      </c>
      <c r="N303">
        <v>2</v>
      </c>
      <c r="P303" t="s">
        <v>235</v>
      </c>
      <c r="R303" t="str">
        <f t="shared" si="15"/>
        <v>TAB-EN</v>
      </c>
      <c r="S303">
        <f t="shared" si="13"/>
        <v>89.11</v>
      </c>
      <c r="T303">
        <f t="shared" si="14"/>
        <v>38.32</v>
      </c>
      <c r="U303">
        <f>IF(SQRT(POWER(T303-F303,2))+SQRT(POWER(E303-S303,2))=0,0,SQRT(POWER(T303-F303,2))+SQRT(POWER(E303-S303,2))+DATOS!$H$20)</f>
        <v>34.239999999999995</v>
      </c>
    </row>
    <row r="304" spans="1:21">
      <c r="A304" t="s">
        <v>233</v>
      </c>
      <c r="B304" t="s">
        <v>179</v>
      </c>
      <c r="C304" t="s">
        <v>180</v>
      </c>
      <c r="E304">
        <v>76.53</v>
      </c>
      <c r="F304">
        <v>55.99</v>
      </c>
      <c r="G304">
        <v>0</v>
      </c>
      <c r="H304">
        <v>180</v>
      </c>
      <c r="I304">
        <v>180</v>
      </c>
      <c r="L304">
        <v>127</v>
      </c>
      <c r="M304">
        <v>1</v>
      </c>
      <c r="N304">
        <v>2</v>
      </c>
      <c r="P304" t="s">
        <v>235</v>
      </c>
      <c r="R304" t="str">
        <f t="shared" si="15"/>
        <v>TAB-EN</v>
      </c>
      <c r="S304">
        <f t="shared" si="13"/>
        <v>89.11</v>
      </c>
      <c r="T304">
        <f t="shared" si="14"/>
        <v>38.32</v>
      </c>
      <c r="U304">
        <f>IF(SQRT(POWER(T304-F304,2))+SQRT(POWER(E304-S304,2))=0,0,SQRT(POWER(T304-F304,2))+SQRT(POWER(E304-S304,2))+DATOS!$H$20)</f>
        <v>35.25</v>
      </c>
    </row>
    <row r="305" spans="1:21">
      <c r="A305" t="s">
        <v>233</v>
      </c>
      <c r="B305" t="s">
        <v>179</v>
      </c>
      <c r="C305" t="s">
        <v>180</v>
      </c>
      <c r="E305">
        <v>76.14</v>
      </c>
      <c r="F305">
        <v>53.78</v>
      </c>
      <c r="G305">
        <v>0</v>
      </c>
      <c r="H305">
        <v>180</v>
      </c>
      <c r="I305">
        <v>180</v>
      </c>
      <c r="L305">
        <v>127</v>
      </c>
      <c r="M305">
        <v>1</v>
      </c>
      <c r="N305">
        <v>2</v>
      </c>
      <c r="P305" t="s">
        <v>235</v>
      </c>
      <c r="R305" t="str">
        <f t="shared" si="15"/>
        <v>TAB-EN</v>
      </c>
      <c r="S305">
        <f t="shared" si="13"/>
        <v>89.11</v>
      </c>
      <c r="T305">
        <f t="shared" si="14"/>
        <v>38.32</v>
      </c>
      <c r="U305">
        <f>IF(SQRT(POWER(T305-F305,2))+SQRT(POWER(E305-S305,2))=0,0,SQRT(POWER(T305-F305,2))+SQRT(POWER(E305-S305,2))+DATOS!$H$20)</f>
        <v>33.43</v>
      </c>
    </row>
    <row r="306" spans="1:21">
      <c r="A306" t="s">
        <v>233</v>
      </c>
      <c r="B306" t="s">
        <v>120</v>
      </c>
      <c r="C306" t="s">
        <v>121</v>
      </c>
      <c r="E306">
        <v>77.3</v>
      </c>
      <c r="F306">
        <v>57.22</v>
      </c>
      <c r="G306">
        <v>0</v>
      </c>
      <c r="I306">
        <v>180</v>
      </c>
      <c r="L306">
        <v>127</v>
      </c>
      <c r="M306">
        <v>1</v>
      </c>
      <c r="N306">
        <v>2</v>
      </c>
      <c r="P306" t="s">
        <v>235</v>
      </c>
      <c r="R306" t="str">
        <f t="shared" si="15"/>
        <v>TAB-EN</v>
      </c>
      <c r="S306">
        <f t="shared" si="13"/>
        <v>89.11</v>
      </c>
      <c r="T306">
        <f t="shared" si="14"/>
        <v>38.32</v>
      </c>
      <c r="U306">
        <f>IF(SQRT(POWER(T306-F306,2))+SQRT(POWER(E306-S306,2))=0,0,SQRT(POWER(T306-F306,2))+SQRT(POWER(E306-S306,2))+DATOS!$H$20)</f>
        <v>35.71</v>
      </c>
    </row>
    <row r="307" spans="1:21">
      <c r="A307" t="s">
        <v>123</v>
      </c>
      <c r="B307" t="s">
        <v>124</v>
      </c>
      <c r="C307" t="s">
        <v>32</v>
      </c>
      <c r="E307">
        <v>70.64</v>
      </c>
      <c r="F307">
        <v>33.619999999999997</v>
      </c>
      <c r="G307">
        <v>0</v>
      </c>
      <c r="I307">
        <v>180</v>
      </c>
      <c r="L307">
        <v>127</v>
      </c>
      <c r="M307">
        <v>1</v>
      </c>
      <c r="N307">
        <v>2</v>
      </c>
      <c r="P307" t="s">
        <v>125</v>
      </c>
      <c r="R307" t="str">
        <f t="shared" si="15"/>
        <v>TAB-EN</v>
      </c>
      <c r="S307">
        <f t="shared" si="13"/>
        <v>89.11</v>
      </c>
      <c r="T307">
        <f t="shared" si="14"/>
        <v>38.32</v>
      </c>
      <c r="U307">
        <f>IF(SQRT(POWER(T307-F307,2))+SQRT(POWER(E307-S307,2))=0,0,SQRT(POWER(T307-F307,2))+SQRT(POWER(E307-S307,2))+DATOS!$H$20)</f>
        <v>28.17</v>
      </c>
    </row>
    <row r="308" spans="1:21">
      <c r="A308" t="s">
        <v>123</v>
      </c>
      <c r="B308" t="s">
        <v>124</v>
      </c>
      <c r="C308" t="s">
        <v>32</v>
      </c>
      <c r="E308">
        <v>68.239999999999995</v>
      </c>
      <c r="F308">
        <v>33.619999999999997</v>
      </c>
      <c r="G308">
        <v>0</v>
      </c>
      <c r="I308">
        <v>180</v>
      </c>
      <c r="L308">
        <v>127</v>
      </c>
      <c r="M308">
        <v>1</v>
      </c>
      <c r="N308">
        <v>2</v>
      </c>
      <c r="P308" t="s">
        <v>125</v>
      </c>
      <c r="R308" t="str">
        <f t="shared" si="15"/>
        <v>TAB-EN</v>
      </c>
      <c r="S308">
        <f t="shared" si="13"/>
        <v>89.11</v>
      </c>
      <c r="T308">
        <f t="shared" si="14"/>
        <v>38.32</v>
      </c>
      <c r="U308">
        <f>IF(SQRT(POWER(T308-F308,2))+SQRT(POWER(E308-S308,2))=0,0,SQRT(POWER(T308-F308,2))+SQRT(POWER(E308-S308,2))+DATOS!$H$20)</f>
        <v>30.570000000000007</v>
      </c>
    </row>
    <row r="309" spans="1:21">
      <c r="A309" t="s">
        <v>123</v>
      </c>
      <c r="B309" t="s">
        <v>237</v>
      </c>
      <c r="C309" t="s">
        <v>32</v>
      </c>
      <c r="E309">
        <v>63.82</v>
      </c>
      <c r="F309">
        <v>35.83</v>
      </c>
      <c r="G309">
        <v>0</v>
      </c>
      <c r="I309">
        <v>180</v>
      </c>
      <c r="L309">
        <v>127</v>
      </c>
      <c r="M309">
        <v>1</v>
      </c>
      <c r="N309">
        <v>2</v>
      </c>
      <c r="P309" t="s">
        <v>125</v>
      </c>
      <c r="R309" t="str">
        <f t="shared" si="15"/>
        <v>TAB-EN</v>
      </c>
      <c r="S309">
        <f t="shared" si="13"/>
        <v>89.11</v>
      </c>
      <c r="T309">
        <f t="shared" si="14"/>
        <v>38.32</v>
      </c>
      <c r="U309">
        <f>IF(SQRT(POWER(T309-F309,2))+SQRT(POWER(E309-S309,2))=0,0,SQRT(POWER(T309-F309,2))+SQRT(POWER(E309-S309,2))+DATOS!$H$20)</f>
        <v>32.78</v>
      </c>
    </row>
    <row r="310" spans="1:21">
      <c r="A310" t="s">
        <v>123</v>
      </c>
      <c r="B310" t="s">
        <v>237</v>
      </c>
      <c r="C310" t="s">
        <v>32</v>
      </c>
      <c r="E310">
        <v>62.98</v>
      </c>
      <c r="F310">
        <v>35.32</v>
      </c>
      <c r="G310">
        <v>0</v>
      </c>
      <c r="I310">
        <v>180</v>
      </c>
      <c r="L310">
        <v>127</v>
      </c>
      <c r="M310">
        <v>1</v>
      </c>
      <c r="N310">
        <v>2</v>
      </c>
      <c r="P310" t="s">
        <v>125</v>
      </c>
      <c r="R310" t="str">
        <f t="shared" si="15"/>
        <v>TAB-EN</v>
      </c>
      <c r="S310">
        <f t="shared" si="13"/>
        <v>89.11</v>
      </c>
      <c r="T310">
        <f t="shared" si="14"/>
        <v>38.32</v>
      </c>
      <c r="U310">
        <f>IF(SQRT(POWER(T310-F310,2))+SQRT(POWER(E310-S310,2))=0,0,SQRT(POWER(T310-F310,2))+SQRT(POWER(E310-S310,2))+DATOS!$H$20)</f>
        <v>34.130000000000003</v>
      </c>
    </row>
    <row r="311" spans="1:21">
      <c r="A311" t="s">
        <v>233</v>
      </c>
      <c r="B311" t="s">
        <v>120</v>
      </c>
      <c r="C311" t="s">
        <v>121</v>
      </c>
      <c r="E311">
        <v>80.45</v>
      </c>
      <c r="F311">
        <v>55.62</v>
      </c>
      <c r="G311">
        <v>0</v>
      </c>
      <c r="I311">
        <v>180</v>
      </c>
      <c r="L311">
        <v>127</v>
      </c>
      <c r="M311">
        <v>1</v>
      </c>
      <c r="N311">
        <v>2</v>
      </c>
      <c r="P311" t="s">
        <v>235</v>
      </c>
      <c r="R311" t="str">
        <f t="shared" si="15"/>
        <v>TAB-EN</v>
      </c>
      <c r="S311">
        <f t="shared" si="13"/>
        <v>89.11</v>
      </c>
      <c r="T311">
        <f t="shared" si="14"/>
        <v>38.32</v>
      </c>
      <c r="U311">
        <f>IF(SQRT(POWER(T311-F311,2))+SQRT(POWER(E311-S311,2))=0,0,SQRT(POWER(T311-F311,2))+SQRT(POWER(E311-S311,2))+DATOS!$H$20)</f>
        <v>30.959999999999994</v>
      </c>
    </row>
    <row r="312" spans="1:21">
      <c r="A312" t="s">
        <v>233</v>
      </c>
      <c r="B312" t="s">
        <v>179</v>
      </c>
      <c r="C312" t="s">
        <v>180</v>
      </c>
      <c r="E312">
        <v>76.14</v>
      </c>
      <c r="F312">
        <v>54.42</v>
      </c>
      <c r="G312">
        <v>0</v>
      </c>
      <c r="H312">
        <v>180</v>
      </c>
      <c r="I312">
        <v>180</v>
      </c>
      <c r="L312">
        <v>127</v>
      </c>
      <c r="M312">
        <v>1</v>
      </c>
      <c r="N312">
        <v>2</v>
      </c>
      <c r="P312" t="s">
        <v>235</v>
      </c>
      <c r="R312" t="str">
        <f t="shared" si="15"/>
        <v>TAB-EN</v>
      </c>
      <c r="S312">
        <f t="shared" si="13"/>
        <v>89.11</v>
      </c>
      <c r="T312">
        <f t="shared" si="14"/>
        <v>38.32</v>
      </c>
      <c r="U312">
        <f>IF(SQRT(POWER(T312-F312,2))+SQRT(POWER(E312-S312,2))=0,0,SQRT(POWER(T312-F312,2))+SQRT(POWER(E312-S312,2))+DATOS!$H$20)</f>
        <v>34.07</v>
      </c>
    </row>
    <row r="313" spans="1:21">
      <c r="A313" t="s">
        <v>238</v>
      </c>
      <c r="B313" t="s">
        <v>120</v>
      </c>
      <c r="C313" t="s">
        <v>121</v>
      </c>
      <c r="E313">
        <v>61.6</v>
      </c>
      <c r="F313">
        <v>37.799999999999997</v>
      </c>
      <c r="G313">
        <v>0</v>
      </c>
      <c r="I313">
        <v>180</v>
      </c>
      <c r="L313">
        <v>127</v>
      </c>
      <c r="M313">
        <v>1</v>
      </c>
      <c r="N313">
        <v>2</v>
      </c>
      <c r="P313" t="s">
        <v>239</v>
      </c>
      <c r="R313" t="str">
        <f t="shared" si="15"/>
        <v>TAB-EN</v>
      </c>
      <c r="S313">
        <f t="shared" si="13"/>
        <v>89.11</v>
      </c>
      <c r="T313">
        <f t="shared" si="14"/>
        <v>38.32</v>
      </c>
      <c r="U313">
        <f>IF(SQRT(POWER(T313-F313,2))+SQRT(POWER(E313-S313,2))=0,0,SQRT(POWER(T313-F313,2))+SQRT(POWER(E313-S313,2))+DATOS!$H$20)</f>
        <v>33.03</v>
      </c>
    </row>
    <row r="314" spans="1:21">
      <c r="A314" t="s">
        <v>238</v>
      </c>
      <c r="B314" t="s">
        <v>120</v>
      </c>
      <c r="C314" t="s">
        <v>121</v>
      </c>
      <c r="E314">
        <v>58.63</v>
      </c>
      <c r="F314">
        <v>40.15</v>
      </c>
      <c r="G314">
        <v>0</v>
      </c>
      <c r="I314">
        <v>180</v>
      </c>
      <c r="L314">
        <v>127</v>
      </c>
      <c r="M314">
        <v>1</v>
      </c>
      <c r="N314">
        <v>2</v>
      </c>
      <c r="P314" t="s">
        <v>239</v>
      </c>
      <c r="R314" t="str">
        <f t="shared" si="15"/>
        <v>TAB-EN</v>
      </c>
      <c r="S314">
        <f t="shared" si="13"/>
        <v>89.11</v>
      </c>
      <c r="T314">
        <f t="shared" si="14"/>
        <v>38.32</v>
      </c>
      <c r="U314">
        <f>IF(SQRT(POWER(T314-F314,2))+SQRT(POWER(E314-S314,2))=0,0,SQRT(POWER(T314-F314,2))+SQRT(POWER(E314-S314,2))+DATOS!$H$20)</f>
        <v>37.309999999999995</v>
      </c>
    </row>
    <row r="315" spans="1:21">
      <c r="A315" t="s">
        <v>238</v>
      </c>
      <c r="B315" t="s">
        <v>172</v>
      </c>
      <c r="C315" t="s">
        <v>32</v>
      </c>
      <c r="E315">
        <v>62.6</v>
      </c>
      <c r="F315">
        <v>41.58</v>
      </c>
      <c r="G315">
        <v>0</v>
      </c>
      <c r="H315">
        <v>180</v>
      </c>
      <c r="L315">
        <v>127</v>
      </c>
      <c r="M315">
        <v>1</v>
      </c>
      <c r="N315">
        <v>2</v>
      </c>
      <c r="P315" t="s">
        <v>239</v>
      </c>
      <c r="R315" t="str">
        <f t="shared" si="15"/>
        <v>TAB-EN</v>
      </c>
      <c r="S315">
        <f t="shared" si="13"/>
        <v>89.11</v>
      </c>
      <c r="T315">
        <f t="shared" si="14"/>
        <v>38.32</v>
      </c>
      <c r="U315">
        <f>IF(SQRT(POWER(T315-F315,2))+SQRT(POWER(E315-S315,2))=0,0,SQRT(POWER(T315-F315,2))+SQRT(POWER(E315-S315,2))+DATOS!$H$20)</f>
        <v>34.769999999999996</v>
      </c>
    </row>
    <row r="316" spans="1:21">
      <c r="A316" t="s">
        <v>238</v>
      </c>
      <c r="B316" t="s">
        <v>179</v>
      </c>
      <c r="C316" t="s">
        <v>180</v>
      </c>
      <c r="E316">
        <v>61.89</v>
      </c>
      <c r="F316">
        <v>43.62</v>
      </c>
      <c r="G316">
        <v>0</v>
      </c>
      <c r="H316">
        <v>180</v>
      </c>
      <c r="I316">
        <v>180</v>
      </c>
      <c r="L316">
        <v>127</v>
      </c>
      <c r="M316">
        <v>1</v>
      </c>
      <c r="N316">
        <v>2</v>
      </c>
      <c r="P316" t="s">
        <v>239</v>
      </c>
      <c r="R316" t="str">
        <f t="shared" si="15"/>
        <v>TAB-EN</v>
      </c>
      <c r="S316">
        <f t="shared" si="13"/>
        <v>89.11</v>
      </c>
      <c r="T316">
        <f t="shared" si="14"/>
        <v>38.32</v>
      </c>
      <c r="U316">
        <f>IF(SQRT(POWER(T316-F316,2))+SQRT(POWER(E316-S316,2))=0,0,SQRT(POWER(T316-F316,2))+SQRT(POWER(E316-S316,2))+DATOS!$H$20)</f>
        <v>37.519999999999996</v>
      </c>
    </row>
    <row r="317" spans="1:21">
      <c r="A317" t="s">
        <v>238</v>
      </c>
      <c r="B317" t="s">
        <v>120</v>
      </c>
      <c r="C317" t="s">
        <v>121</v>
      </c>
      <c r="E317">
        <v>61.13</v>
      </c>
      <c r="F317">
        <v>44</v>
      </c>
      <c r="G317">
        <v>0</v>
      </c>
      <c r="I317">
        <v>180</v>
      </c>
      <c r="L317">
        <v>127</v>
      </c>
      <c r="M317">
        <v>1</v>
      </c>
      <c r="N317">
        <v>2</v>
      </c>
      <c r="P317" t="s">
        <v>239</v>
      </c>
      <c r="R317" t="str">
        <f t="shared" si="15"/>
        <v>TAB-EN</v>
      </c>
      <c r="S317">
        <f t="shared" si="13"/>
        <v>89.11</v>
      </c>
      <c r="T317">
        <f t="shared" si="14"/>
        <v>38.32</v>
      </c>
      <c r="U317">
        <f>IF(SQRT(POWER(T317-F317,2))+SQRT(POWER(E317-S317,2))=0,0,SQRT(POWER(T317-F317,2))+SQRT(POWER(E317-S317,2))+DATOS!$H$20)</f>
        <v>38.659999999999997</v>
      </c>
    </row>
    <row r="318" spans="1:21">
      <c r="A318" t="s">
        <v>238</v>
      </c>
      <c r="B318" t="s">
        <v>124</v>
      </c>
      <c r="C318" t="s">
        <v>32</v>
      </c>
      <c r="E318">
        <v>65.64</v>
      </c>
      <c r="F318">
        <v>40.42</v>
      </c>
      <c r="G318">
        <v>0</v>
      </c>
      <c r="L318">
        <v>127</v>
      </c>
      <c r="M318">
        <v>1</v>
      </c>
      <c r="N318">
        <v>2</v>
      </c>
      <c r="P318" t="s">
        <v>239</v>
      </c>
      <c r="R318" t="str">
        <f t="shared" si="15"/>
        <v>TAB-EN</v>
      </c>
      <c r="S318">
        <f t="shared" si="13"/>
        <v>89.11</v>
      </c>
      <c r="T318">
        <f t="shared" si="14"/>
        <v>38.32</v>
      </c>
      <c r="U318">
        <f>IF(SQRT(POWER(T318-F318,2))+SQRT(POWER(E318-S318,2))=0,0,SQRT(POWER(T318-F318,2))+SQRT(POWER(E318-S318,2))+DATOS!$H$20)</f>
        <v>30.57</v>
      </c>
    </row>
    <row r="319" spans="1:21">
      <c r="A319" t="s">
        <v>238</v>
      </c>
      <c r="B319" t="s">
        <v>124</v>
      </c>
      <c r="C319" t="s">
        <v>32</v>
      </c>
      <c r="E319">
        <v>63.15</v>
      </c>
      <c r="F319">
        <v>40.92</v>
      </c>
      <c r="G319">
        <v>0</v>
      </c>
      <c r="I319">
        <v>180</v>
      </c>
      <c r="L319">
        <v>127</v>
      </c>
      <c r="M319">
        <v>1</v>
      </c>
      <c r="N319">
        <v>2</v>
      </c>
      <c r="P319" t="s">
        <v>239</v>
      </c>
      <c r="R319" t="str">
        <f t="shared" si="15"/>
        <v>TAB-EN</v>
      </c>
      <c r="S319">
        <f t="shared" si="13"/>
        <v>89.11</v>
      </c>
      <c r="T319">
        <f t="shared" si="14"/>
        <v>38.32</v>
      </c>
      <c r="U319">
        <f>IF(SQRT(POWER(T319-F319,2))+SQRT(POWER(E319-S319,2))=0,0,SQRT(POWER(T319-F319,2))+SQRT(POWER(E319-S319,2))+DATOS!$H$20)</f>
        <v>33.56</v>
      </c>
    </row>
    <row r="320" spans="1:21">
      <c r="A320" t="s">
        <v>238</v>
      </c>
      <c r="B320" t="s">
        <v>124</v>
      </c>
      <c r="C320" t="s">
        <v>32</v>
      </c>
      <c r="E320">
        <v>62.97</v>
      </c>
      <c r="F320">
        <v>39.880000000000003</v>
      </c>
      <c r="G320">
        <v>0</v>
      </c>
      <c r="I320">
        <v>180</v>
      </c>
      <c r="L320">
        <v>127</v>
      </c>
      <c r="M320">
        <v>1</v>
      </c>
      <c r="N320">
        <v>2</v>
      </c>
      <c r="P320" t="s">
        <v>239</v>
      </c>
      <c r="R320" t="str">
        <f t="shared" si="15"/>
        <v>TAB-EN</v>
      </c>
      <c r="S320">
        <f t="shared" si="13"/>
        <v>89.11</v>
      </c>
      <c r="T320">
        <f t="shared" si="14"/>
        <v>38.32</v>
      </c>
      <c r="U320">
        <f>IF(SQRT(POWER(T320-F320,2))+SQRT(POWER(E320-S320,2))=0,0,SQRT(POWER(T320-F320,2))+SQRT(POWER(E320-S320,2))+DATOS!$H$20)</f>
        <v>32.700000000000003</v>
      </c>
    </row>
    <row r="321" spans="1:21">
      <c r="A321" t="s">
        <v>240</v>
      </c>
      <c r="B321" t="s">
        <v>120</v>
      </c>
      <c r="C321" t="s">
        <v>121</v>
      </c>
      <c r="E321">
        <v>59.73</v>
      </c>
      <c r="F321">
        <v>46.98</v>
      </c>
      <c r="G321">
        <v>0</v>
      </c>
      <c r="I321">
        <v>180</v>
      </c>
      <c r="L321">
        <v>127</v>
      </c>
      <c r="M321">
        <v>1</v>
      </c>
      <c r="N321">
        <v>2</v>
      </c>
      <c r="P321" t="s">
        <v>241</v>
      </c>
      <c r="R321" t="str">
        <f t="shared" si="15"/>
        <v>TAB-EN</v>
      </c>
      <c r="S321">
        <f t="shared" si="13"/>
        <v>89.11</v>
      </c>
      <c r="T321">
        <f t="shared" si="14"/>
        <v>38.32</v>
      </c>
      <c r="U321">
        <f>IF(SQRT(POWER(T321-F321,2))+SQRT(POWER(E321-S321,2))=0,0,SQRT(POWER(T321-F321,2))+SQRT(POWER(E321-S321,2))+DATOS!$H$20)</f>
        <v>43.04</v>
      </c>
    </row>
    <row r="322" spans="1:21">
      <c r="A322" t="s">
        <v>240</v>
      </c>
      <c r="B322" t="s">
        <v>120</v>
      </c>
      <c r="C322" t="s">
        <v>121</v>
      </c>
      <c r="E322">
        <v>60.12</v>
      </c>
      <c r="F322">
        <v>48.08</v>
      </c>
      <c r="G322">
        <v>0</v>
      </c>
      <c r="I322">
        <v>180</v>
      </c>
      <c r="L322">
        <v>127</v>
      </c>
      <c r="M322">
        <v>1</v>
      </c>
      <c r="N322">
        <v>2</v>
      </c>
      <c r="P322" t="s">
        <v>241</v>
      </c>
      <c r="R322" t="str">
        <f t="shared" si="15"/>
        <v>TAB-EN</v>
      </c>
      <c r="S322">
        <f t="shared" si="13"/>
        <v>89.11</v>
      </c>
      <c r="T322">
        <f t="shared" si="14"/>
        <v>38.32</v>
      </c>
      <c r="U322">
        <f>IF(SQRT(POWER(T322-F322,2))+SQRT(POWER(E322-S322,2))=0,0,SQRT(POWER(T322-F322,2))+SQRT(POWER(E322-S322,2))+DATOS!$H$20)</f>
        <v>43.75</v>
      </c>
    </row>
    <row r="323" spans="1:21">
      <c r="A323" t="s">
        <v>240</v>
      </c>
      <c r="B323" t="s">
        <v>120</v>
      </c>
      <c r="C323" t="s">
        <v>121</v>
      </c>
      <c r="E323">
        <v>58.24</v>
      </c>
      <c r="F323">
        <v>48.54</v>
      </c>
      <c r="G323">
        <v>0</v>
      </c>
      <c r="I323">
        <v>180</v>
      </c>
      <c r="L323">
        <v>127</v>
      </c>
      <c r="M323">
        <v>1</v>
      </c>
      <c r="N323">
        <v>2</v>
      </c>
      <c r="P323" t="s">
        <v>241</v>
      </c>
      <c r="R323" t="str">
        <f t="shared" si="15"/>
        <v>TAB-EN</v>
      </c>
      <c r="S323">
        <f t="shared" ref="S323:S386" si="16">IFERROR(VLOOKUP(R323,$A$2:$F$700,5,0),E323)</f>
        <v>89.11</v>
      </c>
      <c r="T323">
        <f t="shared" ref="T323:T386" si="17">IFERROR(VLOOKUP(R323,$A$2:$F$700,6,0),F323)</f>
        <v>38.32</v>
      </c>
      <c r="U323">
        <f>IF(SQRT(POWER(T323-F323,2))+SQRT(POWER(E323-S323,2))=0,0,SQRT(POWER(T323-F323,2))+SQRT(POWER(E323-S323,2))+DATOS!$H$20)</f>
        <v>46.089999999999996</v>
      </c>
    </row>
    <row r="324" spans="1:21">
      <c r="A324" t="s">
        <v>240</v>
      </c>
      <c r="B324" t="s">
        <v>172</v>
      </c>
      <c r="C324" t="s">
        <v>32</v>
      </c>
      <c r="E324">
        <v>61.5</v>
      </c>
      <c r="F324">
        <v>46.98</v>
      </c>
      <c r="G324">
        <v>0</v>
      </c>
      <c r="H324">
        <v>180</v>
      </c>
      <c r="L324">
        <v>127</v>
      </c>
      <c r="M324">
        <v>1</v>
      </c>
      <c r="N324">
        <v>2</v>
      </c>
      <c r="P324" t="s">
        <v>241</v>
      </c>
      <c r="R324" t="str">
        <f t="shared" si="15"/>
        <v>TAB-EN</v>
      </c>
      <c r="S324">
        <f t="shared" si="16"/>
        <v>89.11</v>
      </c>
      <c r="T324">
        <f t="shared" si="17"/>
        <v>38.32</v>
      </c>
      <c r="U324">
        <f>IF(SQRT(POWER(T324-F324,2))+SQRT(POWER(E324-S324,2))=0,0,SQRT(POWER(T324-F324,2))+SQRT(POWER(E324-S324,2))+DATOS!$H$20)</f>
        <v>41.269999999999996</v>
      </c>
    </row>
    <row r="325" spans="1:21">
      <c r="A325" t="s">
        <v>240</v>
      </c>
      <c r="B325" t="s">
        <v>172</v>
      </c>
      <c r="C325" t="s">
        <v>32</v>
      </c>
      <c r="E325">
        <v>59.58</v>
      </c>
      <c r="F325">
        <v>49.99</v>
      </c>
      <c r="G325">
        <v>0</v>
      </c>
      <c r="H325">
        <v>180</v>
      </c>
      <c r="L325">
        <v>127</v>
      </c>
      <c r="M325">
        <v>1</v>
      </c>
      <c r="N325">
        <v>2</v>
      </c>
      <c r="P325" t="s">
        <v>241</v>
      </c>
      <c r="R325" t="str">
        <f t="shared" si="15"/>
        <v>TAB-EN</v>
      </c>
      <c r="S325">
        <f t="shared" si="16"/>
        <v>89.11</v>
      </c>
      <c r="T325">
        <f t="shared" si="17"/>
        <v>38.32</v>
      </c>
      <c r="U325">
        <f>IF(SQRT(POWER(T325-F325,2))+SQRT(POWER(E325-S325,2))=0,0,SQRT(POWER(T325-F325,2))+SQRT(POWER(E325-S325,2))+DATOS!$H$20)</f>
        <v>46.2</v>
      </c>
    </row>
    <row r="326" spans="1:21">
      <c r="A326" t="s">
        <v>240</v>
      </c>
      <c r="B326" t="s">
        <v>172</v>
      </c>
      <c r="C326" t="s">
        <v>32</v>
      </c>
      <c r="E326">
        <v>60.32</v>
      </c>
      <c r="F326">
        <v>56.85</v>
      </c>
      <c r="G326">
        <v>0</v>
      </c>
      <c r="H326">
        <v>180</v>
      </c>
      <c r="L326">
        <v>127</v>
      </c>
      <c r="M326">
        <v>1</v>
      </c>
      <c r="N326">
        <v>2</v>
      </c>
      <c r="P326" t="s">
        <v>241</v>
      </c>
      <c r="R326" t="str">
        <f t="shared" si="15"/>
        <v>TAB-EN</v>
      </c>
      <c r="S326">
        <f t="shared" si="16"/>
        <v>89.11</v>
      </c>
      <c r="T326">
        <f t="shared" si="17"/>
        <v>38.32</v>
      </c>
      <c r="U326">
        <f>IF(SQRT(POWER(T326-F326,2))+SQRT(POWER(E326-S326,2))=0,0,SQRT(POWER(T326-F326,2))+SQRT(POWER(E326-S326,2))+DATOS!$H$20)</f>
        <v>52.32</v>
      </c>
    </row>
    <row r="327" spans="1:21">
      <c r="A327" t="s">
        <v>242</v>
      </c>
      <c r="B327" t="s">
        <v>68</v>
      </c>
      <c r="C327" t="s">
        <v>32</v>
      </c>
      <c r="E327">
        <v>2.4</v>
      </c>
      <c r="F327">
        <v>14.66</v>
      </c>
      <c r="G327">
        <v>0</v>
      </c>
      <c r="I327">
        <v>1500</v>
      </c>
      <c r="L327" t="s">
        <v>158</v>
      </c>
      <c r="M327">
        <v>3</v>
      </c>
      <c r="N327">
        <v>4</v>
      </c>
      <c r="P327" t="s">
        <v>243</v>
      </c>
      <c r="R327" t="str">
        <f t="shared" si="15"/>
        <v>TAB-MN</v>
      </c>
      <c r="S327">
        <f t="shared" si="16"/>
        <v>6.99</v>
      </c>
      <c r="T327">
        <f t="shared" si="17"/>
        <v>9.1</v>
      </c>
      <c r="U327">
        <f>IF(SQRT(POWER(T327-F327,2))+SQRT(POWER(E327-S327,2))=0,0,SQRT(POWER(T327-F327,2))+SQRT(POWER(E327-S327,2))+DATOS!$H$20)</f>
        <v>15.15</v>
      </c>
    </row>
    <row r="328" spans="1:21">
      <c r="A328" t="s">
        <v>242</v>
      </c>
      <c r="B328" t="s">
        <v>68</v>
      </c>
      <c r="C328" t="s">
        <v>32</v>
      </c>
      <c r="E328">
        <v>2.4</v>
      </c>
      <c r="F328">
        <v>15.16</v>
      </c>
      <c r="G328">
        <v>0</v>
      </c>
      <c r="I328">
        <v>1500</v>
      </c>
      <c r="L328" t="s">
        <v>158</v>
      </c>
      <c r="M328">
        <v>3</v>
      </c>
      <c r="N328">
        <v>4</v>
      </c>
      <c r="P328" t="s">
        <v>243</v>
      </c>
      <c r="R328" t="str">
        <f t="shared" si="15"/>
        <v>TAB-MN</v>
      </c>
      <c r="S328">
        <f t="shared" si="16"/>
        <v>6.99</v>
      </c>
      <c r="T328">
        <f t="shared" si="17"/>
        <v>9.1</v>
      </c>
      <c r="U328">
        <f>IF(SQRT(POWER(T328-F328,2))+SQRT(POWER(E328-S328,2))=0,0,SQRT(POWER(T328-F328,2))+SQRT(POWER(E328-S328,2))+DATOS!$H$20)</f>
        <v>15.65</v>
      </c>
    </row>
    <row r="329" spans="1:21">
      <c r="A329" t="s">
        <v>244</v>
      </c>
      <c r="B329" t="s">
        <v>68</v>
      </c>
      <c r="C329" t="s">
        <v>32</v>
      </c>
      <c r="E329">
        <v>11.72</v>
      </c>
      <c r="F329">
        <v>6.38</v>
      </c>
      <c r="G329">
        <v>0</v>
      </c>
      <c r="I329">
        <v>1500</v>
      </c>
      <c r="L329" t="s">
        <v>158</v>
      </c>
      <c r="M329">
        <v>3</v>
      </c>
      <c r="N329">
        <v>4</v>
      </c>
      <c r="P329" t="s">
        <v>245</v>
      </c>
      <c r="R329" t="str">
        <f t="shared" si="15"/>
        <v>TAB-MN</v>
      </c>
      <c r="S329">
        <f t="shared" si="16"/>
        <v>6.99</v>
      </c>
      <c r="T329">
        <f t="shared" si="17"/>
        <v>9.1</v>
      </c>
      <c r="U329">
        <f>IF(SQRT(POWER(T329-F329,2))+SQRT(POWER(E329-S329,2))=0,0,SQRT(POWER(T329-F329,2))+SQRT(POWER(E329-S329,2))+DATOS!$H$20)</f>
        <v>12.45</v>
      </c>
    </row>
    <row r="330" spans="1:21">
      <c r="A330" t="s">
        <v>246</v>
      </c>
      <c r="B330" t="s">
        <v>68</v>
      </c>
      <c r="C330" t="s">
        <v>32</v>
      </c>
      <c r="E330">
        <v>11.72</v>
      </c>
      <c r="F330">
        <v>13.76</v>
      </c>
      <c r="G330">
        <v>0</v>
      </c>
      <c r="I330">
        <v>1500</v>
      </c>
      <c r="L330" t="s">
        <v>158</v>
      </c>
      <c r="M330">
        <v>3</v>
      </c>
      <c r="N330">
        <v>4</v>
      </c>
      <c r="P330" t="s">
        <v>247</v>
      </c>
      <c r="R330" t="str">
        <f t="shared" si="15"/>
        <v>TAB-MN</v>
      </c>
      <c r="S330">
        <f t="shared" si="16"/>
        <v>6.99</v>
      </c>
      <c r="T330">
        <f t="shared" si="17"/>
        <v>9.1</v>
      </c>
      <c r="U330">
        <f>IF(SQRT(POWER(T330-F330,2))+SQRT(POWER(E330-S330,2))=0,0,SQRT(POWER(T330-F330,2))+SQRT(POWER(E330-S330,2))+DATOS!$H$20)</f>
        <v>14.39</v>
      </c>
    </row>
    <row r="331" spans="1:21">
      <c r="A331" t="s">
        <v>248</v>
      </c>
      <c r="B331" t="s">
        <v>68</v>
      </c>
      <c r="C331" t="s">
        <v>32</v>
      </c>
      <c r="E331">
        <v>11.72</v>
      </c>
      <c r="F331">
        <v>13.24</v>
      </c>
      <c r="G331">
        <v>0</v>
      </c>
      <c r="I331">
        <v>1500</v>
      </c>
      <c r="L331" t="s">
        <v>158</v>
      </c>
      <c r="M331">
        <v>3</v>
      </c>
      <c r="N331">
        <v>4</v>
      </c>
      <c r="P331" t="s">
        <v>249</v>
      </c>
      <c r="R331" t="str">
        <f t="shared" si="15"/>
        <v>TAB-MN</v>
      </c>
      <c r="S331">
        <f t="shared" si="16"/>
        <v>6.99</v>
      </c>
      <c r="T331">
        <f t="shared" si="17"/>
        <v>9.1</v>
      </c>
      <c r="U331">
        <f>IF(SQRT(POWER(T331-F331,2))+SQRT(POWER(E331-S331,2))=0,0,SQRT(POWER(T331-F331,2))+SQRT(POWER(E331-S331,2))+DATOS!$H$20)</f>
        <v>13.870000000000001</v>
      </c>
    </row>
    <row r="332" spans="1:21">
      <c r="A332" t="s">
        <v>250</v>
      </c>
      <c r="B332" t="s">
        <v>68</v>
      </c>
      <c r="C332" t="s">
        <v>32</v>
      </c>
      <c r="E332">
        <v>11.72</v>
      </c>
      <c r="F332">
        <v>20.61</v>
      </c>
      <c r="G332">
        <v>0</v>
      </c>
      <c r="I332">
        <v>1500</v>
      </c>
      <c r="L332" t="s">
        <v>158</v>
      </c>
      <c r="M332">
        <v>3</v>
      </c>
      <c r="N332">
        <v>4</v>
      </c>
      <c r="P332" t="s">
        <v>251</v>
      </c>
      <c r="R332" t="str">
        <f t="shared" si="15"/>
        <v>TAB-MN</v>
      </c>
      <c r="S332">
        <f t="shared" si="16"/>
        <v>6.99</v>
      </c>
      <c r="T332">
        <f t="shared" si="17"/>
        <v>9.1</v>
      </c>
      <c r="U332">
        <f>IF(SQRT(POWER(T332-F332,2))+SQRT(POWER(E332-S332,2))=0,0,SQRT(POWER(T332-F332,2))+SQRT(POWER(E332-S332,2))+DATOS!$H$20)</f>
        <v>21.240000000000002</v>
      </c>
    </row>
    <row r="333" spans="1:21">
      <c r="A333" t="s">
        <v>252</v>
      </c>
      <c r="B333" t="s">
        <v>120</v>
      </c>
      <c r="C333" t="s">
        <v>121</v>
      </c>
      <c r="E333">
        <v>2.95</v>
      </c>
      <c r="F333">
        <v>10.83</v>
      </c>
      <c r="G333">
        <v>0</v>
      </c>
      <c r="I333">
        <v>180</v>
      </c>
      <c r="L333">
        <v>127</v>
      </c>
      <c r="M333">
        <v>1</v>
      </c>
      <c r="N333">
        <v>2</v>
      </c>
      <c r="P333" t="s">
        <v>253</v>
      </c>
      <c r="R333" t="str">
        <f t="shared" si="15"/>
        <v>TAB-MN</v>
      </c>
      <c r="S333">
        <f t="shared" si="16"/>
        <v>6.99</v>
      </c>
      <c r="T333">
        <f t="shared" si="17"/>
        <v>9.1</v>
      </c>
      <c r="U333">
        <f>IF(SQRT(POWER(T333-F333,2))+SQRT(POWER(E333-S333,2))=0,0,SQRT(POWER(T333-F333,2))+SQRT(POWER(E333-S333,2))+DATOS!$H$20)</f>
        <v>10.77</v>
      </c>
    </row>
    <row r="334" spans="1:21">
      <c r="A334" t="s">
        <v>252</v>
      </c>
      <c r="B334" t="s">
        <v>120</v>
      </c>
      <c r="C334" t="s">
        <v>121</v>
      </c>
      <c r="E334">
        <v>1.19</v>
      </c>
      <c r="F334">
        <v>10.83</v>
      </c>
      <c r="G334">
        <v>0</v>
      </c>
      <c r="I334">
        <v>180</v>
      </c>
      <c r="L334">
        <v>127</v>
      </c>
      <c r="M334">
        <v>1</v>
      </c>
      <c r="N334">
        <v>2</v>
      </c>
      <c r="P334" t="s">
        <v>253</v>
      </c>
      <c r="R334" t="str">
        <f t="shared" si="15"/>
        <v>TAB-MN</v>
      </c>
      <c r="S334">
        <f t="shared" si="16"/>
        <v>6.99</v>
      </c>
      <c r="T334">
        <f t="shared" si="17"/>
        <v>9.1</v>
      </c>
      <c r="U334">
        <f>IF(SQRT(POWER(T334-F334,2))+SQRT(POWER(E334-S334,2))=0,0,SQRT(POWER(T334-F334,2))+SQRT(POWER(E334-S334,2))+DATOS!$H$20)</f>
        <v>12.530000000000001</v>
      </c>
    </row>
    <row r="335" spans="1:21">
      <c r="A335" t="s">
        <v>252</v>
      </c>
      <c r="B335" t="s">
        <v>120</v>
      </c>
      <c r="C335" t="s">
        <v>121</v>
      </c>
      <c r="E335">
        <v>1.21</v>
      </c>
      <c r="F335">
        <v>15.1</v>
      </c>
      <c r="G335">
        <v>0</v>
      </c>
      <c r="I335">
        <v>180</v>
      </c>
      <c r="L335">
        <v>127</v>
      </c>
      <c r="M335">
        <v>1</v>
      </c>
      <c r="N335">
        <v>2</v>
      </c>
      <c r="P335" t="s">
        <v>253</v>
      </c>
      <c r="R335" t="str">
        <f t="shared" si="15"/>
        <v>TAB-MN</v>
      </c>
      <c r="S335">
        <f t="shared" si="16"/>
        <v>6.99</v>
      </c>
      <c r="T335">
        <f t="shared" si="17"/>
        <v>9.1</v>
      </c>
      <c r="U335">
        <f>IF(SQRT(POWER(T335-F335,2))+SQRT(POWER(E335-S335,2))=0,0,SQRT(POWER(T335-F335,2))+SQRT(POWER(E335-S335,2))+DATOS!$H$20)</f>
        <v>16.78</v>
      </c>
    </row>
    <row r="336" spans="1:21">
      <c r="A336" t="s">
        <v>252</v>
      </c>
      <c r="B336" t="s">
        <v>120</v>
      </c>
      <c r="C336" t="s">
        <v>121</v>
      </c>
      <c r="E336">
        <v>1.21</v>
      </c>
      <c r="F336">
        <v>18.329999999999998</v>
      </c>
      <c r="G336">
        <v>0</v>
      </c>
      <c r="I336">
        <v>180</v>
      </c>
      <c r="L336">
        <v>127</v>
      </c>
      <c r="M336">
        <v>1</v>
      </c>
      <c r="N336">
        <v>2</v>
      </c>
      <c r="P336" t="s">
        <v>253</v>
      </c>
      <c r="R336" t="str">
        <f t="shared" si="15"/>
        <v>TAB-MN</v>
      </c>
      <c r="S336">
        <f t="shared" si="16"/>
        <v>6.99</v>
      </c>
      <c r="T336">
        <f t="shared" si="17"/>
        <v>9.1</v>
      </c>
      <c r="U336">
        <f>IF(SQRT(POWER(T336-F336,2))+SQRT(POWER(E336-S336,2))=0,0,SQRT(POWER(T336-F336,2))+SQRT(POWER(E336-S336,2))+DATOS!$H$20)</f>
        <v>20.009999999999998</v>
      </c>
    </row>
    <row r="337" spans="1:21">
      <c r="A337" t="s">
        <v>252</v>
      </c>
      <c r="B337" t="s">
        <v>120</v>
      </c>
      <c r="C337" t="s">
        <v>121</v>
      </c>
      <c r="E337">
        <v>5.85</v>
      </c>
      <c r="F337">
        <v>14.04</v>
      </c>
      <c r="G337">
        <v>0</v>
      </c>
      <c r="I337">
        <v>180</v>
      </c>
      <c r="L337">
        <v>127</v>
      </c>
      <c r="M337">
        <v>1</v>
      </c>
      <c r="N337">
        <v>2</v>
      </c>
      <c r="P337" t="s">
        <v>253</v>
      </c>
      <c r="R337" t="str">
        <f t="shared" ref="R337:R400" si="18">"TAB-"&amp;LEFT(A337,FIND("-",A337) -1)</f>
        <v>TAB-MN</v>
      </c>
      <c r="S337">
        <f t="shared" si="16"/>
        <v>6.99</v>
      </c>
      <c r="T337">
        <f t="shared" si="17"/>
        <v>9.1</v>
      </c>
      <c r="U337">
        <f>IF(SQRT(POWER(T337-F337,2))+SQRT(POWER(E337-S337,2))=0,0,SQRT(POWER(T337-F337,2))+SQRT(POWER(E337-S337,2))+DATOS!$H$20)</f>
        <v>11.08</v>
      </c>
    </row>
    <row r="338" spans="1:21">
      <c r="A338" t="s">
        <v>252</v>
      </c>
      <c r="B338" t="s">
        <v>120</v>
      </c>
      <c r="C338" t="s">
        <v>121</v>
      </c>
      <c r="E338">
        <v>9.49</v>
      </c>
      <c r="F338">
        <v>14.04</v>
      </c>
      <c r="G338">
        <v>0</v>
      </c>
      <c r="I338">
        <v>180</v>
      </c>
      <c r="L338">
        <v>127</v>
      </c>
      <c r="M338">
        <v>1</v>
      </c>
      <c r="N338">
        <v>2</v>
      </c>
      <c r="P338" t="s">
        <v>253</v>
      </c>
      <c r="R338" t="str">
        <f t="shared" si="18"/>
        <v>TAB-MN</v>
      </c>
      <c r="S338">
        <f t="shared" si="16"/>
        <v>6.99</v>
      </c>
      <c r="T338">
        <f t="shared" si="17"/>
        <v>9.1</v>
      </c>
      <c r="U338">
        <f>IF(SQRT(POWER(T338-F338,2))+SQRT(POWER(E338-S338,2))=0,0,SQRT(POWER(T338-F338,2))+SQRT(POWER(E338-S338,2))+DATOS!$H$20)</f>
        <v>12.44</v>
      </c>
    </row>
    <row r="339" spans="1:21">
      <c r="A339" t="s">
        <v>254</v>
      </c>
      <c r="B339" t="s">
        <v>120</v>
      </c>
      <c r="C339" t="s">
        <v>121</v>
      </c>
      <c r="E339">
        <v>15.27</v>
      </c>
      <c r="F339">
        <v>6.34</v>
      </c>
      <c r="G339">
        <v>0</v>
      </c>
      <c r="I339">
        <v>180</v>
      </c>
      <c r="L339">
        <v>127</v>
      </c>
      <c r="M339">
        <v>1</v>
      </c>
      <c r="N339">
        <v>2</v>
      </c>
      <c r="P339" t="s">
        <v>255</v>
      </c>
      <c r="R339" t="str">
        <f t="shared" si="18"/>
        <v>TAB-MN</v>
      </c>
      <c r="S339">
        <f t="shared" si="16"/>
        <v>6.99</v>
      </c>
      <c r="T339">
        <f t="shared" si="17"/>
        <v>9.1</v>
      </c>
      <c r="U339">
        <f>IF(SQRT(POWER(T339-F339,2))+SQRT(POWER(E339-S339,2))=0,0,SQRT(POWER(T339-F339,2))+SQRT(POWER(E339-S339,2))+DATOS!$H$20)</f>
        <v>16.04</v>
      </c>
    </row>
    <row r="340" spans="1:21">
      <c r="A340" t="s">
        <v>254</v>
      </c>
      <c r="B340" t="s">
        <v>120</v>
      </c>
      <c r="C340" t="s">
        <v>121</v>
      </c>
      <c r="E340">
        <v>13.58</v>
      </c>
      <c r="F340">
        <v>6.34</v>
      </c>
      <c r="G340">
        <v>0</v>
      </c>
      <c r="I340">
        <v>180</v>
      </c>
      <c r="L340">
        <v>127</v>
      </c>
      <c r="M340">
        <v>1</v>
      </c>
      <c r="N340">
        <v>2</v>
      </c>
      <c r="P340" t="s">
        <v>255</v>
      </c>
      <c r="R340" t="str">
        <f t="shared" si="18"/>
        <v>TAB-MN</v>
      </c>
      <c r="S340">
        <f t="shared" si="16"/>
        <v>6.99</v>
      </c>
      <c r="T340">
        <f t="shared" si="17"/>
        <v>9.1</v>
      </c>
      <c r="U340">
        <f>IF(SQRT(POWER(T340-F340,2))+SQRT(POWER(E340-S340,2))=0,0,SQRT(POWER(T340-F340,2))+SQRT(POWER(E340-S340,2))+DATOS!$H$20)</f>
        <v>14.35</v>
      </c>
    </row>
    <row r="341" spans="1:21">
      <c r="A341" t="s">
        <v>254</v>
      </c>
      <c r="B341" t="s">
        <v>120</v>
      </c>
      <c r="C341" t="s">
        <v>121</v>
      </c>
      <c r="E341">
        <v>15.27</v>
      </c>
      <c r="F341">
        <v>9.6999999999999993</v>
      </c>
      <c r="G341">
        <v>0</v>
      </c>
      <c r="I341">
        <v>180</v>
      </c>
      <c r="L341">
        <v>127</v>
      </c>
      <c r="M341">
        <v>1</v>
      </c>
      <c r="N341">
        <v>2</v>
      </c>
      <c r="P341" t="s">
        <v>255</v>
      </c>
      <c r="R341" t="str">
        <f t="shared" si="18"/>
        <v>TAB-MN</v>
      </c>
      <c r="S341">
        <f t="shared" si="16"/>
        <v>6.99</v>
      </c>
      <c r="T341">
        <f t="shared" si="17"/>
        <v>9.1</v>
      </c>
      <c r="U341">
        <f>IF(SQRT(POWER(T341-F341,2))+SQRT(POWER(E341-S341,2))=0,0,SQRT(POWER(T341-F341,2))+SQRT(POWER(E341-S341,2))+DATOS!$H$20)</f>
        <v>13.879999999999999</v>
      </c>
    </row>
    <row r="342" spans="1:21">
      <c r="A342" t="s">
        <v>254</v>
      </c>
      <c r="B342" t="s">
        <v>120</v>
      </c>
      <c r="C342" t="s">
        <v>121</v>
      </c>
      <c r="E342">
        <v>13.58</v>
      </c>
      <c r="F342">
        <v>9.6999999999999993</v>
      </c>
      <c r="G342">
        <v>0</v>
      </c>
      <c r="I342">
        <v>180</v>
      </c>
      <c r="L342">
        <v>127</v>
      </c>
      <c r="M342">
        <v>1</v>
      </c>
      <c r="N342">
        <v>2</v>
      </c>
      <c r="P342" t="s">
        <v>255</v>
      </c>
      <c r="R342" t="str">
        <f t="shared" si="18"/>
        <v>TAB-MN</v>
      </c>
      <c r="S342">
        <f t="shared" si="16"/>
        <v>6.99</v>
      </c>
      <c r="T342">
        <f t="shared" si="17"/>
        <v>9.1</v>
      </c>
      <c r="U342">
        <f>IF(SQRT(POWER(T342-F342,2))+SQRT(POWER(E342-S342,2))=0,0,SQRT(POWER(T342-F342,2))+SQRT(POWER(E342-S342,2))+DATOS!$H$20)</f>
        <v>12.19</v>
      </c>
    </row>
    <row r="343" spans="1:21">
      <c r="A343" t="s">
        <v>254</v>
      </c>
      <c r="B343" t="s">
        <v>120</v>
      </c>
      <c r="C343" t="s">
        <v>121</v>
      </c>
      <c r="E343">
        <v>15.27</v>
      </c>
      <c r="F343">
        <v>10.09</v>
      </c>
      <c r="G343">
        <v>0</v>
      </c>
      <c r="I343">
        <v>180</v>
      </c>
      <c r="L343">
        <v>127</v>
      </c>
      <c r="M343">
        <v>1</v>
      </c>
      <c r="N343">
        <v>2</v>
      </c>
      <c r="P343" t="s">
        <v>255</v>
      </c>
      <c r="R343" t="str">
        <f t="shared" si="18"/>
        <v>TAB-MN</v>
      </c>
      <c r="S343">
        <f t="shared" si="16"/>
        <v>6.99</v>
      </c>
      <c r="T343">
        <f t="shared" si="17"/>
        <v>9.1</v>
      </c>
      <c r="U343">
        <f>IF(SQRT(POWER(T343-F343,2))+SQRT(POWER(E343-S343,2))=0,0,SQRT(POWER(T343-F343,2))+SQRT(POWER(E343-S343,2))+DATOS!$H$20)</f>
        <v>14.27</v>
      </c>
    </row>
    <row r="344" spans="1:21">
      <c r="A344" t="s">
        <v>254</v>
      </c>
      <c r="B344" t="s">
        <v>120</v>
      </c>
      <c r="C344" t="s">
        <v>121</v>
      </c>
      <c r="E344">
        <v>13.58</v>
      </c>
      <c r="F344">
        <v>10.09</v>
      </c>
      <c r="G344">
        <v>0</v>
      </c>
      <c r="I344">
        <v>180</v>
      </c>
      <c r="L344">
        <v>127</v>
      </c>
      <c r="M344">
        <v>1</v>
      </c>
      <c r="N344">
        <v>2</v>
      </c>
      <c r="P344" t="s">
        <v>255</v>
      </c>
      <c r="R344" t="str">
        <f t="shared" si="18"/>
        <v>TAB-MN</v>
      </c>
      <c r="S344">
        <f t="shared" si="16"/>
        <v>6.99</v>
      </c>
      <c r="T344">
        <f t="shared" si="17"/>
        <v>9.1</v>
      </c>
      <c r="U344">
        <f>IF(SQRT(POWER(T344-F344,2))+SQRT(POWER(E344-S344,2))=0,0,SQRT(POWER(T344-F344,2))+SQRT(POWER(E344-S344,2))+DATOS!$H$20)</f>
        <v>12.58</v>
      </c>
    </row>
    <row r="345" spans="1:21">
      <c r="A345" t="s">
        <v>254</v>
      </c>
      <c r="B345" t="s">
        <v>120</v>
      </c>
      <c r="C345" t="s">
        <v>121</v>
      </c>
      <c r="E345">
        <v>15.27</v>
      </c>
      <c r="F345">
        <v>13.32</v>
      </c>
      <c r="G345">
        <v>0</v>
      </c>
      <c r="I345">
        <v>180</v>
      </c>
      <c r="L345">
        <v>127</v>
      </c>
      <c r="M345">
        <v>1</v>
      </c>
      <c r="N345">
        <v>2</v>
      </c>
      <c r="P345" t="s">
        <v>255</v>
      </c>
      <c r="R345" t="str">
        <f t="shared" si="18"/>
        <v>TAB-MN</v>
      </c>
      <c r="S345">
        <f t="shared" si="16"/>
        <v>6.99</v>
      </c>
      <c r="T345">
        <f t="shared" si="17"/>
        <v>9.1</v>
      </c>
      <c r="U345">
        <f>IF(SQRT(POWER(T345-F345,2))+SQRT(POWER(E345-S345,2))=0,0,SQRT(POWER(T345-F345,2))+SQRT(POWER(E345-S345,2))+DATOS!$H$20)</f>
        <v>17.5</v>
      </c>
    </row>
    <row r="346" spans="1:21">
      <c r="A346" t="s">
        <v>254</v>
      </c>
      <c r="B346" t="s">
        <v>120</v>
      </c>
      <c r="C346" t="s">
        <v>121</v>
      </c>
      <c r="E346">
        <v>13.58</v>
      </c>
      <c r="F346">
        <v>13.32</v>
      </c>
      <c r="G346">
        <v>0</v>
      </c>
      <c r="I346">
        <v>180</v>
      </c>
      <c r="L346">
        <v>127</v>
      </c>
      <c r="M346">
        <v>1</v>
      </c>
      <c r="N346">
        <v>2</v>
      </c>
      <c r="P346" t="s">
        <v>255</v>
      </c>
      <c r="R346" t="str">
        <f t="shared" si="18"/>
        <v>TAB-MN</v>
      </c>
      <c r="S346">
        <f t="shared" si="16"/>
        <v>6.99</v>
      </c>
      <c r="T346">
        <f t="shared" si="17"/>
        <v>9.1</v>
      </c>
      <c r="U346">
        <f>IF(SQRT(POWER(T346-F346,2))+SQRT(POWER(E346-S346,2))=0,0,SQRT(POWER(T346-F346,2))+SQRT(POWER(E346-S346,2))+DATOS!$H$20)</f>
        <v>15.81</v>
      </c>
    </row>
    <row r="347" spans="1:21">
      <c r="A347" t="s">
        <v>256</v>
      </c>
      <c r="B347" t="s">
        <v>120</v>
      </c>
      <c r="C347" t="s">
        <v>121</v>
      </c>
      <c r="E347">
        <v>15.27</v>
      </c>
      <c r="F347">
        <v>13.71</v>
      </c>
      <c r="G347">
        <v>0</v>
      </c>
      <c r="I347">
        <v>180</v>
      </c>
      <c r="L347">
        <v>127</v>
      </c>
      <c r="M347">
        <v>1</v>
      </c>
      <c r="N347">
        <v>2</v>
      </c>
      <c r="P347" t="s">
        <v>257</v>
      </c>
      <c r="R347" t="str">
        <f t="shared" si="18"/>
        <v>TAB-MN</v>
      </c>
      <c r="S347">
        <f t="shared" si="16"/>
        <v>6.99</v>
      </c>
      <c r="T347">
        <f t="shared" si="17"/>
        <v>9.1</v>
      </c>
      <c r="U347">
        <f>IF(SQRT(POWER(T347-F347,2))+SQRT(POWER(E347-S347,2))=0,0,SQRT(POWER(T347-F347,2))+SQRT(POWER(E347-S347,2))+DATOS!$H$20)</f>
        <v>17.89</v>
      </c>
    </row>
    <row r="348" spans="1:21">
      <c r="A348" t="s">
        <v>256</v>
      </c>
      <c r="B348" t="s">
        <v>120</v>
      </c>
      <c r="C348" t="s">
        <v>121</v>
      </c>
      <c r="E348">
        <v>13.58</v>
      </c>
      <c r="F348">
        <v>13.71</v>
      </c>
      <c r="G348">
        <v>0</v>
      </c>
      <c r="I348">
        <v>180</v>
      </c>
      <c r="L348">
        <v>127</v>
      </c>
      <c r="M348">
        <v>1</v>
      </c>
      <c r="N348">
        <v>2</v>
      </c>
      <c r="P348" t="s">
        <v>257</v>
      </c>
      <c r="R348" t="str">
        <f t="shared" si="18"/>
        <v>TAB-MN</v>
      </c>
      <c r="S348">
        <f t="shared" si="16"/>
        <v>6.99</v>
      </c>
      <c r="T348">
        <f t="shared" si="17"/>
        <v>9.1</v>
      </c>
      <c r="U348">
        <f>IF(SQRT(POWER(T348-F348,2))+SQRT(POWER(E348-S348,2))=0,0,SQRT(POWER(T348-F348,2))+SQRT(POWER(E348-S348,2))+DATOS!$H$20)</f>
        <v>16.200000000000003</v>
      </c>
    </row>
    <row r="349" spans="1:21">
      <c r="A349" t="s">
        <v>256</v>
      </c>
      <c r="B349" t="s">
        <v>120</v>
      </c>
      <c r="C349" t="s">
        <v>121</v>
      </c>
      <c r="E349">
        <v>15.27</v>
      </c>
      <c r="F349">
        <v>16.899999999999999</v>
      </c>
      <c r="G349">
        <v>0</v>
      </c>
      <c r="I349">
        <v>180</v>
      </c>
      <c r="L349">
        <v>127</v>
      </c>
      <c r="M349">
        <v>1</v>
      </c>
      <c r="N349">
        <v>2</v>
      </c>
      <c r="P349" t="s">
        <v>257</v>
      </c>
      <c r="R349" t="str">
        <f t="shared" si="18"/>
        <v>TAB-MN</v>
      </c>
      <c r="S349">
        <f t="shared" si="16"/>
        <v>6.99</v>
      </c>
      <c r="T349">
        <f t="shared" si="17"/>
        <v>9.1</v>
      </c>
      <c r="U349">
        <f>IF(SQRT(POWER(T349-F349,2))+SQRT(POWER(E349-S349,2))=0,0,SQRT(POWER(T349-F349,2))+SQRT(POWER(E349-S349,2))+DATOS!$H$20)</f>
        <v>21.08</v>
      </c>
    </row>
    <row r="350" spans="1:21">
      <c r="A350" t="s">
        <v>256</v>
      </c>
      <c r="B350" t="s">
        <v>120</v>
      </c>
      <c r="C350" t="s">
        <v>121</v>
      </c>
      <c r="E350">
        <v>13.58</v>
      </c>
      <c r="F350">
        <v>16.899999999999999</v>
      </c>
      <c r="G350">
        <v>0</v>
      </c>
      <c r="I350">
        <v>180</v>
      </c>
      <c r="L350">
        <v>127</v>
      </c>
      <c r="M350">
        <v>1</v>
      </c>
      <c r="N350">
        <v>2</v>
      </c>
      <c r="P350" t="s">
        <v>257</v>
      </c>
      <c r="R350" t="str">
        <f t="shared" si="18"/>
        <v>TAB-MN</v>
      </c>
      <c r="S350">
        <f t="shared" si="16"/>
        <v>6.99</v>
      </c>
      <c r="T350">
        <f t="shared" si="17"/>
        <v>9.1</v>
      </c>
      <c r="U350">
        <f>IF(SQRT(POWER(T350-F350,2))+SQRT(POWER(E350-S350,2))=0,0,SQRT(POWER(T350-F350,2))+SQRT(POWER(E350-S350,2))+DATOS!$H$20)</f>
        <v>19.39</v>
      </c>
    </row>
    <row r="351" spans="1:21">
      <c r="A351" t="s">
        <v>256</v>
      </c>
      <c r="B351" t="s">
        <v>120</v>
      </c>
      <c r="C351" t="s">
        <v>121</v>
      </c>
      <c r="E351">
        <v>15.27</v>
      </c>
      <c r="F351">
        <v>17.3</v>
      </c>
      <c r="G351">
        <v>0</v>
      </c>
      <c r="I351">
        <v>180</v>
      </c>
      <c r="L351">
        <v>127</v>
      </c>
      <c r="M351">
        <v>1</v>
      </c>
      <c r="N351">
        <v>2</v>
      </c>
      <c r="P351" t="s">
        <v>257</v>
      </c>
      <c r="R351" t="str">
        <f t="shared" si="18"/>
        <v>TAB-MN</v>
      </c>
      <c r="S351">
        <f t="shared" si="16"/>
        <v>6.99</v>
      </c>
      <c r="T351">
        <f t="shared" si="17"/>
        <v>9.1</v>
      </c>
      <c r="U351">
        <f>IF(SQRT(POWER(T351-F351,2))+SQRT(POWER(E351-S351,2))=0,0,SQRT(POWER(T351-F351,2))+SQRT(POWER(E351-S351,2))+DATOS!$H$20)</f>
        <v>21.48</v>
      </c>
    </row>
    <row r="352" spans="1:21">
      <c r="A352" t="s">
        <v>256</v>
      </c>
      <c r="B352" t="s">
        <v>120</v>
      </c>
      <c r="C352" t="s">
        <v>121</v>
      </c>
      <c r="E352">
        <v>13.58</v>
      </c>
      <c r="F352">
        <v>17.3</v>
      </c>
      <c r="G352">
        <v>0</v>
      </c>
      <c r="I352">
        <v>180</v>
      </c>
      <c r="L352">
        <v>127</v>
      </c>
      <c r="M352">
        <v>1</v>
      </c>
      <c r="N352">
        <v>2</v>
      </c>
      <c r="P352" t="s">
        <v>257</v>
      </c>
      <c r="R352" t="str">
        <f t="shared" si="18"/>
        <v>TAB-MN</v>
      </c>
      <c r="S352">
        <f t="shared" si="16"/>
        <v>6.99</v>
      </c>
      <c r="T352">
        <f t="shared" si="17"/>
        <v>9.1</v>
      </c>
      <c r="U352">
        <f>IF(SQRT(POWER(T352-F352,2))+SQRT(POWER(E352-S352,2))=0,0,SQRT(POWER(T352-F352,2))+SQRT(POWER(E352-S352,2))+DATOS!$H$20)</f>
        <v>19.79</v>
      </c>
    </row>
    <row r="353" spans="1:21">
      <c r="A353" t="s">
        <v>256</v>
      </c>
      <c r="B353" t="s">
        <v>120</v>
      </c>
      <c r="C353" t="s">
        <v>121</v>
      </c>
      <c r="E353">
        <v>15.27</v>
      </c>
      <c r="F353">
        <v>20.66</v>
      </c>
      <c r="G353">
        <v>0</v>
      </c>
      <c r="I353">
        <v>180</v>
      </c>
      <c r="L353">
        <v>127</v>
      </c>
      <c r="M353">
        <v>1</v>
      </c>
      <c r="N353">
        <v>2</v>
      </c>
      <c r="P353" t="s">
        <v>257</v>
      </c>
      <c r="R353" t="str">
        <f t="shared" si="18"/>
        <v>TAB-MN</v>
      </c>
      <c r="S353">
        <f t="shared" si="16"/>
        <v>6.99</v>
      </c>
      <c r="T353">
        <f t="shared" si="17"/>
        <v>9.1</v>
      </c>
      <c r="U353">
        <f>IF(SQRT(POWER(T353-F353,2))+SQRT(POWER(E353-S353,2))=0,0,SQRT(POWER(T353-F353,2))+SQRT(POWER(E353-S353,2))+DATOS!$H$20)</f>
        <v>24.84</v>
      </c>
    </row>
    <row r="354" spans="1:21">
      <c r="A354" t="s">
        <v>256</v>
      </c>
      <c r="B354" t="s">
        <v>120</v>
      </c>
      <c r="C354" t="s">
        <v>121</v>
      </c>
      <c r="E354">
        <v>13.58</v>
      </c>
      <c r="F354">
        <v>20.66</v>
      </c>
      <c r="G354">
        <v>0</v>
      </c>
      <c r="I354">
        <v>180</v>
      </c>
      <c r="L354">
        <v>127</v>
      </c>
      <c r="M354">
        <v>1</v>
      </c>
      <c r="N354">
        <v>2</v>
      </c>
      <c r="P354" t="s">
        <v>257</v>
      </c>
      <c r="R354" t="str">
        <f t="shared" si="18"/>
        <v>TAB-MN</v>
      </c>
      <c r="S354">
        <f t="shared" si="16"/>
        <v>6.99</v>
      </c>
      <c r="T354">
        <f t="shared" si="17"/>
        <v>9.1</v>
      </c>
      <c r="U354">
        <f>IF(SQRT(POWER(T354-F354,2))+SQRT(POWER(E354-S354,2))=0,0,SQRT(POWER(T354-F354,2))+SQRT(POWER(E354-S354,2))+DATOS!$H$20)</f>
        <v>23.15</v>
      </c>
    </row>
    <row r="355" spans="1:21">
      <c r="A355" t="s">
        <v>258</v>
      </c>
      <c r="B355" t="s">
        <v>120</v>
      </c>
      <c r="C355" t="s">
        <v>121</v>
      </c>
      <c r="E355">
        <v>4.5</v>
      </c>
      <c r="F355">
        <v>3.31</v>
      </c>
      <c r="G355">
        <v>0</v>
      </c>
      <c r="I355">
        <v>180</v>
      </c>
      <c r="L355">
        <v>127</v>
      </c>
      <c r="M355">
        <v>1</v>
      </c>
      <c r="N355">
        <v>2</v>
      </c>
      <c r="P355" t="s">
        <v>259</v>
      </c>
      <c r="R355" t="str">
        <f t="shared" si="18"/>
        <v>TAB-MN</v>
      </c>
      <c r="S355">
        <f t="shared" si="16"/>
        <v>6.99</v>
      </c>
      <c r="T355">
        <f t="shared" si="17"/>
        <v>9.1</v>
      </c>
      <c r="U355">
        <f>IF(SQRT(POWER(T355-F355,2))+SQRT(POWER(E355-S355,2))=0,0,SQRT(POWER(T355-F355,2))+SQRT(POWER(E355-S355,2))+DATOS!$H$20)</f>
        <v>13.28</v>
      </c>
    </row>
    <row r="356" spans="1:21">
      <c r="A356" t="s">
        <v>258</v>
      </c>
      <c r="B356" t="s">
        <v>120</v>
      </c>
      <c r="C356" t="s">
        <v>121</v>
      </c>
      <c r="E356">
        <v>1.36</v>
      </c>
      <c r="F356">
        <v>5.94</v>
      </c>
      <c r="G356">
        <v>0</v>
      </c>
      <c r="I356">
        <v>180</v>
      </c>
      <c r="L356">
        <v>127</v>
      </c>
      <c r="M356">
        <v>1</v>
      </c>
      <c r="N356">
        <v>2</v>
      </c>
      <c r="P356" t="s">
        <v>259</v>
      </c>
      <c r="R356" t="str">
        <f t="shared" si="18"/>
        <v>TAB-MN</v>
      </c>
      <c r="S356">
        <f t="shared" si="16"/>
        <v>6.99</v>
      </c>
      <c r="T356">
        <f t="shared" si="17"/>
        <v>9.1</v>
      </c>
      <c r="U356">
        <f>IF(SQRT(POWER(T356-F356,2))+SQRT(POWER(E356-S356,2))=0,0,SQRT(POWER(T356-F356,2))+SQRT(POWER(E356-S356,2))+DATOS!$H$20)</f>
        <v>13.79</v>
      </c>
    </row>
    <row r="357" spans="1:21">
      <c r="A357" t="s">
        <v>258</v>
      </c>
      <c r="B357" t="s">
        <v>120</v>
      </c>
      <c r="C357" t="s">
        <v>121</v>
      </c>
      <c r="E357">
        <v>4.18</v>
      </c>
      <c r="F357">
        <v>5.94</v>
      </c>
      <c r="G357">
        <v>0</v>
      </c>
      <c r="I357">
        <v>180</v>
      </c>
      <c r="L357">
        <v>127</v>
      </c>
      <c r="M357">
        <v>1</v>
      </c>
      <c r="N357">
        <v>2</v>
      </c>
      <c r="P357" t="s">
        <v>259</v>
      </c>
      <c r="R357" t="str">
        <f t="shared" si="18"/>
        <v>TAB-MN</v>
      </c>
      <c r="S357">
        <f t="shared" si="16"/>
        <v>6.99</v>
      </c>
      <c r="T357">
        <f t="shared" si="17"/>
        <v>9.1</v>
      </c>
      <c r="U357">
        <f>IF(SQRT(POWER(T357-F357,2))+SQRT(POWER(E357-S357,2))=0,0,SQRT(POWER(T357-F357,2))+SQRT(POWER(E357-S357,2))+DATOS!$H$20)</f>
        <v>10.969999999999999</v>
      </c>
    </row>
    <row r="358" spans="1:21">
      <c r="A358" t="s">
        <v>258</v>
      </c>
      <c r="B358" t="s">
        <v>179</v>
      </c>
      <c r="C358" t="s">
        <v>180</v>
      </c>
      <c r="E358">
        <v>4.38</v>
      </c>
      <c r="F358">
        <v>1.07</v>
      </c>
      <c r="G358">
        <v>0</v>
      </c>
      <c r="H358">
        <v>1000</v>
      </c>
      <c r="I358">
        <v>1000</v>
      </c>
      <c r="L358">
        <v>127</v>
      </c>
      <c r="M358">
        <v>1</v>
      </c>
      <c r="N358">
        <v>2</v>
      </c>
      <c r="P358" t="s">
        <v>260</v>
      </c>
      <c r="R358" t="str">
        <f t="shared" si="18"/>
        <v>TAB-MN</v>
      </c>
      <c r="S358">
        <f t="shared" si="16"/>
        <v>6.99</v>
      </c>
      <c r="T358">
        <f t="shared" si="17"/>
        <v>9.1</v>
      </c>
      <c r="U358">
        <f>IF(SQRT(POWER(T358-F358,2))+SQRT(POWER(E358-S358,2))=0,0,SQRT(POWER(T358-F358,2))+SQRT(POWER(E358-S358,2))+DATOS!$H$20)</f>
        <v>15.64</v>
      </c>
    </row>
    <row r="359" spans="1:21">
      <c r="A359" t="s">
        <v>258</v>
      </c>
      <c r="B359" t="s">
        <v>120</v>
      </c>
      <c r="C359" t="s">
        <v>121</v>
      </c>
      <c r="E359">
        <v>-0.25</v>
      </c>
      <c r="F359">
        <v>0.46</v>
      </c>
      <c r="G359">
        <v>0</v>
      </c>
      <c r="I359">
        <v>180</v>
      </c>
      <c r="L359">
        <v>127</v>
      </c>
      <c r="M359">
        <v>1</v>
      </c>
      <c r="N359">
        <v>2</v>
      </c>
      <c r="P359" t="s">
        <v>259</v>
      </c>
      <c r="R359" t="str">
        <f t="shared" si="18"/>
        <v>TAB-MN</v>
      </c>
      <c r="S359">
        <f t="shared" si="16"/>
        <v>6.99</v>
      </c>
      <c r="T359">
        <f t="shared" si="17"/>
        <v>9.1</v>
      </c>
      <c r="U359">
        <f>IF(SQRT(POWER(T359-F359,2))+SQRT(POWER(E359-S359,2))=0,0,SQRT(POWER(T359-F359,2))+SQRT(POWER(E359-S359,2))+DATOS!$H$20)</f>
        <v>20.88</v>
      </c>
    </row>
    <row r="360" spans="1:21">
      <c r="A360" t="s">
        <v>258</v>
      </c>
      <c r="B360" t="s">
        <v>120</v>
      </c>
      <c r="C360" t="s">
        <v>121</v>
      </c>
      <c r="E360">
        <v>2.42</v>
      </c>
      <c r="F360">
        <v>0.04</v>
      </c>
      <c r="G360">
        <v>0</v>
      </c>
      <c r="I360">
        <v>180</v>
      </c>
      <c r="L360">
        <v>127</v>
      </c>
      <c r="M360">
        <v>1</v>
      </c>
      <c r="N360">
        <v>2</v>
      </c>
      <c r="P360" t="s">
        <v>259</v>
      </c>
      <c r="R360" t="str">
        <f t="shared" si="18"/>
        <v>TAB-MN</v>
      </c>
      <c r="S360">
        <f t="shared" si="16"/>
        <v>6.99</v>
      </c>
      <c r="T360">
        <f t="shared" si="17"/>
        <v>9.1</v>
      </c>
      <c r="U360">
        <f>IF(SQRT(POWER(T360-F360,2))+SQRT(POWER(E360-S360,2))=0,0,SQRT(POWER(T360-F360,2))+SQRT(POWER(E360-S360,2))+DATOS!$H$20)</f>
        <v>18.630000000000003</v>
      </c>
    </row>
    <row r="361" spans="1:21">
      <c r="A361" t="s">
        <v>261</v>
      </c>
      <c r="B361" t="s">
        <v>179</v>
      </c>
      <c r="C361" t="s">
        <v>180</v>
      </c>
      <c r="E361">
        <v>5.83</v>
      </c>
      <c r="F361">
        <v>0.45</v>
      </c>
      <c r="G361">
        <v>0</v>
      </c>
      <c r="H361">
        <v>500</v>
      </c>
      <c r="I361">
        <v>500</v>
      </c>
      <c r="L361">
        <v>127</v>
      </c>
      <c r="M361">
        <v>1</v>
      </c>
      <c r="N361">
        <v>2</v>
      </c>
      <c r="P361" t="s">
        <v>260</v>
      </c>
      <c r="R361" t="str">
        <f t="shared" si="18"/>
        <v>TAB-MN</v>
      </c>
      <c r="S361">
        <f t="shared" si="16"/>
        <v>6.99</v>
      </c>
      <c r="T361">
        <f t="shared" si="17"/>
        <v>9.1</v>
      </c>
      <c r="U361">
        <f>IF(SQRT(POWER(T361-F361,2))+SQRT(POWER(E361-S361,2))=0,0,SQRT(POWER(T361-F361,2))+SQRT(POWER(E361-S361,2))+DATOS!$H$20)</f>
        <v>14.81</v>
      </c>
    </row>
    <row r="362" spans="1:21">
      <c r="A362" t="s">
        <v>258</v>
      </c>
      <c r="B362" t="s">
        <v>120</v>
      </c>
      <c r="C362" t="s">
        <v>121</v>
      </c>
      <c r="E362">
        <v>11.67</v>
      </c>
      <c r="F362">
        <v>3.46</v>
      </c>
      <c r="G362">
        <v>0</v>
      </c>
      <c r="I362">
        <v>180</v>
      </c>
      <c r="L362">
        <v>127</v>
      </c>
      <c r="M362">
        <v>1</v>
      </c>
      <c r="N362">
        <v>2</v>
      </c>
      <c r="P362" t="s">
        <v>259</v>
      </c>
      <c r="R362" t="str">
        <f t="shared" si="18"/>
        <v>TAB-MN</v>
      </c>
      <c r="S362">
        <f t="shared" si="16"/>
        <v>6.99</v>
      </c>
      <c r="T362">
        <f t="shared" si="17"/>
        <v>9.1</v>
      </c>
      <c r="U362">
        <f>IF(SQRT(POWER(T362-F362,2))+SQRT(POWER(E362-S362,2))=0,0,SQRT(POWER(T362-F362,2))+SQRT(POWER(E362-S362,2))+DATOS!$H$20)</f>
        <v>15.32</v>
      </c>
    </row>
    <row r="363" spans="1:21">
      <c r="A363" t="s">
        <v>258</v>
      </c>
      <c r="B363" t="s">
        <v>120</v>
      </c>
      <c r="C363" t="s">
        <v>121</v>
      </c>
      <c r="E363">
        <v>16.190000000000001</v>
      </c>
      <c r="F363">
        <v>1.84</v>
      </c>
      <c r="G363">
        <v>0</v>
      </c>
      <c r="I363">
        <v>180</v>
      </c>
      <c r="L363">
        <v>127</v>
      </c>
      <c r="M363">
        <v>1</v>
      </c>
      <c r="N363">
        <v>2</v>
      </c>
      <c r="P363" t="s">
        <v>259</v>
      </c>
      <c r="R363" t="str">
        <f t="shared" si="18"/>
        <v>TAB-MN</v>
      </c>
      <c r="S363">
        <f t="shared" si="16"/>
        <v>6.99</v>
      </c>
      <c r="T363">
        <f t="shared" si="17"/>
        <v>9.1</v>
      </c>
      <c r="U363">
        <f>IF(SQRT(POWER(T363-F363,2))+SQRT(POWER(E363-S363,2))=0,0,SQRT(POWER(T363-F363,2))+SQRT(POWER(E363-S363,2))+DATOS!$H$20)</f>
        <v>21.46</v>
      </c>
    </row>
    <row r="364" spans="1:21">
      <c r="A364" t="s">
        <v>119</v>
      </c>
      <c r="B364" t="s">
        <v>179</v>
      </c>
      <c r="C364" t="s">
        <v>180</v>
      </c>
      <c r="E364">
        <v>40.270000000000003</v>
      </c>
      <c r="F364">
        <v>34.96</v>
      </c>
      <c r="G364">
        <v>0</v>
      </c>
      <c r="H364">
        <v>180</v>
      </c>
      <c r="I364">
        <v>180</v>
      </c>
      <c r="L364">
        <v>127</v>
      </c>
      <c r="M364">
        <v>1</v>
      </c>
      <c r="N364">
        <v>2</v>
      </c>
      <c r="P364" t="s">
        <v>122</v>
      </c>
      <c r="R364" t="str">
        <f t="shared" si="18"/>
        <v>TAB-CN</v>
      </c>
      <c r="S364">
        <f t="shared" si="16"/>
        <v>37.19</v>
      </c>
      <c r="T364">
        <f t="shared" si="17"/>
        <v>36.340000000000003</v>
      </c>
      <c r="U364">
        <f>IF(SQRT(POWER(T364-F364,2))+SQRT(POWER(E364-S364,2))=0,0,SQRT(POWER(T364-F364,2))+SQRT(POWER(E364-S364,2))+DATOS!$H$20)</f>
        <v>9.460000000000008</v>
      </c>
    </row>
    <row r="365" spans="1:21">
      <c r="A365" t="s">
        <v>119</v>
      </c>
      <c r="B365" t="s">
        <v>120</v>
      </c>
      <c r="C365" t="s">
        <v>121</v>
      </c>
      <c r="E365">
        <v>40.270000000000003</v>
      </c>
      <c r="F365">
        <v>38.15</v>
      </c>
      <c r="G365">
        <v>0</v>
      </c>
      <c r="I365">
        <v>180</v>
      </c>
      <c r="L365">
        <v>127</v>
      </c>
      <c r="M365">
        <v>1</v>
      </c>
      <c r="N365">
        <v>2</v>
      </c>
      <c r="P365" t="s">
        <v>122</v>
      </c>
      <c r="R365" t="str">
        <f t="shared" si="18"/>
        <v>TAB-CN</v>
      </c>
      <c r="S365">
        <f t="shared" si="16"/>
        <v>37.19</v>
      </c>
      <c r="T365">
        <f t="shared" si="17"/>
        <v>36.340000000000003</v>
      </c>
      <c r="U365">
        <f>IF(SQRT(POWER(T365-F365,2))+SQRT(POWER(E365-S365,2))=0,0,SQRT(POWER(T365-F365,2))+SQRT(POWER(E365-S365,2))+DATOS!$H$20)</f>
        <v>9.89</v>
      </c>
    </row>
    <row r="366" spans="1:21">
      <c r="A366" t="s">
        <v>119</v>
      </c>
      <c r="B366" t="s">
        <v>120</v>
      </c>
      <c r="C366" t="s">
        <v>121</v>
      </c>
      <c r="E366">
        <v>40.67</v>
      </c>
      <c r="F366">
        <v>42.57</v>
      </c>
      <c r="G366">
        <v>0</v>
      </c>
      <c r="I366">
        <v>180</v>
      </c>
      <c r="L366">
        <v>127</v>
      </c>
      <c r="M366">
        <v>1</v>
      </c>
      <c r="N366">
        <v>2</v>
      </c>
      <c r="P366" t="s">
        <v>122</v>
      </c>
      <c r="R366" t="str">
        <f t="shared" si="18"/>
        <v>TAB-CN</v>
      </c>
      <c r="S366">
        <f t="shared" si="16"/>
        <v>37.19</v>
      </c>
      <c r="T366">
        <f t="shared" si="17"/>
        <v>36.340000000000003</v>
      </c>
      <c r="U366">
        <f>IF(SQRT(POWER(T366-F366,2))+SQRT(POWER(E366-S366,2))=0,0,SQRT(POWER(T366-F366,2))+SQRT(POWER(E366-S366,2))+DATOS!$H$20)</f>
        <v>14.71</v>
      </c>
    </row>
    <row r="367" spans="1:21">
      <c r="A367" t="s">
        <v>119</v>
      </c>
      <c r="B367" t="s">
        <v>172</v>
      </c>
      <c r="C367" t="s">
        <v>32</v>
      </c>
      <c r="E367">
        <v>42.24</v>
      </c>
      <c r="F367">
        <v>48.84</v>
      </c>
      <c r="G367">
        <v>0</v>
      </c>
      <c r="H367">
        <v>180</v>
      </c>
      <c r="L367">
        <v>127</v>
      </c>
      <c r="M367">
        <v>1</v>
      </c>
      <c r="N367">
        <v>2</v>
      </c>
      <c r="P367" t="s">
        <v>122</v>
      </c>
      <c r="R367" t="str">
        <f t="shared" si="18"/>
        <v>TAB-CN</v>
      </c>
      <c r="S367">
        <f t="shared" si="16"/>
        <v>37.19</v>
      </c>
      <c r="T367">
        <f t="shared" si="17"/>
        <v>36.340000000000003</v>
      </c>
      <c r="U367">
        <f>IF(SQRT(POWER(T367-F367,2))+SQRT(POWER(E367-S367,2))=0,0,SQRT(POWER(T367-F367,2))+SQRT(POWER(E367-S367,2))+DATOS!$H$20)</f>
        <v>22.550000000000004</v>
      </c>
    </row>
    <row r="368" spans="1:21">
      <c r="A368" t="s">
        <v>119</v>
      </c>
      <c r="B368" t="s">
        <v>172</v>
      </c>
      <c r="C368" t="s">
        <v>32</v>
      </c>
      <c r="E368">
        <v>40.36</v>
      </c>
      <c r="F368">
        <v>45.32</v>
      </c>
      <c r="G368">
        <v>0</v>
      </c>
      <c r="H368">
        <v>180</v>
      </c>
      <c r="L368">
        <v>127</v>
      </c>
      <c r="M368">
        <v>1</v>
      </c>
      <c r="N368">
        <v>2</v>
      </c>
      <c r="P368" t="s">
        <v>122</v>
      </c>
      <c r="R368" t="str">
        <f t="shared" si="18"/>
        <v>TAB-CN</v>
      </c>
      <c r="S368">
        <f t="shared" si="16"/>
        <v>37.19</v>
      </c>
      <c r="T368">
        <f t="shared" si="17"/>
        <v>36.340000000000003</v>
      </c>
      <c r="U368">
        <f>IF(SQRT(POWER(T368-F368,2))+SQRT(POWER(E368-S368,2))=0,0,SQRT(POWER(T368-F368,2))+SQRT(POWER(E368-S368,2))+DATOS!$H$20)</f>
        <v>17.149999999999999</v>
      </c>
    </row>
    <row r="369" spans="1:21">
      <c r="A369" t="s">
        <v>119</v>
      </c>
      <c r="B369" t="s">
        <v>120</v>
      </c>
      <c r="C369" t="s">
        <v>121</v>
      </c>
      <c r="E369">
        <v>39.869999999999997</v>
      </c>
      <c r="F369">
        <v>50.62</v>
      </c>
      <c r="G369">
        <v>0</v>
      </c>
      <c r="I369">
        <v>180</v>
      </c>
      <c r="L369">
        <v>127</v>
      </c>
      <c r="M369">
        <v>1</v>
      </c>
      <c r="N369">
        <v>2</v>
      </c>
      <c r="P369" t="s">
        <v>122</v>
      </c>
      <c r="R369" t="str">
        <f t="shared" si="18"/>
        <v>TAB-CN</v>
      </c>
      <c r="S369">
        <f t="shared" si="16"/>
        <v>37.19</v>
      </c>
      <c r="T369">
        <f t="shared" si="17"/>
        <v>36.340000000000003</v>
      </c>
      <c r="U369">
        <f>IF(SQRT(POWER(T369-F369,2))+SQRT(POWER(E369-S369,2))=0,0,SQRT(POWER(T369-F369,2))+SQRT(POWER(E369-S369,2))+DATOS!$H$20)</f>
        <v>21.959999999999994</v>
      </c>
    </row>
    <row r="370" spans="1:21">
      <c r="A370" t="s">
        <v>119</v>
      </c>
      <c r="B370" t="s">
        <v>120</v>
      </c>
      <c r="C370" t="s">
        <v>121</v>
      </c>
      <c r="E370">
        <v>42.54</v>
      </c>
      <c r="F370">
        <v>53.2</v>
      </c>
      <c r="G370">
        <v>0</v>
      </c>
      <c r="I370">
        <v>180</v>
      </c>
      <c r="L370">
        <v>127</v>
      </c>
      <c r="M370">
        <v>1</v>
      </c>
      <c r="N370">
        <v>2</v>
      </c>
      <c r="P370" t="s">
        <v>122</v>
      </c>
      <c r="R370" t="str">
        <f t="shared" si="18"/>
        <v>TAB-CN</v>
      </c>
      <c r="S370">
        <f t="shared" si="16"/>
        <v>37.19</v>
      </c>
      <c r="T370">
        <f t="shared" si="17"/>
        <v>36.340000000000003</v>
      </c>
      <c r="U370">
        <f>IF(SQRT(POWER(T370-F370,2))+SQRT(POWER(E370-S370,2))=0,0,SQRT(POWER(T370-F370,2))+SQRT(POWER(E370-S370,2))+DATOS!$H$20)</f>
        <v>27.21</v>
      </c>
    </row>
    <row r="371" spans="1:21">
      <c r="A371" t="s">
        <v>262</v>
      </c>
      <c r="B371" t="s">
        <v>172</v>
      </c>
      <c r="C371" t="s">
        <v>32</v>
      </c>
      <c r="E371">
        <v>54.04</v>
      </c>
      <c r="F371">
        <v>36.14</v>
      </c>
      <c r="G371">
        <v>0</v>
      </c>
      <c r="H371">
        <v>180</v>
      </c>
      <c r="L371">
        <v>127</v>
      </c>
      <c r="M371">
        <v>1</v>
      </c>
      <c r="N371">
        <v>2</v>
      </c>
      <c r="P371" t="s">
        <v>263</v>
      </c>
      <c r="R371" t="str">
        <f t="shared" si="18"/>
        <v>TAB-CN</v>
      </c>
      <c r="S371">
        <f t="shared" si="16"/>
        <v>37.19</v>
      </c>
      <c r="T371">
        <f t="shared" si="17"/>
        <v>36.340000000000003</v>
      </c>
      <c r="U371">
        <f>IF(SQRT(POWER(T371-F371,2))+SQRT(POWER(E371-S371,2))=0,0,SQRT(POWER(T371-F371,2))+SQRT(POWER(E371-S371,2))+DATOS!$H$20)</f>
        <v>22.050000000000004</v>
      </c>
    </row>
    <row r="372" spans="1:21">
      <c r="A372" t="s">
        <v>264</v>
      </c>
      <c r="B372" t="s">
        <v>172</v>
      </c>
      <c r="C372" t="s">
        <v>32</v>
      </c>
      <c r="E372">
        <v>49.87</v>
      </c>
      <c r="F372">
        <v>38.049999999999997</v>
      </c>
      <c r="G372">
        <v>0</v>
      </c>
      <c r="H372">
        <v>180</v>
      </c>
      <c r="L372">
        <v>127</v>
      </c>
      <c r="M372">
        <v>1</v>
      </c>
      <c r="N372">
        <v>2</v>
      </c>
      <c r="P372" t="s">
        <v>265</v>
      </c>
      <c r="R372" t="str">
        <f t="shared" si="18"/>
        <v>TAB-CN</v>
      </c>
      <c r="S372">
        <f t="shared" si="16"/>
        <v>37.19</v>
      </c>
      <c r="T372">
        <f t="shared" si="17"/>
        <v>36.340000000000003</v>
      </c>
      <c r="U372">
        <f>IF(SQRT(POWER(T372-F372,2))+SQRT(POWER(E372-S372,2))=0,0,SQRT(POWER(T372-F372,2))+SQRT(POWER(E372-S372,2))+DATOS!$H$20)</f>
        <v>19.389999999999993</v>
      </c>
    </row>
    <row r="373" spans="1:21">
      <c r="A373" t="s">
        <v>264</v>
      </c>
      <c r="B373" t="s">
        <v>172</v>
      </c>
      <c r="C373" t="s">
        <v>32</v>
      </c>
      <c r="E373">
        <v>53</v>
      </c>
      <c r="F373">
        <v>36.5</v>
      </c>
      <c r="G373">
        <v>0</v>
      </c>
      <c r="H373">
        <v>180</v>
      </c>
      <c r="L373">
        <v>127</v>
      </c>
      <c r="M373">
        <v>1</v>
      </c>
      <c r="N373">
        <v>2</v>
      </c>
      <c r="P373" t="s">
        <v>265</v>
      </c>
      <c r="R373" t="str">
        <f t="shared" si="18"/>
        <v>TAB-CN</v>
      </c>
      <c r="S373">
        <f t="shared" si="16"/>
        <v>37.19</v>
      </c>
      <c r="T373">
        <f t="shared" si="17"/>
        <v>36.340000000000003</v>
      </c>
      <c r="U373">
        <f>IF(SQRT(POWER(T373-F373,2))+SQRT(POWER(E373-S373,2))=0,0,SQRT(POWER(T373-F373,2))+SQRT(POWER(E373-S373,2))+DATOS!$H$20)</f>
        <v>20.97</v>
      </c>
    </row>
    <row r="374" spans="1:21">
      <c r="A374" t="s">
        <v>264</v>
      </c>
      <c r="B374" t="s">
        <v>120</v>
      </c>
      <c r="C374" t="s">
        <v>121</v>
      </c>
      <c r="E374">
        <v>49.39</v>
      </c>
      <c r="F374">
        <v>37.74</v>
      </c>
      <c r="G374">
        <v>0</v>
      </c>
      <c r="I374">
        <v>180</v>
      </c>
      <c r="L374">
        <v>127</v>
      </c>
      <c r="M374">
        <v>1</v>
      </c>
      <c r="N374">
        <v>2</v>
      </c>
      <c r="P374" t="s">
        <v>265</v>
      </c>
      <c r="R374" t="str">
        <f t="shared" si="18"/>
        <v>TAB-CN</v>
      </c>
      <c r="S374">
        <f t="shared" si="16"/>
        <v>37.19</v>
      </c>
      <c r="T374">
        <f t="shared" si="17"/>
        <v>36.340000000000003</v>
      </c>
      <c r="U374">
        <f>IF(SQRT(POWER(T374-F374,2))+SQRT(POWER(E374-S374,2))=0,0,SQRT(POWER(T374-F374,2))+SQRT(POWER(E374-S374,2))+DATOS!$H$20)</f>
        <v>18.600000000000001</v>
      </c>
    </row>
    <row r="375" spans="1:21">
      <c r="A375" t="s">
        <v>264</v>
      </c>
      <c r="B375" t="s">
        <v>120</v>
      </c>
      <c r="C375" t="s">
        <v>121</v>
      </c>
      <c r="E375">
        <v>53.51</v>
      </c>
      <c r="F375">
        <v>41.65</v>
      </c>
      <c r="G375">
        <v>0</v>
      </c>
      <c r="I375">
        <v>180</v>
      </c>
      <c r="L375">
        <v>127</v>
      </c>
      <c r="M375">
        <v>1</v>
      </c>
      <c r="N375">
        <v>2</v>
      </c>
      <c r="P375" t="s">
        <v>265</v>
      </c>
      <c r="R375" t="str">
        <f t="shared" si="18"/>
        <v>TAB-CN</v>
      </c>
      <c r="S375">
        <f t="shared" si="16"/>
        <v>37.19</v>
      </c>
      <c r="T375">
        <f t="shared" si="17"/>
        <v>36.340000000000003</v>
      </c>
      <c r="U375">
        <f>IF(SQRT(POWER(T375-F375,2))+SQRT(POWER(E375-S375,2))=0,0,SQRT(POWER(T375-F375,2))+SQRT(POWER(E375-S375,2))+DATOS!$H$20)</f>
        <v>26.629999999999995</v>
      </c>
    </row>
    <row r="376" spans="1:21">
      <c r="A376" t="s">
        <v>264</v>
      </c>
      <c r="B376" t="s">
        <v>172</v>
      </c>
      <c r="C376" t="s">
        <v>32</v>
      </c>
      <c r="E376">
        <v>49.87</v>
      </c>
      <c r="F376">
        <v>46.33</v>
      </c>
      <c r="G376">
        <v>0</v>
      </c>
      <c r="H376">
        <v>180</v>
      </c>
      <c r="L376">
        <v>127</v>
      </c>
      <c r="M376">
        <v>1</v>
      </c>
      <c r="N376">
        <v>2</v>
      </c>
      <c r="P376" t="s">
        <v>265</v>
      </c>
      <c r="R376" t="str">
        <f t="shared" si="18"/>
        <v>TAB-CN</v>
      </c>
      <c r="S376">
        <f t="shared" si="16"/>
        <v>37.19</v>
      </c>
      <c r="T376">
        <f t="shared" si="17"/>
        <v>36.340000000000003</v>
      </c>
      <c r="U376">
        <f>IF(SQRT(POWER(T376-F376,2))+SQRT(POWER(E376-S376,2))=0,0,SQRT(POWER(T376-F376,2))+SQRT(POWER(E376-S376,2))+DATOS!$H$20)</f>
        <v>27.669999999999995</v>
      </c>
    </row>
    <row r="377" spans="1:21">
      <c r="A377" t="s">
        <v>266</v>
      </c>
      <c r="B377" t="s">
        <v>120</v>
      </c>
      <c r="C377" t="s">
        <v>121</v>
      </c>
      <c r="E377">
        <v>45.77</v>
      </c>
      <c r="F377">
        <v>56.84</v>
      </c>
      <c r="G377">
        <v>0</v>
      </c>
      <c r="I377">
        <v>180</v>
      </c>
      <c r="L377">
        <v>127</v>
      </c>
      <c r="M377">
        <v>1</v>
      </c>
      <c r="N377">
        <v>2</v>
      </c>
      <c r="P377" t="s">
        <v>267</v>
      </c>
      <c r="R377" t="str">
        <f t="shared" si="18"/>
        <v>TAB-CN</v>
      </c>
      <c r="S377">
        <f t="shared" si="16"/>
        <v>37.19</v>
      </c>
      <c r="T377">
        <f t="shared" si="17"/>
        <v>36.340000000000003</v>
      </c>
      <c r="U377">
        <f>IF(SQRT(POWER(T377-F377,2))+SQRT(POWER(E377-S377,2))=0,0,SQRT(POWER(T377-F377,2))+SQRT(POWER(E377-S377,2))+DATOS!$H$20)</f>
        <v>34.080000000000005</v>
      </c>
    </row>
    <row r="378" spans="1:21">
      <c r="A378" t="s">
        <v>266</v>
      </c>
      <c r="B378" t="s">
        <v>268</v>
      </c>
      <c r="C378" t="s">
        <v>269</v>
      </c>
      <c r="E378">
        <v>41</v>
      </c>
      <c r="F378">
        <v>54.76</v>
      </c>
      <c r="G378">
        <v>0</v>
      </c>
      <c r="I378">
        <v>180</v>
      </c>
      <c r="L378">
        <v>127</v>
      </c>
      <c r="M378">
        <v>1</v>
      </c>
      <c r="N378">
        <v>2</v>
      </c>
      <c r="P378" t="s">
        <v>267</v>
      </c>
      <c r="R378" t="str">
        <f t="shared" si="18"/>
        <v>TAB-CN</v>
      </c>
      <c r="S378">
        <f t="shared" si="16"/>
        <v>37.19</v>
      </c>
      <c r="T378">
        <f t="shared" si="17"/>
        <v>36.340000000000003</v>
      </c>
      <c r="U378">
        <f>IF(SQRT(POWER(T378-F378,2))+SQRT(POWER(E378-S378,2))=0,0,SQRT(POWER(T378-F378,2))+SQRT(POWER(E378-S378,2))+DATOS!$H$20)</f>
        <v>27.229999999999997</v>
      </c>
    </row>
    <row r="379" spans="1:21">
      <c r="A379" t="s">
        <v>266</v>
      </c>
      <c r="B379" t="s">
        <v>268</v>
      </c>
      <c r="C379" t="s">
        <v>269</v>
      </c>
      <c r="E379">
        <v>44.12</v>
      </c>
      <c r="F379">
        <v>54.76</v>
      </c>
      <c r="G379">
        <v>0</v>
      </c>
      <c r="I379">
        <v>180</v>
      </c>
      <c r="L379">
        <v>127</v>
      </c>
      <c r="M379">
        <v>1</v>
      </c>
      <c r="N379">
        <v>2</v>
      </c>
      <c r="P379" t="s">
        <v>267</v>
      </c>
      <c r="R379" t="str">
        <f t="shared" si="18"/>
        <v>TAB-CN</v>
      </c>
      <c r="S379">
        <f t="shared" si="16"/>
        <v>37.19</v>
      </c>
      <c r="T379">
        <f t="shared" si="17"/>
        <v>36.340000000000003</v>
      </c>
      <c r="U379">
        <f>IF(SQRT(POWER(T379-F379,2))+SQRT(POWER(E379-S379,2))=0,0,SQRT(POWER(T379-F379,2))+SQRT(POWER(E379-S379,2))+DATOS!$H$20)</f>
        <v>30.349999999999994</v>
      </c>
    </row>
    <row r="380" spans="1:21">
      <c r="A380" t="s">
        <v>266</v>
      </c>
      <c r="B380" t="s">
        <v>120</v>
      </c>
      <c r="C380" t="s">
        <v>121</v>
      </c>
      <c r="E380">
        <v>46.81</v>
      </c>
      <c r="F380">
        <v>54.76</v>
      </c>
      <c r="G380">
        <v>0</v>
      </c>
      <c r="I380">
        <v>180</v>
      </c>
      <c r="L380">
        <v>127</v>
      </c>
      <c r="M380">
        <v>1</v>
      </c>
      <c r="N380">
        <v>2</v>
      </c>
      <c r="P380" t="s">
        <v>267</v>
      </c>
      <c r="R380" t="str">
        <f t="shared" si="18"/>
        <v>TAB-CN</v>
      </c>
      <c r="S380">
        <f t="shared" si="16"/>
        <v>37.19</v>
      </c>
      <c r="T380">
        <f t="shared" si="17"/>
        <v>36.340000000000003</v>
      </c>
      <c r="U380">
        <f>IF(SQRT(POWER(T380-F380,2))+SQRT(POWER(E380-S380,2))=0,0,SQRT(POWER(T380-F380,2))+SQRT(POWER(E380-S380,2))+DATOS!$H$20)</f>
        <v>33.04</v>
      </c>
    </row>
    <row r="381" spans="1:21">
      <c r="A381" t="s">
        <v>266</v>
      </c>
      <c r="B381" t="s">
        <v>120</v>
      </c>
      <c r="C381" t="s">
        <v>121</v>
      </c>
      <c r="E381">
        <v>43.39</v>
      </c>
      <c r="F381">
        <v>57.22</v>
      </c>
      <c r="G381">
        <v>0</v>
      </c>
      <c r="I381">
        <v>180</v>
      </c>
      <c r="L381">
        <v>127</v>
      </c>
      <c r="M381">
        <v>1</v>
      </c>
      <c r="N381">
        <v>2</v>
      </c>
      <c r="P381" t="s">
        <v>267</v>
      </c>
      <c r="R381" t="str">
        <f t="shared" si="18"/>
        <v>TAB-CN</v>
      </c>
      <c r="S381">
        <f t="shared" si="16"/>
        <v>37.19</v>
      </c>
      <c r="T381">
        <f t="shared" si="17"/>
        <v>36.340000000000003</v>
      </c>
      <c r="U381">
        <f>IF(SQRT(POWER(T381-F381,2))+SQRT(POWER(E381-S381,2))=0,0,SQRT(POWER(T381-F381,2))+SQRT(POWER(E381-S381,2))+DATOS!$H$20)</f>
        <v>32.08</v>
      </c>
    </row>
    <row r="382" spans="1:21">
      <c r="A382" t="s">
        <v>264</v>
      </c>
      <c r="B382" t="s">
        <v>172</v>
      </c>
      <c r="C382" t="s">
        <v>32</v>
      </c>
      <c r="E382">
        <v>53</v>
      </c>
      <c r="F382">
        <v>44.78</v>
      </c>
      <c r="G382">
        <v>0</v>
      </c>
      <c r="H382">
        <v>180</v>
      </c>
      <c r="L382">
        <v>127</v>
      </c>
      <c r="M382">
        <v>1</v>
      </c>
      <c r="N382">
        <v>2</v>
      </c>
      <c r="P382" t="s">
        <v>265</v>
      </c>
      <c r="R382" t="str">
        <f t="shared" si="18"/>
        <v>TAB-CN</v>
      </c>
      <c r="S382">
        <f t="shared" si="16"/>
        <v>37.19</v>
      </c>
      <c r="T382">
        <f t="shared" si="17"/>
        <v>36.340000000000003</v>
      </c>
      <c r="U382">
        <f>IF(SQRT(POWER(T382-F382,2))+SQRT(POWER(E382-S382,2))=0,0,SQRT(POWER(T382-F382,2))+SQRT(POWER(E382-S382,2))+DATOS!$H$20)</f>
        <v>29.25</v>
      </c>
    </row>
    <row r="383" spans="1:21">
      <c r="A383" t="s">
        <v>264</v>
      </c>
      <c r="B383" t="s">
        <v>120</v>
      </c>
      <c r="C383" t="s">
        <v>121</v>
      </c>
      <c r="E383">
        <v>49.39</v>
      </c>
      <c r="F383">
        <v>46.03</v>
      </c>
      <c r="G383">
        <v>0</v>
      </c>
      <c r="I383">
        <v>180</v>
      </c>
      <c r="L383">
        <v>127</v>
      </c>
      <c r="M383">
        <v>1</v>
      </c>
      <c r="N383">
        <v>2</v>
      </c>
      <c r="P383" t="s">
        <v>265</v>
      </c>
      <c r="R383" t="str">
        <f t="shared" si="18"/>
        <v>TAB-CN</v>
      </c>
      <c r="S383">
        <f t="shared" si="16"/>
        <v>37.19</v>
      </c>
      <c r="T383">
        <f t="shared" si="17"/>
        <v>36.340000000000003</v>
      </c>
      <c r="U383">
        <f>IF(SQRT(POWER(T383-F383,2))+SQRT(POWER(E383-S383,2))=0,0,SQRT(POWER(T383-F383,2))+SQRT(POWER(E383-S383,2))+DATOS!$H$20)</f>
        <v>26.89</v>
      </c>
    </row>
    <row r="384" spans="1:21">
      <c r="A384" t="s">
        <v>264</v>
      </c>
      <c r="B384" t="s">
        <v>120</v>
      </c>
      <c r="C384" t="s">
        <v>121</v>
      </c>
      <c r="E384">
        <v>52.08</v>
      </c>
      <c r="F384">
        <v>49.93</v>
      </c>
      <c r="G384">
        <v>0</v>
      </c>
      <c r="I384">
        <v>180</v>
      </c>
      <c r="L384">
        <v>127</v>
      </c>
      <c r="M384">
        <v>1</v>
      </c>
      <c r="N384">
        <v>2</v>
      </c>
      <c r="P384" t="s">
        <v>265</v>
      </c>
      <c r="R384" t="str">
        <f t="shared" si="18"/>
        <v>TAB-CN</v>
      </c>
      <c r="S384">
        <f t="shared" si="16"/>
        <v>37.19</v>
      </c>
      <c r="T384">
        <f t="shared" si="17"/>
        <v>36.340000000000003</v>
      </c>
      <c r="U384">
        <f>IF(SQRT(POWER(T384-F384,2))+SQRT(POWER(E384-S384,2))=0,0,SQRT(POWER(T384-F384,2))+SQRT(POWER(E384-S384,2))+DATOS!$H$20)</f>
        <v>33.479999999999997</v>
      </c>
    </row>
    <row r="385" spans="1:21">
      <c r="A385" t="s">
        <v>266</v>
      </c>
      <c r="B385" t="s">
        <v>172</v>
      </c>
      <c r="C385" t="s">
        <v>32</v>
      </c>
      <c r="E385">
        <v>49.87</v>
      </c>
      <c r="F385">
        <v>52.53</v>
      </c>
      <c r="G385">
        <v>0</v>
      </c>
      <c r="H385">
        <v>180</v>
      </c>
      <c r="L385">
        <v>127</v>
      </c>
      <c r="M385">
        <v>1</v>
      </c>
      <c r="N385">
        <v>2</v>
      </c>
      <c r="P385" t="s">
        <v>267</v>
      </c>
      <c r="R385" t="str">
        <f t="shared" si="18"/>
        <v>TAB-CN</v>
      </c>
      <c r="S385">
        <f t="shared" si="16"/>
        <v>37.19</v>
      </c>
      <c r="T385">
        <f t="shared" si="17"/>
        <v>36.340000000000003</v>
      </c>
      <c r="U385">
        <f>IF(SQRT(POWER(T385-F385,2))+SQRT(POWER(E385-S385,2))=0,0,SQRT(POWER(T385-F385,2))+SQRT(POWER(E385-S385,2))+DATOS!$H$20)</f>
        <v>33.869999999999997</v>
      </c>
    </row>
    <row r="386" spans="1:21">
      <c r="A386" t="s">
        <v>266</v>
      </c>
      <c r="B386" t="s">
        <v>172</v>
      </c>
      <c r="C386" t="s">
        <v>32</v>
      </c>
      <c r="E386">
        <v>53</v>
      </c>
      <c r="F386">
        <v>51</v>
      </c>
      <c r="G386">
        <v>0</v>
      </c>
      <c r="H386">
        <v>180</v>
      </c>
      <c r="L386">
        <v>127</v>
      </c>
      <c r="M386">
        <v>1</v>
      </c>
      <c r="N386">
        <v>2</v>
      </c>
      <c r="P386" t="s">
        <v>267</v>
      </c>
      <c r="R386" t="str">
        <f t="shared" si="18"/>
        <v>TAB-CN</v>
      </c>
      <c r="S386">
        <f t="shared" si="16"/>
        <v>37.19</v>
      </c>
      <c r="T386">
        <f t="shared" si="17"/>
        <v>36.340000000000003</v>
      </c>
      <c r="U386">
        <f>IF(SQRT(POWER(T386-F386,2))+SQRT(POWER(E386-S386,2))=0,0,SQRT(POWER(T386-F386,2))+SQRT(POWER(E386-S386,2))+DATOS!$H$20)</f>
        <v>35.47</v>
      </c>
    </row>
    <row r="387" spans="1:21">
      <c r="A387" t="s">
        <v>266</v>
      </c>
      <c r="B387" t="s">
        <v>120</v>
      </c>
      <c r="C387" t="s">
        <v>121</v>
      </c>
      <c r="E387">
        <v>53.72</v>
      </c>
      <c r="F387">
        <v>56.24</v>
      </c>
      <c r="G387">
        <v>0</v>
      </c>
      <c r="I387">
        <v>180</v>
      </c>
      <c r="L387">
        <v>127</v>
      </c>
      <c r="M387">
        <v>1</v>
      </c>
      <c r="N387">
        <v>2</v>
      </c>
      <c r="P387" t="s">
        <v>267</v>
      </c>
      <c r="R387" t="str">
        <f t="shared" si="18"/>
        <v>TAB-CN</v>
      </c>
      <c r="S387">
        <f t="shared" ref="S387:S450" si="19">IFERROR(VLOOKUP(R387,$A$2:$F$700,5,0),E387)</f>
        <v>37.19</v>
      </c>
      <c r="T387">
        <f t="shared" ref="T387:T450" si="20">IFERROR(VLOOKUP(R387,$A$2:$F$700,6,0),F387)</f>
        <v>36.340000000000003</v>
      </c>
      <c r="U387">
        <f>IF(SQRT(POWER(T387-F387,2))+SQRT(POWER(E387-S387,2))=0,0,SQRT(POWER(T387-F387,2))+SQRT(POWER(E387-S387,2))+DATOS!$H$20)</f>
        <v>41.43</v>
      </c>
    </row>
    <row r="388" spans="1:21">
      <c r="A388" t="s">
        <v>262</v>
      </c>
      <c r="B388" t="s">
        <v>172</v>
      </c>
      <c r="C388" t="s">
        <v>32</v>
      </c>
      <c r="E388">
        <v>49.87</v>
      </c>
      <c r="F388">
        <v>30.92</v>
      </c>
      <c r="G388">
        <v>0</v>
      </c>
      <c r="H388">
        <v>180</v>
      </c>
      <c r="L388">
        <v>127</v>
      </c>
      <c r="M388">
        <v>1</v>
      </c>
      <c r="N388">
        <v>2</v>
      </c>
      <c r="P388" t="s">
        <v>263</v>
      </c>
      <c r="R388" t="str">
        <f t="shared" si="18"/>
        <v>TAB-CN</v>
      </c>
      <c r="S388">
        <f t="shared" si="19"/>
        <v>37.19</v>
      </c>
      <c r="T388">
        <f t="shared" si="20"/>
        <v>36.340000000000003</v>
      </c>
      <c r="U388">
        <f>IF(SQRT(POWER(T388-F388,2))+SQRT(POWER(E388-S388,2))=0,0,SQRT(POWER(T388-F388,2))+SQRT(POWER(E388-S388,2))+DATOS!$H$20)</f>
        <v>23.1</v>
      </c>
    </row>
    <row r="389" spans="1:21">
      <c r="A389" t="s">
        <v>262</v>
      </c>
      <c r="B389" t="s">
        <v>172</v>
      </c>
      <c r="C389" t="s">
        <v>32</v>
      </c>
      <c r="E389">
        <v>52.91</v>
      </c>
      <c r="F389">
        <v>32.630000000000003</v>
      </c>
      <c r="G389">
        <v>0</v>
      </c>
      <c r="H389">
        <v>180</v>
      </c>
      <c r="L389">
        <v>127</v>
      </c>
      <c r="M389">
        <v>1</v>
      </c>
      <c r="N389">
        <v>2</v>
      </c>
      <c r="P389" t="s">
        <v>263</v>
      </c>
      <c r="R389" t="str">
        <f t="shared" si="18"/>
        <v>TAB-CN</v>
      </c>
      <c r="S389">
        <f t="shared" si="19"/>
        <v>37.19</v>
      </c>
      <c r="T389">
        <f t="shared" si="20"/>
        <v>36.340000000000003</v>
      </c>
      <c r="U389">
        <f>IF(SQRT(POWER(T389-F389,2))+SQRT(POWER(E389-S389,2))=0,0,SQRT(POWER(T389-F389,2))+SQRT(POWER(E389-S389,2))+DATOS!$H$20)</f>
        <v>24.43</v>
      </c>
    </row>
    <row r="390" spans="1:21">
      <c r="A390" t="s">
        <v>262</v>
      </c>
      <c r="B390" t="s">
        <v>120</v>
      </c>
      <c r="C390" t="s">
        <v>121</v>
      </c>
      <c r="E390">
        <v>47.79</v>
      </c>
      <c r="F390">
        <v>27.5</v>
      </c>
      <c r="G390">
        <v>0</v>
      </c>
      <c r="I390">
        <v>180</v>
      </c>
      <c r="L390">
        <v>127</v>
      </c>
      <c r="M390">
        <v>1</v>
      </c>
      <c r="N390">
        <v>2</v>
      </c>
      <c r="P390" t="s">
        <v>263</v>
      </c>
      <c r="R390" t="str">
        <f t="shared" si="18"/>
        <v>TAB-CN</v>
      </c>
      <c r="S390">
        <f t="shared" si="19"/>
        <v>37.19</v>
      </c>
      <c r="T390">
        <f t="shared" si="20"/>
        <v>36.340000000000003</v>
      </c>
      <c r="U390">
        <f>IF(SQRT(POWER(T390-F390,2))+SQRT(POWER(E390-S390,2))=0,0,SQRT(POWER(T390-F390,2))+SQRT(POWER(E390-S390,2))+DATOS!$H$20)</f>
        <v>24.440000000000005</v>
      </c>
    </row>
    <row r="391" spans="1:21">
      <c r="A391" t="s">
        <v>262</v>
      </c>
      <c r="B391" t="s">
        <v>120</v>
      </c>
      <c r="C391" t="s">
        <v>121</v>
      </c>
      <c r="E391">
        <v>43.78</v>
      </c>
      <c r="F391">
        <v>28.46</v>
      </c>
      <c r="G391">
        <v>0</v>
      </c>
      <c r="I391">
        <v>180</v>
      </c>
      <c r="L391">
        <v>127</v>
      </c>
      <c r="M391">
        <v>1</v>
      </c>
      <c r="N391">
        <v>2</v>
      </c>
      <c r="P391" t="s">
        <v>263</v>
      </c>
      <c r="R391" t="str">
        <f t="shared" si="18"/>
        <v>TAB-CN</v>
      </c>
      <c r="S391">
        <f t="shared" si="19"/>
        <v>37.19</v>
      </c>
      <c r="T391">
        <f t="shared" si="20"/>
        <v>36.340000000000003</v>
      </c>
      <c r="U391">
        <f>IF(SQRT(POWER(T391-F391,2))+SQRT(POWER(E391-S391,2))=0,0,SQRT(POWER(T391-F391,2))+SQRT(POWER(E391-S391,2))+DATOS!$H$20)</f>
        <v>19.470000000000006</v>
      </c>
    </row>
    <row r="392" spans="1:21">
      <c r="A392" t="s">
        <v>262</v>
      </c>
      <c r="B392" t="s">
        <v>120</v>
      </c>
      <c r="C392" t="s">
        <v>121</v>
      </c>
      <c r="E392">
        <v>40.270000000000003</v>
      </c>
      <c r="F392">
        <v>27.48</v>
      </c>
      <c r="G392">
        <v>0</v>
      </c>
      <c r="I392">
        <v>180</v>
      </c>
      <c r="L392">
        <v>127</v>
      </c>
      <c r="M392">
        <v>1</v>
      </c>
      <c r="N392">
        <v>2</v>
      </c>
      <c r="P392" t="s">
        <v>263</v>
      </c>
      <c r="R392" t="str">
        <f t="shared" si="18"/>
        <v>TAB-CN</v>
      </c>
      <c r="S392">
        <f t="shared" si="19"/>
        <v>37.19</v>
      </c>
      <c r="T392">
        <f t="shared" si="20"/>
        <v>36.340000000000003</v>
      </c>
      <c r="U392">
        <f>IF(SQRT(POWER(T392-F392,2))+SQRT(POWER(E392-S392,2))=0,0,SQRT(POWER(T392-F392,2))+SQRT(POWER(E392-S392,2))+DATOS!$H$20)</f>
        <v>16.940000000000008</v>
      </c>
    </row>
    <row r="393" spans="1:21">
      <c r="A393" t="s">
        <v>262</v>
      </c>
      <c r="B393" t="s">
        <v>120</v>
      </c>
      <c r="C393" t="s">
        <v>121</v>
      </c>
      <c r="E393">
        <v>40.270000000000003</v>
      </c>
      <c r="F393">
        <v>25.25</v>
      </c>
      <c r="G393">
        <v>0</v>
      </c>
      <c r="I393">
        <v>180</v>
      </c>
      <c r="L393">
        <v>127</v>
      </c>
      <c r="M393">
        <v>1</v>
      </c>
      <c r="N393">
        <v>2</v>
      </c>
      <c r="P393" t="s">
        <v>263</v>
      </c>
      <c r="R393" t="str">
        <f t="shared" si="18"/>
        <v>TAB-CN</v>
      </c>
      <c r="S393">
        <f t="shared" si="19"/>
        <v>37.19</v>
      </c>
      <c r="T393">
        <f t="shared" si="20"/>
        <v>36.340000000000003</v>
      </c>
      <c r="U393">
        <f>IF(SQRT(POWER(T393-F393,2))+SQRT(POWER(E393-S393,2))=0,0,SQRT(POWER(T393-F393,2))+SQRT(POWER(E393-S393,2))+DATOS!$H$20)</f>
        <v>19.170000000000009</v>
      </c>
    </row>
    <row r="394" spans="1:21">
      <c r="A394" t="s">
        <v>262</v>
      </c>
      <c r="B394" t="s">
        <v>120</v>
      </c>
      <c r="C394" t="s">
        <v>121</v>
      </c>
      <c r="E394">
        <v>44.08</v>
      </c>
      <c r="F394">
        <v>24.46</v>
      </c>
      <c r="G394">
        <v>0</v>
      </c>
      <c r="I394">
        <v>180</v>
      </c>
      <c r="L394">
        <v>127</v>
      </c>
      <c r="M394">
        <v>1</v>
      </c>
      <c r="N394">
        <v>2</v>
      </c>
      <c r="P394" t="s">
        <v>263</v>
      </c>
      <c r="R394" t="str">
        <f t="shared" si="18"/>
        <v>TAB-CN</v>
      </c>
      <c r="S394">
        <f t="shared" si="19"/>
        <v>37.19</v>
      </c>
      <c r="T394">
        <f t="shared" si="20"/>
        <v>36.340000000000003</v>
      </c>
      <c r="U394">
        <f>IF(SQRT(POWER(T394-F394,2))+SQRT(POWER(E394-S394,2))=0,0,SQRT(POWER(T394-F394,2))+SQRT(POWER(E394-S394,2))+DATOS!$H$20)</f>
        <v>23.770000000000003</v>
      </c>
    </row>
    <row r="395" spans="1:21">
      <c r="A395" t="s">
        <v>262</v>
      </c>
      <c r="B395" t="s">
        <v>120</v>
      </c>
      <c r="C395" t="s">
        <v>121</v>
      </c>
      <c r="E395">
        <v>50.36</v>
      </c>
      <c r="F395">
        <v>25.9</v>
      </c>
      <c r="G395">
        <v>0</v>
      </c>
      <c r="I395">
        <v>180</v>
      </c>
      <c r="L395">
        <v>127</v>
      </c>
      <c r="M395">
        <v>1</v>
      </c>
      <c r="N395">
        <v>2</v>
      </c>
      <c r="P395" t="s">
        <v>263</v>
      </c>
      <c r="R395" t="str">
        <f t="shared" si="18"/>
        <v>TAB-CN</v>
      </c>
      <c r="S395">
        <f t="shared" si="19"/>
        <v>37.19</v>
      </c>
      <c r="T395">
        <f t="shared" si="20"/>
        <v>36.340000000000003</v>
      </c>
      <c r="U395">
        <f>IF(SQRT(POWER(T395-F395,2))+SQRT(POWER(E395-S395,2))=0,0,SQRT(POWER(T395-F395,2))+SQRT(POWER(E395-S395,2))+DATOS!$H$20)</f>
        <v>28.610000000000007</v>
      </c>
    </row>
    <row r="396" spans="1:21">
      <c r="A396" t="s">
        <v>270</v>
      </c>
      <c r="B396" t="s">
        <v>120</v>
      </c>
      <c r="C396" t="s">
        <v>121</v>
      </c>
      <c r="E396">
        <v>52.85</v>
      </c>
      <c r="F396">
        <v>28.19</v>
      </c>
      <c r="G396">
        <v>0</v>
      </c>
      <c r="I396">
        <v>180</v>
      </c>
      <c r="L396">
        <v>127</v>
      </c>
      <c r="M396">
        <v>1</v>
      </c>
      <c r="N396">
        <v>2</v>
      </c>
      <c r="P396" t="s">
        <v>271</v>
      </c>
      <c r="R396" t="str">
        <f t="shared" si="18"/>
        <v>TAB-CN</v>
      </c>
      <c r="S396">
        <f t="shared" si="19"/>
        <v>37.19</v>
      </c>
      <c r="T396">
        <f t="shared" si="20"/>
        <v>36.340000000000003</v>
      </c>
      <c r="U396">
        <f>IF(SQRT(POWER(T396-F396,2))+SQRT(POWER(E396-S396,2))=0,0,SQRT(POWER(T396-F396,2))+SQRT(POWER(E396-S396,2))+DATOS!$H$20)</f>
        <v>28.810000000000006</v>
      </c>
    </row>
    <row r="397" spans="1:21">
      <c r="A397" t="s">
        <v>270</v>
      </c>
      <c r="B397" t="s">
        <v>120</v>
      </c>
      <c r="C397" t="s">
        <v>121</v>
      </c>
      <c r="E397">
        <v>49.61</v>
      </c>
      <c r="F397">
        <v>24.22</v>
      </c>
      <c r="G397">
        <v>0</v>
      </c>
      <c r="I397">
        <v>180</v>
      </c>
      <c r="L397">
        <v>127</v>
      </c>
      <c r="M397">
        <v>1</v>
      </c>
      <c r="N397">
        <v>2</v>
      </c>
      <c r="P397" t="s">
        <v>271</v>
      </c>
      <c r="R397" t="str">
        <f t="shared" si="18"/>
        <v>TAB-CN</v>
      </c>
      <c r="S397">
        <f t="shared" si="19"/>
        <v>37.19</v>
      </c>
      <c r="T397">
        <f t="shared" si="20"/>
        <v>36.340000000000003</v>
      </c>
      <c r="U397">
        <f>IF(SQRT(POWER(T397-F397,2))+SQRT(POWER(E397-S397,2))=0,0,SQRT(POWER(T397-F397,2))+SQRT(POWER(E397-S397,2))+DATOS!$H$20)</f>
        <v>29.540000000000006</v>
      </c>
    </row>
    <row r="398" spans="1:21">
      <c r="A398" t="s">
        <v>270</v>
      </c>
      <c r="B398" t="s">
        <v>120</v>
      </c>
      <c r="C398" t="s">
        <v>121</v>
      </c>
      <c r="E398">
        <v>51.36</v>
      </c>
      <c r="F398">
        <v>21.21</v>
      </c>
      <c r="G398">
        <v>0</v>
      </c>
      <c r="I398">
        <v>180</v>
      </c>
      <c r="L398">
        <v>127</v>
      </c>
      <c r="M398">
        <v>1</v>
      </c>
      <c r="N398">
        <v>2</v>
      </c>
      <c r="P398" t="s">
        <v>271</v>
      </c>
      <c r="R398" t="str">
        <f t="shared" si="18"/>
        <v>TAB-CN</v>
      </c>
      <c r="S398">
        <f t="shared" si="19"/>
        <v>37.19</v>
      </c>
      <c r="T398">
        <f t="shared" si="20"/>
        <v>36.340000000000003</v>
      </c>
      <c r="U398">
        <f>IF(SQRT(POWER(T398-F398,2))+SQRT(POWER(E398-S398,2))=0,0,SQRT(POWER(T398-F398,2))+SQRT(POWER(E398-S398,2))+DATOS!$H$20)</f>
        <v>34.300000000000004</v>
      </c>
    </row>
    <row r="399" spans="1:21">
      <c r="A399" t="s">
        <v>270</v>
      </c>
      <c r="B399" t="s">
        <v>120</v>
      </c>
      <c r="C399" t="s">
        <v>121</v>
      </c>
      <c r="E399">
        <v>59.72</v>
      </c>
      <c r="F399">
        <v>30.55</v>
      </c>
      <c r="G399">
        <v>0</v>
      </c>
      <c r="I399">
        <v>180</v>
      </c>
      <c r="L399">
        <v>127</v>
      </c>
      <c r="M399">
        <v>1</v>
      </c>
      <c r="N399">
        <v>2</v>
      </c>
      <c r="P399" t="s">
        <v>271</v>
      </c>
      <c r="R399" t="str">
        <f t="shared" si="18"/>
        <v>TAB-CN</v>
      </c>
      <c r="S399">
        <f t="shared" si="19"/>
        <v>37.19</v>
      </c>
      <c r="T399">
        <f t="shared" si="20"/>
        <v>36.340000000000003</v>
      </c>
      <c r="U399">
        <f>IF(SQRT(POWER(T399-F399,2))+SQRT(POWER(E399-S399,2))=0,0,SQRT(POWER(T399-F399,2))+SQRT(POWER(E399-S399,2))+DATOS!$H$20)</f>
        <v>33.320000000000007</v>
      </c>
    </row>
    <row r="400" spans="1:21">
      <c r="A400" t="s">
        <v>270</v>
      </c>
      <c r="B400" t="s">
        <v>120</v>
      </c>
      <c r="C400" t="s">
        <v>121</v>
      </c>
      <c r="E400">
        <v>59.72</v>
      </c>
      <c r="F400">
        <v>28.14</v>
      </c>
      <c r="G400">
        <v>0</v>
      </c>
      <c r="I400">
        <v>180</v>
      </c>
      <c r="L400">
        <v>127</v>
      </c>
      <c r="M400">
        <v>1</v>
      </c>
      <c r="N400">
        <v>2</v>
      </c>
      <c r="P400" t="s">
        <v>271</v>
      </c>
      <c r="R400" t="str">
        <f t="shared" si="18"/>
        <v>TAB-CN</v>
      </c>
      <c r="S400">
        <f t="shared" si="19"/>
        <v>37.19</v>
      </c>
      <c r="T400">
        <f t="shared" si="20"/>
        <v>36.340000000000003</v>
      </c>
      <c r="U400">
        <f>IF(SQRT(POWER(T400-F400,2))+SQRT(POWER(E400-S400,2))=0,0,SQRT(POWER(T400-F400,2))+SQRT(POWER(E400-S400,2))+DATOS!$H$20)</f>
        <v>35.730000000000004</v>
      </c>
    </row>
    <row r="401" spans="1:21">
      <c r="A401" t="s">
        <v>270</v>
      </c>
      <c r="B401" t="s">
        <v>120</v>
      </c>
      <c r="C401" t="s">
        <v>121</v>
      </c>
      <c r="E401">
        <v>54.13</v>
      </c>
      <c r="F401">
        <v>22.29</v>
      </c>
      <c r="G401">
        <v>0</v>
      </c>
      <c r="I401">
        <v>180</v>
      </c>
      <c r="L401">
        <v>127</v>
      </c>
      <c r="M401">
        <v>1</v>
      </c>
      <c r="N401">
        <v>2</v>
      </c>
      <c r="P401" t="s">
        <v>271</v>
      </c>
      <c r="R401" t="str">
        <f t="shared" ref="R401:R464" si="21">"TAB-"&amp;LEFT(A401,FIND("-",A401) -1)</f>
        <v>TAB-CN</v>
      </c>
      <c r="S401">
        <f t="shared" si="19"/>
        <v>37.19</v>
      </c>
      <c r="T401">
        <f t="shared" si="20"/>
        <v>36.340000000000003</v>
      </c>
      <c r="U401">
        <f>IF(SQRT(POWER(T401-F401,2))+SQRT(POWER(E401-S401,2))=0,0,SQRT(POWER(T401-F401,2))+SQRT(POWER(E401-S401,2))+DATOS!$H$20)</f>
        <v>35.990000000000009</v>
      </c>
    </row>
    <row r="402" spans="1:21">
      <c r="A402" t="s">
        <v>270</v>
      </c>
      <c r="B402" t="s">
        <v>120</v>
      </c>
      <c r="C402" t="s">
        <v>121</v>
      </c>
      <c r="E402">
        <v>58.1</v>
      </c>
      <c r="F402">
        <v>24.22</v>
      </c>
      <c r="G402">
        <v>0</v>
      </c>
      <c r="I402">
        <v>180</v>
      </c>
      <c r="L402">
        <v>127</v>
      </c>
      <c r="M402">
        <v>1</v>
      </c>
      <c r="N402">
        <v>2</v>
      </c>
      <c r="P402" t="s">
        <v>271</v>
      </c>
      <c r="R402" t="str">
        <f t="shared" si="21"/>
        <v>TAB-CN</v>
      </c>
      <c r="S402">
        <f t="shared" si="19"/>
        <v>37.19</v>
      </c>
      <c r="T402">
        <f t="shared" si="20"/>
        <v>36.340000000000003</v>
      </c>
      <c r="U402">
        <f>IF(SQRT(POWER(T402-F402,2))+SQRT(POWER(E402-S402,2))=0,0,SQRT(POWER(T402-F402,2))+SQRT(POWER(E402-S402,2))+DATOS!$H$20)</f>
        <v>38.030000000000008</v>
      </c>
    </row>
    <row r="403" spans="1:21">
      <c r="A403" t="s">
        <v>270</v>
      </c>
      <c r="B403" t="s">
        <v>120</v>
      </c>
      <c r="C403" t="s">
        <v>121</v>
      </c>
      <c r="E403">
        <v>55.66</v>
      </c>
      <c r="F403">
        <v>20.89</v>
      </c>
      <c r="G403">
        <v>0</v>
      </c>
      <c r="I403">
        <v>180</v>
      </c>
      <c r="L403">
        <v>127</v>
      </c>
      <c r="M403">
        <v>1</v>
      </c>
      <c r="N403">
        <v>2</v>
      </c>
      <c r="P403" t="s">
        <v>271</v>
      </c>
      <c r="R403" t="str">
        <f t="shared" si="21"/>
        <v>TAB-CN</v>
      </c>
      <c r="S403">
        <f t="shared" si="19"/>
        <v>37.19</v>
      </c>
      <c r="T403">
        <f t="shared" si="20"/>
        <v>36.340000000000003</v>
      </c>
      <c r="U403">
        <f>IF(SQRT(POWER(T403-F403,2))+SQRT(POWER(E403-S403,2))=0,0,SQRT(POWER(T403-F403,2))+SQRT(POWER(E403-S403,2))+DATOS!$H$20)</f>
        <v>38.92</v>
      </c>
    </row>
    <row r="404" spans="1:21">
      <c r="A404" t="s">
        <v>272</v>
      </c>
      <c r="B404" t="s">
        <v>120</v>
      </c>
      <c r="C404" t="s">
        <v>121</v>
      </c>
      <c r="E404">
        <v>56.47</v>
      </c>
      <c r="F404">
        <v>19.8</v>
      </c>
      <c r="G404">
        <v>0</v>
      </c>
      <c r="I404">
        <v>180</v>
      </c>
      <c r="L404">
        <v>127</v>
      </c>
      <c r="M404">
        <v>1</v>
      </c>
      <c r="N404">
        <v>2</v>
      </c>
      <c r="P404" t="s">
        <v>273</v>
      </c>
      <c r="R404" t="str">
        <f t="shared" si="21"/>
        <v>TAB-CN</v>
      </c>
      <c r="S404">
        <f t="shared" si="19"/>
        <v>37.19</v>
      </c>
      <c r="T404">
        <f t="shared" si="20"/>
        <v>36.340000000000003</v>
      </c>
      <c r="U404">
        <f>IF(SQRT(POWER(T404-F404,2))+SQRT(POWER(E404-S404,2))=0,0,SQRT(POWER(T404-F404,2))+SQRT(POWER(E404-S404,2))+DATOS!$H$20)</f>
        <v>40.820000000000007</v>
      </c>
    </row>
    <row r="405" spans="1:21">
      <c r="A405" t="s">
        <v>272</v>
      </c>
      <c r="B405" t="s">
        <v>120</v>
      </c>
      <c r="C405" t="s">
        <v>121</v>
      </c>
      <c r="E405">
        <v>59.72</v>
      </c>
      <c r="F405">
        <v>16.059999999999999</v>
      </c>
      <c r="G405">
        <v>0</v>
      </c>
      <c r="I405">
        <v>180</v>
      </c>
      <c r="L405">
        <v>127</v>
      </c>
      <c r="M405">
        <v>1</v>
      </c>
      <c r="N405">
        <v>2</v>
      </c>
      <c r="P405" t="s">
        <v>273</v>
      </c>
      <c r="R405" t="str">
        <f t="shared" si="21"/>
        <v>TAB-CN</v>
      </c>
      <c r="S405">
        <f t="shared" si="19"/>
        <v>37.19</v>
      </c>
      <c r="T405">
        <f t="shared" si="20"/>
        <v>36.340000000000003</v>
      </c>
      <c r="U405">
        <f>IF(SQRT(POWER(T405-F405,2))+SQRT(POWER(E405-S405,2))=0,0,SQRT(POWER(T405-F405,2))+SQRT(POWER(E405-S405,2))+DATOS!$H$20)</f>
        <v>47.81</v>
      </c>
    </row>
    <row r="406" spans="1:21">
      <c r="A406" t="s">
        <v>272</v>
      </c>
      <c r="B406" t="s">
        <v>120</v>
      </c>
      <c r="C406" t="s">
        <v>121</v>
      </c>
      <c r="E406">
        <v>59.72</v>
      </c>
      <c r="F406">
        <v>13.67</v>
      </c>
      <c r="G406">
        <v>0</v>
      </c>
      <c r="I406">
        <v>180</v>
      </c>
      <c r="L406">
        <v>127</v>
      </c>
      <c r="M406">
        <v>1</v>
      </c>
      <c r="N406">
        <v>2</v>
      </c>
      <c r="P406" t="s">
        <v>273</v>
      </c>
      <c r="R406" t="str">
        <f t="shared" si="21"/>
        <v>TAB-CN</v>
      </c>
      <c r="S406">
        <f t="shared" si="19"/>
        <v>37.19</v>
      </c>
      <c r="T406">
        <f t="shared" si="20"/>
        <v>36.340000000000003</v>
      </c>
      <c r="U406">
        <f>IF(SQRT(POWER(T406-F406,2))+SQRT(POWER(E406-S406,2))=0,0,SQRT(POWER(T406-F406,2))+SQRT(POWER(E406-S406,2))+DATOS!$H$20)</f>
        <v>50.2</v>
      </c>
    </row>
    <row r="407" spans="1:21">
      <c r="A407" t="s">
        <v>272</v>
      </c>
      <c r="B407" t="s">
        <v>120</v>
      </c>
      <c r="C407" t="s">
        <v>121</v>
      </c>
      <c r="E407">
        <v>50.84</v>
      </c>
      <c r="F407">
        <v>12.98</v>
      </c>
      <c r="G407">
        <v>0</v>
      </c>
      <c r="I407">
        <v>180</v>
      </c>
      <c r="L407">
        <v>127</v>
      </c>
      <c r="M407">
        <v>1</v>
      </c>
      <c r="N407">
        <v>2</v>
      </c>
      <c r="P407" t="s">
        <v>273</v>
      </c>
      <c r="R407" t="str">
        <f t="shared" si="21"/>
        <v>TAB-CN</v>
      </c>
      <c r="S407">
        <f t="shared" si="19"/>
        <v>37.19</v>
      </c>
      <c r="T407">
        <f t="shared" si="20"/>
        <v>36.340000000000003</v>
      </c>
      <c r="U407">
        <f>IF(SQRT(POWER(T407-F407,2))+SQRT(POWER(E407-S407,2))=0,0,SQRT(POWER(T407-F407,2))+SQRT(POWER(E407-S407,2))+DATOS!$H$20)</f>
        <v>42.010000000000005</v>
      </c>
    </row>
    <row r="408" spans="1:21">
      <c r="A408" t="s">
        <v>272</v>
      </c>
      <c r="B408" t="s">
        <v>120</v>
      </c>
      <c r="C408" t="s">
        <v>121</v>
      </c>
      <c r="E408">
        <v>55.24</v>
      </c>
      <c r="F408">
        <v>13.37</v>
      </c>
      <c r="G408">
        <v>0</v>
      </c>
      <c r="I408">
        <v>180</v>
      </c>
      <c r="L408">
        <v>127</v>
      </c>
      <c r="M408">
        <v>1</v>
      </c>
      <c r="N408">
        <v>2</v>
      </c>
      <c r="P408" t="s">
        <v>273</v>
      </c>
      <c r="R408" t="str">
        <f t="shared" si="21"/>
        <v>TAB-CN</v>
      </c>
      <c r="S408">
        <f t="shared" si="19"/>
        <v>37.19</v>
      </c>
      <c r="T408">
        <f t="shared" si="20"/>
        <v>36.340000000000003</v>
      </c>
      <c r="U408">
        <f>IF(SQRT(POWER(T408-F408,2))+SQRT(POWER(E408-S408,2))=0,0,SQRT(POWER(T408-F408,2))+SQRT(POWER(E408-S408,2))+DATOS!$H$20)</f>
        <v>46.02000000000001</v>
      </c>
    </row>
    <row r="409" spans="1:21">
      <c r="A409" t="s">
        <v>272</v>
      </c>
      <c r="B409" t="s">
        <v>120</v>
      </c>
      <c r="C409" t="s">
        <v>121</v>
      </c>
      <c r="E409">
        <v>45.99</v>
      </c>
      <c r="F409">
        <v>16.05</v>
      </c>
      <c r="G409">
        <v>0</v>
      </c>
      <c r="I409">
        <v>180</v>
      </c>
      <c r="L409">
        <v>127</v>
      </c>
      <c r="M409">
        <v>1</v>
      </c>
      <c r="N409">
        <v>2</v>
      </c>
      <c r="P409" t="s">
        <v>273</v>
      </c>
      <c r="R409" t="str">
        <f t="shared" si="21"/>
        <v>TAB-CN</v>
      </c>
      <c r="S409">
        <f t="shared" si="19"/>
        <v>37.19</v>
      </c>
      <c r="T409">
        <f t="shared" si="20"/>
        <v>36.340000000000003</v>
      </c>
      <c r="U409">
        <f>IF(SQRT(POWER(T409-F409,2))+SQRT(POWER(E409-S409,2))=0,0,SQRT(POWER(T409-F409,2))+SQRT(POWER(E409-S409,2))+DATOS!$H$20)</f>
        <v>34.090000000000003</v>
      </c>
    </row>
    <row r="410" spans="1:21">
      <c r="A410" t="s">
        <v>272</v>
      </c>
      <c r="B410" t="s">
        <v>120</v>
      </c>
      <c r="C410" t="s">
        <v>121</v>
      </c>
      <c r="E410">
        <v>42.05</v>
      </c>
      <c r="F410">
        <v>15.67</v>
      </c>
      <c r="G410">
        <v>0</v>
      </c>
      <c r="I410">
        <v>180</v>
      </c>
      <c r="L410">
        <v>127</v>
      </c>
      <c r="M410">
        <v>1</v>
      </c>
      <c r="N410">
        <v>2</v>
      </c>
      <c r="P410" t="s">
        <v>273</v>
      </c>
      <c r="R410" t="str">
        <f t="shared" si="21"/>
        <v>TAB-CN</v>
      </c>
      <c r="S410">
        <f t="shared" si="19"/>
        <v>37.19</v>
      </c>
      <c r="T410">
        <f t="shared" si="20"/>
        <v>36.340000000000003</v>
      </c>
      <c r="U410">
        <f>IF(SQRT(POWER(T410-F410,2))+SQRT(POWER(E410-S410,2))=0,0,SQRT(POWER(T410-F410,2))+SQRT(POWER(E410-S410,2))+DATOS!$H$20)</f>
        <v>30.53</v>
      </c>
    </row>
    <row r="411" spans="1:21">
      <c r="A411" t="s">
        <v>274</v>
      </c>
      <c r="B411" t="s">
        <v>120</v>
      </c>
      <c r="C411" t="s">
        <v>121</v>
      </c>
      <c r="E411">
        <v>39.869999999999997</v>
      </c>
      <c r="F411">
        <v>36.97</v>
      </c>
      <c r="G411">
        <v>0</v>
      </c>
      <c r="I411">
        <v>180</v>
      </c>
      <c r="L411">
        <v>127</v>
      </c>
      <c r="M411">
        <v>1</v>
      </c>
      <c r="N411">
        <v>2</v>
      </c>
      <c r="P411" t="s">
        <v>275</v>
      </c>
      <c r="R411" t="str">
        <f t="shared" si="21"/>
        <v>TAB-CN</v>
      </c>
      <c r="S411">
        <f t="shared" si="19"/>
        <v>37.19</v>
      </c>
      <c r="T411">
        <f t="shared" si="20"/>
        <v>36.340000000000003</v>
      </c>
      <c r="U411">
        <f>IF(SQRT(POWER(T411-F411,2))+SQRT(POWER(E411-S411,2))=0,0,SQRT(POWER(T411-F411,2))+SQRT(POWER(E411-S411,2))+DATOS!$H$20)</f>
        <v>8.3099999999999952</v>
      </c>
    </row>
    <row r="412" spans="1:21">
      <c r="A412" t="s">
        <v>274</v>
      </c>
      <c r="B412" t="s">
        <v>120</v>
      </c>
      <c r="C412" t="s">
        <v>121</v>
      </c>
      <c r="E412">
        <v>39.869999999999997</v>
      </c>
      <c r="F412">
        <v>22.62</v>
      </c>
      <c r="G412">
        <v>0</v>
      </c>
      <c r="I412">
        <v>180</v>
      </c>
      <c r="L412">
        <v>127</v>
      </c>
      <c r="M412">
        <v>1</v>
      </c>
      <c r="N412">
        <v>2</v>
      </c>
      <c r="P412" t="s">
        <v>275</v>
      </c>
      <c r="R412" t="str">
        <f t="shared" si="21"/>
        <v>TAB-CN</v>
      </c>
      <c r="S412">
        <f t="shared" si="19"/>
        <v>37.19</v>
      </c>
      <c r="T412">
        <f t="shared" si="20"/>
        <v>36.340000000000003</v>
      </c>
      <c r="U412">
        <f>IF(SQRT(POWER(T412-F412,2))+SQRT(POWER(E412-S412,2))=0,0,SQRT(POWER(T412-F412,2))+SQRT(POWER(E412-S412,2))+DATOS!$H$20)</f>
        <v>21.400000000000002</v>
      </c>
    </row>
    <row r="413" spans="1:21">
      <c r="A413" t="s">
        <v>272</v>
      </c>
      <c r="B413" t="s">
        <v>120</v>
      </c>
      <c r="C413" t="s">
        <v>121</v>
      </c>
      <c r="E413">
        <v>39.869999999999997</v>
      </c>
      <c r="F413">
        <v>13.64</v>
      </c>
      <c r="G413">
        <v>0</v>
      </c>
      <c r="I413">
        <v>180</v>
      </c>
      <c r="L413">
        <v>127</v>
      </c>
      <c r="M413">
        <v>1</v>
      </c>
      <c r="N413">
        <v>2</v>
      </c>
      <c r="P413" t="s">
        <v>273</v>
      </c>
      <c r="R413" t="str">
        <f t="shared" si="21"/>
        <v>TAB-CN</v>
      </c>
      <c r="S413">
        <f t="shared" si="19"/>
        <v>37.19</v>
      </c>
      <c r="T413">
        <f t="shared" si="20"/>
        <v>36.340000000000003</v>
      </c>
      <c r="U413">
        <f>IF(SQRT(POWER(T413-F413,2))+SQRT(POWER(E413-S413,2))=0,0,SQRT(POWER(T413-F413,2))+SQRT(POWER(E413-S413,2))+DATOS!$H$20)</f>
        <v>30.380000000000003</v>
      </c>
    </row>
    <row r="414" spans="1:21">
      <c r="A414" t="s">
        <v>274</v>
      </c>
      <c r="B414" t="s">
        <v>179</v>
      </c>
      <c r="C414" t="s">
        <v>180</v>
      </c>
      <c r="E414">
        <v>37.29</v>
      </c>
      <c r="F414">
        <v>26</v>
      </c>
      <c r="G414">
        <v>0</v>
      </c>
      <c r="H414">
        <v>180</v>
      </c>
      <c r="I414">
        <v>180</v>
      </c>
      <c r="L414">
        <v>127</v>
      </c>
      <c r="M414">
        <v>1</v>
      </c>
      <c r="N414">
        <v>2</v>
      </c>
      <c r="P414" t="s">
        <v>275</v>
      </c>
      <c r="R414" t="str">
        <f t="shared" si="21"/>
        <v>TAB-CN</v>
      </c>
      <c r="S414">
        <f t="shared" si="19"/>
        <v>37.19</v>
      </c>
      <c r="T414">
        <f t="shared" si="20"/>
        <v>36.340000000000003</v>
      </c>
      <c r="U414">
        <f>IF(SQRT(POWER(T414-F414,2))+SQRT(POWER(E414-S414,2))=0,0,SQRT(POWER(T414-F414,2))+SQRT(POWER(E414-S414,2))+DATOS!$H$20)</f>
        <v>15.440000000000005</v>
      </c>
    </row>
    <row r="415" spans="1:21">
      <c r="A415" t="s">
        <v>274</v>
      </c>
      <c r="B415" t="s">
        <v>179</v>
      </c>
      <c r="C415" t="s">
        <v>180</v>
      </c>
      <c r="E415">
        <v>37.29</v>
      </c>
      <c r="F415">
        <v>26.9</v>
      </c>
      <c r="G415">
        <v>0</v>
      </c>
      <c r="H415">
        <v>180</v>
      </c>
      <c r="I415">
        <v>180</v>
      </c>
      <c r="L415">
        <v>127</v>
      </c>
      <c r="M415">
        <v>1</v>
      </c>
      <c r="N415">
        <v>2</v>
      </c>
      <c r="P415" t="s">
        <v>275</v>
      </c>
      <c r="R415" t="str">
        <f t="shared" si="21"/>
        <v>TAB-CN</v>
      </c>
      <c r="S415">
        <f t="shared" si="19"/>
        <v>37.19</v>
      </c>
      <c r="T415">
        <f t="shared" si="20"/>
        <v>36.340000000000003</v>
      </c>
      <c r="U415">
        <f>IF(SQRT(POWER(T415-F415,2))+SQRT(POWER(E415-S415,2))=0,0,SQRT(POWER(T415-F415,2))+SQRT(POWER(E415-S415,2))+DATOS!$H$20)</f>
        <v>14.540000000000006</v>
      </c>
    </row>
    <row r="416" spans="1:21">
      <c r="A416" t="s">
        <v>274</v>
      </c>
      <c r="B416" t="s">
        <v>120</v>
      </c>
      <c r="C416" t="s">
        <v>121</v>
      </c>
      <c r="E416">
        <v>35.75</v>
      </c>
      <c r="F416">
        <v>24.15</v>
      </c>
      <c r="G416">
        <v>0</v>
      </c>
      <c r="I416">
        <v>180</v>
      </c>
      <c r="L416">
        <v>127</v>
      </c>
      <c r="M416">
        <v>1</v>
      </c>
      <c r="N416">
        <v>2</v>
      </c>
      <c r="P416" t="s">
        <v>275</v>
      </c>
      <c r="R416" t="str">
        <f t="shared" si="21"/>
        <v>TAB-CN</v>
      </c>
      <c r="S416">
        <f t="shared" si="19"/>
        <v>37.19</v>
      </c>
      <c r="T416">
        <f t="shared" si="20"/>
        <v>36.340000000000003</v>
      </c>
      <c r="U416">
        <f>IF(SQRT(POWER(T416-F416,2))+SQRT(POWER(E416-S416,2))=0,0,SQRT(POWER(T416-F416,2))+SQRT(POWER(E416-S416,2))+DATOS!$H$20)</f>
        <v>18.630000000000003</v>
      </c>
    </row>
    <row r="417" spans="1:21">
      <c r="A417" t="s">
        <v>274</v>
      </c>
      <c r="B417" t="s">
        <v>120</v>
      </c>
      <c r="C417" t="s">
        <v>121</v>
      </c>
      <c r="E417">
        <v>31.42</v>
      </c>
      <c r="F417">
        <v>27.41</v>
      </c>
      <c r="G417">
        <v>0</v>
      </c>
      <c r="I417">
        <v>180</v>
      </c>
      <c r="L417">
        <v>127</v>
      </c>
      <c r="M417">
        <v>1</v>
      </c>
      <c r="N417">
        <v>2</v>
      </c>
      <c r="P417" t="s">
        <v>275</v>
      </c>
      <c r="R417" t="str">
        <f t="shared" si="21"/>
        <v>TAB-CN</v>
      </c>
      <c r="S417">
        <f t="shared" si="19"/>
        <v>37.19</v>
      </c>
      <c r="T417">
        <f t="shared" si="20"/>
        <v>36.340000000000003</v>
      </c>
      <c r="U417">
        <f>IF(SQRT(POWER(T417-F417,2))+SQRT(POWER(E417-S417,2))=0,0,SQRT(POWER(T417-F417,2))+SQRT(POWER(E417-S417,2))+DATOS!$H$20)</f>
        <v>19.7</v>
      </c>
    </row>
    <row r="418" spans="1:21">
      <c r="A418" t="s">
        <v>274</v>
      </c>
      <c r="B418" t="s">
        <v>120</v>
      </c>
      <c r="C418" t="s">
        <v>121</v>
      </c>
      <c r="E418">
        <v>36.369999999999997</v>
      </c>
      <c r="F418">
        <v>28.76</v>
      </c>
      <c r="G418">
        <v>0</v>
      </c>
      <c r="I418">
        <v>180</v>
      </c>
      <c r="L418">
        <v>127</v>
      </c>
      <c r="M418">
        <v>1</v>
      </c>
      <c r="N418">
        <v>2</v>
      </c>
      <c r="P418" t="s">
        <v>275</v>
      </c>
      <c r="R418" t="str">
        <f t="shared" si="21"/>
        <v>TAB-CN</v>
      </c>
      <c r="S418">
        <f t="shared" si="19"/>
        <v>37.19</v>
      </c>
      <c r="T418">
        <f t="shared" si="20"/>
        <v>36.340000000000003</v>
      </c>
      <c r="U418">
        <f>IF(SQRT(POWER(T418-F418,2))+SQRT(POWER(E418-S418,2))=0,0,SQRT(POWER(T418-F418,2))+SQRT(POWER(E418-S418,2))+DATOS!$H$20)</f>
        <v>13.400000000000002</v>
      </c>
    </row>
    <row r="419" spans="1:21">
      <c r="A419" t="s">
        <v>274</v>
      </c>
      <c r="B419" t="s">
        <v>120</v>
      </c>
      <c r="C419" t="s">
        <v>121</v>
      </c>
      <c r="E419">
        <v>33.78</v>
      </c>
      <c r="F419">
        <v>28.76</v>
      </c>
      <c r="G419">
        <v>0</v>
      </c>
      <c r="I419">
        <v>180</v>
      </c>
      <c r="L419">
        <v>127</v>
      </c>
      <c r="M419">
        <v>1</v>
      </c>
      <c r="N419">
        <v>2</v>
      </c>
      <c r="P419" t="s">
        <v>275</v>
      </c>
      <c r="R419" t="str">
        <f t="shared" si="21"/>
        <v>TAB-CN</v>
      </c>
      <c r="S419">
        <f t="shared" si="19"/>
        <v>37.19</v>
      </c>
      <c r="T419">
        <f t="shared" si="20"/>
        <v>36.340000000000003</v>
      </c>
      <c r="U419">
        <f>IF(SQRT(POWER(T419-F419,2))+SQRT(POWER(E419-S419,2))=0,0,SQRT(POWER(T419-F419,2))+SQRT(POWER(E419-S419,2))+DATOS!$H$20)</f>
        <v>15.989999999999998</v>
      </c>
    </row>
    <row r="420" spans="1:21">
      <c r="A420" t="s">
        <v>276</v>
      </c>
      <c r="B420" t="s">
        <v>120</v>
      </c>
      <c r="C420" t="s">
        <v>121</v>
      </c>
      <c r="E420">
        <v>37.29</v>
      </c>
      <c r="F420">
        <v>32.1</v>
      </c>
      <c r="G420">
        <v>0</v>
      </c>
      <c r="I420">
        <v>180</v>
      </c>
      <c r="L420">
        <v>127</v>
      </c>
      <c r="M420">
        <v>1</v>
      </c>
      <c r="N420">
        <v>2</v>
      </c>
      <c r="P420" t="s">
        <v>277</v>
      </c>
      <c r="R420" t="str">
        <f t="shared" si="21"/>
        <v>TAB-CN</v>
      </c>
      <c r="S420">
        <f t="shared" si="19"/>
        <v>37.19</v>
      </c>
      <c r="T420">
        <f t="shared" si="20"/>
        <v>36.340000000000003</v>
      </c>
      <c r="U420">
        <f>IF(SQRT(POWER(T420-F420,2))+SQRT(POWER(E420-S420,2))=0,0,SQRT(POWER(T420-F420,2))+SQRT(POWER(E420-S420,2))+DATOS!$H$20)</f>
        <v>9.3400000000000034</v>
      </c>
    </row>
    <row r="421" spans="1:21">
      <c r="A421" t="s">
        <v>276</v>
      </c>
      <c r="B421" t="s">
        <v>120</v>
      </c>
      <c r="C421" t="s">
        <v>121</v>
      </c>
      <c r="E421">
        <v>34.92</v>
      </c>
      <c r="F421">
        <v>31.82</v>
      </c>
      <c r="G421">
        <v>0</v>
      </c>
      <c r="I421">
        <v>180</v>
      </c>
      <c r="L421">
        <v>127</v>
      </c>
      <c r="M421">
        <v>1</v>
      </c>
      <c r="N421">
        <v>2</v>
      </c>
      <c r="P421" t="s">
        <v>277</v>
      </c>
      <c r="R421" t="str">
        <f t="shared" si="21"/>
        <v>TAB-CN</v>
      </c>
      <c r="S421">
        <f t="shared" si="19"/>
        <v>37.19</v>
      </c>
      <c r="T421">
        <f t="shared" si="20"/>
        <v>36.340000000000003</v>
      </c>
      <c r="U421">
        <f>IF(SQRT(POWER(T421-F421,2))+SQRT(POWER(E421-S421,2))=0,0,SQRT(POWER(T421-F421,2))+SQRT(POWER(E421-S421,2))+DATOS!$H$20)</f>
        <v>11.79</v>
      </c>
    </row>
    <row r="422" spans="1:21">
      <c r="A422" t="s">
        <v>276</v>
      </c>
      <c r="B422" t="s">
        <v>120</v>
      </c>
      <c r="C422" t="s">
        <v>121</v>
      </c>
      <c r="E422">
        <v>33.43</v>
      </c>
      <c r="F422">
        <v>34.58</v>
      </c>
      <c r="G422">
        <v>0</v>
      </c>
      <c r="I422">
        <v>180</v>
      </c>
      <c r="L422">
        <v>127</v>
      </c>
      <c r="M422">
        <v>1</v>
      </c>
      <c r="N422">
        <v>2</v>
      </c>
      <c r="P422" t="s">
        <v>277</v>
      </c>
      <c r="R422" t="str">
        <f t="shared" si="21"/>
        <v>TAB-CN</v>
      </c>
      <c r="S422">
        <f t="shared" si="19"/>
        <v>37.19</v>
      </c>
      <c r="T422">
        <f t="shared" si="20"/>
        <v>36.340000000000003</v>
      </c>
      <c r="U422">
        <f>IF(SQRT(POWER(T422-F422,2))+SQRT(POWER(E422-S422,2))=0,0,SQRT(POWER(T422-F422,2))+SQRT(POWER(E422-S422,2))+DATOS!$H$20)</f>
        <v>10.520000000000003</v>
      </c>
    </row>
    <row r="423" spans="1:21">
      <c r="A423" t="s">
        <v>276</v>
      </c>
      <c r="B423" t="s">
        <v>120</v>
      </c>
      <c r="C423" t="s">
        <v>121</v>
      </c>
      <c r="E423">
        <v>31.99</v>
      </c>
      <c r="F423">
        <v>33.47</v>
      </c>
      <c r="G423">
        <v>0</v>
      </c>
      <c r="I423">
        <v>180</v>
      </c>
      <c r="L423">
        <v>127</v>
      </c>
      <c r="M423">
        <v>1</v>
      </c>
      <c r="N423">
        <v>2</v>
      </c>
      <c r="P423" t="s">
        <v>277</v>
      </c>
      <c r="R423" t="str">
        <f t="shared" si="21"/>
        <v>TAB-CN</v>
      </c>
      <c r="S423">
        <f t="shared" si="19"/>
        <v>37.19</v>
      </c>
      <c r="T423">
        <f t="shared" si="20"/>
        <v>36.340000000000003</v>
      </c>
      <c r="U423">
        <f>IF(SQRT(POWER(T423-F423,2))+SQRT(POWER(E423-S423,2))=0,0,SQRT(POWER(T423-F423,2))+SQRT(POWER(E423-S423,2))+DATOS!$H$20)</f>
        <v>13.070000000000004</v>
      </c>
    </row>
    <row r="424" spans="1:21">
      <c r="A424" t="s">
        <v>276</v>
      </c>
      <c r="B424" t="s">
        <v>120</v>
      </c>
      <c r="C424" t="s">
        <v>121</v>
      </c>
      <c r="E424">
        <v>29.44</v>
      </c>
      <c r="F424">
        <v>33.18</v>
      </c>
      <c r="G424">
        <v>0</v>
      </c>
      <c r="I424">
        <v>180</v>
      </c>
      <c r="L424">
        <v>127</v>
      </c>
      <c r="M424">
        <v>1</v>
      </c>
      <c r="N424">
        <v>2</v>
      </c>
      <c r="P424" t="s">
        <v>277</v>
      </c>
      <c r="R424" t="str">
        <f t="shared" si="21"/>
        <v>TAB-CN</v>
      </c>
      <c r="S424">
        <f t="shared" si="19"/>
        <v>37.19</v>
      </c>
      <c r="T424">
        <f t="shared" si="20"/>
        <v>36.340000000000003</v>
      </c>
      <c r="U424">
        <f>IF(SQRT(POWER(T424-F424,2))+SQRT(POWER(E424-S424,2))=0,0,SQRT(POWER(T424-F424,2))+SQRT(POWER(E424-S424,2))+DATOS!$H$20)</f>
        <v>15.91</v>
      </c>
    </row>
    <row r="425" spans="1:21">
      <c r="A425" t="s">
        <v>276</v>
      </c>
      <c r="B425" t="s">
        <v>120</v>
      </c>
      <c r="C425" t="s">
        <v>121</v>
      </c>
      <c r="E425">
        <v>27.25</v>
      </c>
      <c r="F425">
        <v>34.58</v>
      </c>
      <c r="G425">
        <v>0</v>
      </c>
      <c r="I425">
        <v>180</v>
      </c>
      <c r="L425">
        <v>127</v>
      </c>
      <c r="M425">
        <v>1</v>
      </c>
      <c r="N425">
        <v>2</v>
      </c>
      <c r="P425" t="s">
        <v>277</v>
      </c>
      <c r="R425" t="str">
        <f t="shared" si="21"/>
        <v>TAB-CN</v>
      </c>
      <c r="S425">
        <f t="shared" si="19"/>
        <v>37.19</v>
      </c>
      <c r="T425">
        <f t="shared" si="20"/>
        <v>36.340000000000003</v>
      </c>
      <c r="U425">
        <f>IF(SQRT(POWER(T425-F425,2))+SQRT(POWER(E425-S425,2))=0,0,SQRT(POWER(T425-F425,2))+SQRT(POWER(E425-S425,2))+DATOS!$H$20)</f>
        <v>16.700000000000003</v>
      </c>
    </row>
    <row r="426" spans="1:21">
      <c r="A426" t="s">
        <v>276</v>
      </c>
      <c r="B426" t="s">
        <v>120</v>
      </c>
      <c r="C426" t="s">
        <v>121</v>
      </c>
      <c r="E426">
        <v>22.35</v>
      </c>
      <c r="F426">
        <v>32.96</v>
      </c>
      <c r="G426">
        <v>0</v>
      </c>
      <c r="I426">
        <v>180</v>
      </c>
      <c r="L426">
        <v>127</v>
      </c>
      <c r="M426">
        <v>1</v>
      </c>
      <c r="N426">
        <v>2</v>
      </c>
      <c r="P426" t="s">
        <v>277</v>
      </c>
      <c r="R426" t="str">
        <f t="shared" si="21"/>
        <v>TAB-CN</v>
      </c>
      <c r="S426">
        <f t="shared" si="19"/>
        <v>37.19</v>
      </c>
      <c r="T426">
        <f t="shared" si="20"/>
        <v>36.340000000000003</v>
      </c>
      <c r="U426">
        <f>IF(SQRT(POWER(T426-F426,2))+SQRT(POWER(E426-S426,2))=0,0,SQRT(POWER(T426-F426,2))+SQRT(POWER(E426-S426,2))+DATOS!$H$20)</f>
        <v>23.22</v>
      </c>
    </row>
    <row r="427" spans="1:21">
      <c r="A427" t="s">
        <v>276</v>
      </c>
      <c r="B427" t="s">
        <v>120</v>
      </c>
      <c r="C427" t="s">
        <v>121</v>
      </c>
      <c r="E427">
        <v>24.64</v>
      </c>
      <c r="F427">
        <v>34.58</v>
      </c>
      <c r="G427">
        <v>0</v>
      </c>
      <c r="I427">
        <v>180</v>
      </c>
      <c r="L427">
        <v>127</v>
      </c>
      <c r="M427">
        <v>1</v>
      </c>
      <c r="N427">
        <v>2</v>
      </c>
      <c r="P427" t="s">
        <v>277</v>
      </c>
      <c r="R427" t="str">
        <f t="shared" si="21"/>
        <v>TAB-CN</v>
      </c>
      <c r="S427">
        <f t="shared" si="19"/>
        <v>37.19</v>
      </c>
      <c r="T427">
        <f t="shared" si="20"/>
        <v>36.340000000000003</v>
      </c>
      <c r="U427">
        <f>IF(SQRT(POWER(T427-F427,2))+SQRT(POWER(E427-S427,2))=0,0,SQRT(POWER(T427-F427,2))+SQRT(POWER(E427-S427,2))+DATOS!$H$20)</f>
        <v>19.310000000000002</v>
      </c>
    </row>
    <row r="428" spans="1:21">
      <c r="A428" t="s">
        <v>278</v>
      </c>
      <c r="B428" t="s">
        <v>200</v>
      </c>
      <c r="C428" t="s">
        <v>32</v>
      </c>
      <c r="E428">
        <v>26.52</v>
      </c>
      <c r="F428">
        <v>29.94</v>
      </c>
      <c r="G428">
        <v>0</v>
      </c>
      <c r="I428">
        <v>180</v>
      </c>
      <c r="L428">
        <v>127</v>
      </c>
      <c r="M428">
        <v>1</v>
      </c>
      <c r="N428">
        <v>2</v>
      </c>
      <c r="P428" t="s">
        <v>279</v>
      </c>
      <c r="R428" t="str">
        <f t="shared" si="21"/>
        <v>TAB-CN</v>
      </c>
      <c r="S428">
        <f t="shared" si="19"/>
        <v>37.19</v>
      </c>
      <c r="T428">
        <f t="shared" si="20"/>
        <v>36.340000000000003</v>
      </c>
      <c r="U428">
        <f>IF(SQRT(POWER(T428-F428,2))+SQRT(POWER(E428-S428,2))=0,0,SQRT(POWER(T428-F428,2))+SQRT(POWER(E428-S428,2))+DATOS!$H$20)</f>
        <v>22.07</v>
      </c>
    </row>
    <row r="429" spans="1:21">
      <c r="A429" t="s">
        <v>278</v>
      </c>
      <c r="B429" t="s">
        <v>200</v>
      </c>
      <c r="C429" t="s">
        <v>32</v>
      </c>
      <c r="E429">
        <v>25.59</v>
      </c>
      <c r="F429">
        <v>31.71</v>
      </c>
      <c r="G429">
        <v>0</v>
      </c>
      <c r="I429">
        <v>180</v>
      </c>
      <c r="L429">
        <v>127</v>
      </c>
      <c r="M429">
        <v>1</v>
      </c>
      <c r="N429">
        <v>2</v>
      </c>
      <c r="P429" t="s">
        <v>279</v>
      </c>
      <c r="R429" t="str">
        <f t="shared" si="21"/>
        <v>TAB-CN</v>
      </c>
      <c r="S429">
        <f t="shared" si="19"/>
        <v>37.19</v>
      </c>
      <c r="T429">
        <f t="shared" si="20"/>
        <v>36.340000000000003</v>
      </c>
      <c r="U429">
        <f>IF(SQRT(POWER(T429-F429,2))+SQRT(POWER(E429-S429,2))=0,0,SQRT(POWER(T429-F429,2))+SQRT(POWER(E429-S429,2))+DATOS!$H$20)</f>
        <v>21.23</v>
      </c>
    </row>
    <row r="430" spans="1:21">
      <c r="A430" t="s">
        <v>278</v>
      </c>
      <c r="B430" t="s">
        <v>200</v>
      </c>
      <c r="C430" t="s">
        <v>32</v>
      </c>
      <c r="E430">
        <v>27.35</v>
      </c>
      <c r="F430">
        <v>29.55</v>
      </c>
      <c r="G430">
        <v>0</v>
      </c>
      <c r="I430">
        <v>180</v>
      </c>
      <c r="L430">
        <v>127</v>
      </c>
      <c r="M430">
        <v>1</v>
      </c>
      <c r="N430">
        <v>2</v>
      </c>
      <c r="P430" t="s">
        <v>279</v>
      </c>
      <c r="R430" t="str">
        <f t="shared" si="21"/>
        <v>TAB-CN</v>
      </c>
      <c r="S430">
        <f t="shared" si="19"/>
        <v>37.19</v>
      </c>
      <c r="T430">
        <f t="shared" si="20"/>
        <v>36.340000000000003</v>
      </c>
      <c r="U430">
        <f>IF(SQRT(POWER(T430-F430,2))+SQRT(POWER(E430-S430,2))=0,0,SQRT(POWER(T430-F430,2))+SQRT(POWER(E430-S430,2))+DATOS!$H$20)</f>
        <v>21.63</v>
      </c>
    </row>
    <row r="431" spans="1:21">
      <c r="A431" t="s">
        <v>278</v>
      </c>
      <c r="B431" t="s">
        <v>200</v>
      </c>
      <c r="C431" t="s">
        <v>32</v>
      </c>
      <c r="E431">
        <v>24.33</v>
      </c>
      <c r="F431">
        <v>29.55</v>
      </c>
      <c r="G431">
        <v>0</v>
      </c>
      <c r="I431">
        <v>180</v>
      </c>
      <c r="L431">
        <v>127</v>
      </c>
      <c r="M431">
        <v>1</v>
      </c>
      <c r="N431">
        <v>2</v>
      </c>
      <c r="P431" t="s">
        <v>279</v>
      </c>
      <c r="R431" t="str">
        <f t="shared" si="21"/>
        <v>TAB-CN</v>
      </c>
      <c r="S431">
        <f t="shared" si="19"/>
        <v>37.19</v>
      </c>
      <c r="T431">
        <f t="shared" si="20"/>
        <v>36.340000000000003</v>
      </c>
      <c r="U431">
        <f>IF(SQRT(POWER(T431-F431,2))+SQRT(POWER(E431-S431,2))=0,0,SQRT(POWER(T431-F431,2))+SQRT(POWER(E431-S431,2))+DATOS!$H$20)</f>
        <v>24.650000000000002</v>
      </c>
    </row>
    <row r="432" spans="1:21">
      <c r="A432" t="s">
        <v>278</v>
      </c>
      <c r="B432" t="s">
        <v>200</v>
      </c>
      <c r="C432" t="s">
        <v>32</v>
      </c>
      <c r="E432">
        <v>26.61</v>
      </c>
      <c r="F432">
        <v>26.26</v>
      </c>
      <c r="G432">
        <v>0</v>
      </c>
      <c r="I432">
        <v>180</v>
      </c>
      <c r="L432">
        <v>127</v>
      </c>
      <c r="M432">
        <v>1</v>
      </c>
      <c r="N432">
        <v>2</v>
      </c>
      <c r="P432" t="s">
        <v>279</v>
      </c>
      <c r="R432" t="str">
        <f t="shared" si="21"/>
        <v>TAB-CN</v>
      </c>
      <c r="S432">
        <f t="shared" si="19"/>
        <v>37.19</v>
      </c>
      <c r="T432">
        <f t="shared" si="20"/>
        <v>36.340000000000003</v>
      </c>
      <c r="U432">
        <f>IF(SQRT(POWER(T432-F432,2))+SQRT(POWER(E432-S432,2))=0,0,SQRT(POWER(T432-F432,2))+SQRT(POWER(E432-S432,2))+DATOS!$H$20)</f>
        <v>25.66</v>
      </c>
    </row>
    <row r="433" spans="1:21">
      <c r="A433" t="s">
        <v>278</v>
      </c>
      <c r="B433" t="s">
        <v>200</v>
      </c>
      <c r="C433" t="s">
        <v>32</v>
      </c>
      <c r="E433">
        <v>24.21</v>
      </c>
      <c r="F433">
        <v>26.27</v>
      </c>
      <c r="G433">
        <v>0</v>
      </c>
      <c r="I433">
        <v>180</v>
      </c>
      <c r="L433">
        <v>127</v>
      </c>
      <c r="M433">
        <v>1</v>
      </c>
      <c r="N433">
        <v>2</v>
      </c>
      <c r="P433" t="s">
        <v>279</v>
      </c>
      <c r="R433" t="str">
        <f t="shared" si="21"/>
        <v>TAB-CN</v>
      </c>
      <c r="S433">
        <f t="shared" si="19"/>
        <v>37.19</v>
      </c>
      <c r="T433">
        <f t="shared" si="20"/>
        <v>36.340000000000003</v>
      </c>
      <c r="U433">
        <f>IF(SQRT(POWER(T433-F433,2))+SQRT(POWER(E433-S433,2))=0,0,SQRT(POWER(T433-F433,2))+SQRT(POWER(E433-S433,2))+DATOS!$H$20)</f>
        <v>28.05</v>
      </c>
    </row>
    <row r="434" spans="1:21">
      <c r="A434" t="s">
        <v>278</v>
      </c>
      <c r="B434" t="s">
        <v>200</v>
      </c>
      <c r="C434" t="s">
        <v>32</v>
      </c>
      <c r="E434">
        <v>26.61</v>
      </c>
      <c r="F434">
        <v>25.87</v>
      </c>
      <c r="G434">
        <v>0</v>
      </c>
      <c r="I434">
        <v>180</v>
      </c>
      <c r="L434">
        <v>127</v>
      </c>
      <c r="M434">
        <v>1</v>
      </c>
      <c r="N434">
        <v>2</v>
      </c>
      <c r="P434" t="s">
        <v>279</v>
      </c>
      <c r="R434" t="str">
        <f t="shared" si="21"/>
        <v>TAB-CN</v>
      </c>
      <c r="S434">
        <f t="shared" si="19"/>
        <v>37.19</v>
      </c>
      <c r="T434">
        <f t="shared" si="20"/>
        <v>36.340000000000003</v>
      </c>
      <c r="U434">
        <f>IF(SQRT(POWER(T434-F434,2))+SQRT(POWER(E434-S434,2))=0,0,SQRT(POWER(T434-F434,2))+SQRT(POWER(E434-S434,2))+DATOS!$H$20)</f>
        <v>26.05</v>
      </c>
    </row>
    <row r="435" spans="1:21">
      <c r="A435" t="s">
        <v>278</v>
      </c>
      <c r="B435" t="s">
        <v>200</v>
      </c>
      <c r="C435" t="s">
        <v>32</v>
      </c>
      <c r="E435">
        <v>24.21</v>
      </c>
      <c r="F435">
        <v>25.87</v>
      </c>
      <c r="G435">
        <v>0</v>
      </c>
      <c r="I435">
        <v>180</v>
      </c>
      <c r="L435">
        <v>127</v>
      </c>
      <c r="M435">
        <v>1</v>
      </c>
      <c r="N435">
        <v>2</v>
      </c>
      <c r="P435" t="s">
        <v>279</v>
      </c>
      <c r="R435" t="str">
        <f t="shared" si="21"/>
        <v>TAB-CN</v>
      </c>
      <c r="S435">
        <f t="shared" si="19"/>
        <v>37.19</v>
      </c>
      <c r="T435">
        <f t="shared" si="20"/>
        <v>36.340000000000003</v>
      </c>
      <c r="U435">
        <f>IF(SQRT(POWER(T435-F435,2))+SQRT(POWER(E435-S435,2))=0,0,SQRT(POWER(T435-F435,2))+SQRT(POWER(E435-S435,2))+DATOS!$H$20)</f>
        <v>28.45</v>
      </c>
    </row>
    <row r="436" spans="1:21">
      <c r="A436" t="s">
        <v>280</v>
      </c>
      <c r="B436" t="s">
        <v>200</v>
      </c>
      <c r="C436" t="s">
        <v>32</v>
      </c>
      <c r="E436">
        <v>26.61</v>
      </c>
      <c r="F436">
        <v>22.88</v>
      </c>
      <c r="G436">
        <v>0</v>
      </c>
      <c r="I436">
        <v>180</v>
      </c>
      <c r="L436">
        <v>127</v>
      </c>
      <c r="M436">
        <v>1</v>
      </c>
      <c r="N436">
        <v>2</v>
      </c>
      <c r="P436" t="s">
        <v>281</v>
      </c>
      <c r="R436" t="str">
        <f t="shared" si="21"/>
        <v>TAB-CN</v>
      </c>
      <c r="S436">
        <f t="shared" si="19"/>
        <v>37.19</v>
      </c>
      <c r="T436">
        <f t="shared" si="20"/>
        <v>36.340000000000003</v>
      </c>
      <c r="U436">
        <f>IF(SQRT(POWER(T436-F436,2))+SQRT(POWER(E436-S436,2))=0,0,SQRT(POWER(T436-F436,2))+SQRT(POWER(E436-S436,2))+DATOS!$H$20)</f>
        <v>29.040000000000003</v>
      </c>
    </row>
    <row r="437" spans="1:21">
      <c r="A437" t="s">
        <v>280</v>
      </c>
      <c r="B437" t="s">
        <v>200</v>
      </c>
      <c r="C437" t="s">
        <v>32</v>
      </c>
      <c r="E437">
        <v>24.21</v>
      </c>
      <c r="F437">
        <v>22.89</v>
      </c>
      <c r="G437">
        <v>0</v>
      </c>
      <c r="I437">
        <v>180</v>
      </c>
      <c r="L437">
        <v>127</v>
      </c>
      <c r="M437">
        <v>1</v>
      </c>
      <c r="N437">
        <v>2</v>
      </c>
      <c r="P437" t="s">
        <v>281</v>
      </c>
      <c r="R437" t="str">
        <f t="shared" si="21"/>
        <v>TAB-CN</v>
      </c>
      <c r="S437">
        <f t="shared" si="19"/>
        <v>37.19</v>
      </c>
      <c r="T437">
        <f t="shared" si="20"/>
        <v>36.340000000000003</v>
      </c>
      <c r="U437">
        <f>IF(SQRT(POWER(T437-F437,2))+SQRT(POWER(E437-S437,2))=0,0,SQRT(POWER(T437-F437,2))+SQRT(POWER(E437-S437,2))+DATOS!$H$20)</f>
        <v>31.43</v>
      </c>
    </row>
    <row r="438" spans="1:21">
      <c r="A438" t="s">
        <v>280</v>
      </c>
      <c r="B438" t="s">
        <v>200</v>
      </c>
      <c r="C438" t="s">
        <v>32</v>
      </c>
      <c r="E438">
        <v>26.61</v>
      </c>
      <c r="F438">
        <v>22.49</v>
      </c>
      <c r="G438">
        <v>0</v>
      </c>
      <c r="I438">
        <v>180</v>
      </c>
      <c r="L438">
        <v>127</v>
      </c>
      <c r="M438">
        <v>1</v>
      </c>
      <c r="N438">
        <v>2</v>
      </c>
      <c r="P438" t="s">
        <v>281</v>
      </c>
      <c r="R438" t="str">
        <f t="shared" si="21"/>
        <v>TAB-CN</v>
      </c>
      <c r="S438">
        <f t="shared" si="19"/>
        <v>37.19</v>
      </c>
      <c r="T438">
        <f t="shared" si="20"/>
        <v>36.340000000000003</v>
      </c>
      <c r="U438">
        <f>IF(SQRT(POWER(T438-F438,2))+SQRT(POWER(E438-S438,2))=0,0,SQRT(POWER(T438-F438,2))+SQRT(POWER(E438-S438,2))+DATOS!$H$20)</f>
        <v>29.430000000000003</v>
      </c>
    </row>
    <row r="439" spans="1:21">
      <c r="A439" t="s">
        <v>280</v>
      </c>
      <c r="B439" t="s">
        <v>200</v>
      </c>
      <c r="C439" t="s">
        <v>32</v>
      </c>
      <c r="E439">
        <v>24.21</v>
      </c>
      <c r="F439">
        <v>22.49</v>
      </c>
      <c r="G439">
        <v>0</v>
      </c>
      <c r="I439">
        <v>180</v>
      </c>
      <c r="L439">
        <v>127</v>
      </c>
      <c r="M439">
        <v>1</v>
      </c>
      <c r="N439">
        <v>2</v>
      </c>
      <c r="P439" t="s">
        <v>281</v>
      </c>
      <c r="R439" t="str">
        <f t="shared" si="21"/>
        <v>TAB-CN</v>
      </c>
      <c r="S439">
        <f t="shared" si="19"/>
        <v>37.19</v>
      </c>
      <c r="T439">
        <f t="shared" si="20"/>
        <v>36.340000000000003</v>
      </c>
      <c r="U439">
        <f>IF(SQRT(POWER(T439-F439,2))+SQRT(POWER(E439-S439,2))=0,0,SQRT(POWER(T439-F439,2))+SQRT(POWER(E439-S439,2))+DATOS!$H$20)</f>
        <v>31.830000000000002</v>
      </c>
    </row>
    <row r="440" spans="1:21">
      <c r="A440" t="s">
        <v>280</v>
      </c>
      <c r="B440" t="s">
        <v>120</v>
      </c>
      <c r="C440" t="s">
        <v>121</v>
      </c>
      <c r="E440">
        <v>34.01</v>
      </c>
      <c r="F440">
        <v>23.75</v>
      </c>
      <c r="G440">
        <v>0</v>
      </c>
      <c r="I440">
        <v>180</v>
      </c>
      <c r="L440">
        <v>127</v>
      </c>
      <c r="M440">
        <v>1</v>
      </c>
      <c r="N440">
        <v>2</v>
      </c>
      <c r="P440" t="s">
        <v>282</v>
      </c>
      <c r="R440" t="str">
        <f t="shared" si="21"/>
        <v>TAB-CN</v>
      </c>
      <c r="S440">
        <f t="shared" si="19"/>
        <v>37.19</v>
      </c>
      <c r="T440">
        <f t="shared" si="20"/>
        <v>36.340000000000003</v>
      </c>
      <c r="U440">
        <f>IF(SQRT(POWER(T440-F440,2))+SQRT(POWER(E440-S440,2))=0,0,SQRT(POWER(T440-F440,2))+SQRT(POWER(E440-S440,2))+DATOS!$H$20)</f>
        <v>20.770000000000003</v>
      </c>
    </row>
    <row r="441" spans="1:21">
      <c r="A441" t="s">
        <v>280</v>
      </c>
      <c r="B441" t="s">
        <v>120</v>
      </c>
      <c r="C441" t="s">
        <v>121</v>
      </c>
      <c r="E441">
        <v>33.83</v>
      </c>
      <c r="F441">
        <v>21.14</v>
      </c>
      <c r="G441">
        <v>0</v>
      </c>
      <c r="I441">
        <v>180</v>
      </c>
      <c r="L441">
        <v>127</v>
      </c>
      <c r="M441">
        <v>1</v>
      </c>
      <c r="N441">
        <v>2</v>
      </c>
      <c r="P441" t="s">
        <v>282</v>
      </c>
      <c r="R441" t="str">
        <f t="shared" si="21"/>
        <v>TAB-CN</v>
      </c>
      <c r="S441">
        <f t="shared" si="19"/>
        <v>37.19</v>
      </c>
      <c r="T441">
        <f t="shared" si="20"/>
        <v>36.340000000000003</v>
      </c>
      <c r="U441">
        <f>IF(SQRT(POWER(T441-F441,2))+SQRT(POWER(E441-S441,2))=0,0,SQRT(POWER(T441-F441,2))+SQRT(POWER(E441-S441,2))+DATOS!$H$20)</f>
        <v>23.560000000000002</v>
      </c>
    </row>
    <row r="442" spans="1:21">
      <c r="A442" t="s">
        <v>280</v>
      </c>
      <c r="B442" t="s">
        <v>120</v>
      </c>
      <c r="C442" t="s">
        <v>121</v>
      </c>
      <c r="E442">
        <v>34.1</v>
      </c>
      <c r="F442">
        <v>20.18</v>
      </c>
      <c r="G442">
        <v>0</v>
      </c>
      <c r="I442">
        <v>180</v>
      </c>
      <c r="L442">
        <v>127</v>
      </c>
      <c r="M442">
        <v>1</v>
      </c>
      <c r="N442">
        <v>2</v>
      </c>
      <c r="P442" t="s">
        <v>282</v>
      </c>
      <c r="R442" t="str">
        <f t="shared" si="21"/>
        <v>TAB-CN</v>
      </c>
      <c r="S442">
        <f t="shared" si="19"/>
        <v>37.19</v>
      </c>
      <c r="T442">
        <f t="shared" si="20"/>
        <v>36.340000000000003</v>
      </c>
      <c r="U442">
        <f>IF(SQRT(POWER(T442-F442,2))+SQRT(POWER(E442-S442,2))=0,0,SQRT(POWER(T442-F442,2))+SQRT(POWER(E442-S442,2))+DATOS!$H$20)</f>
        <v>24.25</v>
      </c>
    </row>
    <row r="443" spans="1:21">
      <c r="A443" t="s">
        <v>280</v>
      </c>
      <c r="B443" t="s">
        <v>120</v>
      </c>
      <c r="C443" t="s">
        <v>121</v>
      </c>
      <c r="E443">
        <v>33.299999999999997</v>
      </c>
      <c r="F443">
        <v>20.18</v>
      </c>
      <c r="G443">
        <v>0</v>
      </c>
      <c r="I443">
        <v>180</v>
      </c>
      <c r="L443">
        <v>127</v>
      </c>
      <c r="M443">
        <v>1</v>
      </c>
      <c r="N443">
        <v>2</v>
      </c>
      <c r="P443" t="s">
        <v>282</v>
      </c>
      <c r="R443" t="str">
        <f t="shared" si="21"/>
        <v>TAB-CN</v>
      </c>
      <c r="S443">
        <f t="shared" si="19"/>
        <v>37.19</v>
      </c>
      <c r="T443">
        <f t="shared" si="20"/>
        <v>36.340000000000003</v>
      </c>
      <c r="U443">
        <f>IF(SQRT(POWER(T443-F443,2))+SQRT(POWER(E443-S443,2))=0,0,SQRT(POWER(T443-F443,2))+SQRT(POWER(E443-S443,2))+DATOS!$H$20)</f>
        <v>25.050000000000004</v>
      </c>
    </row>
    <row r="444" spans="1:21">
      <c r="A444" t="s">
        <v>283</v>
      </c>
      <c r="B444" t="s">
        <v>120</v>
      </c>
      <c r="C444" t="s">
        <v>121</v>
      </c>
      <c r="E444">
        <v>25.82</v>
      </c>
      <c r="F444">
        <v>15.72</v>
      </c>
      <c r="G444">
        <v>0</v>
      </c>
      <c r="I444">
        <v>180</v>
      </c>
      <c r="L444">
        <v>127</v>
      </c>
      <c r="M444">
        <v>1</v>
      </c>
      <c r="N444">
        <v>2</v>
      </c>
      <c r="P444" t="s">
        <v>284</v>
      </c>
      <c r="R444" t="str">
        <f t="shared" si="21"/>
        <v>TAB-CN</v>
      </c>
      <c r="S444">
        <f t="shared" si="19"/>
        <v>37.19</v>
      </c>
      <c r="T444">
        <f t="shared" si="20"/>
        <v>36.340000000000003</v>
      </c>
      <c r="U444">
        <f>IF(SQRT(POWER(T444-F444,2))+SQRT(POWER(E444-S444,2))=0,0,SQRT(POWER(T444-F444,2))+SQRT(POWER(E444-S444,2))+DATOS!$H$20)</f>
        <v>36.99</v>
      </c>
    </row>
    <row r="445" spans="1:21">
      <c r="A445" t="s">
        <v>283</v>
      </c>
      <c r="B445" t="s">
        <v>179</v>
      </c>
      <c r="C445" t="s">
        <v>180</v>
      </c>
      <c r="E445">
        <v>24.56</v>
      </c>
      <c r="F445">
        <v>19</v>
      </c>
      <c r="G445">
        <v>0</v>
      </c>
      <c r="H445">
        <v>180</v>
      </c>
      <c r="I445">
        <v>180</v>
      </c>
      <c r="L445">
        <v>127</v>
      </c>
      <c r="M445">
        <v>1</v>
      </c>
      <c r="N445">
        <v>2</v>
      </c>
      <c r="P445" t="s">
        <v>284</v>
      </c>
      <c r="R445" t="str">
        <f t="shared" si="21"/>
        <v>TAB-CN</v>
      </c>
      <c r="S445">
        <f t="shared" si="19"/>
        <v>37.19</v>
      </c>
      <c r="T445">
        <f t="shared" si="20"/>
        <v>36.340000000000003</v>
      </c>
      <c r="U445">
        <f>IF(SQRT(POWER(T445-F445,2))+SQRT(POWER(E445-S445,2))=0,0,SQRT(POWER(T445-F445,2))+SQRT(POWER(E445-S445,2))+DATOS!$H$20)</f>
        <v>34.97</v>
      </c>
    </row>
    <row r="446" spans="1:21">
      <c r="A446" t="s">
        <v>283</v>
      </c>
      <c r="B446" t="s">
        <v>120</v>
      </c>
      <c r="C446" t="s">
        <v>121</v>
      </c>
      <c r="E446">
        <v>29.43</v>
      </c>
      <c r="F446">
        <v>18.899999999999999</v>
      </c>
      <c r="G446">
        <v>0</v>
      </c>
      <c r="I446">
        <v>180</v>
      </c>
      <c r="L446">
        <v>127</v>
      </c>
      <c r="M446">
        <v>1</v>
      </c>
      <c r="N446">
        <v>2</v>
      </c>
      <c r="P446" t="s">
        <v>284</v>
      </c>
      <c r="R446" t="str">
        <f t="shared" si="21"/>
        <v>TAB-CN</v>
      </c>
      <c r="S446">
        <f t="shared" si="19"/>
        <v>37.19</v>
      </c>
      <c r="T446">
        <f t="shared" si="20"/>
        <v>36.340000000000003</v>
      </c>
      <c r="U446">
        <f>IF(SQRT(POWER(T446-F446,2))+SQRT(POWER(E446-S446,2))=0,0,SQRT(POWER(T446-F446,2))+SQRT(POWER(E446-S446,2))+DATOS!$H$20)</f>
        <v>30.200000000000003</v>
      </c>
    </row>
    <row r="447" spans="1:21">
      <c r="A447" t="s">
        <v>285</v>
      </c>
      <c r="B447" t="s">
        <v>286</v>
      </c>
      <c r="C447" t="s">
        <v>32</v>
      </c>
      <c r="E447">
        <v>33.24</v>
      </c>
      <c r="F447">
        <v>16.22</v>
      </c>
      <c r="G447">
        <v>0</v>
      </c>
      <c r="I447">
        <v>635</v>
      </c>
      <c r="L447">
        <v>127</v>
      </c>
      <c r="M447">
        <v>1</v>
      </c>
      <c r="N447">
        <v>2</v>
      </c>
      <c r="P447" t="s">
        <v>163</v>
      </c>
      <c r="R447" t="str">
        <f t="shared" si="21"/>
        <v>TAB-CN</v>
      </c>
      <c r="S447">
        <f t="shared" si="19"/>
        <v>37.19</v>
      </c>
      <c r="T447">
        <f t="shared" si="20"/>
        <v>36.340000000000003</v>
      </c>
      <c r="U447">
        <f>IF(SQRT(POWER(T447-F447,2))+SQRT(POWER(E447-S447,2))=0,0,SQRT(POWER(T447-F447,2))+SQRT(POWER(E447-S447,2))+DATOS!$H$20)</f>
        <v>29.07</v>
      </c>
    </row>
    <row r="448" spans="1:21">
      <c r="A448" t="s">
        <v>283</v>
      </c>
      <c r="B448" t="s">
        <v>120</v>
      </c>
      <c r="C448" t="s">
        <v>121</v>
      </c>
      <c r="E448">
        <v>33.64</v>
      </c>
      <c r="F448">
        <v>17.63</v>
      </c>
      <c r="G448">
        <v>0</v>
      </c>
      <c r="I448">
        <v>180</v>
      </c>
      <c r="L448">
        <v>127</v>
      </c>
      <c r="M448">
        <v>1</v>
      </c>
      <c r="N448">
        <v>2</v>
      </c>
      <c r="P448" t="s">
        <v>284</v>
      </c>
      <c r="R448" t="str">
        <f t="shared" si="21"/>
        <v>TAB-CN</v>
      </c>
      <c r="S448">
        <f t="shared" si="19"/>
        <v>37.19</v>
      </c>
      <c r="T448">
        <f t="shared" si="20"/>
        <v>36.340000000000003</v>
      </c>
      <c r="U448">
        <f>IF(SQRT(POWER(T448-F448,2))+SQRT(POWER(E448-S448,2))=0,0,SQRT(POWER(T448-F448,2))+SQRT(POWER(E448-S448,2))+DATOS!$H$20)</f>
        <v>27.26</v>
      </c>
    </row>
    <row r="449" spans="1:21">
      <c r="A449" t="s">
        <v>283</v>
      </c>
      <c r="B449" t="s">
        <v>179</v>
      </c>
      <c r="C449" t="s">
        <v>180</v>
      </c>
      <c r="E449">
        <v>34.409999999999997</v>
      </c>
      <c r="F449">
        <v>13.4</v>
      </c>
      <c r="G449">
        <v>0</v>
      </c>
      <c r="H449">
        <v>180</v>
      </c>
      <c r="I449">
        <v>180</v>
      </c>
      <c r="L449">
        <v>127</v>
      </c>
      <c r="M449">
        <v>1</v>
      </c>
      <c r="N449">
        <v>2</v>
      </c>
      <c r="P449" t="s">
        <v>284</v>
      </c>
      <c r="R449" t="str">
        <f t="shared" si="21"/>
        <v>TAB-CN</v>
      </c>
      <c r="S449">
        <f t="shared" si="19"/>
        <v>37.19</v>
      </c>
      <c r="T449">
        <f t="shared" si="20"/>
        <v>36.340000000000003</v>
      </c>
      <c r="U449">
        <f>IF(SQRT(POWER(T449-F449,2))+SQRT(POWER(E449-S449,2))=0,0,SQRT(POWER(T449-F449,2))+SQRT(POWER(E449-S449,2))+DATOS!$H$20)</f>
        <v>30.720000000000006</v>
      </c>
    </row>
    <row r="450" spans="1:21">
      <c r="A450" t="s">
        <v>283</v>
      </c>
      <c r="B450" t="s">
        <v>179</v>
      </c>
      <c r="C450" t="s">
        <v>180</v>
      </c>
      <c r="E450">
        <v>31.7</v>
      </c>
      <c r="F450">
        <v>13.4</v>
      </c>
      <c r="G450">
        <v>0</v>
      </c>
      <c r="H450">
        <v>180</v>
      </c>
      <c r="I450">
        <v>180</v>
      </c>
      <c r="L450">
        <v>127</v>
      </c>
      <c r="M450">
        <v>1</v>
      </c>
      <c r="N450">
        <v>2</v>
      </c>
      <c r="P450" t="s">
        <v>284</v>
      </c>
      <c r="R450" t="str">
        <f t="shared" si="21"/>
        <v>TAB-CN</v>
      </c>
      <c r="S450">
        <f t="shared" si="19"/>
        <v>37.19</v>
      </c>
      <c r="T450">
        <f t="shared" si="20"/>
        <v>36.340000000000003</v>
      </c>
      <c r="U450">
        <f>IF(SQRT(POWER(T450-F450,2))+SQRT(POWER(E450-S450,2))=0,0,SQRT(POWER(T450-F450,2))+SQRT(POWER(E450-S450,2))+DATOS!$H$20)</f>
        <v>33.430000000000007</v>
      </c>
    </row>
    <row r="451" spans="1:21">
      <c r="A451" t="s">
        <v>283</v>
      </c>
      <c r="B451" t="s">
        <v>120</v>
      </c>
      <c r="C451" t="s">
        <v>121</v>
      </c>
      <c r="E451">
        <v>22.58</v>
      </c>
      <c r="F451">
        <v>15.72</v>
      </c>
      <c r="G451">
        <v>0</v>
      </c>
      <c r="I451">
        <v>180</v>
      </c>
      <c r="L451">
        <v>127</v>
      </c>
      <c r="M451">
        <v>1</v>
      </c>
      <c r="N451">
        <v>2</v>
      </c>
      <c r="P451" t="s">
        <v>284</v>
      </c>
      <c r="R451" t="str">
        <f t="shared" si="21"/>
        <v>TAB-CN</v>
      </c>
      <c r="S451">
        <f t="shared" ref="S451:S514" si="22">IFERROR(VLOOKUP(R451,$A$2:$F$700,5,0),E451)</f>
        <v>37.19</v>
      </c>
      <c r="T451">
        <f t="shared" ref="T451:T514" si="23">IFERROR(VLOOKUP(R451,$A$2:$F$700,6,0),F451)</f>
        <v>36.340000000000003</v>
      </c>
      <c r="U451">
        <f>IF(SQRT(POWER(T451-F451,2))+SQRT(POWER(E451-S451,2))=0,0,SQRT(POWER(T451-F451,2))+SQRT(POWER(E451-S451,2))+DATOS!$H$20)</f>
        <v>40.230000000000004</v>
      </c>
    </row>
    <row r="452" spans="1:21">
      <c r="A452" t="s">
        <v>283</v>
      </c>
      <c r="B452" t="s">
        <v>120</v>
      </c>
      <c r="C452" t="s">
        <v>121</v>
      </c>
      <c r="E452">
        <v>25.82</v>
      </c>
      <c r="F452">
        <v>15.72</v>
      </c>
      <c r="G452">
        <v>0</v>
      </c>
      <c r="I452">
        <v>180</v>
      </c>
      <c r="L452">
        <v>127</v>
      </c>
      <c r="M452">
        <v>1</v>
      </c>
      <c r="N452">
        <v>2</v>
      </c>
      <c r="P452" t="s">
        <v>284</v>
      </c>
      <c r="R452" t="str">
        <f t="shared" si="21"/>
        <v>TAB-CN</v>
      </c>
      <c r="S452">
        <f t="shared" si="22"/>
        <v>37.19</v>
      </c>
      <c r="T452">
        <f t="shared" si="23"/>
        <v>36.340000000000003</v>
      </c>
      <c r="U452">
        <f>IF(SQRT(POWER(T452-F452,2))+SQRT(POWER(E452-S452,2))=0,0,SQRT(POWER(T452-F452,2))+SQRT(POWER(E452-S452,2))+DATOS!$H$20)</f>
        <v>36.99</v>
      </c>
    </row>
    <row r="453" spans="1:21">
      <c r="A453" t="s">
        <v>283</v>
      </c>
      <c r="B453" t="s">
        <v>120</v>
      </c>
      <c r="C453" t="s">
        <v>121</v>
      </c>
      <c r="E453">
        <v>26.95</v>
      </c>
      <c r="F453">
        <v>12.98</v>
      </c>
      <c r="G453">
        <v>0</v>
      </c>
      <c r="I453">
        <v>180</v>
      </c>
      <c r="L453">
        <v>127</v>
      </c>
      <c r="M453">
        <v>1</v>
      </c>
      <c r="N453">
        <v>2</v>
      </c>
      <c r="P453" t="s">
        <v>284</v>
      </c>
      <c r="R453" t="str">
        <f t="shared" si="21"/>
        <v>TAB-CN</v>
      </c>
      <c r="S453">
        <f t="shared" si="22"/>
        <v>37.19</v>
      </c>
      <c r="T453">
        <f t="shared" si="23"/>
        <v>36.340000000000003</v>
      </c>
      <c r="U453">
        <f>IF(SQRT(POWER(T453-F453,2))+SQRT(POWER(E453-S453,2))=0,0,SQRT(POWER(T453-F453,2))+SQRT(POWER(E453-S453,2))+DATOS!$H$20)</f>
        <v>38.6</v>
      </c>
    </row>
    <row r="454" spans="1:21">
      <c r="A454" t="s">
        <v>287</v>
      </c>
      <c r="B454" t="s">
        <v>39</v>
      </c>
      <c r="C454" t="s">
        <v>40</v>
      </c>
      <c r="E454">
        <v>58.32</v>
      </c>
      <c r="F454">
        <v>-8.3000000000000007</v>
      </c>
      <c r="G454">
        <v>0</v>
      </c>
      <c r="H454">
        <v>762</v>
      </c>
      <c r="I454">
        <v>762</v>
      </c>
      <c r="L454">
        <v>127</v>
      </c>
      <c r="M454">
        <v>1</v>
      </c>
      <c r="N454">
        <v>2</v>
      </c>
      <c r="P454" t="s">
        <v>288</v>
      </c>
      <c r="R454" t="str">
        <f t="shared" si="21"/>
        <v>TAB-AS</v>
      </c>
      <c r="S454">
        <f t="shared" si="22"/>
        <v>55</v>
      </c>
      <c r="T454">
        <f t="shared" si="23"/>
        <v>-19.29</v>
      </c>
      <c r="U454">
        <f>IF(SQRT(POWER(T454-F454,2))+SQRT(POWER(E454-S454,2))=0,0,SQRT(POWER(T454-F454,2))+SQRT(POWER(E454-S454,2))+DATOS!$H$20)</f>
        <v>19.309999999999999</v>
      </c>
    </row>
    <row r="455" spans="1:21">
      <c r="A455" t="s">
        <v>289</v>
      </c>
      <c r="B455" t="s">
        <v>290</v>
      </c>
      <c r="C455" t="s">
        <v>32</v>
      </c>
      <c r="E455">
        <v>67.27</v>
      </c>
      <c r="F455">
        <v>2.65</v>
      </c>
      <c r="G455">
        <v>0</v>
      </c>
      <c r="I455">
        <v>400</v>
      </c>
      <c r="L455">
        <v>127</v>
      </c>
      <c r="M455">
        <v>1</v>
      </c>
      <c r="N455">
        <v>2</v>
      </c>
      <c r="P455" t="s">
        <v>291</v>
      </c>
      <c r="R455" t="str">
        <f t="shared" si="21"/>
        <v>TAB-AS</v>
      </c>
      <c r="S455">
        <f t="shared" si="22"/>
        <v>55</v>
      </c>
      <c r="T455">
        <f t="shared" si="23"/>
        <v>-19.29</v>
      </c>
      <c r="U455">
        <f>IF(SQRT(POWER(T455-F455,2))+SQRT(POWER(E455-S455,2))=0,0,SQRT(POWER(T455-F455,2))+SQRT(POWER(E455-S455,2))+DATOS!$H$20)</f>
        <v>39.209999999999994</v>
      </c>
    </row>
    <row r="456" spans="1:21">
      <c r="A456" t="s">
        <v>292</v>
      </c>
      <c r="B456" t="s">
        <v>39</v>
      </c>
      <c r="C456" t="s">
        <v>40</v>
      </c>
      <c r="E456">
        <v>28.77</v>
      </c>
      <c r="F456">
        <v>8.24</v>
      </c>
      <c r="G456">
        <v>0</v>
      </c>
      <c r="H456">
        <v>762</v>
      </c>
      <c r="I456">
        <v>762</v>
      </c>
      <c r="L456">
        <v>127</v>
      </c>
      <c r="M456">
        <v>1</v>
      </c>
      <c r="N456">
        <v>2</v>
      </c>
      <c r="P456" t="s">
        <v>293</v>
      </c>
      <c r="R456" t="str">
        <f t="shared" si="21"/>
        <v>TAB-AS</v>
      </c>
      <c r="S456">
        <f t="shared" si="22"/>
        <v>55</v>
      </c>
      <c r="T456">
        <f t="shared" si="23"/>
        <v>-19.29</v>
      </c>
      <c r="U456">
        <f>IF(SQRT(POWER(T456-F456,2))+SQRT(POWER(E456-S456,2))=0,0,SQRT(POWER(T456-F456,2))+SQRT(POWER(E456-S456,2))+DATOS!$H$20)</f>
        <v>58.760000000000005</v>
      </c>
    </row>
    <row r="457" spans="1:21">
      <c r="A457" t="s">
        <v>294</v>
      </c>
      <c r="B457" t="s">
        <v>39</v>
      </c>
      <c r="C457" t="s">
        <v>40</v>
      </c>
      <c r="E457">
        <v>32.14</v>
      </c>
      <c r="F457">
        <v>5.04</v>
      </c>
      <c r="G457">
        <v>0</v>
      </c>
      <c r="H457">
        <v>762</v>
      </c>
      <c r="I457">
        <v>762</v>
      </c>
      <c r="L457">
        <v>127</v>
      </c>
      <c r="M457">
        <v>1</v>
      </c>
      <c r="N457">
        <v>2</v>
      </c>
      <c r="P457" t="s">
        <v>293</v>
      </c>
      <c r="R457" t="str">
        <f t="shared" si="21"/>
        <v>TAB-AS</v>
      </c>
      <c r="S457">
        <f t="shared" si="22"/>
        <v>55</v>
      </c>
      <c r="T457">
        <f t="shared" si="23"/>
        <v>-19.29</v>
      </c>
      <c r="U457">
        <f>IF(SQRT(POWER(T457-F457,2))+SQRT(POWER(E457-S457,2))=0,0,SQRT(POWER(T457-F457,2))+SQRT(POWER(E457-S457,2))+DATOS!$H$20)</f>
        <v>52.19</v>
      </c>
    </row>
    <row r="458" spans="1:21">
      <c r="A458" t="s">
        <v>295</v>
      </c>
      <c r="B458" t="s">
        <v>60</v>
      </c>
      <c r="C458" t="s">
        <v>32</v>
      </c>
      <c r="E458">
        <v>49.71</v>
      </c>
      <c r="F458">
        <v>-10.59</v>
      </c>
      <c r="G458">
        <v>0</v>
      </c>
      <c r="H458">
        <v>180</v>
      </c>
      <c r="L458">
        <v>127</v>
      </c>
      <c r="M458">
        <v>1</v>
      </c>
      <c r="N458">
        <v>2</v>
      </c>
      <c r="P458" t="s">
        <v>296</v>
      </c>
      <c r="R458" t="str">
        <f t="shared" si="21"/>
        <v>TAB-AE</v>
      </c>
      <c r="S458">
        <f t="shared" si="22"/>
        <v>55</v>
      </c>
      <c r="T458">
        <f t="shared" si="23"/>
        <v>-20.46</v>
      </c>
      <c r="U458">
        <f>IF(SQRT(POWER(T458-F458,2))+SQRT(POWER(E458-S458,2))=0,0,SQRT(POWER(T458-F458,2))+SQRT(POWER(E458-S458,2))+DATOS!$H$20)</f>
        <v>20.16</v>
      </c>
    </row>
    <row r="459" spans="1:21">
      <c r="A459" t="s">
        <v>295</v>
      </c>
      <c r="B459" t="s">
        <v>60</v>
      </c>
      <c r="C459" t="s">
        <v>32</v>
      </c>
      <c r="E459">
        <v>49.42</v>
      </c>
      <c r="F459">
        <v>-10.59</v>
      </c>
      <c r="G459">
        <v>0</v>
      </c>
      <c r="H459">
        <v>180</v>
      </c>
      <c r="L459">
        <v>127</v>
      </c>
      <c r="M459">
        <v>1</v>
      </c>
      <c r="N459">
        <v>2</v>
      </c>
      <c r="P459" t="s">
        <v>296</v>
      </c>
      <c r="R459" t="str">
        <f t="shared" si="21"/>
        <v>TAB-AE</v>
      </c>
      <c r="S459">
        <f t="shared" si="22"/>
        <v>55</v>
      </c>
      <c r="T459">
        <f t="shared" si="23"/>
        <v>-20.46</v>
      </c>
      <c r="U459">
        <f>IF(SQRT(POWER(T459-F459,2))+SQRT(POWER(E459-S459,2))=0,0,SQRT(POWER(T459-F459,2))+SQRT(POWER(E459-S459,2))+DATOS!$H$20)</f>
        <v>20.45</v>
      </c>
    </row>
    <row r="460" spans="1:21">
      <c r="A460" t="s">
        <v>295</v>
      </c>
      <c r="B460" t="s">
        <v>60</v>
      </c>
      <c r="C460" t="s">
        <v>32</v>
      </c>
      <c r="E460">
        <v>48.6</v>
      </c>
      <c r="F460">
        <v>-9.24</v>
      </c>
      <c r="G460">
        <v>0</v>
      </c>
      <c r="H460">
        <v>180</v>
      </c>
      <c r="L460">
        <v>127</v>
      </c>
      <c r="M460">
        <v>1</v>
      </c>
      <c r="N460">
        <v>2</v>
      </c>
      <c r="P460" t="s">
        <v>296</v>
      </c>
      <c r="R460" t="str">
        <f t="shared" si="21"/>
        <v>TAB-AE</v>
      </c>
      <c r="S460">
        <f t="shared" si="22"/>
        <v>55</v>
      </c>
      <c r="T460">
        <f t="shared" si="23"/>
        <v>-20.46</v>
      </c>
      <c r="U460">
        <f>IF(SQRT(POWER(T460-F460,2))+SQRT(POWER(E460-S460,2))=0,0,SQRT(POWER(T460-F460,2))+SQRT(POWER(E460-S460,2))+DATOS!$H$20)</f>
        <v>22.619999999999997</v>
      </c>
    </row>
    <row r="461" spans="1:21">
      <c r="A461" t="s">
        <v>295</v>
      </c>
      <c r="B461" t="s">
        <v>60</v>
      </c>
      <c r="C461" t="s">
        <v>32</v>
      </c>
      <c r="E461">
        <v>48.6</v>
      </c>
      <c r="F461">
        <v>-8.9499999999999993</v>
      </c>
      <c r="G461">
        <v>0</v>
      </c>
      <c r="H461">
        <v>180</v>
      </c>
      <c r="L461">
        <v>127</v>
      </c>
      <c r="M461">
        <v>1</v>
      </c>
      <c r="N461">
        <v>2</v>
      </c>
      <c r="P461" t="s">
        <v>296</v>
      </c>
      <c r="R461" t="str">
        <f t="shared" si="21"/>
        <v>TAB-AE</v>
      </c>
      <c r="S461">
        <f t="shared" si="22"/>
        <v>55</v>
      </c>
      <c r="T461">
        <f t="shared" si="23"/>
        <v>-20.46</v>
      </c>
      <c r="U461">
        <f>IF(SQRT(POWER(T461-F461,2))+SQRT(POWER(E461-S461,2))=0,0,SQRT(POWER(T461-F461,2))+SQRT(POWER(E461-S461,2))+DATOS!$H$20)</f>
        <v>22.91</v>
      </c>
    </row>
    <row r="462" spans="1:21">
      <c r="A462" t="s">
        <v>295</v>
      </c>
      <c r="B462" t="s">
        <v>60</v>
      </c>
      <c r="C462" t="s">
        <v>32</v>
      </c>
      <c r="E462">
        <v>48.58</v>
      </c>
      <c r="F462">
        <v>-7.36</v>
      </c>
      <c r="G462">
        <v>0</v>
      </c>
      <c r="H462">
        <v>180</v>
      </c>
      <c r="L462">
        <v>127</v>
      </c>
      <c r="M462">
        <v>1</v>
      </c>
      <c r="N462">
        <v>2</v>
      </c>
      <c r="P462" t="s">
        <v>296</v>
      </c>
      <c r="R462" t="str">
        <f t="shared" si="21"/>
        <v>TAB-AE</v>
      </c>
      <c r="S462">
        <f t="shared" si="22"/>
        <v>55</v>
      </c>
      <c r="T462">
        <f t="shared" si="23"/>
        <v>-20.46</v>
      </c>
      <c r="U462">
        <f>IF(SQRT(POWER(T462-F462,2))+SQRT(POWER(E462-S462,2))=0,0,SQRT(POWER(T462-F462,2))+SQRT(POWER(E462-S462,2))+DATOS!$H$20)</f>
        <v>24.520000000000003</v>
      </c>
    </row>
    <row r="463" spans="1:21">
      <c r="A463" t="s">
        <v>295</v>
      </c>
      <c r="B463" t="s">
        <v>60</v>
      </c>
      <c r="C463" t="s">
        <v>32</v>
      </c>
      <c r="E463">
        <v>48.58</v>
      </c>
      <c r="F463">
        <v>-7.07</v>
      </c>
      <c r="G463">
        <v>0</v>
      </c>
      <c r="H463">
        <v>180</v>
      </c>
      <c r="L463">
        <v>127</v>
      </c>
      <c r="M463">
        <v>1</v>
      </c>
      <c r="N463">
        <v>2</v>
      </c>
      <c r="P463" t="s">
        <v>296</v>
      </c>
      <c r="R463" t="str">
        <f t="shared" si="21"/>
        <v>TAB-AE</v>
      </c>
      <c r="S463">
        <f t="shared" si="22"/>
        <v>55</v>
      </c>
      <c r="T463">
        <f t="shared" si="23"/>
        <v>-20.46</v>
      </c>
      <c r="U463">
        <f>IF(SQRT(POWER(T463-F463,2))+SQRT(POWER(E463-S463,2))=0,0,SQRT(POWER(T463-F463,2))+SQRT(POWER(E463-S463,2))+DATOS!$H$20)</f>
        <v>24.810000000000002</v>
      </c>
    </row>
    <row r="464" spans="1:21">
      <c r="A464" t="s">
        <v>295</v>
      </c>
      <c r="B464" t="s">
        <v>60</v>
      </c>
      <c r="C464" t="s">
        <v>32</v>
      </c>
      <c r="E464">
        <v>48.61</v>
      </c>
      <c r="F464">
        <v>-5.37</v>
      </c>
      <c r="G464">
        <v>0</v>
      </c>
      <c r="H464">
        <v>180</v>
      </c>
      <c r="L464">
        <v>127</v>
      </c>
      <c r="M464">
        <v>1</v>
      </c>
      <c r="N464">
        <v>2</v>
      </c>
      <c r="P464" t="s">
        <v>296</v>
      </c>
      <c r="R464" t="str">
        <f t="shared" si="21"/>
        <v>TAB-AE</v>
      </c>
      <c r="S464">
        <f t="shared" si="22"/>
        <v>55</v>
      </c>
      <c r="T464">
        <f t="shared" si="23"/>
        <v>-20.46</v>
      </c>
      <c r="U464">
        <f>IF(SQRT(POWER(T464-F464,2))+SQRT(POWER(E464-S464,2))=0,0,SQRT(POWER(T464-F464,2))+SQRT(POWER(E464-S464,2))+DATOS!$H$20)</f>
        <v>26.48</v>
      </c>
    </row>
    <row r="465" spans="1:21">
      <c r="A465" t="s">
        <v>295</v>
      </c>
      <c r="B465" t="s">
        <v>60</v>
      </c>
      <c r="C465" t="s">
        <v>32</v>
      </c>
      <c r="E465">
        <v>48.61</v>
      </c>
      <c r="F465">
        <v>-5.08</v>
      </c>
      <c r="G465">
        <v>0</v>
      </c>
      <c r="H465">
        <v>180</v>
      </c>
      <c r="L465">
        <v>127</v>
      </c>
      <c r="M465">
        <v>1</v>
      </c>
      <c r="N465">
        <v>2</v>
      </c>
      <c r="P465" t="s">
        <v>296</v>
      </c>
      <c r="R465" t="str">
        <f t="shared" ref="R465:R528" si="24">"TAB-"&amp;LEFT(A465,FIND("-",A465) -1)</f>
        <v>TAB-AE</v>
      </c>
      <c r="S465">
        <f t="shared" si="22"/>
        <v>55</v>
      </c>
      <c r="T465">
        <f t="shared" si="23"/>
        <v>-20.46</v>
      </c>
      <c r="U465">
        <f>IF(SQRT(POWER(T465-F465,2))+SQRT(POWER(E465-S465,2))=0,0,SQRT(POWER(T465-F465,2))+SQRT(POWER(E465-S465,2))+DATOS!$H$20)</f>
        <v>26.770000000000003</v>
      </c>
    </row>
    <row r="466" spans="1:21">
      <c r="A466" t="s">
        <v>297</v>
      </c>
      <c r="B466" t="s">
        <v>60</v>
      </c>
      <c r="C466" t="s">
        <v>32</v>
      </c>
      <c r="E466">
        <v>56.71</v>
      </c>
      <c r="F466">
        <v>-7.89</v>
      </c>
      <c r="G466">
        <v>0</v>
      </c>
      <c r="H466">
        <v>180</v>
      </c>
      <c r="L466">
        <v>127</v>
      </c>
      <c r="M466">
        <v>1</v>
      </c>
      <c r="N466">
        <v>2</v>
      </c>
      <c r="P466" t="s">
        <v>298</v>
      </c>
      <c r="R466" t="str">
        <f t="shared" si="24"/>
        <v>TAB-AE</v>
      </c>
      <c r="S466">
        <f t="shared" si="22"/>
        <v>55</v>
      </c>
      <c r="T466">
        <f t="shared" si="23"/>
        <v>-20.46</v>
      </c>
      <c r="U466">
        <f>IF(SQRT(POWER(T466-F466,2))+SQRT(POWER(E466-S466,2))=0,0,SQRT(POWER(T466-F466,2))+SQRT(POWER(E466-S466,2))+DATOS!$H$20)</f>
        <v>19.28</v>
      </c>
    </row>
    <row r="467" spans="1:21">
      <c r="A467" t="s">
        <v>297</v>
      </c>
      <c r="B467" t="s">
        <v>60</v>
      </c>
      <c r="C467" t="s">
        <v>32</v>
      </c>
      <c r="E467">
        <v>56.42</v>
      </c>
      <c r="F467">
        <v>-7.89</v>
      </c>
      <c r="G467">
        <v>0</v>
      </c>
      <c r="H467">
        <v>180</v>
      </c>
      <c r="L467">
        <v>127</v>
      </c>
      <c r="M467">
        <v>1</v>
      </c>
      <c r="N467">
        <v>2</v>
      </c>
      <c r="P467" t="s">
        <v>298</v>
      </c>
      <c r="R467" t="str">
        <f t="shared" si="24"/>
        <v>TAB-AE</v>
      </c>
      <c r="S467">
        <f t="shared" si="22"/>
        <v>55</v>
      </c>
      <c r="T467">
        <f t="shared" si="23"/>
        <v>-20.46</v>
      </c>
      <c r="U467">
        <f>IF(SQRT(POWER(T467-F467,2))+SQRT(POWER(E467-S467,2))=0,0,SQRT(POWER(T467-F467,2))+SQRT(POWER(E467-S467,2))+DATOS!$H$20)</f>
        <v>18.990000000000002</v>
      </c>
    </row>
    <row r="468" spans="1:21">
      <c r="A468" t="s">
        <v>297</v>
      </c>
      <c r="B468" t="s">
        <v>60</v>
      </c>
      <c r="C468" t="s">
        <v>32</v>
      </c>
      <c r="E468">
        <v>55.2</v>
      </c>
      <c r="F468">
        <v>-1.81</v>
      </c>
      <c r="G468">
        <v>0</v>
      </c>
      <c r="H468">
        <v>180</v>
      </c>
      <c r="L468">
        <v>127</v>
      </c>
      <c r="M468">
        <v>1</v>
      </c>
      <c r="N468">
        <v>2</v>
      </c>
      <c r="P468" t="s">
        <v>298</v>
      </c>
      <c r="R468" t="str">
        <f t="shared" si="24"/>
        <v>TAB-AE</v>
      </c>
      <c r="S468">
        <f t="shared" si="22"/>
        <v>55</v>
      </c>
      <c r="T468">
        <f t="shared" si="23"/>
        <v>-20.46</v>
      </c>
      <c r="U468">
        <f>IF(SQRT(POWER(T468-F468,2))+SQRT(POWER(E468-S468,2))=0,0,SQRT(POWER(T468-F468,2))+SQRT(POWER(E468-S468,2))+DATOS!$H$20)</f>
        <v>23.850000000000005</v>
      </c>
    </row>
    <row r="469" spans="1:21">
      <c r="A469" t="s">
        <v>297</v>
      </c>
      <c r="B469" t="s">
        <v>60</v>
      </c>
      <c r="C469" t="s">
        <v>32</v>
      </c>
      <c r="E469">
        <v>55.49</v>
      </c>
      <c r="F469">
        <v>-1.81</v>
      </c>
      <c r="G469">
        <v>0</v>
      </c>
      <c r="H469">
        <v>180</v>
      </c>
      <c r="L469">
        <v>127</v>
      </c>
      <c r="M469">
        <v>1</v>
      </c>
      <c r="N469">
        <v>2</v>
      </c>
      <c r="P469" t="s">
        <v>298</v>
      </c>
      <c r="R469" t="str">
        <f t="shared" si="24"/>
        <v>TAB-AE</v>
      </c>
      <c r="S469">
        <f t="shared" si="22"/>
        <v>55</v>
      </c>
      <c r="T469">
        <f t="shared" si="23"/>
        <v>-20.46</v>
      </c>
      <c r="U469">
        <f>IF(SQRT(POWER(T469-F469,2))+SQRT(POWER(E469-S469,2))=0,0,SQRT(POWER(T469-F469,2))+SQRT(POWER(E469-S469,2))+DATOS!$H$20)</f>
        <v>24.140000000000004</v>
      </c>
    </row>
    <row r="470" spans="1:21">
      <c r="A470" t="s">
        <v>299</v>
      </c>
      <c r="B470" t="s">
        <v>63</v>
      </c>
      <c r="C470" t="s">
        <v>32</v>
      </c>
      <c r="E470">
        <v>48.8</v>
      </c>
      <c r="F470">
        <v>-3.53</v>
      </c>
      <c r="G470">
        <v>0</v>
      </c>
      <c r="H470">
        <v>826</v>
      </c>
      <c r="L470">
        <v>127</v>
      </c>
      <c r="M470">
        <v>1</v>
      </c>
      <c r="N470">
        <v>2</v>
      </c>
      <c r="P470" t="s">
        <v>300</v>
      </c>
      <c r="R470" t="str">
        <f t="shared" si="24"/>
        <v>TAB-AE</v>
      </c>
      <c r="S470">
        <f t="shared" si="22"/>
        <v>55</v>
      </c>
      <c r="T470">
        <f t="shared" si="23"/>
        <v>-20.46</v>
      </c>
      <c r="U470">
        <f>IF(SQRT(POWER(T470-F470,2))+SQRT(POWER(E470-S470,2))=0,0,SQRT(POWER(T470-F470,2))+SQRT(POWER(E470-S470,2))+DATOS!$H$20)</f>
        <v>28.130000000000003</v>
      </c>
    </row>
    <row r="471" spans="1:21">
      <c r="A471" t="s">
        <v>297</v>
      </c>
      <c r="B471" t="s">
        <v>60</v>
      </c>
      <c r="C471" t="s">
        <v>32</v>
      </c>
      <c r="E471">
        <v>57.15</v>
      </c>
      <c r="F471">
        <v>5.41</v>
      </c>
      <c r="G471">
        <v>0</v>
      </c>
      <c r="H471">
        <v>180</v>
      </c>
      <c r="L471">
        <v>127</v>
      </c>
      <c r="M471">
        <v>1</v>
      </c>
      <c r="N471">
        <v>2</v>
      </c>
      <c r="P471" t="s">
        <v>298</v>
      </c>
      <c r="R471" t="str">
        <f t="shared" si="24"/>
        <v>TAB-AE</v>
      </c>
      <c r="S471">
        <f t="shared" si="22"/>
        <v>55</v>
      </c>
      <c r="T471">
        <f t="shared" si="23"/>
        <v>-20.46</v>
      </c>
      <c r="U471">
        <f>IF(SQRT(POWER(T471-F471,2))+SQRT(POWER(E471-S471,2))=0,0,SQRT(POWER(T471-F471,2))+SQRT(POWER(E471-S471,2))+DATOS!$H$20)</f>
        <v>33.019999999999996</v>
      </c>
    </row>
    <row r="472" spans="1:21">
      <c r="A472" t="s">
        <v>297</v>
      </c>
      <c r="B472" t="s">
        <v>60</v>
      </c>
      <c r="C472" t="s">
        <v>32</v>
      </c>
      <c r="E472">
        <v>57.44</v>
      </c>
      <c r="F472">
        <v>5.41</v>
      </c>
      <c r="G472">
        <v>0</v>
      </c>
      <c r="H472">
        <v>180</v>
      </c>
      <c r="L472">
        <v>127</v>
      </c>
      <c r="M472">
        <v>1</v>
      </c>
      <c r="N472">
        <v>2</v>
      </c>
      <c r="P472" t="s">
        <v>298</v>
      </c>
      <c r="R472" t="str">
        <f t="shared" si="24"/>
        <v>TAB-AE</v>
      </c>
      <c r="S472">
        <f t="shared" si="22"/>
        <v>55</v>
      </c>
      <c r="T472">
        <f t="shared" si="23"/>
        <v>-20.46</v>
      </c>
      <c r="U472">
        <f>IF(SQRT(POWER(T472-F472,2))+SQRT(POWER(E472-S472,2))=0,0,SQRT(POWER(T472-F472,2))+SQRT(POWER(E472-S472,2))+DATOS!$H$20)</f>
        <v>33.31</v>
      </c>
    </row>
    <row r="473" spans="1:21">
      <c r="A473" t="s">
        <v>297</v>
      </c>
      <c r="B473" t="s">
        <v>60</v>
      </c>
      <c r="C473" t="s">
        <v>32</v>
      </c>
      <c r="E473">
        <v>55.35</v>
      </c>
      <c r="F473">
        <v>5.41</v>
      </c>
      <c r="G473">
        <v>0</v>
      </c>
      <c r="H473">
        <v>180</v>
      </c>
      <c r="L473">
        <v>127</v>
      </c>
      <c r="M473">
        <v>1</v>
      </c>
      <c r="N473">
        <v>2</v>
      </c>
      <c r="P473" t="s">
        <v>298</v>
      </c>
      <c r="R473" t="str">
        <f t="shared" si="24"/>
        <v>TAB-AE</v>
      </c>
      <c r="S473">
        <f t="shared" si="22"/>
        <v>55</v>
      </c>
      <c r="T473">
        <f t="shared" si="23"/>
        <v>-20.46</v>
      </c>
      <c r="U473">
        <f>IF(SQRT(POWER(T473-F473,2))+SQRT(POWER(E473-S473,2))=0,0,SQRT(POWER(T473-F473,2))+SQRT(POWER(E473-S473,2))+DATOS!$H$20)</f>
        <v>31.220000000000002</v>
      </c>
    </row>
    <row r="474" spans="1:21">
      <c r="A474" t="s">
        <v>297</v>
      </c>
      <c r="B474" t="s">
        <v>60</v>
      </c>
      <c r="C474" t="s">
        <v>32</v>
      </c>
      <c r="E474">
        <v>55.64</v>
      </c>
      <c r="F474">
        <v>5.41</v>
      </c>
      <c r="G474">
        <v>0</v>
      </c>
      <c r="H474">
        <v>180</v>
      </c>
      <c r="L474">
        <v>127</v>
      </c>
      <c r="M474">
        <v>1</v>
      </c>
      <c r="N474">
        <v>2</v>
      </c>
      <c r="P474" t="s">
        <v>298</v>
      </c>
      <c r="R474" t="str">
        <f t="shared" si="24"/>
        <v>TAB-AE</v>
      </c>
      <c r="S474">
        <f t="shared" si="22"/>
        <v>55</v>
      </c>
      <c r="T474">
        <f t="shared" si="23"/>
        <v>-20.46</v>
      </c>
      <c r="U474">
        <f>IF(SQRT(POWER(T474-F474,2))+SQRT(POWER(E474-S474,2))=0,0,SQRT(POWER(T474-F474,2))+SQRT(POWER(E474-S474,2))+DATOS!$H$20)</f>
        <v>31.51</v>
      </c>
    </row>
    <row r="475" spans="1:21">
      <c r="A475" t="s">
        <v>301</v>
      </c>
      <c r="B475" t="s">
        <v>60</v>
      </c>
      <c r="C475" t="s">
        <v>32</v>
      </c>
      <c r="E475">
        <v>53.54</v>
      </c>
      <c r="F475">
        <v>5.41</v>
      </c>
      <c r="G475">
        <v>0</v>
      </c>
      <c r="H475">
        <v>180</v>
      </c>
      <c r="L475">
        <v>127</v>
      </c>
      <c r="M475">
        <v>1</v>
      </c>
      <c r="N475">
        <v>2</v>
      </c>
      <c r="P475" t="s">
        <v>302</v>
      </c>
      <c r="R475" t="str">
        <f t="shared" si="24"/>
        <v>TAB-AE</v>
      </c>
      <c r="S475">
        <f t="shared" si="22"/>
        <v>55</v>
      </c>
      <c r="T475">
        <f t="shared" si="23"/>
        <v>-20.46</v>
      </c>
      <c r="U475">
        <f>IF(SQRT(POWER(T475-F475,2))+SQRT(POWER(E475-S475,2))=0,0,SQRT(POWER(T475-F475,2))+SQRT(POWER(E475-S475,2))+DATOS!$H$20)</f>
        <v>32.33</v>
      </c>
    </row>
    <row r="476" spans="1:21">
      <c r="A476" t="s">
        <v>301</v>
      </c>
      <c r="B476" t="s">
        <v>60</v>
      </c>
      <c r="C476" t="s">
        <v>32</v>
      </c>
      <c r="E476">
        <v>53.83</v>
      </c>
      <c r="F476">
        <v>5.41</v>
      </c>
      <c r="G476">
        <v>0</v>
      </c>
      <c r="H476">
        <v>180</v>
      </c>
      <c r="L476">
        <v>127</v>
      </c>
      <c r="M476">
        <v>1</v>
      </c>
      <c r="N476">
        <v>2</v>
      </c>
      <c r="P476" t="s">
        <v>302</v>
      </c>
      <c r="R476" t="str">
        <f t="shared" si="24"/>
        <v>TAB-AE</v>
      </c>
      <c r="S476">
        <f t="shared" si="22"/>
        <v>55</v>
      </c>
      <c r="T476">
        <f t="shared" si="23"/>
        <v>-20.46</v>
      </c>
      <c r="U476">
        <f>IF(SQRT(POWER(T476-F476,2))+SQRT(POWER(E476-S476,2))=0,0,SQRT(POWER(T476-F476,2))+SQRT(POWER(E476-S476,2))+DATOS!$H$20)</f>
        <v>32.040000000000006</v>
      </c>
    </row>
    <row r="477" spans="1:21">
      <c r="A477" t="s">
        <v>301</v>
      </c>
      <c r="B477" t="s">
        <v>60</v>
      </c>
      <c r="C477" t="s">
        <v>32</v>
      </c>
      <c r="E477">
        <v>52.16</v>
      </c>
      <c r="F477">
        <v>4.88</v>
      </c>
      <c r="G477">
        <v>0</v>
      </c>
      <c r="H477">
        <v>180</v>
      </c>
      <c r="L477">
        <v>127</v>
      </c>
      <c r="M477">
        <v>1</v>
      </c>
      <c r="N477">
        <v>2</v>
      </c>
      <c r="P477" t="s">
        <v>302</v>
      </c>
      <c r="R477" t="str">
        <f t="shared" si="24"/>
        <v>TAB-AE</v>
      </c>
      <c r="S477">
        <f t="shared" si="22"/>
        <v>55</v>
      </c>
      <c r="T477">
        <f t="shared" si="23"/>
        <v>-20.46</v>
      </c>
      <c r="U477">
        <f>IF(SQRT(POWER(T477-F477,2))+SQRT(POWER(E477-S477,2))=0,0,SQRT(POWER(T477-F477,2))+SQRT(POWER(E477-S477,2))+DATOS!$H$20)</f>
        <v>33.180000000000007</v>
      </c>
    </row>
    <row r="478" spans="1:21">
      <c r="A478" t="s">
        <v>301</v>
      </c>
      <c r="B478" t="s">
        <v>60</v>
      </c>
      <c r="C478" t="s">
        <v>32</v>
      </c>
      <c r="E478">
        <v>52.16</v>
      </c>
      <c r="F478">
        <v>5.17</v>
      </c>
      <c r="G478">
        <v>0</v>
      </c>
      <c r="H478">
        <v>180</v>
      </c>
      <c r="L478">
        <v>127</v>
      </c>
      <c r="M478">
        <v>1</v>
      </c>
      <c r="N478">
        <v>2</v>
      </c>
      <c r="P478" t="s">
        <v>302</v>
      </c>
      <c r="R478" t="str">
        <f t="shared" si="24"/>
        <v>TAB-AE</v>
      </c>
      <c r="S478">
        <f t="shared" si="22"/>
        <v>55</v>
      </c>
      <c r="T478">
        <f t="shared" si="23"/>
        <v>-20.46</v>
      </c>
      <c r="U478">
        <f>IF(SQRT(POWER(T478-F478,2))+SQRT(POWER(E478-S478,2))=0,0,SQRT(POWER(T478-F478,2))+SQRT(POWER(E478-S478,2))+DATOS!$H$20)</f>
        <v>33.470000000000006</v>
      </c>
    </row>
    <row r="479" spans="1:21">
      <c r="A479" t="s">
        <v>301</v>
      </c>
      <c r="B479" t="s">
        <v>60</v>
      </c>
      <c r="C479" t="s">
        <v>32</v>
      </c>
      <c r="E479">
        <v>49.44</v>
      </c>
      <c r="F479">
        <v>5.41</v>
      </c>
      <c r="G479">
        <v>0</v>
      </c>
      <c r="H479">
        <v>180</v>
      </c>
      <c r="L479">
        <v>127</v>
      </c>
      <c r="M479">
        <v>1</v>
      </c>
      <c r="N479">
        <v>2</v>
      </c>
      <c r="P479" t="s">
        <v>302</v>
      </c>
      <c r="R479" t="str">
        <f t="shared" si="24"/>
        <v>TAB-AE</v>
      </c>
      <c r="S479">
        <f t="shared" si="22"/>
        <v>55</v>
      </c>
      <c r="T479">
        <f t="shared" si="23"/>
        <v>-20.46</v>
      </c>
      <c r="U479">
        <f>IF(SQRT(POWER(T479-F479,2))+SQRT(POWER(E479-S479,2))=0,0,SQRT(POWER(T479-F479,2))+SQRT(POWER(E479-S479,2))+DATOS!$H$20)</f>
        <v>36.430000000000007</v>
      </c>
    </row>
    <row r="480" spans="1:21">
      <c r="A480" t="s">
        <v>301</v>
      </c>
      <c r="B480" t="s">
        <v>60</v>
      </c>
      <c r="C480" t="s">
        <v>32</v>
      </c>
      <c r="E480">
        <v>49.73</v>
      </c>
      <c r="F480">
        <v>5.41</v>
      </c>
      <c r="G480">
        <v>0</v>
      </c>
      <c r="H480">
        <v>180</v>
      </c>
      <c r="L480">
        <v>127</v>
      </c>
      <c r="M480">
        <v>1</v>
      </c>
      <c r="N480">
        <v>2</v>
      </c>
      <c r="P480" t="s">
        <v>302</v>
      </c>
      <c r="R480" t="str">
        <f t="shared" si="24"/>
        <v>TAB-AE</v>
      </c>
      <c r="S480">
        <f t="shared" si="22"/>
        <v>55</v>
      </c>
      <c r="T480">
        <f t="shared" si="23"/>
        <v>-20.46</v>
      </c>
      <c r="U480">
        <f>IF(SQRT(POWER(T480-F480,2))+SQRT(POWER(E480-S480,2))=0,0,SQRT(POWER(T480-F480,2))+SQRT(POWER(E480-S480,2))+DATOS!$H$20)</f>
        <v>36.14</v>
      </c>
    </row>
    <row r="481" spans="1:21">
      <c r="A481" t="s">
        <v>301</v>
      </c>
      <c r="B481" t="s">
        <v>60</v>
      </c>
      <c r="C481" t="s">
        <v>32</v>
      </c>
      <c r="E481">
        <v>47.67</v>
      </c>
      <c r="F481">
        <v>5.41</v>
      </c>
      <c r="G481">
        <v>0</v>
      </c>
      <c r="H481">
        <v>180</v>
      </c>
      <c r="L481">
        <v>127</v>
      </c>
      <c r="M481">
        <v>1</v>
      </c>
      <c r="N481">
        <v>2</v>
      </c>
      <c r="P481" t="s">
        <v>302</v>
      </c>
      <c r="R481" t="str">
        <f t="shared" si="24"/>
        <v>TAB-AE</v>
      </c>
      <c r="S481">
        <f t="shared" si="22"/>
        <v>55</v>
      </c>
      <c r="T481">
        <f t="shared" si="23"/>
        <v>-20.46</v>
      </c>
      <c r="U481">
        <f>IF(SQRT(POWER(T481-F481,2))+SQRT(POWER(E481-S481,2))=0,0,SQRT(POWER(T481-F481,2))+SQRT(POWER(E481-S481,2))+DATOS!$H$20)</f>
        <v>38.200000000000003</v>
      </c>
    </row>
    <row r="482" spans="1:21">
      <c r="A482" t="s">
        <v>301</v>
      </c>
      <c r="B482" t="s">
        <v>60</v>
      </c>
      <c r="C482" t="s">
        <v>32</v>
      </c>
      <c r="E482">
        <v>47.96</v>
      </c>
      <c r="F482">
        <v>5.41</v>
      </c>
      <c r="G482">
        <v>0</v>
      </c>
      <c r="H482">
        <v>180</v>
      </c>
      <c r="L482">
        <v>127</v>
      </c>
      <c r="M482">
        <v>1</v>
      </c>
      <c r="N482">
        <v>2</v>
      </c>
      <c r="P482" t="s">
        <v>302</v>
      </c>
      <c r="R482" t="str">
        <f t="shared" si="24"/>
        <v>TAB-AE</v>
      </c>
      <c r="S482">
        <f t="shared" si="22"/>
        <v>55</v>
      </c>
      <c r="T482">
        <f t="shared" si="23"/>
        <v>-20.46</v>
      </c>
      <c r="U482">
        <f>IF(SQRT(POWER(T482-F482,2))+SQRT(POWER(E482-S482,2))=0,0,SQRT(POWER(T482-F482,2))+SQRT(POWER(E482-S482,2))+DATOS!$H$20)</f>
        <v>37.909999999999997</v>
      </c>
    </row>
    <row r="483" spans="1:21">
      <c r="A483" t="s">
        <v>303</v>
      </c>
      <c r="B483" t="s">
        <v>60</v>
      </c>
      <c r="C483" t="s">
        <v>32</v>
      </c>
      <c r="E483">
        <v>45.87</v>
      </c>
      <c r="F483">
        <v>5.41</v>
      </c>
      <c r="G483">
        <v>0</v>
      </c>
      <c r="H483">
        <v>180</v>
      </c>
      <c r="L483">
        <v>127</v>
      </c>
      <c r="M483">
        <v>1</v>
      </c>
      <c r="N483">
        <v>2</v>
      </c>
      <c r="P483" t="s">
        <v>304</v>
      </c>
      <c r="R483" t="str">
        <f t="shared" si="24"/>
        <v>TAB-AE</v>
      </c>
      <c r="S483">
        <f t="shared" si="22"/>
        <v>55</v>
      </c>
      <c r="T483">
        <f t="shared" si="23"/>
        <v>-20.46</v>
      </c>
      <c r="U483">
        <f>IF(SQRT(POWER(T483-F483,2))+SQRT(POWER(E483-S483,2))=0,0,SQRT(POWER(T483-F483,2))+SQRT(POWER(E483-S483,2))+DATOS!$H$20)</f>
        <v>40</v>
      </c>
    </row>
    <row r="484" spans="1:21">
      <c r="A484" t="s">
        <v>303</v>
      </c>
      <c r="B484" t="s">
        <v>60</v>
      </c>
      <c r="C484" t="s">
        <v>32</v>
      </c>
      <c r="E484">
        <v>46.16</v>
      </c>
      <c r="F484">
        <v>5.41</v>
      </c>
      <c r="G484">
        <v>0</v>
      </c>
      <c r="H484">
        <v>180</v>
      </c>
      <c r="L484">
        <v>127</v>
      </c>
      <c r="M484">
        <v>1</v>
      </c>
      <c r="N484">
        <v>2</v>
      </c>
      <c r="P484" t="s">
        <v>304</v>
      </c>
      <c r="R484" t="str">
        <f t="shared" si="24"/>
        <v>TAB-AE</v>
      </c>
      <c r="S484">
        <f t="shared" si="22"/>
        <v>55</v>
      </c>
      <c r="T484">
        <f t="shared" si="23"/>
        <v>-20.46</v>
      </c>
      <c r="U484">
        <f>IF(SQRT(POWER(T484-F484,2))+SQRT(POWER(E484-S484,2))=0,0,SQRT(POWER(T484-F484,2))+SQRT(POWER(E484-S484,2))+DATOS!$H$20)</f>
        <v>39.710000000000008</v>
      </c>
    </row>
    <row r="485" spans="1:21">
      <c r="A485" t="s">
        <v>303</v>
      </c>
      <c r="B485" t="s">
        <v>60</v>
      </c>
      <c r="C485" t="s">
        <v>32</v>
      </c>
      <c r="E485">
        <v>40.36</v>
      </c>
      <c r="F485">
        <v>0.9</v>
      </c>
      <c r="G485">
        <v>0</v>
      </c>
      <c r="H485">
        <v>180</v>
      </c>
      <c r="L485">
        <v>127</v>
      </c>
      <c r="M485">
        <v>1</v>
      </c>
      <c r="N485">
        <v>2</v>
      </c>
      <c r="P485" t="s">
        <v>304</v>
      </c>
      <c r="R485" t="str">
        <f t="shared" si="24"/>
        <v>TAB-AE</v>
      </c>
      <c r="S485">
        <f t="shared" si="22"/>
        <v>55</v>
      </c>
      <c r="T485">
        <f t="shared" si="23"/>
        <v>-20.46</v>
      </c>
      <c r="U485">
        <f>IF(SQRT(POWER(T485-F485,2))+SQRT(POWER(E485-S485,2))=0,0,SQRT(POWER(T485-F485,2))+SQRT(POWER(E485-S485,2))+DATOS!$H$20)</f>
        <v>41</v>
      </c>
    </row>
    <row r="486" spans="1:21">
      <c r="A486" t="s">
        <v>303</v>
      </c>
      <c r="B486" t="s">
        <v>60</v>
      </c>
      <c r="C486" t="s">
        <v>32</v>
      </c>
      <c r="E486">
        <v>40.36</v>
      </c>
      <c r="F486">
        <v>1.19</v>
      </c>
      <c r="G486">
        <v>0</v>
      </c>
      <c r="H486">
        <v>180</v>
      </c>
      <c r="L486">
        <v>127</v>
      </c>
      <c r="M486">
        <v>1</v>
      </c>
      <c r="N486">
        <v>2</v>
      </c>
      <c r="P486" t="s">
        <v>304</v>
      </c>
      <c r="R486" t="str">
        <f t="shared" si="24"/>
        <v>TAB-AE</v>
      </c>
      <c r="S486">
        <f t="shared" si="22"/>
        <v>55</v>
      </c>
      <c r="T486">
        <f t="shared" si="23"/>
        <v>-20.46</v>
      </c>
      <c r="U486">
        <f>IF(SQRT(POWER(T486-F486,2))+SQRT(POWER(E486-S486,2))=0,0,SQRT(POWER(T486-F486,2))+SQRT(POWER(E486-S486,2))+DATOS!$H$20)</f>
        <v>41.290000000000006</v>
      </c>
    </row>
    <row r="487" spans="1:21">
      <c r="A487" t="s">
        <v>303</v>
      </c>
      <c r="B487" t="s">
        <v>60</v>
      </c>
      <c r="C487" t="s">
        <v>32</v>
      </c>
      <c r="E487">
        <v>40.36</v>
      </c>
      <c r="F487">
        <v>2.7</v>
      </c>
      <c r="G487">
        <v>0</v>
      </c>
      <c r="H487">
        <v>180</v>
      </c>
      <c r="L487">
        <v>127</v>
      </c>
      <c r="M487">
        <v>1</v>
      </c>
      <c r="N487">
        <v>2</v>
      </c>
      <c r="P487" t="s">
        <v>304</v>
      </c>
      <c r="R487" t="str">
        <f t="shared" si="24"/>
        <v>TAB-AE</v>
      </c>
      <c r="S487">
        <f t="shared" si="22"/>
        <v>55</v>
      </c>
      <c r="T487">
        <f t="shared" si="23"/>
        <v>-20.46</v>
      </c>
      <c r="U487">
        <f>IF(SQRT(POWER(T487-F487,2))+SQRT(POWER(E487-S487,2))=0,0,SQRT(POWER(T487-F487,2))+SQRT(POWER(E487-S487,2))+DATOS!$H$20)</f>
        <v>42.8</v>
      </c>
    </row>
    <row r="488" spans="1:21">
      <c r="A488" t="s">
        <v>303</v>
      </c>
      <c r="B488" t="s">
        <v>60</v>
      </c>
      <c r="C488" t="s">
        <v>32</v>
      </c>
      <c r="E488">
        <v>40.36</v>
      </c>
      <c r="F488">
        <v>2.99</v>
      </c>
      <c r="G488">
        <v>0</v>
      </c>
      <c r="H488">
        <v>180</v>
      </c>
      <c r="L488">
        <v>127</v>
      </c>
      <c r="M488">
        <v>1</v>
      </c>
      <c r="N488">
        <v>2</v>
      </c>
      <c r="P488" t="s">
        <v>304</v>
      </c>
      <c r="R488" t="str">
        <f t="shared" si="24"/>
        <v>TAB-AE</v>
      </c>
      <c r="S488">
        <f t="shared" si="22"/>
        <v>55</v>
      </c>
      <c r="T488">
        <f t="shared" si="23"/>
        <v>-20.46</v>
      </c>
      <c r="U488">
        <f>IF(SQRT(POWER(T488-F488,2))+SQRT(POWER(E488-S488,2))=0,0,SQRT(POWER(T488-F488,2))+SQRT(POWER(E488-S488,2))+DATOS!$H$20)</f>
        <v>43.09</v>
      </c>
    </row>
    <row r="489" spans="1:21">
      <c r="A489" t="s">
        <v>303</v>
      </c>
      <c r="B489" t="s">
        <v>60</v>
      </c>
      <c r="C489" t="s">
        <v>32</v>
      </c>
      <c r="E489">
        <v>40.36</v>
      </c>
      <c r="F489">
        <v>4.5</v>
      </c>
      <c r="G489">
        <v>0</v>
      </c>
      <c r="H489">
        <v>180</v>
      </c>
      <c r="L489">
        <v>127</v>
      </c>
      <c r="M489">
        <v>1</v>
      </c>
      <c r="N489">
        <v>2</v>
      </c>
      <c r="P489" t="s">
        <v>304</v>
      </c>
      <c r="R489" t="str">
        <f t="shared" si="24"/>
        <v>TAB-AE</v>
      </c>
      <c r="S489">
        <f t="shared" si="22"/>
        <v>55</v>
      </c>
      <c r="T489">
        <f t="shared" si="23"/>
        <v>-20.46</v>
      </c>
      <c r="U489">
        <f>IF(SQRT(POWER(T489-F489,2))+SQRT(POWER(E489-S489,2))=0,0,SQRT(POWER(T489-F489,2))+SQRT(POWER(E489-S489,2))+DATOS!$H$20)</f>
        <v>44.6</v>
      </c>
    </row>
    <row r="490" spans="1:21">
      <c r="A490" t="s">
        <v>303</v>
      </c>
      <c r="B490" t="s">
        <v>60</v>
      </c>
      <c r="C490" t="s">
        <v>32</v>
      </c>
      <c r="E490">
        <v>40.36</v>
      </c>
      <c r="F490">
        <v>4.79</v>
      </c>
      <c r="G490">
        <v>0</v>
      </c>
      <c r="H490">
        <v>180</v>
      </c>
      <c r="L490">
        <v>127</v>
      </c>
      <c r="M490">
        <v>1</v>
      </c>
      <c r="N490">
        <v>2</v>
      </c>
      <c r="P490" t="s">
        <v>304</v>
      </c>
      <c r="R490" t="str">
        <f t="shared" si="24"/>
        <v>TAB-AE</v>
      </c>
      <c r="S490">
        <f t="shared" si="22"/>
        <v>55</v>
      </c>
      <c r="T490">
        <f t="shared" si="23"/>
        <v>-20.46</v>
      </c>
      <c r="U490">
        <f>IF(SQRT(POWER(T490-F490,2))+SQRT(POWER(E490-S490,2))=0,0,SQRT(POWER(T490-F490,2))+SQRT(POWER(E490-S490,2))+DATOS!$H$20)</f>
        <v>44.89</v>
      </c>
    </row>
    <row r="491" spans="1:21">
      <c r="A491" t="s">
        <v>305</v>
      </c>
      <c r="B491" t="s">
        <v>60</v>
      </c>
      <c r="C491" t="s">
        <v>32</v>
      </c>
      <c r="E491">
        <v>40.36</v>
      </c>
      <c r="F491">
        <v>6.3</v>
      </c>
      <c r="G491">
        <v>0</v>
      </c>
      <c r="H491">
        <v>180</v>
      </c>
      <c r="L491">
        <v>127</v>
      </c>
      <c r="M491">
        <v>1</v>
      </c>
      <c r="N491">
        <v>2</v>
      </c>
      <c r="P491" t="s">
        <v>304</v>
      </c>
      <c r="R491" t="str">
        <f t="shared" si="24"/>
        <v>TAB-AE</v>
      </c>
      <c r="S491">
        <f t="shared" si="22"/>
        <v>55</v>
      </c>
      <c r="T491">
        <f t="shared" si="23"/>
        <v>-20.46</v>
      </c>
      <c r="U491">
        <f>IF(SQRT(POWER(T491-F491,2))+SQRT(POWER(E491-S491,2))=0,0,SQRT(POWER(T491-F491,2))+SQRT(POWER(E491-S491,2))+DATOS!$H$20)</f>
        <v>46.400000000000006</v>
      </c>
    </row>
    <row r="492" spans="1:21">
      <c r="A492" t="s">
        <v>305</v>
      </c>
      <c r="B492" t="s">
        <v>60</v>
      </c>
      <c r="C492" t="s">
        <v>32</v>
      </c>
      <c r="E492">
        <v>40.36</v>
      </c>
      <c r="F492">
        <v>6.59</v>
      </c>
      <c r="G492">
        <v>0</v>
      </c>
      <c r="H492">
        <v>180</v>
      </c>
      <c r="L492">
        <v>127</v>
      </c>
      <c r="M492">
        <v>1</v>
      </c>
      <c r="N492">
        <v>2</v>
      </c>
      <c r="P492" t="s">
        <v>304</v>
      </c>
      <c r="R492" t="str">
        <f t="shared" si="24"/>
        <v>TAB-AE</v>
      </c>
      <c r="S492">
        <f t="shared" si="22"/>
        <v>55</v>
      </c>
      <c r="T492">
        <f t="shared" si="23"/>
        <v>-20.46</v>
      </c>
      <c r="U492">
        <f>IF(SQRT(POWER(T492-F492,2))+SQRT(POWER(E492-S492,2))=0,0,SQRT(POWER(T492-F492,2))+SQRT(POWER(E492-S492,2))+DATOS!$H$20)</f>
        <v>46.69</v>
      </c>
    </row>
    <row r="493" spans="1:21">
      <c r="A493" t="s">
        <v>305</v>
      </c>
      <c r="B493" t="s">
        <v>60</v>
      </c>
      <c r="C493" t="s">
        <v>32</v>
      </c>
      <c r="E493">
        <v>46.94</v>
      </c>
      <c r="F493">
        <v>6.59</v>
      </c>
      <c r="G493">
        <v>0</v>
      </c>
      <c r="H493">
        <v>180</v>
      </c>
      <c r="L493">
        <v>127</v>
      </c>
      <c r="M493">
        <v>1</v>
      </c>
      <c r="N493">
        <v>2</v>
      </c>
      <c r="P493" t="s">
        <v>304</v>
      </c>
      <c r="R493" t="str">
        <f t="shared" si="24"/>
        <v>TAB-AE</v>
      </c>
      <c r="S493">
        <f t="shared" si="22"/>
        <v>55</v>
      </c>
      <c r="T493">
        <f t="shared" si="23"/>
        <v>-20.46</v>
      </c>
      <c r="U493">
        <f>IF(SQRT(POWER(T493-F493,2))+SQRT(POWER(E493-S493,2))=0,0,SQRT(POWER(T493-F493,2))+SQRT(POWER(E493-S493,2))+DATOS!$H$20)</f>
        <v>40.11</v>
      </c>
    </row>
    <row r="494" spans="1:21">
      <c r="A494" t="s">
        <v>305</v>
      </c>
      <c r="B494" t="s">
        <v>60</v>
      </c>
      <c r="C494" t="s">
        <v>32</v>
      </c>
      <c r="E494">
        <v>46.94</v>
      </c>
      <c r="F494">
        <v>6.88</v>
      </c>
      <c r="G494">
        <v>0</v>
      </c>
      <c r="H494">
        <v>180</v>
      </c>
      <c r="L494">
        <v>127</v>
      </c>
      <c r="M494">
        <v>1</v>
      </c>
      <c r="N494">
        <v>2</v>
      </c>
      <c r="P494" t="s">
        <v>304</v>
      </c>
      <c r="R494" t="str">
        <f t="shared" si="24"/>
        <v>TAB-AE</v>
      </c>
      <c r="S494">
        <f t="shared" si="22"/>
        <v>55</v>
      </c>
      <c r="T494">
        <f t="shared" si="23"/>
        <v>-20.46</v>
      </c>
      <c r="U494">
        <f>IF(SQRT(POWER(T494-F494,2))+SQRT(POWER(E494-S494,2))=0,0,SQRT(POWER(T494-F494,2))+SQRT(POWER(E494-S494,2))+DATOS!$H$20)</f>
        <v>40.400000000000006</v>
      </c>
    </row>
    <row r="495" spans="1:21">
      <c r="A495" t="s">
        <v>305</v>
      </c>
      <c r="B495" t="s">
        <v>60</v>
      </c>
      <c r="C495" t="s">
        <v>32</v>
      </c>
      <c r="E495">
        <v>46.99</v>
      </c>
      <c r="F495">
        <v>8.75</v>
      </c>
      <c r="G495">
        <v>0</v>
      </c>
      <c r="H495">
        <v>180</v>
      </c>
      <c r="L495">
        <v>127</v>
      </c>
      <c r="M495">
        <v>1</v>
      </c>
      <c r="N495">
        <v>2</v>
      </c>
      <c r="P495" t="s">
        <v>304</v>
      </c>
      <c r="R495" t="str">
        <f t="shared" si="24"/>
        <v>TAB-AE</v>
      </c>
      <c r="S495">
        <f t="shared" si="22"/>
        <v>55</v>
      </c>
      <c r="T495">
        <f t="shared" si="23"/>
        <v>-20.46</v>
      </c>
      <c r="U495">
        <f>IF(SQRT(POWER(T495-F495,2))+SQRT(POWER(E495-S495,2))=0,0,SQRT(POWER(T495-F495,2))+SQRT(POWER(E495-S495,2))+DATOS!$H$20)</f>
        <v>42.22</v>
      </c>
    </row>
    <row r="496" spans="1:21">
      <c r="A496" t="s">
        <v>305</v>
      </c>
      <c r="B496" t="s">
        <v>60</v>
      </c>
      <c r="C496" t="s">
        <v>32</v>
      </c>
      <c r="E496">
        <v>46.99</v>
      </c>
      <c r="F496">
        <v>9.0399999999999991</v>
      </c>
      <c r="G496">
        <v>0</v>
      </c>
      <c r="H496">
        <v>180</v>
      </c>
      <c r="L496">
        <v>127</v>
      </c>
      <c r="M496">
        <v>1</v>
      </c>
      <c r="N496">
        <v>2</v>
      </c>
      <c r="P496" t="s">
        <v>304</v>
      </c>
      <c r="R496" t="str">
        <f t="shared" si="24"/>
        <v>TAB-AE</v>
      </c>
      <c r="S496">
        <f t="shared" si="22"/>
        <v>55</v>
      </c>
      <c r="T496">
        <f t="shared" si="23"/>
        <v>-20.46</v>
      </c>
      <c r="U496">
        <f>IF(SQRT(POWER(T496-F496,2))+SQRT(POWER(E496-S496,2))=0,0,SQRT(POWER(T496-F496,2))+SQRT(POWER(E496-S496,2))+DATOS!$H$20)</f>
        <v>42.51</v>
      </c>
    </row>
    <row r="497" spans="1:21">
      <c r="A497" t="s">
        <v>305</v>
      </c>
      <c r="B497" t="s">
        <v>60</v>
      </c>
      <c r="C497" t="s">
        <v>32</v>
      </c>
      <c r="E497">
        <v>40.36</v>
      </c>
      <c r="F497">
        <v>8</v>
      </c>
      <c r="G497">
        <v>0</v>
      </c>
      <c r="H497">
        <v>180</v>
      </c>
      <c r="L497">
        <v>127</v>
      </c>
      <c r="M497">
        <v>1</v>
      </c>
      <c r="N497">
        <v>2</v>
      </c>
      <c r="P497" t="s">
        <v>304</v>
      </c>
      <c r="R497" t="str">
        <f t="shared" si="24"/>
        <v>TAB-AE</v>
      </c>
      <c r="S497">
        <f t="shared" si="22"/>
        <v>55</v>
      </c>
      <c r="T497">
        <f t="shared" si="23"/>
        <v>-20.46</v>
      </c>
      <c r="U497">
        <f>IF(SQRT(POWER(T497-F497,2))+SQRT(POWER(E497-S497,2))=0,0,SQRT(POWER(T497-F497,2))+SQRT(POWER(E497-S497,2))+DATOS!$H$20)</f>
        <v>48.1</v>
      </c>
    </row>
    <row r="498" spans="1:21">
      <c r="A498" t="s">
        <v>305</v>
      </c>
      <c r="B498" t="s">
        <v>60</v>
      </c>
      <c r="C498" t="s">
        <v>32</v>
      </c>
      <c r="E498">
        <v>40.36</v>
      </c>
      <c r="F498">
        <v>8.2899999999999991</v>
      </c>
      <c r="G498">
        <v>0</v>
      </c>
      <c r="H498">
        <v>180</v>
      </c>
      <c r="L498">
        <v>127</v>
      </c>
      <c r="M498">
        <v>1</v>
      </c>
      <c r="N498">
        <v>2</v>
      </c>
      <c r="P498" t="s">
        <v>304</v>
      </c>
      <c r="R498" t="str">
        <f t="shared" si="24"/>
        <v>TAB-AE</v>
      </c>
      <c r="S498">
        <f t="shared" si="22"/>
        <v>55</v>
      </c>
      <c r="T498">
        <f t="shared" si="23"/>
        <v>-20.46</v>
      </c>
      <c r="U498">
        <f>IF(SQRT(POWER(T498-F498,2))+SQRT(POWER(E498-S498,2))=0,0,SQRT(POWER(T498-F498,2))+SQRT(POWER(E498-S498,2))+DATOS!$H$20)</f>
        <v>48.39</v>
      </c>
    </row>
    <row r="499" spans="1:21">
      <c r="A499" t="s">
        <v>306</v>
      </c>
      <c r="B499" t="s">
        <v>89</v>
      </c>
      <c r="C499" t="s">
        <v>32</v>
      </c>
      <c r="E499">
        <v>44.24</v>
      </c>
      <c r="F499">
        <v>-15.86</v>
      </c>
      <c r="G499">
        <v>0</v>
      </c>
      <c r="I499">
        <v>180</v>
      </c>
      <c r="L499">
        <v>127</v>
      </c>
      <c r="M499">
        <v>1</v>
      </c>
      <c r="N499">
        <v>2</v>
      </c>
      <c r="P499" t="s">
        <v>307</v>
      </c>
      <c r="R499" t="str">
        <f t="shared" si="24"/>
        <v>TAB-AE</v>
      </c>
      <c r="S499">
        <f t="shared" si="22"/>
        <v>55</v>
      </c>
      <c r="T499">
        <f t="shared" si="23"/>
        <v>-20.46</v>
      </c>
      <c r="U499">
        <f>IF(SQRT(POWER(T499-F499,2))+SQRT(POWER(E499-S499,2))=0,0,SQRT(POWER(T499-F499,2))+SQRT(POWER(E499-S499,2))+DATOS!$H$20)</f>
        <v>20.36</v>
      </c>
    </row>
    <row r="500" spans="1:21">
      <c r="A500" t="s">
        <v>306</v>
      </c>
      <c r="B500" t="s">
        <v>63</v>
      </c>
      <c r="C500" t="s">
        <v>32</v>
      </c>
      <c r="E500">
        <v>46.63</v>
      </c>
      <c r="F500">
        <v>-12.95</v>
      </c>
      <c r="G500">
        <v>0</v>
      </c>
      <c r="H500">
        <v>180</v>
      </c>
      <c r="L500">
        <v>127</v>
      </c>
      <c r="M500">
        <v>1</v>
      </c>
      <c r="N500">
        <v>2</v>
      </c>
      <c r="P500" t="s">
        <v>307</v>
      </c>
      <c r="R500" t="str">
        <f t="shared" si="24"/>
        <v>TAB-AE</v>
      </c>
      <c r="S500">
        <f t="shared" si="22"/>
        <v>55</v>
      </c>
      <c r="T500">
        <f t="shared" si="23"/>
        <v>-20.46</v>
      </c>
      <c r="U500">
        <f>IF(SQRT(POWER(T500-F500,2))+SQRT(POWER(E500-S500,2))=0,0,SQRT(POWER(T500-F500,2))+SQRT(POWER(E500-S500,2))+DATOS!$H$20)</f>
        <v>20.88</v>
      </c>
    </row>
    <row r="501" spans="1:21">
      <c r="A501" t="s">
        <v>306</v>
      </c>
      <c r="B501" t="s">
        <v>63</v>
      </c>
      <c r="C501" t="s">
        <v>32</v>
      </c>
      <c r="E501">
        <v>48.7</v>
      </c>
      <c r="F501">
        <v>-23.68</v>
      </c>
      <c r="G501">
        <v>0</v>
      </c>
      <c r="H501">
        <v>180</v>
      </c>
      <c r="L501">
        <v>127</v>
      </c>
      <c r="M501">
        <v>1</v>
      </c>
      <c r="N501">
        <v>2</v>
      </c>
      <c r="P501" t="s">
        <v>307</v>
      </c>
      <c r="R501" t="str">
        <f t="shared" si="24"/>
        <v>TAB-AE</v>
      </c>
      <c r="S501">
        <f t="shared" si="22"/>
        <v>55</v>
      </c>
      <c r="T501">
        <f t="shared" si="23"/>
        <v>-20.46</v>
      </c>
      <c r="U501">
        <f>IF(SQRT(POWER(T501-F501,2))+SQRT(POWER(E501-S501,2))=0,0,SQRT(POWER(T501-F501,2))+SQRT(POWER(E501-S501,2))+DATOS!$H$20)</f>
        <v>14.519999999999996</v>
      </c>
    </row>
    <row r="502" spans="1:21">
      <c r="A502" t="s">
        <v>306</v>
      </c>
      <c r="B502" t="s">
        <v>60</v>
      </c>
      <c r="C502" t="s">
        <v>32</v>
      </c>
      <c r="E502">
        <v>46.89</v>
      </c>
      <c r="F502">
        <v>-16.489999999999998</v>
      </c>
      <c r="G502">
        <v>0</v>
      </c>
      <c r="H502">
        <v>180</v>
      </c>
      <c r="L502">
        <v>127</v>
      </c>
      <c r="M502">
        <v>1</v>
      </c>
      <c r="N502">
        <v>2</v>
      </c>
      <c r="P502" t="s">
        <v>307</v>
      </c>
      <c r="R502" t="str">
        <f t="shared" si="24"/>
        <v>TAB-AE</v>
      </c>
      <c r="S502">
        <f t="shared" si="22"/>
        <v>55</v>
      </c>
      <c r="T502">
        <f t="shared" si="23"/>
        <v>-20.46</v>
      </c>
      <c r="U502">
        <f>IF(SQRT(POWER(T502-F502,2))+SQRT(POWER(E502-S502,2))=0,0,SQRT(POWER(T502-F502,2))+SQRT(POWER(E502-S502,2))+DATOS!$H$20)</f>
        <v>17.080000000000002</v>
      </c>
    </row>
    <row r="503" spans="1:21">
      <c r="A503" t="s">
        <v>306</v>
      </c>
      <c r="B503" t="s">
        <v>60</v>
      </c>
      <c r="C503" t="s">
        <v>32</v>
      </c>
      <c r="E503">
        <v>46.59</v>
      </c>
      <c r="F503">
        <v>-16.489999999999998</v>
      </c>
      <c r="G503">
        <v>0</v>
      </c>
      <c r="H503">
        <v>180</v>
      </c>
      <c r="L503">
        <v>127</v>
      </c>
      <c r="M503">
        <v>1</v>
      </c>
      <c r="N503">
        <v>2</v>
      </c>
      <c r="P503" t="s">
        <v>307</v>
      </c>
      <c r="R503" t="str">
        <f t="shared" si="24"/>
        <v>TAB-AE</v>
      </c>
      <c r="S503">
        <f t="shared" si="22"/>
        <v>55</v>
      </c>
      <c r="T503">
        <f t="shared" si="23"/>
        <v>-20.46</v>
      </c>
      <c r="U503">
        <f>IF(SQRT(POWER(T503-F503,2))+SQRT(POWER(E503-S503,2))=0,0,SQRT(POWER(T503-F503,2))+SQRT(POWER(E503-S503,2))+DATOS!$H$20)</f>
        <v>17.38</v>
      </c>
    </row>
    <row r="504" spans="1:21">
      <c r="A504" t="s">
        <v>306</v>
      </c>
      <c r="B504" t="s">
        <v>60</v>
      </c>
      <c r="C504" t="s">
        <v>32</v>
      </c>
      <c r="E504">
        <v>51.01</v>
      </c>
      <c r="F504">
        <v>-23.69</v>
      </c>
      <c r="G504">
        <v>0</v>
      </c>
      <c r="H504">
        <v>180</v>
      </c>
      <c r="L504">
        <v>127</v>
      </c>
      <c r="M504">
        <v>1</v>
      </c>
      <c r="N504">
        <v>2</v>
      </c>
      <c r="P504" t="s">
        <v>307</v>
      </c>
      <c r="R504" t="str">
        <f t="shared" si="24"/>
        <v>TAB-AE</v>
      </c>
      <c r="S504">
        <f t="shared" si="22"/>
        <v>55</v>
      </c>
      <c r="T504">
        <f t="shared" si="23"/>
        <v>-20.46</v>
      </c>
      <c r="U504">
        <f>IF(SQRT(POWER(T504-F504,2))+SQRT(POWER(E504-S504,2))=0,0,SQRT(POWER(T504-F504,2))+SQRT(POWER(E504-S504,2))+DATOS!$H$20)</f>
        <v>12.220000000000002</v>
      </c>
    </row>
    <row r="505" spans="1:21">
      <c r="A505" t="s">
        <v>306</v>
      </c>
      <c r="B505" t="s">
        <v>60</v>
      </c>
      <c r="C505" t="s">
        <v>32</v>
      </c>
      <c r="E505">
        <v>50.72</v>
      </c>
      <c r="F505">
        <v>-23.69</v>
      </c>
      <c r="G505">
        <v>0</v>
      </c>
      <c r="H505">
        <v>180</v>
      </c>
      <c r="L505">
        <v>127</v>
      </c>
      <c r="M505">
        <v>1</v>
      </c>
      <c r="N505">
        <v>2</v>
      </c>
      <c r="P505" t="s">
        <v>307</v>
      </c>
      <c r="R505" t="str">
        <f t="shared" si="24"/>
        <v>TAB-AE</v>
      </c>
      <c r="S505">
        <f t="shared" si="22"/>
        <v>55</v>
      </c>
      <c r="T505">
        <f t="shared" si="23"/>
        <v>-20.46</v>
      </c>
      <c r="U505">
        <f>IF(SQRT(POWER(T505-F505,2))+SQRT(POWER(E505-S505,2))=0,0,SQRT(POWER(T505-F505,2))+SQRT(POWER(E505-S505,2))+DATOS!$H$20)</f>
        <v>12.510000000000002</v>
      </c>
    </row>
    <row r="506" spans="1:21">
      <c r="A506" t="s">
        <v>308</v>
      </c>
      <c r="B506" t="s">
        <v>63</v>
      </c>
      <c r="C506" t="s">
        <v>32</v>
      </c>
      <c r="E506">
        <v>47.13</v>
      </c>
      <c r="F506">
        <v>-23.68</v>
      </c>
      <c r="G506">
        <v>0</v>
      </c>
      <c r="H506">
        <v>384</v>
      </c>
      <c r="L506">
        <v>127</v>
      </c>
      <c r="M506">
        <v>1</v>
      </c>
      <c r="N506">
        <v>2</v>
      </c>
      <c r="P506" t="s">
        <v>309</v>
      </c>
      <c r="R506" t="str">
        <f t="shared" si="24"/>
        <v>TAB-AE</v>
      </c>
      <c r="S506">
        <f t="shared" si="22"/>
        <v>55</v>
      </c>
      <c r="T506">
        <f t="shared" si="23"/>
        <v>-20.46</v>
      </c>
      <c r="U506">
        <f>IF(SQRT(POWER(T506-F506,2))+SQRT(POWER(E506-S506,2))=0,0,SQRT(POWER(T506-F506,2))+SQRT(POWER(E506-S506,2))+DATOS!$H$20)</f>
        <v>16.089999999999996</v>
      </c>
    </row>
    <row r="507" spans="1:21">
      <c r="A507" t="s">
        <v>308</v>
      </c>
      <c r="B507" t="s">
        <v>60</v>
      </c>
      <c r="C507" t="s">
        <v>32</v>
      </c>
      <c r="E507">
        <v>46.6</v>
      </c>
      <c r="F507">
        <v>-23.69</v>
      </c>
      <c r="G507">
        <v>0</v>
      </c>
      <c r="H507">
        <v>180</v>
      </c>
      <c r="L507">
        <v>127</v>
      </c>
      <c r="M507">
        <v>1</v>
      </c>
      <c r="N507">
        <v>2</v>
      </c>
      <c r="P507" t="s">
        <v>309</v>
      </c>
      <c r="R507" t="str">
        <f t="shared" si="24"/>
        <v>TAB-AE</v>
      </c>
      <c r="S507">
        <f t="shared" si="22"/>
        <v>55</v>
      </c>
      <c r="T507">
        <f t="shared" si="23"/>
        <v>-20.46</v>
      </c>
      <c r="U507">
        <f>IF(SQRT(POWER(T507-F507,2))+SQRT(POWER(E507-S507,2))=0,0,SQRT(POWER(T507-F507,2))+SQRT(POWER(E507-S507,2))+DATOS!$H$20)</f>
        <v>16.63</v>
      </c>
    </row>
    <row r="508" spans="1:21">
      <c r="A508" t="s">
        <v>308</v>
      </c>
      <c r="B508" t="s">
        <v>60</v>
      </c>
      <c r="C508" t="s">
        <v>32</v>
      </c>
      <c r="E508">
        <v>46.31</v>
      </c>
      <c r="F508">
        <v>-23.69</v>
      </c>
      <c r="G508">
        <v>0</v>
      </c>
      <c r="H508">
        <v>180</v>
      </c>
      <c r="L508">
        <v>127</v>
      </c>
      <c r="M508">
        <v>1</v>
      </c>
      <c r="N508">
        <v>2</v>
      </c>
      <c r="P508" t="s">
        <v>309</v>
      </c>
      <c r="R508" t="str">
        <f t="shared" si="24"/>
        <v>TAB-AE</v>
      </c>
      <c r="S508">
        <f t="shared" si="22"/>
        <v>55</v>
      </c>
      <c r="T508">
        <f t="shared" si="23"/>
        <v>-20.46</v>
      </c>
      <c r="U508">
        <f>IF(SQRT(POWER(T508-F508,2))+SQRT(POWER(E508-S508,2))=0,0,SQRT(POWER(T508-F508,2))+SQRT(POWER(E508-S508,2))+DATOS!$H$20)</f>
        <v>16.919999999999998</v>
      </c>
    </row>
    <row r="509" spans="1:21">
      <c r="A509" t="s">
        <v>310</v>
      </c>
      <c r="B509" t="s">
        <v>89</v>
      </c>
      <c r="C509" t="s">
        <v>32</v>
      </c>
      <c r="E509">
        <v>40.36</v>
      </c>
      <c r="F509">
        <v>-8.44</v>
      </c>
      <c r="G509">
        <v>0</v>
      </c>
      <c r="I509">
        <v>180</v>
      </c>
      <c r="L509">
        <v>127</v>
      </c>
      <c r="M509">
        <v>1</v>
      </c>
      <c r="N509">
        <v>2</v>
      </c>
      <c r="P509" t="s">
        <v>311</v>
      </c>
      <c r="R509" t="str">
        <f t="shared" si="24"/>
        <v>TAB-AE</v>
      </c>
      <c r="S509">
        <f t="shared" si="22"/>
        <v>55</v>
      </c>
      <c r="T509">
        <f t="shared" si="23"/>
        <v>-20.46</v>
      </c>
      <c r="U509">
        <f>IF(SQRT(POWER(T509-F509,2))+SQRT(POWER(E509-S509,2))=0,0,SQRT(POWER(T509-F509,2))+SQRT(POWER(E509-S509,2))+DATOS!$H$20)</f>
        <v>31.660000000000004</v>
      </c>
    </row>
    <row r="510" spans="1:21">
      <c r="A510" t="s">
        <v>310</v>
      </c>
      <c r="B510" t="s">
        <v>89</v>
      </c>
      <c r="C510" t="s">
        <v>32</v>
      </c>
      <c r="E510">
        <v>40.36</v>
      </c>
      <c r="F510">
        <v>-9.9700000000000006</v>
      </c>
      <c r="G510">
        <v>0</v>
      </c>
      <c r="I510">
        <v>180</v>
      </c>
      <c r="L510">
        <v>127</v>
      </c>
      <c r="M510">
        <v>1</v>
      </c>
      <c r="N510">
        <v>2</v>
      </c>
      <c r="P510" t="s">
        <v>311</v>
      </c>
      <c r="R510" t="str">
        <f t="shared" si="24"/>
        <v>TAB-AE</v>
      </c>
      <c r="S510">
        <f t="shared" si="22"/>
        <v>55</v>
      </c>
      <c r="T510">
        <f t="shared" si="23"/>
        <v>-20.46</v>
      </c>
      <c r="U510">
        <f>IF(SQRT(POWER(T510-F510,2))+SQRT(POWER(E510-S510,2))=0,0,SQRT(POWER(T510-F510,2))+SQRT(POWER(E510-S510,2))+DATOS!$H$20)</f>
        <v>30.130000000000003</v>
      </c>
    </row>
    <row r="511" spans="1:21">
      <c r="A511" t="s">
        <v>310</v>
      </c>
      <c r="B511" t="s">
        <v>60</v>
      </c>
      <c r="C511" t="s">
        <v>32</v>
      </c>
      <c r="E511">
        <v>42.72</v>
      </c>
      <c r="F511">
        <v>-10.35</v>
      </c>
      <c r="G511">
        <v>0</v>
      </c>
      <c r="H511">
        <v>180</v>
      </c>
      <c r="L511">
        <v>127</v>
      </c>
      <c r="M511">
        <v>1</v>
      </c>
      <c r="N511">
        <v>2</v>
      </c>
      <c r="P511" t="s">
        <v>311</v>
      </c>
      <c r="R511" t="str">
        <f t="shared" si="24"/>
        <v>TAB-AE</v>
      </c>
      <c r="S511">
        <f t="shared" si="22"/>
        <v>55</v>
      </c>
      <c r="T511">
        <f t="shared" si="23"/>
        <v>-20.46</v>
      </c>
      <c r="U511">
        <f>IF(SQRT(POWER(T511-F511,2))+SQRT(POWER(E511-S511,2))=0,0,SQRT(POWER(T511-F511,2))+SQRT(POWER(E511-S511,2))+DATOS!$H$20)</f>
        <v>27.39</v>
      </c>
    </row>
    <row r="512" spans="1:21">
      <c r="A512" t="s">
        <v>310</v>
      </c>
      <c r="B512" t="s">
        <v>60</v>
      </c>
      <c r="C512" t="s">
        <v>32</v>
      </c>
      <c r="E512">
        <v>42.72</v>
      </c>
      <c r="F512">
        <v>-10.64</v>
      </c>
      <c r="G512">
        <v>0</v>
      </c>
      <c r="H512">
        <v>180</v>
      </c>
      <c r="L512">
        <v>127</v>
      </c>
      <c r="M512">
        <v>1</v>
      </c>
      <c r="N512">
        <v>2</v>
      </c>
      <c r="P512" t="s">
        <v>311</v>
      </c>
      <c r="R512" t="str">
        <f t="shared" si="24"/>
        <v>TAB-AE</v>
      </c>
      <c r="S512">
        <f t="shared" si="22"/>
        <v>55</v>
      </c>
      <c r="T512">
        <f t="shared" si="23"/>
        <v>-20.46</v>
      </c>
      <c r="U512">
        <f>IF(SQRT(POWER(T512-F512,2))+SQRT(POWER(E512-S512,2))=0,0,SQRT(POWER(T512-F512,2))+SQRT(POWER(E512-S512,2))+DATOS!$H$20)</f>
        <v>27.1</v>
      </c>
    </row>
    <row r="513" spans="1:21">
      <c r="A513" t="s">
        <v>310</v>
      </c>
      <c r="B513" t="s">
        <v>60</v>
      </c>
      <c r="C513" t="s">
        <v>32</v>
      </c>
      <c r="E513">
        <v>48.25</v>
      </c>
      <c r="F513">
        <v>-9.0399999999999991</v>
      </c>
      <c r="G513">
        <v>0</v>
      </c>
      <c r="H513">
        <v>180</v>
      </c>
      <c r="L513">
        <v>127</v>
      </c>
      <c r="M513">
        <v>1</v>
      </c>
      <c r="N513">
        <v>2</v>
      </c>
      <c r="P513" t="s">
        <v>311</v>
      </c>
      <c r="R513" t="str">
        <f t="shared" si="24"/>
        <v>TAB-AE</v>
      </c>
      <c r="S513">
        <f t="shared" si="22"/>
        <v>55</v>
      </c>
      <c r="T513">
        <f t="shared" si="23"/>
        <v>-20.46</v>
      </c>
      <c r="U513">
        <f>IF(SQRT(POWER(T513-F513,2))+SQRT(POWER(E513-S513,2))=0,0,SQRT(POWER(T513-F513,2))+SQRT(POWER(E513-S513,2))+DATOS!$H$20)</f>
        <v>23.17</v>
      </c>
    </row>
    <row r="514" spans="1:21">
      <c r="A514" t="s">
        <v>310</v>
      </c>
      <c r="B514" t="s">
        <v>60</v>
      </c>
      <c r="C514" t="s">
        <v>32</v>
      </c>
      <c r="E514">
        <v>48.25</v>
      </c>
      <c r="F514">
        <v>-9.33</v>
      </c>
      <c r="G514">
        <v>0</v>
      </c>
      <c r="H514">
        <v>180</v>
      </c>
      <c r="L514">
        <v>127</v>
      </c>
      <c r="M514">
        <v>1</v>
      </c>
      <c r="N514">
        <v>2</v>
      </c>
      <c r="P514" t="s">
        <v>311</v>
      </c>
      <c r="R514" t="str">
        <f t="shared" si="24"/>
        <v>TAB-AE</v>
      </c>
      <c r="S514">
        <f t="shared" si="22"/>
        <v>55</v>
      </c>
      <c r="T514">
        <f t="shared" si="23"/>
        <v>-20.46</v>
      </c>
      <c r="U514">
        <f>IF(SQRT(POWER(T514-F514,2))+SQRT(POWER(E514-S514,2))=0,0,SQRT(POWER(T514-F514,2))+SQRT(POWER(E514-S514,2))+DATOS!$H$20)</f>
        <v>22.880000000000003</v>
      </c>
    </row>
    <row r="515" spans="1:21">
      <c r="A515" t="s">
        <v>310</v>
      </c>
      <c r="B515" t="s">
        <v>60</v>
      </c>
      <c r="C515" t="s">
        <v>32</v>
      </c>
      <c r="E515">
        <v>48.25</v>
      </c>
      <c r="F515">
        <v>-6.67</v>
      </c>
      <c r="G515">
        <v>0</v>
      </c>
      <c r="H515">
        <v>180</v>
      </c>
      <c r="L515">
        <v>127</v>
      </c>
      <c r="M515">
        <v>1</v>
      </c>
      <c r="N515">
        <v>2</v>
      </c>
      <c r="P515" t="s">
        <v>311</v>
      </c>
      <c r="R515" t="str">
        <f t="shared" si="24"/>
        <v>TAB-AE</v>
      </c>
      <c r="S515">
        <f t="shared" ref="S515:S578" si="25">IFERROR(VLOOKUP(R515,$A$2:$F$700,5,0),E515)</f>
        <v>55</v>
      </c>
      <c r="T515">
        <f t="shared" ref="T515:T578" si="26">IFERROR(VLOOKUP(R515,$A$2:$F$700,6,0),F515)</f>
        <v>-20.46</v>
      </c>
      <c r="U515">
        <f>IF(SQRT(POWER(T515-F515,2))+SQRT(POWER(E515-S515,2))=0,0,SQRT(POWER(T515-F515,2))+SQRT(POWER(E515-S515,2))+DATOS!$H$20)</f>
        <v>25.54</v>
      </c>
    </row>
    <row r="516" spans="1:21">
      <c r="A516" t="s">
        <v>310</v>
      </c>
      <c r="B516" t="s">
        <v>60</v>
      </c>
      <c r="C516" t="s">
        <v>32</v>
      </c>
      <c r="E516">
        <v>48.25</v>
      </c>
      <c r="F516">
        <v>-6.96</v>
      </c>
      <c r="G516">
        <v>0</v>
      </c>
      <c r="H516">
        <v>180</v>
      </c>
      <c r="L516">
        <v>127</v>
      </c>
      <c r="M516">
        <v>1</v>
      </c>
      <c r="N516">
        <v>2</v>
      </c>
      <c r="P516" t="s">
        <v>311</v>
      </c>
      <c r="R516" t="str">
        <f t="shared" si="24"/>
        <v>TAB-AE</v>
      </c>
      <c r="S516">
        <f t="shared" si="25"/>
        <v>55</v>
      </c>
      <c r="T516">
        <f t="shared" si="26"/>
        <v>-20.46</v>
      </c>
      <c r="U516">
        <f>IF(SQRT(POWER(T516-F516,2))+SQRT(POWER(E516-S516,2))=0,0,SQRT(POWER(T516-F516,2))+SQRT(POWER(E516-S516,2))+DATOS!$H$20)</f>
        <v>25.25</v>
      </c>
    </row>
    <row r="517" spans="1:21">
      <c r="A517" t="s">
        <v>312</v>
      </c>
      <c r="B517" t="s">
        <v>60</v>
      </c>
      <c r="C517" t="s">
        <v>32</v>
      </c>
      <c r="E517">
        <v>48.25</v>
      </c>
      <c r="F517">
        <v>-4.93</v>
      </c>
      <c r="G517">
        <v>0</v>
      </c>
      <c r="H517">
        <v>180</v>
      </c>
      <c r="L517">
        <v>127</v>
      </c>
      <c r="M517">
        <v>1</v>
      </c>
      <c r="N517">
        <v>2</v>
      </c>
      <c r="P517" t="s">
        <v>311</v>
      </c>
      <c r="R517" t="str">
        <f t="shared" si="24"/>
        <v>TAB-AE</v>
      </c>
      <c r="S517">
        <f t="shared" si="25"/>
        <v>55</v>
      </c>
      <c r="T517">
        <f t="shared" si="26"/>
        <v>-20.46</v>
      </c>
      <c r="U517">
        <f>IF(SQRT(POWER(T517-F517,2))+SQRT(POWER(E517-S517,2))=0,0,SQRT(POWER(T517-F517,2))+SQRT(POWER(E517-S517,2))+DATOS!$H$20)</f>
        <v>27.28</v>
      </c>
    </row>
    <row r="518" spans="1:21">
      <c r="A518" t="s">
        <v>312</v>
      </c>
      <c r="B518" t="s">
        <v>60</v>
      </c>
      <c r="C518" t="s">
        <v>32</v>
      </c>
      <c r="E518">
        <v>48.25</v>
      </c>
      <c r="F518">
        <v>-4.6399999999999997</v>
      </c>
      <c r="G518">
        <v>0</v>
      </c>
      <c r="H518">
        <v>180</v>
      </c>
      <c r="L518">
        <v>127</v>
      </c>
      <c r="M518">
        <v>1</v>
      </c>
      <c r="N518">
        <v>2</v>
      </c>
      <c r="P518" t="s">
        <v>311</v>
      </c>
      <c r="R518" t="str">
        <f t="shared" si="24"/>
        <v>TAB-AE</v>
      </c>
      <c r="S518">
        <f t="shared" si="25"/>
        <v>55</v>
      </c>
      <c r="T518">
        <f t="shared" si="26"/>
        <v>-20.46</v>
      </c>
      <c r="U518">
        <f>IF(SQRT(POWER(T518-F518,2))+SQRT(POWER(E518-S518,2))=0,0,SQRT(POWER(T518-F518,2))+SQRT(POWER(E518-S518,2))+DATOS!$H$20)</f>
        <v>27.57</v>
      </c>
    </row>
    <row r="519" spans="1:21">
      <c r="A519" t="s">
        <v>312</v>
      </c>
      <c r="B519" t="s">
        <v>60</v>
      </c>
      <c r="C519" t="s">
        <v>32</v>
      </c>
      <c r="E519">
        <v>48.25</v>
      </c>
      <c r="F519">
        <v>-2.89</v>
      </c>
      <c r="G519">
        <v>0</v>
      </c>
      <c r="H519">
        <v>180</v>
      </c>
      <c r="L519">
        <v>127</v>
      </c>
      <c r="M519">
        <v>1</v>
      </c>
      <c r="N519">
        <v>2</v>
      </c>
      <c r="P519" t="s">
        <v>311</v>
      </c>
      <c r="R519" t="str">
        <f t="shared" si="24"/>
        <v>TAB-AE</v>
      </c>
      <c r="S519">
        <f t="shared" si="25"/>
        <v>55</v>
      </c>
      <c r="T519">
        <f t="shared" si="26"/>
        <v>-20.46</v>
      </c>
      <c r="U519">
        <f>IF(SQRT(POWER(T519-F519,2))+SQRT(POWER(E519-S519,2))=0,0,SQRT(POWER(T519-F519,2))+SQRT(POWER(E519-S519,2))+DATOS!$H$20)</f>
        <v>29.32</v>
      </c>
    </row>
    <row r="520" spans="1:21">
      <c r="A520" t="s">
        <v>312</v>
      </c>
      <c r="B520" t="s">
        <v>60</v>
      </c>
      <c r="C520" t="s">
        <v>32</v>
      </c>
      <c r="E520">
        <v>48.25</v>
      </c>
      <c r="F520">
        <v>-2.6</v>
      </c>
      <c r="G520">
        <v>0</v>
      </c>
      <c r="H520">
        <v>180</v>
      </c>
      <c r="L520">
        <v>127</v>
      </c>
      <c r="M520">
        <v>1</v>
      </c>
      <c r="N520">
        <v>2</v>
      </c>
      <c r="P520" t="s">
        <v>311</v>
      </c>
      <c r="R520" t="str">
        <f t="shared" si="24"/>
        <v>TAB-AE</v>
      </c>
      <c r="S520">
        <f t="shared" si="25"/>
        <v>55</v>
      </c>
      <c r="T520">
        <f t="shared" si="26"/>
        <v>-20.46</v>
      </c>
      <c r="U520">
        <f>IF(SQRT(POWER(T520-F520,2))+SQRT(POWER(E520-S520,2))=0,0,SQRT(POWER(T520-F520,2))+SQRT(POWER(E520-S520,2))+DATOS!$H$20)</f>
        <v>29.61</v>
      </c>
    </row>
    <row r="521" spans="1:21">
      <c r="A521" t="s">
        <v>312</v>
      </c>
      <c r="B521" t="s">
        <v>60</v>
      </c>
      <c r="C521" t="s">
        <v>32</v>
      </c>
      <c r="E521">
        <v>48.25</v>
      </c>
      <c r="F521">
        <v>-1.56</v>
      </c>
      <c r="G521">
        <v>0</v>
      </c>
      <c r="H521">
        <v>180</v>
      </c>
      <c r="L521">
        <v>127</v>
      </c>
      <c r="M521">
        <v>1</v>
      </c>
      <c r="N521">
        <v>2</v>
      </c>
      <c r="P521" t="s">
        <v>311</v>
      </c>
      <c r="R521" t="str">
        <f t="shared" si="24"/>
        <v>TAB-AE</v>
      </c>
      <c r="S521">
        <f t="shared" si="25"/>
        <v>55</v>
      </c>
      <c r="T521">
        <f t="shared" si="26"/>
        <v>-20.46</v>
      </c>
      <c r="U521">
        <f>IF(SQRT(POWER(T521-F521,2))+SQRT(POWER(E521-S521,2))=0,0,SQRT(POWER(T521-F521,2))+SQRT(POWER(E521-S521,2))+DATOS!$H$20)</f>
        <v>30.650000000000002</v>
      </c>
    </row>
    <row r="522" spans="1:21">
      <c r="A522" t="s">
        <v>312</v>
      </c>
      <c r="B522" t="s">
        <v>60</v>
      </c>
      <c r="C522" t="s">
        <v>32</v>
      </c>
      <c r="E522">
        <v>48.25</v>
      </c>
      <c r="F522">
        <v>-1.27</v>
      </c>
      <c r="G522">
        <v>0</v>
      </c>
      <c r="H522">
        <v>180</v>
      </c>
      <c r="L522">
        <v>127</v>
      </c>
      <c r="M522">
        <v>1</v>
      </c>
      <c r="N522">
        <v>2</v>
      </c>
      <c r="P522" t="s">
        <v>311</v>
      </c>
      <c r="R522" t="str">
        <f t="shared" si="24"/>
        <v>TAB-AE</v>
      </c>
      <c r="S522">
        <f t="shared" si="25"/>
        <v>55</v>
      </c>
      <c r="T522">
        <f t="shared" si="26"/>
        <v>-20.46</v>
      </c>
      <c r="U522">
        <f>IF(SQRT(POWER(T522-F522,2))+SQRT(POWER(E522-S522,2))=0,0,SQRT(POWER(T522-F522,2))+SQRT(POWER(E522-S522,2))+DATOS!$H$20)</f>
        <v>30.94</v>
      </c>
    </row>
    <row r="523" spans="1:21">
      <c r="A523" t="s">
        <v>313</v>
      </c>
      <c r="B523" t="s">
        <v>63</v>
      </c>
      <c r="C523" t="s">
        <v>32</v>
      </c>
      <c r="E523">
        <v>40.32</v>
      </c>
      <c r="F523">
        <v>0.12</v>
      </c>
      <c r="G523">
        <v>0</v>
      </c>
      <c r="H523">
        <v>826</v>
      </c>
      <c r="L523">
        <v>127</v>
      </c>
      <c r="M523">
        <v>1</v>
      </c>
      <c r="N523">
        <v>2</v>
      </c>
      <c r="P523" t="s">
        <v>314</v>
      </c>
      <c r="R523" t="str">
        <f t="shared" si="24"/>
        <v>TAB-AE</v>
      </c>
      <c r="S523">
        <f t="shared" si="25"/>
        <v>55</v>
      </c>
      <c r="T523">
        <f t="shared" si="26"/>
        <v>-20.46</v>
      </c>
      <c r="U523">
        <f>IF(SQRT(POWER(T523-F523,2))+SQRT(POWER(E523-S523,2))=0,0,SQRT(POWER(T523-F523,2))+SQRT(POWER(E523-S523,2))+DATOS!$H$20)</f>
        <v>40.260000000000005</v>
      </c>
    </row>
    <row r="524" spans="1:21">
      <c r="A524" t="s">
        <v>312</v>
      </c>
      <c r="B524" t="s">
        <v>60</v>
      </c>
      <c r="C524" t="s">
        <v>32</v>
      </c>
      <c r="E524">
        <v>48.25</v>
      </c>
      <c r="F524">
        <v>7.0000000000000007E-2</v>
      </c>
      <c r="G524">
        <v>0</v>
      </c>
      <c r="H524">
        <v>180</v>
      </c>
      <c r="L524">
        <v>127</v>
      </c>
      <c r="M524">
        <v>1</v>
      </c>
      <c r="N524">
        <v>2</v>
      </c>
      <c r="P524" t="s">
        <v>311</v>
      </c>
      <c r="R524" t="str">
        <f t="shared" si="24"/>
        <v>TAB-AE</v>
      </c>
      <c r="S524">
        <f t="shared" si="25"/>
        <v>55</v>
      </c>
      <c r="T524">
        <f t="shared" si="26"/>
        <v>-20.46</v>
      </c>
      <c r="U524">
        <f>IF(SQRT(POWER(T524-F524,2))+SQRT(POWER(E524-S524,2))=0,0,SQRT(POWER(T524-F524,2))+SQRT(POWER(E524-S524,2))+DATOS!$H$20)</f>
        <v>32.28</v>
      </c>
    </row>
    <row r="525" spans="1:21">
      <c r="A525" t="s">
        <v>312</v>
      </c>
      <c r="B525" t="s">
        <v>60</v>
      </c>
      <c r="C525" t="s">
        <v>32</v>
      </c>
      <c r="E525">
        <v>48.25</v>
      </c>
      <c r="F525">
        <v>0.36</v>
      </c>
      <c r="G525">
        <v>0</v>
      </c>
      <c r="H525">
        <v>180</v>
      </c>
      <c r="L525">
        <v>127</v>
      </c>
      <c r="M525">
        <v>1</v>
      </c>
      <c r="N525">
        <v>2</v>
      </c>
      <c r="P525" t="s">
        <v>311</v>
      </c>
      <c r="R525" t="str">
        <f t="shared" si="24"/>
        <v>TAB-AE</v>
      </c>
      <c r="S525">
        <f t="shared" si="25"/>
        <v>55</v>
      </c>
      <c r="T525">
        <f t="shared" si="26"/>
        <v>-20.46</v>
      </c>
      <c r="U525">
        <f>IF(SQRT(POWER(T525-F525,2))+SQRT(POWER(E525-S525,2))=0,0,SQRT(POWER(T525-F525,2))+SQRT(POWER(E525-S525,2))+DATOS!$H$20)</f>
        <v>32.57</v>
      </c>
    </row>
    <row r="526" spans="1:21">
      <c r="A526" t="s">
        <v>308</v>
      </c>
      <c r="B526" t="s">
        <v>60</v>
      </c>
      <c r="C526" t="s">
        <v>32</v>
      </c>
      <c r="E526">
        <v>34.76</v>
      </c>
      <c r="F526">
        <v>-25.98</v>
      </c>
      <c r="G526">
        <v>0</v>
      </c>
      <c r="H526">
        <v>180</v>
      </c>
      <c r="L526">
        <v>127</v>
      </c>
      <c r="M526">
        <v>1</v>
      </c>
      <c r="N526">
        <v>2</v>
      </c>
      <c r="P526" t="s">
        <v>315</v>
      </c>
      <c r="R526" t="str">
        <f t="shared" si="24"/>
        <v>TAB-AE</v>
      </c>
      <c r="S526">
        <f t="shared" si="25"/>
        <v>55</v>
      </c>
      <c r="T526">
        <f t="shared" si="26"/>
        <v>-20.46</v>
      </c>
      <c r="U526">
        <f>IF(SQRT(POWER(T526-F526,2))+SQRT(POWER(E526-S526,2))=0,0,SQRT(POWER(T526-F526,2))+SQRT(POWER(E526-S526,2))+DATOS!$H$20)</f>
        <v>30.76</v>
      </c>
    </row>
    <row r="527" spans="1:21">
      <c r="A527" t="s">
        <v>308</v>
      </c>
      <c r="B527" t="s">
        <v>60</v>
      </c>
      <c r="C527" t="s">
        <v>32</v>
      </c>
      <c r="E527">
        <v>34.47</v>
      </c>
      <c r="F527">
        <v>-25.98</v>
      </c>
      <c r="G527">
        <v>0</v>
      </c>
      <c r="H527">
        <v>180</v>
      </c>
      <c r="L527">
        <v>127</v>
      </c>
      <c r="M527">
        <v>1</v>
      </c>
      <c r="N527">
        <v>2</v>
      </c>
      <c r="P527" t="s">
        <v>315</v>
      </c>
      <c r="R527" t="str">
        <f t="shared" si="24"/>
        <v>TAB-AE</v>
      </c>
      <c r="S527">
        <f t="shared" si="25"/>
        <v>55</v>
      </c>
      <c r="T527">
        <f t="shared" si="26"/>
        <v>-20.46</v>
      </c>
      <c r="U527">
        <f>IF(SQRT(POWER(T527-F527,2))+SQRT(POWER(E527-S527,2))=0,0,SQRT(POWER(T527-F527,2))+SQRT(POWER(E527-S527,2))+DATOS!$H$20)</f>
        <v>31.05</v>
      </c>
    </row>
    <row r="528" spans="1:21">
      <c r="A528" t="s">
        <v>308</v>
      </c>
      <c r="B528" t="s">
        <v>60</v>
      </c>
      <c r="C528" t="s">
        <v>32</v>
      </c>
      <c r="E528">
        <v>32.26</v>
      </c>
      <c r="F528">
        <v>-25.98</v>
      </c>
      <c r="G528">
        <v>0</v>
      </c>
      <c r="H528">
        <v>180</v>
      </c>
      <c r="L528">
        <v>127</v>
      </c>
      <c r="M528">
        <v>1</v>
      </c>
      <c r="N528">
        <v>2</v>
      </c>
      <c r="P528" t="s">
        <v>315</v>
      </c>
      <c r="R528" t="str">
        <f t="shared" si="24"/>
        <v>TAB-AE</v>
      </c>
      <c r="S528">
        <f t="shared" si="25"/>
        <v>55</v>
      </c>
      <c r="T528">
        <f t="shared" si="26"/>
        <v>-20.46</v>
      </c>
      <c r="U528">
        <f>IF(SQRT(POWER(T528-F528,2))+SQRT(POWER(E528-S528,2))=0,0,SQRT(POWER(T528-F528,2))+SQRT(POWER(E528-S528,2))+DATOS!$H$20)</f>
        <v>33.260000000000005</v>
      </c>
    </row>
    <row r="529" spans="1:21">
      <c r="A529" t="s">
        <v>308</v>
      </c>
      <c r="B529" t="s">
        <v>60</v>
      </c>
      <c r="C529" t="s">
        <v>32</v>
      </c>
      <c r="E529">
        <v>31.97</v>
      </c>
      <c r="F529">
        <v>-25.98</v>
      </c>
      <c r="G529">
        <v>0</v>
      </c>
      <c r="H529">
        <v>180</v>
      </c>
      <c r="L529">
        <v>127</v>
      </c>
      <c r="M529">
        <v>1</v>
      </c>
      <c r="N529">
        <v>2</v>
      </c>
      <c r="P529" t="s">
        <v>315</v>
      </c>
      <c r="R529" t="str">
        <f t="shared" ref="R529:R592" si="27">"TAB-"&amp;LEFT(A529,FIND("-",A529) -1)</f>
        <v>TAB-AE</v>
      </c>
      <c r="S529">
        <f t="shared" si="25"/>
        <v>55</v>
      </c>
      <c r="T529">
        <f t="shared" si="26"/>
        <v>-20.46</v>
      </c>
      <c r="U529">
        <f>IF(SQRT(POWER(T529-F529,2))+SQRT(POWER(E529-S529,2))=0,0,SQRT(POWER(T529-F529,2))+SQRT(POWER(E529-S529,2))+DATOS!$H$20)</f>
        <v>33.549999999999997</v>
      </c>
    </row>
    <row r="530" spans="1:21">
      <c r="A530" t="s">
        <v>316</v>
      </c>
      <c r="B530" t="s">
        <v>60</v>
      </c>
      <c r="C530" t="s">
        <v>32</v>
      </c>
      <c r="E530">
        <v>29.21</v>
      </c>
      <c r="F530">
        <v>-25.98</v>
      </c>
      <c r="G530">
        <v>0</v>
      </c>
      <c r="H530">
        <v>180</v>
      </c>
      <c r="L530">
        <v>127</v>
      </c>
      <c r="M530">
        <v>1</v>
      </c>
      <c r="N530">
        <v>2</v>
      </c>
      <c r="P530" t="s">
        <v>315</v>
      </c>
      <c r="R530" t="str">
        <f t="shared" si="27"/>
        <v>TAB-AE</v>
      </c>
      <c r="S530">
        <f t="shared" si="25"/>
        <v>55</v>
      </c>
      <c r="T530">
        <f t="shared" si="26"/>
        <v>-20.46</v>
      </c>
      <c r="U530">
        <f>IF(SQRT(POWER(T530-F530,2))+SQRT(POWER(E530-S530,2))=0,0,SQRT(POWER(T530-F530,2))+SQRT(POWER(E530-S530,2))+DATOS!$H$20)</f>
        <v>36.31</v>
      </c>
    </row>
    <row r="531" spans="1:21">
      <c r="A531" t="s">
        <v>316</v>
      </c>
      <c r="B531" t="s">
        <v>60</v>
      </c>
      <c r="C531" t="s">
        <v>32</v>
      </c>
      <c r="E531">
        <v>28.92</v>
      </c>
      <c r="F531">
        <v>-25.98</v>
      </c>
      <c r="G531">
        <v>0</v>
      </c>
      <c r="H531">
        <v>180</v>
      </c>
      <c r="L531">
        <v>127</v>
      </c>
      <c r="M531">
        <v>1</v>
      </c>
      <c r="N531">
        <v>2</v>
      </c>
      <c r="P531" t="s">
        <v>315</v>
      </c>
      <c r="R531" t="str">
        <f t="shared" si="27"/>
        <v>TAB-AE</v>
      </c>
      <c r="S531">
        <f t="shared" si="25"/>
        <v>55</v>
      </c>
      <c r="T531">
        <f t="shared" si="26"/>
        <v>-20.46</v>
      </c>
      <c r="U531">
        <f>IF(SQRT(POWER(T531-F531,2))+SQRT(POWER(E531-S531,2))=0,0,SQRT(POWER(T531-F531,2))+SQRT(POWER(E531-S531,2))+DATOS!$H$20)</f>
        <v>36.599999999999994</v>
      </c>
    </row>
    <row r="532" spans="1:21">
      <c r="A532" t="s">
        <v>316</v>
      </c>
      <c r="B532" t="s">
        <v>60</v>
      </c>
      <c r="C532" t="s">
        <v>32</v>
      </c>
      <c r="E532">
        <v>22.44</v>
      </c>
      <c r="F532">
        <v>-23.16</v>
      </c>
      <c r="G532">
        <v>0</v>
      </c>
      <c r="H532">
        <v>180</v>
      </c>
      <c r="L532">
        <v>127</v>
      </c>
      <c r="M532">
        <v>1</v>
      </c>
      <c r="N532">
        <v>2</v>
      </c>
      <c r="P532" t="s">
        <v>315</v>
      </c>
      <c r="R532" t="str">
        <f t="shared" si="27"/>
        <v>TAB-AE</v>
      </c>
      <c r="S532">
        <f t="shared" si="25"/>
        <v>55</v>
      </c>
      <c r="T532">
        <f t="shared" si="26"/>
        <v>-20.46</v>
      </c>
      <c r="U532">
        <f>IF(SQRT(POWER(T532-F532,2))+SQRT(POWER(E532-S532,2))=0,0,SQRT(POWER(T532-F532,2))+SQRT(POWER(E532-S532,2))+DATOS!$H$20)</f>
        <v>40.260000000000005</v>
      </c>
    </row>
    <row r="533" spans="1:21">
      <c r="A533" t="s">
        <v>316</v>
      </c>
      <c r="B533" t="s">
        <v>60</v>
      </c>
      <c r="C533" t="s">
        <v>32</v>
      </c>
      <c r="E533">
        <v>22.44</v>
      </c>
      <c r="F533">
        <v>-22.87</v>
      </c>
      <c r="G533">
        <v>0</v>
      </c>
      <c r="H533">
        <v>180</v>
      </c>
      <c r="L533">
        <v>127</v>
      </c>
      <c r="M533">
        <v>1</v>
      </c>
      <c r="N533">
        <v>2</v>
      </c>
      <c r="P533" t="s">
        <v>315</v>
      </c>
      <c r="R533" t="str">
        <f t="shared" si="27"/>
        <v>TAB-AE</v>
      </c>
      <c r="S533">
        <f t="shared" si="25"/>
        <v>55</v>
      </c>
      <c r="T533">
        <f t="shared" si="26"/>
        <v>-20.46</v>
      </c>
      <c r="U533">
        <f>IF(SQRT(POWER(T533-F533,2))+SQRT(POWER(E533-S533,2))=0,0,SQRT(POWER(T533-F533,2))+SQRT(POWER(E533-S533,2))+DATOS!$H$20)</f>
        <v>39.97</v>
      </c>
    </row>
    <row r="534" spans="1:21">
      <c r="A534" t="s">
        <v>316</v>
      </c>
      <c r="B534" t="s">
        <v>60</v>
      </c>
      <c r="C534" t="s">
        <v>32</v>
      </c>
      <c r="E534">
        <v>22.45</v>
      </c>
      <c r="F534">
        <v>-21</v>
      </c>
      <c r="G534">
        <v>0</v>
      </c>
      <c r="H534">
        <v>180</v>
      </c>
      <c r="L534">
        <v>127</v>
      </c>
      <c r="M534">
        <v>1</v>
      </c>
      <c r="N534">
        <v>2</v>
      </c>
      <c r="P534" t="s">
        <v>315</v>
      </c>
      <c r="R534" t="str">
        <f t="shared" si="27"/>
        <v>TAB-AE</v>
      </c>
      <c r="S534">
        <f t="shared" si="25"/>
        <v>55</v>
      </c>
      <c r="T534">
        <f t="shared" si="26"/>
        <v>-20.46</v>
      </c>
      <c r="U534">
        <f>IF(SQRT(POWER(T534-F534,2))+SQRT(POWER(E534-S534,2))=0,0,SQRT(POWER(T534-F534,2))+SQRT(POWER(E534-S534,2))+DATOS!$H$20)</f>
        <v>38.089999999999996</v>
      </c>
    </row>
    <row r="535" spans="1:21">
      <c r="A535" t="s">
        <v>316</v>
      </c>
      <c r="B535" t="s">
        <v>60</v>
      </c>
      <c r="C535" t="s">
        <v>32</v>
      </c>
      <c r="E535">
        <v>22.45</v>
      </c>
      <c r="F535">
        <v>-20.71</v>
      </c>
      <c r="G535">
        <v>0</v>
      </c>
      <c r="H535">
        <v>180</v>
      </c>
      <c r="L535">
        <v>127</v>
      </c>
      <c r="M535">
        <v>1</v>
      </c>
      <c r="N535">
        <v>2</v>
      </c>
      <c r="P535" t="s">
        <v>315</v>
      </c>
      <c r="R535" t="str">
        <f t="shared" si="27"/>
        <v>TAB-AE</v>
      </c>
      <c r="S535">
        <f t="shared" si="25"/>
        <v>55</v>
      </c>
      <c r="T535">
        <f t="shared" si="26"/>
        <v>-20.46</v>
      </c>
      <c r="U535">
        <f>IF(SQRT(POWER(T535-F535,2))+SQRT(POWER(E535-S535,2))=0,0,SQRT(POWER(T535-F535,2))+SQRT(POWER(E535-S535,2))+DATOS!$H$20)</f>
        <v>37.799999999999997</v>
      </c>
    </row>
    <row r="536" spans="1:21">
      <c r="A536" t="s">
        <v>316</v>
      </c>
      <c r="B536" t="s">
        <v>60</v>
      </c>
      <c r="C536" t="s">
        <v>32</v>
      </c>
      <c r="E536">
        <v>22.45</v>
      </c>
      <c r="F536">
        <v>-18.690000000000001</v>
      </c>
      <c r="G536">
        <v>0</v>
      </c>
      <c r="H536">
        <v>180</v>
      </c>
      <c r="L536">
        <v>127</v>
      </c>
      <c r="M536">
        <v>1</v>
      </c>
      <c r="N536">
        <v>2</v>
      </c>
      <c r="P536" t="s">
        <v>315</v>
      </c>
      <c r="R536" t="str">
        <f t="shared" si="27"/>
        <v>TAB-AE</v>
      </c>
      <c r="S536">
        <f t="shared" si="25"/>
        <v>55</v>
      </c>
      <c r="T536">
        <f t="shared" si="26"/>
        <v>-20.46</v>
      </c>
      <c r="U536">
        <f>IF(SQRT(POWER(T536-F536,2))+SQRT(POWER(E536-S536,2))=0,0,SQRT(POWER(T536-F536,2))+SQRT(POWER(E536-S536,2))+DATOS!$H$20)</f>
        <v>39.319999999999993</v>
      </c>
    </row>
    <row r="537" spans="1:21">
      <c r="A537" t="s">
        <v>316</v>
      </c>
      <c r="B537" t="s">
        <v>60</v>
      </c>
      <c r="C537" t="s">
        <v>32</v>
      </c>
      <c r="E537">
        <v>22.45</v>
      </c>
      <c r="F537">
        <v>-18.399999999999999</v>
      </c>
      <c r="G537">
        <v>0</v>
      </c>
      <c r="H537">
        <v>180</v>
      </c>
      <c r="L537">
        <v>127</v>
      </c>
      <c r="M537">
        <v>1</v>
      </c>
      <c r="N537">
        <v>2</v>
      </c>
      <c r="P537" t="s">
        <v>315</v>
      </c>
      <c r="R537" t="str">
        <f t="shared" si="27"/>
        <v>TAB-AE</v>
      </c>
      <c r="S537">
        <f t="shared" si="25"/>
        <v>55</v>
      </c>
      <c r="T537">
        <f t="shared" si="26"/>
        <v>-20.46</v>
      </c>
      <c r="U537">
        <f>IF(SQRT(POWER(T537-F537,2))+SQRT(POWER(E537-S537,2))=0,0,SQRT(POWER(T537-F537,2))+SQRT(POWER(E537-S537,2))+DATOS!$H$20)</f>
        <v>39.61</v>
      </c>
    </row>
    <row r="538" spans="1:21">
      <c r="A538" t="s">
        <v>317</v>
      </c>
      <c r="B538" t="s">
        <v>63</v>
      </c>
      <c r="C538" t="s">
        <v>32</v>
      </c>
      <c r="E538">
        <v>32.18</v>
      </c>
      <c r="F538">
        <v>-14.04</v>
      </c>
      <c r="G538">
        <v>0</v>
      </c>
      <c r="H538">
        <v>384</v>
      </c>
      <c r="L538">
        <v>127</v>
      </c>
      <c r="M538">
        <v>1</v>
      </c>
      <c r="N538">
        <v>2</v>
      </c>
      <c r="P538" t="s">
        <v>315</v>
      </c>
      <c r="R538" t="str">
        <f t="shared" si="27"/>
        <v>TAB-AE</v>
      </c>
      <c r="S538">
        <f t="shared" si="25"/>
        <v>55</v>
      </c>
      <c r="T538">
        <f t="shared" si="26"/>
        <v>-20.46</v>
      </c>
      <c r="U538">
        <f>IF(SQRT(POWER(T538-F538,2))+SQRT(POWER(E538-S538,2))=0,0,SQRT(POWER(T538-F538,2))+SQRT(POWER(E538-S538,2))+DATOS!$H$20)</f>
        <v>34.24</v>
      </c>
    </row>
    <row r="539" spans="1:21">
      <c r="A539" t="s">
        <v>318</v>
      </c>
      <c r="B539" t="s">
        <v>60</v>
      </c>
      <c r="C539" t="s">
        <v>32</v>
      </c>
      <c r="E539">
        <v>22.45</v>
      </c>
      <c r="F539">
        <v>-15.8</v>
      </c>
      <c r="G539">
        <v>0</v>
      </c>
      <c r="H539">
        <v>180</v>
      </c>
      <c r="L539">
        <v>127</v>
      </c>
      <c r="M539">
        <v>1</v>
      </c>
      <c r="N539">
        <v>2</v>
      </c>
      <c r="P539" t="s">
        <v>315</v>
      </c>
      <c r="R539" t="str">
        <f t="shared" si="27"/>
        <v>TAB-AE</v>
      </c>
      <c r="S539">
        <f t="shared" si="25"/>
        <v>55</v>
      </c>
      <c r="T539">
        <f t="shared" si="26"/>
        <v>-20.46</v>
      </c>
      <c r="U539">
        <f>IF(SQRT(POWER(T539-F539,2))+SQRT(POWER(E539-S539,2))=0,0,SQRT(POWER(T539-F539,2))+SQRT(POWER(E539-S539,2))+DATOS!$H$20)</f>
        <v>42.209999999999994</v>
      </c>
    </row>
    <row r="540" spans="1:21">
      <c r="A540" t="s">
        <v>318</v>
      </c>
      <c r="B540" t="s">
        <v>60</v>
      </c>
      <c r="C540" t="s">
        <v>32</v>
      </c>
      <c r="E540">
        <v>22.45</v>
      </c>
      <c r="F540">
        <v>-15.51</v>
      </c>
      <c r="G540">
        <v>0</v>
      </c>
      <c r="H540">
        <v>180</v>
      </c>
      <c r="L540">
        <v>127</v>
      </c>
      <c r="M540">
        <v>1</v>
      </c>
      <c r="N540">
        <v>2</v>
      </c>
      <c r="P540" t="s">
        <v>315</v>
      </c>
      <c r="R540" t="str">
        <f t="shared" si="27"/>
        <v>TAB-AE</v>
      </c>
      <c r="S540">
        <f t="shared" si="25"/>
        <v>55</v>
      </c>
      <c r="T540">
        <f t="shared" si="26"/>
        <v>-20.46</v>
      </c>
      <c r="U540">
        <f>IF(SQRT(POWER(T540-F540,2))+SQRT(POWER(E540-S540,2))=0,0,SQRT(POWER(T540-F540,2))+SQRT(POWER(E540-S540,2))+DATOS!$H$20)</f>
        <v>42.5</v>
      </c>
    </row>
    <row r="541" spans="1:21">
      <c r="A541" t="s">
        <v>318</v>
      </c>
      <c r="B541" t="s">
        <v>60</v>
      </c>
      <c r="C541" t="s">
        <v>32</v>
      </c>
      <c r="E541">
        <v>22.45</v>
      </c>
      <c r="F541">
        <v>-13.52</v>
      </c>
      <c r="G541">
        <v>0</v>
      </c>
      <c r="H541">
        <v>180</v>
      </c>
      <c r="L541">
        <v>127</v>
      </c>
      <c r="M541">
        <v>1</v>
      </c>
      <c r="N541">
        <v>2</v>
      </c>
      <c r="P541" t="s">
        <v>315</v>
      </c>
      <c r="R541" t="str">
        <f t="shared" si="27"/>
        <v>TAB-AE</v>
      </c>
      <c r="S541">
        <f t="shared" si="25"/>
        <v>55</v>
      </c>
      <c r="T541">
        <f t="shared" si="26"/>
        <v>-20.46</v>
      </c>
      <c r="U541">
        <f>IF(SQRT(POWER(T541-F541,2))+SQRT(POWER(E541-S541,2))=0,0,SQRT(POWER(T541-F541,2))+SQRT(POWER(E541-S541,2))+DATOS!$H$20)</f>
        <v>44.489999999999995</v>
      </c>
    </row>
    <row r="542" spans="1:21">
      <c r="A542" t="s">
        <v>318</v>
      </c>
      <c r="B542" t="s">
        <v>60</v>
      </c>
      <c r="C542" t="s">
        <v>32</v>
      </c>
      <c r="E542">
        <v>22.45</v>
      </c>
      <c r="F542">
        <v>-13.23</v>
      </c>
      <c r="G542">
        <v>0</v>
      </c>
      <c r="H542">
        <v>180</v>
      </c>
      <c r="L542">
        <v>127</v>
      </c>
      <c r="M542">
        <v>1</v>
      </c>
      <c r="N542">
        <v>2</v>
      </c>
      <c r="P542" t="s">
        <v>315</v>
      </c>
      <c r="R542" t="str">
        <f t="shared" si="27"/>
        <v>TAB-AE</v>
      </c>
      <c r="S542">
        <f t="shared" si="25"/>
        <v>55</v>
      </c>
      <c r="T542">
        <f t="shared" si="26"/>
        <v>-20.46</v>
      </c>
      <c r="U542">
        <f>IF(SQRT(POWER(T542-F542,2))+SQRT(POWER(E542-S542,2))=0,0,SQRT(POWER(T542-F542,2))+SQRT(POWER(E542-S542,2))+DATOS!$H$20)</f>
        <v>44.78</v>
      </c>
    </row>
    <row r="543" spans="1:21">
      <c r="A543" t="s">
        <v>318</v>
      </c>
      <c r="B543" t="s">
        <v>60</v>
      </c>
      <c r="C543" t="s">
        <v>32</v>
      </c>
      <c r="E543">
        <v>22.45</v>
      </c>
      <c r="F543">
        <v>-11.26</v>
      </c>
      <c r="G543">
        <v>0</v>
      </c>
      <c r="H543">
        <v>180</v>
      </c>
      <c r="L543">
        <v>127</v>
      </c>
      <c r="M543">
        <v>1</v>
      </c>
      <c r="N543">
        <v>2</v>
      </c>
      <c r="P543" t="s">
        <v>315</v>
      </c>
      <c r="R543" t="str">
        <f t="shared" si="27"/>
        <v>TAB-AE</v>
      </c>
      <c r="S543">
        <f t="shared" si="25"/>
        <v>55</v>
      </c>
      <c r="T543">
        <f t="shared" si="26"/>
        <v>-20.46</v>
      </c>
      <c r="U543">
        <f>IF(SQRT(POWER(T543-F543,2))+SQRT(POWER(E543-S543,2))=0,0,SQRT(POWER(T543-F543,2))+SQRT(POWER(E543-S543,2))+DATOS!$H$20)</f>
        <v>46.75</v>
      </c>
    </row>
    <row r="544" spans="1:21">
      <c r="A544" t="s">
        <v>318</v>
      </c>
      <c r="B544" t="s">
        <v>60</v>
      </c>
      <c r="C544" t="s">
        <v>32</v>
      </c>
      <c r="E544">
        <v>22.45</v>
      </c>
      <c r="F544">
        <v>-10.97</v>
      </c>
      <c r="G544">
        <v>0</v>
      </c>
      <c r="H544">
        <v>180</v>
      </c>
      <c r="L544">
        <v>127</v>
      </c>
      <c r="M544">
        <v>1</v>
      </c>
      <c r="N544">
        <v>2</v>
      </c>
      <c r="P544" t="s">
        <v>315</v>
      </c>
      <c r="R544" t="str">
        <f t="shared" si="27"/>
        <v>TAB-AE</v>
      </c>
      <c r="S544">
        <f t="shared" si="25"/>
        <v>55</v>
      </c>
      <c r="T544">
        <f t="shared" si="26"/>
        <v>-20.46</v>
      </c>
      <c r="U544">
        <f>IF(SQRT(POWER(T544-F544,2))+SQRT(POWER(E544-S544,2))=0,0,SQRT(POWER(T544-F544,2))+SQRT(POWER(E544-S544,2))+DATOS!$H$20)</f>
        <v>47.04</v>
      </c>
    </row>
    <row r="545" spans="1:21">
      <c r="A545" t="s">
        <v>318</v>
      </c>
      <c r="B545" t="s">
        <v>60</v>
      </c>
      <c r="C545" t="s">
        <v>32</v>
      </c>
      <c r="E545">
        <v>22.44</v>
      </c>
      <c r="F545">
        <v>-8.49</v>
      </c>
      <c r="G545">
        <v>0</v>
      </c>
      <c r="H545">
        <v>180</v>
      </c>
      <c r="L545">
        <v>127</v>
      </c>
      <c r="M545">
        <v>1</v>
      </c>
      <c r="N545">
        <v>2</v>
      </c>
      <c r="P545" t="s">
        <v>315</v>
      </c>
      <c r="R545" t="str">
        <f t="shared" si="27"/>
        <v>TAB-AE</v>
      </c>
      <c r="S545">
        <f t="shared" si="25"/>
        <v>55</v>
      </c>
      <c r="T545">
        <f t="shared" si="26"/>
        <v>-20.46</v>
      </c>
      <c r="U545">
        <f>IF(SQRT(POWER(T545-F545,2))+SQRT(POWER(E545-S545,2))=0,0,SQRT(POWER(T545-F545,2))+SQRT(POWER(E545-S545,2))+DATOS!$H$20)</f>
        <v>49.53</v>
      </c>
    </row>
    <row r="546" spans="1:21">
      <c r="A546" t="s">
        <v>318</v>
      </c>
      <c r="B546" t="s">
        <v>60</v>
      </c>
      <c r="C546" t="s">
        <v>32</v>
      </c>
      <c r="E546">
        <v>22.44</v>
      </c>
      <c r="F546">
        <v>-8.1999999999999993</v>
      </c>
      <c r="G546">
        <v>0</v>
      </c>
      <c r="H546">
        <v>180</v>
      </c>
      <c r="L546">
        <v>127</v>
      </c>
      <c r="M546">
        <v>1</v>
      </c>
      <c r="N546">
        <v>2</v>
      </c>
      <c r="P546" t="s">
        <v>315</v>
      </c>
      <c r="R546" t="str">
        <f t="shared" si="27"/>
        <v>TAB-AE</v>
      </c>
      <c r="S546">
        <f t="shared" si="25"/>
        <v>55</v>
      </c>
      <c r="T546">
        <f t="shared" si="26"/>
        <v>-20.46</v>
      </c>
      <c r="U546">
        <f>IF(SQRT(POWER(T546-F546,2))+SQRT(POWER(E546-S546,2))=0,0,SQRT(POWER(T546-F546,2))+SQRT(POWER(E546-S546,2))+DATOS!$H$20)</f>
        <v>49.820000000000007</v>
      </c>
    </row>
    <row r="547" spans="1:21">
      <c r="A547" t="s">
        <v>319</v>
      </c>
      <c r="B547" t="s">
        <v>60</v>
      </c>
      <c r="C547" t="s">
        <v>32</v>
      </c>
      <c r="E547">
        <v>22.44</v>
      </c>
      <c r="F547">
        <v>-6.03</v>
      </c>
      <c r="G547">
        <v>0</v>
      </c>
      <c r="H547">
        <v>180</v>
      </c>
      <c r="L547">
        <v>127</v>
      </c>
      <c r="M547">
        <v>1</v>
      </c>
      <c r="N547">
        <v>2</v>
      </c>
      <c r="P547" t="s">
        <v>315</v>
      </c>
      <c r="R547" t="str">
        <f t="shared" si="27"/>
        <v>TAB-AE</v>
      </c>
      <c r="S547">
        <f t="shared" si="25"/>
        <v>55</v>
      </c>
      <c r="T547">
        <f t="shared" si="26"/>
        <v>-20.46</v>
      </c>
      <c r="U547">
        <f>IF(SQRT(POWER(T547-F547,2))+SQRT(POWER(E547-S547,2))=0,0,SQRT(POWER(T547-F547,2))+SQRT(POWER(E547-S547,2))+DATOS!$H$20)</f>
        <v>51.99</v>
      </c>
    </row>
    <row r="548" spans="1:21">
      <c r="A548" t="s">
        <v>319</v>
      </c>
      <c r="B548" t="s">
        <v>60</v>
      </c>
      <c r="C548" t="s">
        <v>32</v>
      </c>
      <c r="E548">
        <v>22.44</v>
      </c>
      <c r="F548">
        <v>-5.74</v>
      </c>
      <c r="G548">
        <v>0</v>
      </c>
      <c r="H548">
        <v>180</v>
      </c>
      <c r="L548">
        <v>127</v>
      </c>
      <c r="M548">
        <v>1</v>
      </c>
      <c r="N548">
        <v>2</v>
      </c>
      <c r="P548" t="s">
        <v>315</v>
      </c>
      <c r="R548" t="str">
        <f t="shared" si="27"/>
        <v>TAB-AE</v>
      </c>
      <c r="S548">
        <f t="shared" si="25"/>
        <v>55</v>
      </c>
      <c r="T548">
        <f t="shared" si="26"/>
        <v>-20.46</v>
      </c>
      <c r="U548">
        <f>IF(SQRT(POWER(T548-F548,2))+SQRT(POWER(E548-S548,2))=0,0,SQRT(POWER(T548-F548,2))+SQRT(POWER(E548-S548,2))+DATOS!$H$20)</f>
        <v>52.28</v>
      </c>
    </row>
    <row r="549" spans="1:21">
      <c r="A549" t="s">
        <v>319</v>
      </c>
      <c r="B549" t="s">
        <v>60</v>
      </c>
      <c r="C549" t="s">
        <v>32</v>
      </c>
      <c r="E549">
        <v>22.44</v>
      </c>
      <c r="F549">
        <v>-3.77</v>
      </c>
      <c r="G549">
        <v>0</v>
      </c>
      <c r="H549">
        <v>180</v>
      </c>
      <c r="L549">
        <v>127</v>
      </c>
      <c r="M549">
        <v>1</v>
      </c>
      <c r="N549">
        <v>2</v>
      </c>
      <c r="P549" t="s">
        <v>315</v>
      </c>
      <c r="R549" t="str">
        <f t="shared" si="27"/>
        <v>TAB-AE</v>
      </c>
      <c r="S549">
        <f t="shared" si="25"/>
        <v>55</v>
      </c>
      <c r="T549">
        <f t="shared" si="26"/>
        <v>-20.46</v>
      </c>
      <c r="U549">
        <f>IF(SQRT(POWER(T549-F549,2))+SQRT(POWER(E549-S549,2))=0,0,SQRT(POWER(T549-F549,2))+SQRT(POWER(E549-S549,2))+DATOS!$H$20)</f>
        <v>54.25</v>
      </c>
    </row>
    <row r="550" spans="1:21">
      <c r="A550" t="s">
        <v>319</v>
      </c>
      <c r="B550" t="s">
        <v>60</v>
      </c>
      <c r="C550" t="s">
        <v>32</v>
      </c>
      <c r="E550">
        <v>22.44</v>
      </c>
      <c r="F550">
        <v>-3.48</v>
      </c>
      <c r="G550">
        <v>0</v>
      </c>
      <c r="H550">
        <v>180</v>
      </c>
      <c r="L550">
        <v>127</v>
      </c>
      <c r="M550">
        <v>1</v>
      </c>
      <c r="N550">
        <v>2</v>
      </c>
      <c r="P550" t="s">
        <v>315</v>
      </c>
      <c r="R550" t="str">
        <f t="shared" si="27"/>
        <v>TAB-AE</v>
      </c>
      <c r="S550">
        <f t="shared" si="25"/>
        <v>55</v>
      </c>
      <c r="T550">
        <f t="shared" si="26"/>
        <v>-20.46</v>
      </c>
      <c r="U550">
        <f>IF(SQRT(POWER(T550-F550,2))+SQRT(POWER(E550-S550,2))=0,0,SQRT(POWER(T550-F550,2))+SQRT(POWER(E550-S550,2))+DATOS!$H$20)</f>
        <v>54.540000000000006</v>
      </c>
    </row>
    <row r="551" spans="1:21">
      <c r="A551" t="s">
        <v>319</v>
      </c>
      <c r="B551" t="s">
        <v>60</v>
      </c>
      <c r="C551" t="s">
        <v>32</v>
      </c>
      <c r="E551">
        <v>27.75</v>
      </c>
      <c r="F551">
        <v>-1.65</v>
      </c>
      <c r="G551">
        <v>0</v>
      </c>
      <c r="H551">
        <v>180</v>
      </c>
      <c r="L551">
        <v>127</v>
      </c>
      <c r="M551">
        <v>1</v>
      </c>
      <c r="N551">
        <v>2</v>
      </c>
      <c r="P551" t="s">
        <v>315</v>
      </c>
      <c r="R551" t="str">
        <f t="shared" si="27"/>
        <v>TAB-AE</v>
      </c>
      <c r="S551">
        <f t="shared" si="25"/>
        <v>55</v>
      </c>
      <c r="T551">
        <f t="shared" si="26"/>
        <v>-20.46</v>
      </c>
      <c r="U551">
        <f>IF(SQRT(POWER(T551-F551,2))+SQRT(POWER(E551-S551,2))=0,0,SQRT(POWER(T551-F551,2))+SQRT(POWER(E551-S551,2))+DATOS!$H$20)</f>
        <v>51.06</v>
      </c>
    </row>
    <row r="552" spans="1:21">
      <c r="A552" t="s">
        <v>319</v>
      </c>
      <c r="B552" t="s">
        <v>60</v>
      </c>
      <c r="C552" t="s">
        <v>32</v>
      </c>
      <c r="E552">
        <v>28.04</v>
      </c>
      <c r="F552">
        <v>-1.65</v>
      </c>
      <c r="G552">
        <v>0</v>
      </c>
      <c r="H552">
        <v>180</v>
      </c>
      <c r="L552">
        <v>127</v>
      </c>
      <c r="M552">
        <v>1</v>
      </c>
      <c r="N552">
        <v>2</v>
      </c>
      <c r="P552" t="s">
        <v>315</v>
      </c>
      <c r="R552" t="str">
        <f t="shared" si="27"/>
        <v>TAB-AE</v>
      </c>
      <c r="S552">
        <f t="shared" si="25"/>
        <v>55</v>
      </c>
      <c r="T552">
        <f t="shared" si="26"/>
        <v>-20.46</v>
      </c>
      <c r="U552">
        <f>IF(SQRT(POWER(T552-F552,2))+SQRT(POWER(E552-S552,2))=0,0,SQRT(POWER(T552-F552,2))+SQRT(POWER(E552-S552,2))+DATOS!$H$20)</f>
        <v>50.77</v>
      </c>
    </row>
    <row r="553" spans="1:21">
      <c r="A553" t="s">
        <v>319</v>
      </c>
      <c r="B553" t="s">
        <v>60</v>
      </c>
      <c r="C553" t="s">
        <v>32</v>
      </c>
      <c r="E553">
        <v>30.6</v>
      </c>
      <c r="F553">
        <v>-1.65</v>
      </c>
      <c r="G553">
        <v>0</v>
      </c>
      <c r="H553">
        <v>180</v>
      </c>
      <c r="L553">
        <v>127</v>
      </c>
      <c r="M553">
        <v>1</v>
      </c>
      <c r="N553">
        <v>2</v>
      </c>
      <c r="P553" t="s">
        <v>315</v>
      </c>
      <c r="R553" t="str">
        <f t="shared" si="27"/>
        <v>TAB-AE</v>
      </c>
      <c r="S553">
        <f t="shared" si="25"/>
        <v>55</v>
      </c>
      <c r="T553">
        <f t="shared" si="26"/>
        <v>-20.46</v>
      </c>
      <c r="U553">
        <f>IF(SQRT(POWER(T553-F553,2))+SQRT(POWER(E553-S553,2))=0,0,SQRT(POWER(T553-F553,2))+SQRT(POWER(E553-S553,2))+DATOS!$H$20)</f>
        <v>48.21</v>
      </c>
    </row>
    <row r="554" spans="1:21">
      <c r="A554" t="s">
        <v>319</v>
      </c>
      <c r="B554" t="s">
        <v>60</v>
      </c>
      <c r="C554" t="s">
        <v>32</v>
      </c>
      <c r="E554">
        <v>30.89</v>
      </c>
      <c r="F554">
        <v>-1.65</v>
      </c>
      <c r="G554">
        <v>0</v>
      </c>
      <c r="H554">
        <v>180</v>
      </c>
      <c r="L554">
        <v>127</v>
      </c>
      <c r="M554">
        <v>1</v>
      </c>
      <c r="N554">
        <v>2</v>
      </c>
      <c r="P554" t="s">
        <v>315</v>
      </c>
      <c r="R554" t="str">
        <f t="shared" si="27"/>
        <v>TAB-AE</v>
      </c>
      <c r="S554">
        <f t="shared" si="25"/>
        <v>55</v>
      </c>
      <c r="T554">
        <f t="shared" si="26"/>
        <v>-20.46</v>
      </c>
      <c r="U554">
        <f>IF(SQRT(POWER(T554-F554,2))+SQRT(POWER(E554-S554,2))=0,0,SQRT(POWER(T554-F554,2))+SQRT(POWER(E554-S554,2))+DATOS!$H$20)</f>
        <v>47.92</v>
      </c>
    </row>
    <row r="555" spans="1:21">
      <c r="A555" t="s">
        <v>320</v>
      </c>
      <c r="B555" t="s">
        <v>63</v>
      </c>
      <c r="C555" t="s">
        <v>32</v>
      </c>
      <c r="E555">
        <v>35.24</v>
      </c>
      <c r="F555">
        <v>-1.67</v>
      </c>
      <c r="G555">
        <v>0</v>
      </c>
      <c r="H555">
        <v>826</v>
      </c>
      <c r="L555">
        <v>127</v>
      </c>
      <c r="M555">
        <v>1</v>
      </c>
      <c r="N555">
        <v>2</v>
      </c>
      <c r="P555" t="s">
        <v>321</v>
      </c>
      <c r="R555" t="str">
        <f t="shared" si="27"/>
        <v>TAB-AE</v>
      </c>
      <c r="S555">
        <f t="shared" si="25"/>
        <v>55</v>
      </c>
      <c r="T555">
        <f t="shared" si="26"/>
        <v>-20.46</v>
      </c>
      <c r="U555">
        <f>IF(SQRT(POWER(T555-F555,2))+SQRT(POWER(E555-S555,2))=0,0,SQRT(POWER(T555-F555,2))+SQRT(POWER(E555-S555,2))+DATOS!$H$20)</f>
        <v>43.55</v>
      </c>
    </row>
    <row r="556" spans="1:21">
      <c r="A556" t="s">
        <v>322</v>
      </c>
      <c r="B556" t="s">
        <v>120</v>
      </c>
      <c r="C556" t="s">
        <v>121</v>
      </c>
      <c r="E556">
        <v>24.71</v>
      </c>
      <c r="F556">
        <v>4.5999999999999996</v>
      </c>
      <c r="G556">
        <v>0</v>
      </c>
      <c r="I556">
        <v>180</v>
      </c>
      <c r="L556">
        <v>127</v>
      </c>
      <c r="M556">
        <v>1</v>
      </c>
      <c r="N556">
        <v>2</v>
      </c>
      <c r="P556" t="s">
        <v>323</v>
      </c>
      <c r="R556" t="str">
        <f t="shared" si="27"/>
        <v>TAB-AN</v>
      </c>
      <c r="S556">
        <f t="shared" si="25"/>
        <v>55</v>
      </c>
      <c r="T556">
        <f t="shared" si="26"/>
        <v>-21.64</v>
      </c>
      <c r="U556">
        <f>IF(SQRT(POWER(T556-F556,2))+SQRT(POWER(E556-S556,2))=0,0,SQRT(POWER(T556-F556,2))+SQRT(POWER(E556-S556,2))+DATOS!$H$20)</f>
        <v>61.53</v>
      </c>
    </row>
    <row r="557" spans="1:21">
      <c r="A557" t="s">
        <v>324</v>
      </c>
      <c r="B557" t="s">
        <v>120</v>
      </c>
      <c r="C557" t="s">
        <v>121</v>
      </c>
      <c r="E557">
        <v>52.09</v>
      </c>
      <c r="F557">
        <v>-22.73</v>
      </c>
      <c r="G557">
        <v>0</v>
      </c>
      <c r="I557">
        <v>180</v>
      </c>
      <c r="L557">
        <v>127</v>
      </c>
      <c r="M557">
        <v>1</v>
      </c>
      <c r="N557">
        <v>2</v>
      </c>
      <c r="P557" t="s">
        <v>325</v>
      </c>
      <c r="R557" t="str">
        <f t="shared" si="27"/>
        <v>TAB-AN</v>
      </c>
      <c r="S557">
        <f t="shared" si="25"/>
        <v>55</v>
      </c>
      <c r="T557">
        <f t="shared" si="26"/>
        <v>-21.64</v>
      </c>
      <c r="U557">
        <f>IF(SQRT(POWER(T557-F557,2))+SQRT(POWER(E557-S557,2))=0,0,SQRT(POWER(T557-F557,2))+SQRT(POWER(E557-S557,2))+DATOS!$H$20)</f>
        <v>8.9999999999999964</v>
      </c>
    </row>
    <row r="558" spans="1:21">
      <c r="A558" t="s">
        <v>326</v>
      </c>
      <c r="B558" t="s">
        <v>172</v>
      </c>
      <c r="C558" t="s">
        <v>32</v>
      </c>
      <c r="E558">
        <v>49.39</v>
      </c>
      <c r="F558">
        <v>-23.69</v>
      </c>
      <c r="G558">
        <v>0</v>
      </c>
      <c r="H558">
        <v>180</v>
      </c>
      <c r="L558">
        <v>127</v>
      </c>
      <c r="M558">
        <v>1</v>
      </c>
      <c r="N558">
        <v>2</v>
      </c>
      <c r="P558" t="s">
        <v>327</v>
      </c>
      <c r="R558" t="str">
        <f t="shared" si="27"/>
        <v>TAB-AN</v>
      </c>
      <c r="S558">
        <f t="shared" si="25"/>
        <v>55</v>
      </c>
      <c r="T558">
        <f t="shared" si="26"/>
        <v>-21.64</v>
      </c>
      <c r="U558">
        <f>IF(SQRT(POWER(T558-F558,2))+SQRT(POWER(E558-S558,2))=0,0,SQRT(POWER(T558-F558,2))+SQRT(POWER(E558-S558,2))+DATOS!$H$20)</f>
        <v>12.66</v>
      </c>
    </row>
    <row r="559" spans="1:21">
      <c r="A559" t="s">
        <v>326</v>
      </c>
      <c r="B559" t="s">
        <v>172</v>
      </c>
      <c r="C559" t="s">
        <v>32</v>
      </c>
      <c r="E559">
        <v>49.1</v>
      </c>
      <c r="F559">
        <v>-23.69</v>
      </c>
      <c r="G559">
        <v>0</v>
      </c>
      <c r="H559">
        <v>180</v>
      </c>
      <c r="L559">
        <v>127</v>
      </c>
      <c r="M559">
        <v>1</v>
      </c>
      <c r="N559">
        <v>2</v>
      </c>
      <c r="P559" t="s">
        <v>327</v>
      </c>
      <c r="R559" t="str">
        <f t="shared" si="27"/>
        <v>TAB-AN</v>
      </c>
      <c r="S559">
        <f t="shared" si="25"/>
        <v>55</v>
      </c>
      <c r="T559">
        <f t="shared" si="26"/>
        <v>-21.64</v>
      </c>
      <c r="U559">
        <f>IF(SQRT(POWER(T559-F559,2))+SQRT(POWER(E559-S559,2))=0,0,SQRT(POWER(T559-F559,2))+SQRT(POWER(E559-S559,2))+DATOS!$H$20)</f>
        <v>12.95</v>
      </c>
    </row>
    <row r="560" spans="1:21">
      <c r="A560" t="s">
        <v>326</v>
      </c>
      <c r="B560" t="s">
        <v>172</v>
      </c>
      <c r="C560" t="s">
        <v>32</v>
      </c>
      <c r="E560">
        <v>45.27</v>
      </c>
      <c r="F560">
        <v>-23.69</v>
      </c>
      <c r="G560">
        <v>0</v>
      </c>
      <c r="H560">
        <v>180</v>
      </c>
      <c r="L560">
        <v>127</v>
      </c>
      <c r="M560">
        <v>1</v>
      </c>
      <c r="N560">
        <v>2</v>
      </c>
      <c r="P560" t="s">
        <v>327</v>
      </c>
      <c r="R560" t="str">
        <f t="shared" si="27"/>
        <v>TAB-AN</v>
      </c>
      <c r="S560">
        <f t="shared" si="25"/>
        <v>55</v>
      </c>
      <c r="T560">
        <f t="shared" si="26"/>
        <v>-21.64</v>
      </c>
      <c r="U560">
        <f>IF(SQRT(POWER(T560-F560,2))+SQRT(POWER(E560-S560,2))=0,0,SQRT(POWER(T560-F560,2))+SQRT(POWER(E560-S560,2))+DATOS!$H$20)</f>
        <v>16.779999999999998</v>
      </c>
    </row>
    <row r="561" spans="1:21">
      <c r="A561" t="s">
        <v>326</v>
      </c>
      <c r="B561" t="s">
        <v>172</v>
      </c>
      <c r="C561" t="s">
        <v>32</v>
      </c>
      <c r="E561">
        <v>44.98</v>
      </c>
      <c r="F561">
        <v>-23.69</v>
      </c>
      <c r="G561">
        <v>0</v>
      </c>
      <c r="H561">
        <v>180</v>
      </c>
      <c r="L561">
        <v>127</v>
      </c>
      <c r="M561">
        <v>1</v>
      </c>
      <c r="N561">
        <v>2</v>
      </c>
      <c r="P561" t="s">
        <v>327</v>
      </c>
      <c r="R561" t="str">
        <f t="shared" si="27"/>
        <v>TAB-AN</v>
      </c>
      <c r="S561">
        <f t="shared" si="25"/>
        <v>55</v>
      </c>
      <c r="T561">
        <f t="shared" si="26"/>
        <v>-21.64</v>
      </c>
      <c r="U561">
        <f>IF(SQRT(POWER(T561-F561,2))+SQRT(POWER(E561-S561,2))=0,0,SQRT(POWER(T561-F561,2))+SQRT(POWER(E561-S561,2))+DATOS!$H$20)</f>
        <v>17.070000000000004</v>
      </c>
    </row>
    <row r="562" spans="1:21">
      <c r="A562" t="s">
        <v>326</v>
      </c>
      <c r="B562" t="s">
        <v>120</v>
      </c>
      <c r="C562" t="s">
        <v>121</v>
      </c>
      <c r="E562">
        <v>39.840000000000003</v>
      </c>
      <c r="F562">
        <v>-22.35</v>
      </c>
      <c r="G562">
        <v>0</v>
      </c>
      <c r="H562">
        <v>180</v>
      </c>
      <c r="I562">
        <v>180</v>
      </c>
      <c r="L562">
        <v>127</v>
      </c>
      <c r="M562">
        <v>1</v>
      </c>
      <c r="N562">
        <v>2</v>
      </c>
      <c r="P562" t="s">
        <v>327</v>
      </c>
      <c r="R562" t="str">
        <f t="shared" si="27"/>
        <v>TAB-AN</v>
      </c>
      <c r="S562">
        <f t="shared" si="25"/>
        <v>55</v>
      </c>
      <c r="T562">
        <f t="shared" si="26"/>
        <v>-21.64</v>
      </c>
      <c r="U562">
        <f>IF(SQRT(POWER(T562-F562,2))+SQRT(POWER(E562-S562,2))=0,0,SQRT(POWER(T562-F562,2))+SQRT(POWER(E562-S562,2))+DATOS!$H$20)</f>
        <v>20.869999999999997</v>
      </c>
    </row>
    <row r="563" spans="1:21">
      <c r="A563" t="s">
        <v>326</v>
      </c>
      <c r="B563" t="s">
        <v>120</v>
      </c>
      <c r="C563" t="s">
        <v>121</v>
      </c>
      <c r="E563">
        <v>45.82</v>
      </c>
      <c r="F563">
        <v>-16.87</v>
      </c>
      <c r="G563">
        <v>0</v>
      </c>
      <c r="H563">
        <v>180</v>
      </c>
      <c r="I563">
        <v>180</v>
      </c>
      <c r="L563">
        <v>127</v>
      </c>
      <c r="M563">
        <v>1</v>
      </c>
      <c r="N563">
        <v>2</v>
      </c>
      <c r="P563" t="s">
        <v>327</v>
      </c>
      <c r="R563" t="str">
        <f t="shared" si="27"/>
        <v>TAB-AN</v>
      </c>
      <c r="S563">
        <f t="shared" si="25"/>
        <v>55</v>
      </c>
      <c r="T563">
        <f t="shared" si="26"/>
        <v>-21.64</v>
      </c>
      <c r="U563">
        <f>IF(SQRT(POWER(T563-F563,2))+SQRT(POWER(E563-S563,2))=0,0,SQRT(POWER(T563-F563,2))+SQRT(POWER(E563-S563,2))+DATOS!$H$20)</f>
        <v>18.95</v>
      </c>
    </row>
    <row r="564" spans="1:21">
      <c r="A564" t="s">
        <v>326</v>
      </c>
      <c r="B564" t="s">
        <v>172</v>
      </c>
      <c r="C564" t="s">
        <v>32</v>
      </c>
      <c r="E564">
        <v>45.56</v>
      </c>
      <c r="F564">
        <v>-16.489999999999998</v>
      </c>
      <c r="G564">
        <v>0</v>
      </c>
      <c r="H564">
        <v>180</v>
      </c>
      <c r="L564">
        <v>127</v>
      </c>
      <c r="M564">
        <v>1</v>
      </c>
      <c r="N564">
        <v>2</v>
      </c>
      <c r="P564" t="s">
        <v>327</v>
      </c>
      <c r="R564" t="str">
        <f t="shared" si="27"/>
        <v>TAB-AN</v>
      </c>
      <c r="S564">
        <f t="shared" si="25"/>
        <v>55</v>
      </c>
      <c r="T564">
        <f t="shared" si="26"/>
        <v>-21.64</v>
      </c>
      <c r="U564">
        <f>IF(SQRT(POWER(T564-F564,2))+SQRT(POWER(E564-S564,2))=0,0,SQRT(POWER(T564-F564,2))+SQRT(POWER(E564-S564,2))+DATOS!$H$20)</f>
        <v>19.59</v>
      </c>
    </row>
    <row r="565" spans="1:21">
      <c r="A565" t="s">
        <v>326</v>
      </c>
      <c r="B565" t="s">
        <v>172</v>
      </c>
      <c r="C565" t="s">
        <v>32</v>
      </c>
      <c r="E565">
        <v>45.27</v>
      </c>
      <c r="F565">
        <v>-16.489999999999998</v>
      </c>
      <c r="G565">
        <v>0</v>
      </c>
      <c r="H565">
        <v>180</v>
      </c>
      <c r="L565">
        <v>127</v>
      </c>
      <c r="M565">
        <v>1</v>
      </c>
      <c r="N565">
        <v>2</v>
      </c>
      <c r="P565" t="s">
        <v>327</v>
      </c>
      <c r="R565" t="str">
        <f t="shared" si="27"/>
        <v>TAB-AN</v>
      </c>
      <c r="S565">
        <f t="shared" si="25"/>
        <v>55</v>
      </c>
      <c r="T565">
        <f t="shared" si="26"/>
        <v>-21.64</v>
      </c>
      <c r="U565">
        <f>IF(SQRT(POWER(T565-F565,2))+SQRT(POWER(E565-S565,2))=0,0,SQRT(POWER(T565-F565,2))+SQRT(POWER(E565-S565,2))+DATOS!$H$20)</f>
        <v>19.88</v>
      </c>
    </row>
    <row r="566" spans="1:21">
      <c r="A566" t="s">
        <v>328</v>
      </c>
      <c r="B566" t="s">
        <v>172</v>
      </c>
      <c r="C566" t="s">
        <v>32</v>
      </c>
      <c r="E566">
        <v>48.25</v>
      </c>
      <c r="F566">
        <v>-6.15</v>
      </c>
      <c r="G566">
        <v>0</v>
      </c>
      <c r="H566">
        <v>180</v>
      </c>
      <c r="L566">
        <v>127</v>
      </c>
      <c r="M566">
        <v>1</v>
      </c>
      <c r="N566">
        <v>2</v>
      </c>
      <c r="P566" t="s">
        <v>311</v>
      </c>
      <c r="R566" t="str">
        <f t="shared" si="27"/>
        <v>TAB-AN</v>
      </c>
      <c r="S566">
        <f t="shared" si="25"/>
        <v>55</v>
      </c>
      <c r="T566">
        <f t="shared" si="26"/>
        <v>-21.64</v>
      </c>
      <c r="U566">
        <f>IF(SQRT(POWER(T566-F566,2))+SQRT(POWER(E566-S566,2))=0,0,SQRT(POWER(T566-F566,2))+SQRT(POWER(E566-S566,2))+DATOS!$H$20)</f>
        <v>27.240000000000002</v>
      </c>
    </row>
    <row r="567" spans="1:21">
      <c r="A567" t="s">
        <v>328</v>
      </c>
      <c r="B567" t="s">
        <v>172</v>
      </c>
      <c r="C567" t="s">
        <v>32</v>
      </c>
      <c r="E567">
        <v>48.25</v>
      </c>
      <c r="F567">
        <v>-5.86</v>
      </c>
      <c r="G567">
        <v>0</v>
      </c>
      <c r="H567">
        <v>180</v>
      </c>
      <c r="L567">
        <v>127</v>
      </c>
      <c r="M567">
        <v>1</v>
      </c>
      <c r="N567">
        <v>2</v>
      </c>
      <c r="P567" t="s">
        <v>311</v>
      </c>
      <c r="R567" t="str">
        <f t="shared" si="27"/>
        <v>TAB-AN</v>
      </c>
      <c r="S567">
        <f t="shared" si="25"/>
        <v>55</v>
      </c>
      <c r="T567">
        <f t="shared" si="26"/>
        <v>-21.64</v>
      </c>
      <c r="U567">
        <f>IF(SQRT(POWER(T567-F567,2))+SQRT(POWER(E567-S567,2))=0,0,SQRT(POWER(T567-F567,2))+SQRT(POWER(E567-S567,2))+DATOS!$H$20)</f>
        <v>27.53</v>
      </c>
    </row>
    <row r="568" spans="1:21">
      <c r="A568" t="s">
        <v>329</v>
      </c>
      <c r="B568" t="s">
        <v>120</v>
      </c>
      <c r="C568" t="s">
        <v>121</v>
      </c>
      <c r="E568">
        <v>44.48</v>
      </c>
      <c r="F568">
        <v>-2.4700000000000002</v>
      </c>
      <c r="G568">
        <v>0</v>
      </c>
      <c r="H568">
        <v>180</v>
      </c>
      <c r="I568">
        <v>180</v>
      </c>
      <c r="L568">
        <v>127</v>
      </c>
      <c r="M568">
        <v>1</v>
      </c>
      <c r="N568">
        <v>2</v>
      </c>
      <c r="P568" t="s">
        <v>311</v>
      </c>
      <c r="R568" t="str">
        <f t="shared" si="27"/>
        <v>TAB-AN</v>
      </c>
      <c r="S568">
        <f t="shared" si="25"/>
        <v>55</v>
      </c>
      <c r="T568">
        <f t="shared" si="26"/>
        <v>-21.64</v>
      </c>
      <c r="U568">
        <f>IF(SQRT(POWER(T568-F568,2))+SQRT(POWER(E568-S568,2))=0,0,SQRT(POWER(T568-F568,2))+SQRT(POWER(E568-S568,2))+DATOS!$H$20)</f>
        <v>34.690000000000005</v>
      </c>
    </row>
    <row r="569" spans="1:21">
      <c r="A569" t="s">
        <v>329</v>
      </c>
      <c r="B569" t="s">
        <v>120</v>
      </c>
      <c r="C569" t="s">
        <v>121</v>
      </c>
      <c r="E569">
        <v>44.48</v>
      </c>
      <c r="F569">
        <v>-1.44</v>
      </c>
      <c r="G569">
        <v>0</v>
      </c>
      <c r="H569">
        <v>180</v>
      </c>
      <c r="I569">
        <v>180</v>
      </c>
      <c r="L569">
        <v>127</v>
      </c>
      <c r="M569">
        <v>1</v>
      </c>
      <c r="N569">
        <v>2</v>
      </c>
      <c r="P569" t="s">
        <v>311</v>
      </c>
      <c r="R569" t="str">
        <f t="shared" si="27"/>
        <v>TAB-AN</v>
      </c>
      <c r="S569">
        <f t="shared" si="25"/>
        <v>55</v>
      </c>
      <c r="T569">
        <f t="shared" si="26"/>
        <v>-21.64</v>
      </c>
      <c r="U569">
        <f>IF(SQRT(POWER(T569-F569,2))+SQRT(POWER(E569-S569,2))=0,0,SQRT(POWER(T569-F569,2))+SQRT(POWER(E569-S569,2))+DATOS!$H$20)</f>
        <v>35.72</v>
      </c>
    </row>
    <row r="570" spans="1:21">
      <c r="A570" t="s">
        <v>328</v>
      </c>
      <c r="B570" t="s">
        <v>172</v>
      </c>
      <c r="C570" t="s">
        <v>32</v>
      </c>
      <c r="E570">
        <v>42.04</v>
      </c>
      <c r="F570">
        <v>-10.59</v>
      </c>
      <c r="G570">
        <v>0</v>
      </c>
      <c r="H570">
        <v>180</v>
      </c>
      <c r="L570">
        <v>127</v>
      </c>
      <c r="M570">
        <v>1</v>
      </c>
      <c r="N570">
        <v>2</v>
      </c>
      <c r="P570" t="s">
        <v>311</v>
      </c>
      <c r="R570" t="str">
        <f t="shared" si="27"/>
        <v>TAB-AN</v>
      </c>
      <c r="S570">
        <f t="shared" si="25"/>
        <v>55</v>
      </c>
      <c r="T570">
        <f t="shared" si="26"/>
        <v>-21.64</v>
      </c>
      <c r="U570">
        <f>IF(SQRT(POWER(T570-F570,2))+SQRT(POWER(E570-S570,2))=0,0,SQRT(POWER(T570-F570,2))+SQRT(POWER(E570-S570,2))+DATOS!$H$20)</f>
        <v>29.01</v>
      </c>
    </row>
    <row r="571" spans="1:21">
      <c r="A571" t="s">
        <v>328</v>
      </c>
      <c r="B571" t="s">
        <v>172</v>
      </c>
      <c r="C571" t="s">
        <v>32</v>
      </c>
      <c r="E571">
        <v>41.75</v>
      </c>
      <c r="F571">
        <v>-10.59</v>
      </c>
      <c r="G571">
        <v>0</v>
      </c>
      <c r="H571">
        <v>180</v>
      </c>
      <c r="L571">
        <v>127</v>
      </c>
      <c r="M571">
        <v>1</v>
      </c>
      <c r="N571">
        <v>2</v>
      </c>
      <c r="P571" t="s">
        <v>311</v>
      </c>
      <c r="R571" t="str">
        <f t="shared" si="27"/>
        <v>TAB-AN</v>
      </c>
      <c r="S571">
        <f t="shared" si="25"/>
        <v>55</v>
      </c>
      <c r="T571">
        <f t="shared" si="26"/>
        <v>-21.64</v>
      </c>
      <c r="U571">
        <f>IF(SQRT(POWER(T571-F571,2))+SQRT(POWER(E571-S571,2))=0,0,SQRT(POWER(T571-F571,2))+SQRT(POWER(E571-S571,2))+DATOS!$H$20)</f>
        <v>29.3</v>
      </c>
    </row>
    <row r="572" spans="1:21">
      <c r="A572" t="s">
        <v>328</v>
      </c>
      <c r="B572" t="s">
        <v>172</v>
      </c>
      <c r="C572" t="s">
        <v>32</v>
      </c>
      <c r="E572">
        <v>48.25</v>
      </c>
      <c r="F572">
        <v>-10.55</v>
      </c>
      <c r="G572">
        <v>0</v>
      </c>
      <c r="H572">
        <v>180</v>
      </c>
      <c r="L572">
        <v>127</v>
      </c>
      <c r="M572">
        <v>1</v>
      </c>
      <c r="N572">
        <v>2</v>
      </c>
      <c r="P572" t="s">
        <v>311</v>
      </c>
      <c r="R572" t="str">
        <f t="shared" si="27"/>
        <v>TAB-AN</v>
      </c>
      <c r="S572">
        <f t="shared" si="25"/>
        <v>55</v>
      </c>
      <c r="T572">
        <f t="shared" si="26"/>
        <v>-21.64</v>
      </c>
      <c r="U572">
        <f>IF(SQRT(POWER(T572-F572,2))+SQRT(POWER(E572-S572,2))=0,0,SQRT(POWER(T572-F572,2))+SQRT(POWER(E572-S572,2))+DATOS!$H$20)</f>
        <v>22.84</v>
      </c>
    </row>
    <row r="573" spans="1:21">
      <c r="A573" t="s">
        <v>328</v>
      </c>
      <c r="B573" t="s">
        <v>172</v>
      </c>
      <c r="C573" t="s">
        <v>32</v>
      </c>
      <c r="E573">
        <v>48.25</v>
      </c>
      <c r="F573">
        <v>-10.26</v>
      </c>
      <c r="G573">
        <v>0</v>
      </c>
      <c r="H573">
        <v>180</v>
      </c>
      <c r="L573">
        <v>127</v>
      </c>
      <c r="M573">
        <v>1</v>
      </c>
      <c r="N573">
        <v>2</v>
      </c>
      <c r="P573" t="s">
        <v>311</v>
      </c>
      <c r="R573" t="str">
        <f t="shared" si="27"/>
        <v>TAB-AN</v>
      </c>
      <c r="S573">
        <f t="shared" si="25"/>
        <v>55</v>
      </c>
      <c r="T573">
        <f t="shared" si="26"/>
        <v>-21.64</v>
      </c>
      <c r="U573">
        <f>IF(SQRT(POWER(T573-F573,2))+SQRT(POWER(E573-S573,2))=0,0,SQRT(POWER(T573-F573,2))+SQRT(POWER(E573-S573,2))+DATOS!$H$20)</f>
        <v>23.130000000000003</v>
      </c>
    </row>
    <row r="574" spans="1:21">
      <c r="A574" t="s">
        <v>328</v>
      </c>
      <c r="B574" t="s">
        <v>172</v>
      </c>
      <c r="C574" t="s">
        <v>32</v>
      </c>
      <c r="E574">
        <v>48.25</v>
      </c>
      <c r="F574">
        <v>-8.18</v>
      </c>
      <c r="G574">
        <v>0</v>
      </c>
      <c r="H574">
        <v>180</v>
      </c>
      <c r="L574">
        <v>127</v>
      </c>
      <c r="M574">
        <v>1</v>
      </c>
      <c r="N574">
        <v>2</v>
      </c>
      <c r="P574" t="s">
        <v>311</v>
      </c>
      <c r="R574" t="str">
        <f t="shared" si="27"/>
        <v>TAB-AN</v>
      </c>
      <c r="S574">
        <f t="shared" si="25"/>
        <v>55</v>
      </c>
      <c r="T574">
        <f t="shared" si="26"/>
        <v>-21.64</v>
      </c>
      <c r="U574">
        <f>IF(SQRT(POWER(T574-F574,2))+SQRT(POWER(E574-S574,2))=0,0,SQRT(POWER(T574-F574,2))+SQRT(POWER(E574-S574,2))+DATOS!$H$20)</f>
        <v>25.21</v>
      </c>
    </row>
    <row r="575" spans="1:21">
      <c r="A575" t="s">
        <v>328</v>
      </c>
      <c r="B575" t="s">
        <v>172</v>
      </c>
      <c r="C575" t="s">
        <v>32</v>
      </c>
      <c r="E575">
        <v>48.25</v>
      </c>
      <c r="F575">
        <v>-7.89</v>
      </c>
      <c r="G575">
        <v>0</v>
      </c>
      <c r="H575">
        <v>180</v>
      </c>
      <c r="L575">
        <v>127</v>
      </c>
      <c r="M575">
        <v>1</v>
      </c>
      <c r="N575">
        <v>2</v>
      </c>
      <c r="P575" t="s">
        <v>311</v>
      </c>
      <c r="R575" t="str">
        <f t="shared" si="27"/>
        <v>TAB-AN</v>
      </c>
      <c r="S575">
        <f t="shared" si="25"/>
        <v>55</v>
      </c>
      <c r="T575">
        <f t="shared" si="26"/>
        <v>-21.64</v>
      </c>
      <c r="U575">
        <f>IF(SQRT(POWER(T575-F575,2))+SQRT(POWER(E575-S575,2))=0,0,SQRT(POWER(T575-F575,2))+SQRT(POWER(E575-S575,2))+DATOS!$H$20)</f>
        <v>25.5</v>
      </c>
    </row>
    <row r="576" spans="1:21">
      <c r="A576" t="s">
        <v>329</v>
      </c>
      <c r="B576" t="s">
        <v>172</v>
      </c>
      <c r="C576" t="s">
        <v>32</v>
      </c>
      <c r="E576">
        <v>48.25</v>
      </c>
      <c r="F576">
        <v>-2.29</v>
      </c>
      <c r="G576">
        <v>0</v>
      </c>
      <c r="H576">
        <v>180</v>
      </c>
      <c r="L576">
        <v>127</v>
      </c>
      <c r="M576">
        <v>1</v>
      </c>
      <c r="N576">
        <v>2</v>
      </c>
      <c r="P576" t="s">
        <v>311</v>
      </c>
      <c r="R576" t="str">
        <f t="shared" si="27"/>
        <v>TAB-AN</v>
      </c>
      <c r="S576">
        <f t="shared" si="25"/>
        <v>55</v>
      </c>
      <c r="T576">
        <f t="shared" si="26"/>
        <v>-21.64</v>
      </c>
      <c r="U576">
        <f>IF(SQRT(POWER(T576-F576,2))+SQRT(POWER(E576-S576,2))=0,0,SQRT(POWER(T576-F576,2))+SQRT(POWER(E576-S576,2))+DATOS!$H$20)</f>
        <v>31.1</v>
      </c>
    </row>
    <row r="577" spans="1:21">
      <c r="A577" t="s">
        <v>329</v>
      </c>
      <c r="B577" t="s">
        <v>172</v>
      </c>
      <c r="C577" t="s">
        <v>32</v>
      </c>
      <c r="E577">
        <v>48.25</v>
      </c>
      <c r="F577">
        <v>-2</v>
      </c>
      <c r="G577">
        <v>0</v>
      </c>
      <c r="H577">
        <v>180</v>
      </c>
      <c r="L577">
        <v>127</v>
      </c>
      <c r="M577">
        <v>1</v>
      </c>
      <c r="N577">
        <v>2</v>
      </c>
      <c r="P577" t="s">
        <v>311</v>
      </c>
      <c r="R577" t="str">
        <f t="shared" si="27"/>
        <v>TAB-AN</v>
      </c>
      <c r="S577">
        <f t="shared" si="25"/>
        <v>55</v>
      </c>
      <c r="T577">
        <f t="shared" si="26"/>
        <v>-21.64</v>
      </c>
      <c r="U577">
        <f>IF(SQRT(POWER(T577-F577,2))+SQRT(POWER(E577-S577,2))=0,0,SQRT(POWER(T577-F577,2))+SQRT(POWER(E577-S577,2))+DATOS!$H$20)</f>
        <v>31.39</v>
      </c>
    </row>
    <row r="578" spans="1:21">
      <c r="A578" t="s">
        <v>329</v>
      </c>
      <c r="B578" t="s">
        <v>172</v>
      </c>
      <c r="C578" t="s">
        <v>32</v>
      </c>
      <c r="E578">
        <v>48.25</v>
      </c>
      <c r="F578">
        <v>-4.03</v>
      </c>
      <c r="G578">
        <v>0</v>
      </c>
      <c r="H578">
        <v>180</v>
      </c>
      <c r="L578">
        <v>127</v>
      </c>
      <c r="M578">
        <v>1</v>
      </c>
      <c r="N578">
        <v>2</v>
      </c>
      <c r="P578" t="s">
        <v>311</v>
      </c>
      <c r="R578" t="str">
        <f t="shared" si="27"/>
        <v>TAB-AN</v>
      </c>
      <c r="S578">
        <f t="shared" si="25"/>
        <v>55</v>
      </c>
      <c r="T578">
        <f t="shared" si="26"/>
        <v>-21.64</v>
      </c>
      <c r="U578">
        <f>IF(SQRT(POWER(T578-F578,2))+SQRT(POWER(E578-S578,2))=0,0,SQRT(POWER(T578-F578,2))+SQRT(POWER(E578-S578,2))+DATOS!$H$20)</f>
        <v>29.36</v>
      </c>
    </row>
    <row r="579" spans="1:21">
      <c r="A579" t="s">
        <v>329</v>
      </c>
      <c r="B579" t="s">
        <v>172</v>
      </c>
      <c r="C579" t="s">
        <v>32</v>
      </c>
      <c r="E579">
        <v>48.25</v>
      </c>
      <c r="F579">
        <v>-3.74</v>
      </c>
      <c r="G579">
        <v>0</v>
      </c>
      <c r="H579">
        <v>180</v>
      </c>
      <c r="L579">
        <v>127</v>
      </c>
      <c r="M579">
        <v>1</v>
      </c>
      <c r="N579">
        <v>2</v>
      </c>
      <c r="P579" t="s">
        <v>311</v>
      </c>
      <c r="R579" t="str">
        <f t="shared" si="27"/>
        <v>TAB-AN</v>
      </c>
      <c r="S579">
        <f t="shared" ref="S579:S642" si="28">IFERROR(VLOOKUP(R579,$A$2:$F$700,5,0),E579)</f>
        <v>55</v>
      </c>
      <c r="T579">
        <f t="shared" ref="T579:T642" si="29">IFERROR(VLOOKUP(R579,$A$2:$F$700,6,0),F579)</f>
        <v>-21.64</v>
      </c>
      <c r="U579">
        <f>IF(SQRT(POWER(T579-F579,2))+SQRT(POWER(E579-S579,2))=0,0,SQRT(POWER(T579-F579,2))+SQRT(POWER(E579-S579,2))+DATOS!$H$20)</f>
        <v>29.65</v>
      </c>
    </row>
    <row r="580" spans="1:21">
      <c r="A580" t="s">
        <v>329</v>
      </c>
      <c r="B580" t="s">
        <v>172</v>
      </c>
      <c r="C580" t="s">
        <v>32</v>
      </c>
      <c r="E580">
        <v>48.25</v>
      </c>
      <c r="F580">
        <v>-0.68</v>
      </c>
      <c r="G580">
        <v>0</v>
      </c>
      <c r="H580">
        <v>180</v>
      </c>
      <c r="L580">
        <v>127</v>
      </c>
      <c r="M580">
        <v>1</v>
      </c>
      <c r="N580">
        <v>2</v>
      </c>
      <c r="P580" t="s">
        <v>311</v>
      </c>
      <c r="R580" t="str">
        <f t="shared" si="27"/>
        <v>TAB-AN</v>
      </c>
      <c r="S580">
        <f t="shared" si="28"/>
        <v>55</v>
      </c>
      <c r="T580">
        <f t="shared" si="29"/>
        <v>-21.64</v>
      </c>
      <c r="U580">
        <f>IF(SQRT(POWER(T580-F580,2))+SQRT(POWER(E580-S580,2))=0,0,SQRT(POWER(T580-F580,2))+SQRT(POWER(E580-S580,2))+DATOS!$H$20)</f>
        <v>32.71</v>
      </c>
    </row>
    <row r="581" spans="1:21">
      <c r="A581" t="s">
        <v>329</v>
      </c>
      <c r="B581" t="s">
        <v>172</v>
      </c>
      <c r="C581" t="s">
        <v>32</v>
      </c>
      <c r="E581">
        <v>48.25</v>
      </c>
      <c r="F581">
        <v>-0.38</v>
      </c>
      <c r="G581">
        <v>0</v>
      </c>
      <c r="H581">
        <v>180</v>
      </c>
      <c r="L581">
        <v>127</v>
      </c>
      <c r="M581">
        <v>1</v>
      </c>
      <c r="N581">
        <v>2</v>
      </c>
      <c r="P581" t="s">
        <v>311</v>
      </c>
      <c r="R581" t="str">
        <f t="shared" si="27"/>
        <v>TAB-AN</v>
      </c>
      <c r="S581">
        <f t="shared" si="28"/>
        <v>55</v>
      </c>
      <c r="T581">
        <f t="shared" si="29"/>
        <v>-21.64</v>
      </c>
      <c r="U581">
        <f>IF(SQRT(POWER(T581-F581,2))+SQRT(POWER(E581-S581,2))=0,0,SQRT(POWER(T581-F581,2))+SQRT(POWER(E581-S581,2))+DATOS!$H$20)</f>
        <v>33.010000000000005</v>
      </c>
    </row>
    <row r="582" spans="1:21">
      <c r="A582" t="s">
        <v>330</v>
      </c>
      <c r="B582" t="s">
        <v>172</v>
      </c>
      <c r="C582" t="s">
        <v>32</v>
      </c>
      <c r="E582">
        <v>22.44</v>
      </c>
      <c r="F582">
        <v>-17.36</v>
      </c>
      <c r="G582">
        <v>0</v>
      </c>
      <c r="H582">
        <v>180</v>
      </c>
      <c r="L582">
        <v>127</v>
      </c>
      <c r="M582">
        <v>1</v>
      </c>
      <c r="N582">
        <v>2</v>
      </c>
      <c r="P582" t="s">
        <v>315</v>
      </c>
      <c r="R582" t="str">
        <f t="shared" si="27"/>
        <v>TAB-AN</v>
      </c>
      <c r="S582">
        <f t="shared" si="28"/>
        <v>55</v>
      </c>
      <c r="T582">
        <f t="shared" si="29"/>
        <v>-21.64</v>
      </c>
      <c r="U582">
        <f>IF(SQRT(POWER(T582-F582,2))+SQRT(POWER(E582-S582,2))=0,0,SQRT(POWER(T582-F582,2))+SQRT(POWER(E582-S582,2))+DATOS!$H$20)</f>
        <v>41.84</v>
      </c>
    </row>
    <row r="583" spans="1:21">
      <c r="A583" t="s">
        <v>330</v>
      </c>
      <c r="B583" t="s">
        <v>172</v>
      </c>
      <c r="C583" t="s">
        <v>32</v>
      </c>
      <c r="E583">
        <v>22.44</v>
      </c>
      <c r="F583">
        <v>-17.07</v>
      </c>
      <c r="G583">
        <v>0</v>
      </c>
      <c r="H583">
        <v>180</v>
      </c>
      <c r="L583">
        <v>127</v>
      </c>
      <c r="M583">
        <v>1</v>
      </c>
      <c r="N583">
        <v>2</v>
      </c>
      <c r="P583" t="s">
        <v>315</v>
      </c>
      <c r="R583" t="str">
        <f t="shared" si="27"/>
        <v>TAB-AN</v>
      </c>
      <c r="S583">
        <f t="shared" si="28"/>
        <v>55</v>
      </c>
      <c r="T583">
        <f t="shared" si="29"/>
        <v>-21.64</v>
      </c>
      <c r="U583">
        <f>IF(SQRT(POWER(T583-F583,2))+SQRT(POWER(E583-S583,2))=0,0,SQRT(POWER(T583-F583,2))+SQRT(POWER(E583-S583,2))+DATOS!$H$20)</f>
        <v>42.13</v>
      </c>
    </row>
    <row r="584" spans="1:21">
      <c r="A584" t="s">
        <v>330</v>
      </c>
      <c r="B584" t="s">
        <v>172</v>
      </c>
      <c r="C584" t="s">
        <v>32</v>
      </c>
      <c r="E584">
        <v>22.44</v>
      </c>
      <c r="F584">
        <v>-19.670000000000002</v>
      </c>
      <c r="G584">
        <v>0</v>
      </c>
      <c r="H584">
        <v>180</v>
      </c>
      <c r="L584">
        <v>127</v>
      </c>
      <c r="M584">
        <v>1</v>
      </c>
      <c r="N584">
        <v>2</v>
      </c>
      <c r="P584" t="s">
        <v>315</v>
      </c>
      <c r="R584" t="str">
        <f t="shared" si="27"/>
        <v>TAB-AN</v>
      </c>
      <c r="S584">
        <f t="shared" si="28"/>
        <v>55</v>
      </c>
      <c r="T584">
        <f t="shared" si="29"/>
        <v>-21.64</v>
      </c>
      <c r="U584">
        <f>IF(SQRT(POWER(T584-F584,2))+SQRT(POWER(E584-S584,2))=0,0,SQRT(POWER(T584-F584,2))+SQRT(POWER(E584-S584,2))+DATOS!$H$20)</f>
        <v>39.53</v>
      </c>
    </row>
    <row r="585" spans="1:21">
      <c r="A585" t="s">
        <v>330</v>
      </c>
      <c r="B585" t="s">
        <v>172</v>
      </c>
      <c r="C585" t="s">
        <v>32</v>
      </c>
      <c r="E585">
        <v>22.44</v>
      </c>
      <c r="F585">
        <v>-19.38</v>
      </c>
      <c r="G585">
        <v>0</v>
      </c>
      <c r="H585">
        <v>180</v>
      </c>
      <c r="L585">
        <v>127</v>
      </c>
      <c r="M585">
        <v>1</v>
      </c>
      <c r="N585">
        <v>2</v>
      </c>
      <c r="P585" t="s">
        <v>315</v>
      </c>
      <c r="R585" t="str">
        <f t="shared" si="27"/>
        <v>TAB-AN</v>
      </c>
      <c r="S585">
        <f t="shared" si="28"/>
        <v>55</v>
      </c>
      <c r="T585">
        <f t="shared" si="29"/>
        <v>-21.64</v>
      </c>
      <c r="U585">
        <f>IF(SQRT(POWER(T585-F585,2))+SQRT(POWER(E585-S585,2))=0,0,SQRT(POWER(T585-F585,2))+SQRT(POWER(E585-S585,2))+DATOS!$H$20)</f>
        <v>39.820000000000007</v>
      </c>
    </row>
    <row r="586" spans="1:21">
      <c r="A586" t="s">
        <v>331</v>
      </c>
      <c r="B586" t="s">
        <v>179</v>
      </c>
      <c r="C586" t="s">
        <v>180</v>
      </c>
      <c r="E586">
        <v>35.74</v>
      </c>
      <c r="F586">
        <v>-10.31</v>
      </c>
      <c r="G586">
        <v>0</v>
      </c>
      <c r="I586">
        <v>180</v>
      </c>
      <c r="L586">
        <v>127</v>
      </c>
      <c r="M586">
        <v>1</v>
      </c>
      <c r="N586">
        <v>2</v>
      </c>
      <c r="P586" t="s">
        <v>315</v>
      </c>
      <c r="R586" t="str">
        <f t="shared" si="27"/>
        <v>TAB-AN</v>
      </c>
      <c r="S586">
        <f t="shared" si="28"/>
        <v>55</v>
      </c>
      <c r="T586">
        <f t="shared" si="29"/>
        <v>-21.64</v>
      </c>
      <c r="U586">
        <f>IF(SQRT(POWER(T586-F586,2))+SQRT(POWER(E586-S586,2))=0,0,SQRT(POWER(T586-F586,2))+SQRT(POWER(E586-S586,2))+DATOS!$H$20)</f>
        <v>35.589999999999996</v>
      </c>
    </row>
    <row r="587" spans="1:21">
      <c r="A587" t="s">
        <v>331</v>
      </c>
      <c r="B587" t="s">
        <v>179</v>
      </c>
      <c r="C587" t="s">
        <v>180</v>
      </c>
      <c r="E587">
        <v>32.15</v>
      </c>
      <c r="F587">
        <v>-16.54</v>
      </c>
      <c r="G587">
        <v>0</v>
      </c>
      <c r="I587">
        <v>180</v>
      </c>
      <c r="L587">
        <v>127</v>
      </c>
      <c r="M587">
        <v>1</v>
      </c>
      <c r="N587">
        <v>2</v>
      </c>
      <c r="P587" t="s">
        <v>315</v>
      </c>
      <c r="R587" t="str">
        <f t="shared" si="27"/>
        <v>TAB-AN</v>
      </c>
      <c r="S587">
        <f t="shared" si="28"/>
        <v>55</v>
      </c>
      <c r="T587">
        <f t="shared" si="29"/>
        <v>-21.64</v>
      </c>
      <c r="U587">
        <f>IF(SQRT(POWER(T587-F587,2))+SQRT(POWER(E587-S587,2))=0,0,SQRT(POWER(T587-F587,2))+SQRT(POWER(E587-S587,2))+DATOS!$H$20)</f>
        <v>32.950000000000003</v>
      </c>
    </row>
    <row r="588" spans="1:21">
      <c r="A588" t="s">
        <v>332</v>
      </c>
      <c r="B588" t="s">
        <v>120</v>
      </c>
      <c r="C588" t="s">
        <v>121</v>
      </c>
      <c r="E588">
        <v>35.07</v>
      </c>
      <c r="F588">
        <v>-21.25</v>
      </c>
      <c r="G588">
        <v>0</v>
      </c>
      <c r="H588">
        <v>180</v>
      </c>
      <c r="I588">
        <v>180</v>
      </c>
      <c r="L588">
        <v>127</v>
      </c>
      <c r="M588">
        <v>1</v>
      </c>
      <c r="N588">
        <v>2</v>
      </c>
      <c r="P588" t="s">
        <v>315</v>
      </c>
      <c r="R588" t="str">
        <f t="shared" si="27"/>
        <v>TAB-AN</v>
      </c>
      <c r="S588">
        <f t="shared" si="28"/>
        <v>55</v>
      </c>
      <c r="T588">
        <f t="shared" si="29"/>
        <v>-21.64</v>
      </c>
      <c r="U588">
        <f>IF(SQRT(POWER(T588-F588,2))+SQRT(POWER(E588-S588,2))=0,0,SQRT(POWER(T588-F588,2))+SQRT(POWER(E588-S588,2))+DATOS!$H$20)</f>
        <v>25.32</v>
      </c>
    </row>
    <row r="589" spans="1:21">
      <c r="A589" t="s">
        <v>332</v>
      </c>
      <c r="B589" t="s">
        <v>120</v>
      </c>
      <c r="C589" t="s">
        <v>121</v>
      </c>
      <c r="E589">
        <v>27.78</v>
      </c>
      <c r="F589">
        <v>-19.600000000000001</v>
      </c>
      <c r="G589">
        <v>0</v>
      </c>
      <c r="H589">
        <v>180</v>
      </c>
      <c r="I589">
        <v>180</v>
      </c>
      <c r="L589">
        <v>127</v>
      </c>
      <c r="M589">
        <v>1</v>
      </c>
      <c r="N589">
        <v>2</v>
      </c>
      <c r="P589" t="s">
        <v>315</v>
      </c>
      <c r="R589" t="str">
        <f t="shared" si="27"/>
        <v>TAB-AN</v>
      </c>
      <c r="S589">
        <f t="shared" si="28"/>
        <v>55</v>
      </c>
      <c r="T589">
        <f t="shared" si="29"/>
        <v>-21.64</v>
      </c>
      <c r="U589">
        <f>IF(SQRT(POWER(T589-F589,2))+SQRT(POWER(E589-S589,2))=0,0,SQRT(POWER(T589-F589,2))+SQRT(POWER(E589-S589,2))+DATOS!$H$20)</f>
        <v>34.26</v>
      </c>
    </row>
    <row r="590" spans="1:21">
      <c r="A590" t="s">
        <v>332</v>
      </c>
      <c r="B590" t="s">
        <v>120</v>
      </c>
      <c r="C590" t="s">
        <v>121</v>
      </c>
      <c r="E590">
        <v>27.78</v>
      </c>
      <c r="F590">
        <v>-17.760000000000002</v>
      </c>
      <c r="G590">
        <v>0</v>
      </c>
      <c r="H590">
        <v>180</v>
      </c>
      <c r="I590">
        <v>180</v>
      </c>
      <c r="L590">
        <v>127</v>
      </c>
      <c r="M590">
        <v>1</v>
      </c>
      <c r="N590">
        <v>2</v>
      </c>
      <c r="P590" t="s">
        <v>315</v>
      </c>
      <c r="R590" t="str">
        <f t="shared" si="27"/>
        <v>TAB-AN</v>
      </c>
      <c r="S590">
        <f t="shared" si="28"/>
        <v>55</v>
      </c>
      <c r="T590">
        <f t="shared" si="29"/>
        <v>-21.64</v>
      </c>
      <c r="U590">
        <f>IF(SQRT(POWER(T590-F590,2))+SQRT(POWER(E590-S590,2))=0,0,SQRT(POWER(T590-F590,2))+SQRT(POWER(E590-S590,2))+DATOS!$H$20)</f>
        <v>36.099999999999994</v>
      </c>
    </row>
    <row r="591" spans="1:21">
      <c r="A591" t="s">
        <v>331</v>
      </c>
      <c r="B591" t="s">
        <v>120</v>
      </c>
      <c r="C591" t="s">
        <v>121</v>
      </c>
      <c r="E591">
        <v>27.78</v>
      </c>
      <c r="F591">
        <v>-15.91</v>
      </c>
      <c r="G591">
        <v>0</v>
      </c>
      <c r="H591">
        <v>180</v>
      </c>
      <c r="I591">
        <v>180</v>
      </c>
      <c r="L591">
        <v>127</v>
      </c>
      <c r="M591">
        <v>1</v>
      </c>
      <c r="N591">
        <v>2</v>
      </c>
      <c r="P591" t="s">
        <v>315</v>
      </c>
      <c r="R591" t="str">
        <f t="shared" si="27"/>
        <v>TAB-AN</v>
      </c>
      <c r="S591">
        <f t="shared" si="28"/>
        <v>55</v>
      </c>
      <c r="T591">
        <f t="shared" si="29"/>
        <v>-21.64</v>
      </c>
      <c r="U591">
        <f>IF(SQRT(POWER(T591-F591,2))+SQRT(POWER(E591-S591,2))=0,0,SQRT(POWER(T591-F591,2))+SQRT(POWER(E591-S591,2))+DATOS!$H$20)</f>
        <v>37.950000000000003</v>
      </c>
    </row>
    <row r="592" spans="1:21">
      <c r="A592" t="s">
        <v>331</v>
      </c>
      <c r="B592" t="s">
        <v>120</v>
      </c>
      <c r="C592" t="s">
        <v>121</v>
      </c>
      <c r="E592">
        <v>32.18</v>
      </c>
      <c r="F592">
        <v>-7.75</v>
      </c>
      <c r="G592">
        <v>0</v>
      </c>
      <c r="H592">
        <v>180</v>
      </c>
      <c r="I592">
        <v>180</v>
      </c>
      <c r="L592">
        <v>127</v>
      </c>
      <c r="M592">
        <v>1</v>
      </c>
      <c r="N592">
        <v>2</v>
      </c>
      <c r="P592" t="s">
        <v>315</v>
      </c>
      <c r="R592" t="str">
        <f t="shared" si="27"/>
        <v>TAB-AN</v>
      </c>
      <c r="S592">
        <f t="shared" si="28"/>
        <v>55</v>
      </c>
      <c r="T592">
        <f t="shared" si="29"/>
        <v>-21.64</v>
      </c>
      <c r="U592">
        <f>IF(SQRT(POWER(T592-F592,2))+SQRT(POWER(E592-S592,2))=0,0,SQRT(POWER(T592-F592,2))+SQRT(POWER(E592-S592,2))+DATOS!$H$20)</f>
        <v>41.71</v>
      </c>
    </row>
    <row r="593" spans="1:21">
      <c r="A593" t="s">
        <v>331</v>
      </c>
      <c r="B593" t="s">
        <v>120</v>
      </c>
      <c r="C593" t="s">
        <v>121</v>
      </c>
      <c r="E593">
        <v>32.18</v>
      </c>
      <c r="F593">
        <v>-9.75</v>
      </c>
      <c r="G593">
        <v>0</v>
      </c>
      <c r="H593">
        <v>180</v>
      </c>
      <c r="I593">
        <v>180</v>
      </c>
      <c r="L593">
        <v>127</v>
      </c>
      <c r="M593">
        <v>1</v>
      </c>
      <c r="N593">
        <v>2</v>
      </c>
      <c r="P593" t="s">
        <v>315</v>
      </c>
      <c r="R593" t="str">
        <f t="shared" ref="R593:R656" si="30">"TAB-"&amp;LEFT(A593,FIND("-",A593) -1)</f>
        <v>TAB-AN</v>
      </c>
      <c r="S593">
        <f t="shared" si="28"/>
        <v>55</v>
      </c>
      <c r="T593">
        <f t="shared" si="29"/>
        <v>-21.64</v>
      </c>
      <c r="U593">
        <f>IF(SQRT(POWER(T593-F593,2))+SQRT(POWER(E593-S593,2))=0,0,SQRT(POWER(T593-F593,2))+SQRT(POWER(E593-S593,2))+DATOS!$H$20)</f>
        <v>39.71</v>
      </c>
    </row>
    <row r="594" spans="1:21">
      <c r="A594" t="s">
        <v>331</v>
      </c>
      <c r="B594" t="s">
        <v>120</v>
      </c>
      <c r="C594" t="s">
        <v>121</v>
      </c>
      <c r="E594">
        <v>29.69</v>
      </c>
      <c r="F594">
        <v>-7.08</v>
      </c>
      <c r="G594">
        <v>0</v>
      </c>
      <c r="H594">
        <v>180</v>
      </c>
      <c r="I594">
        <v>180</v>
      </c>
      <c r="L594">
        <v>127</v>
      </c>
      <c r="M594">
        <v>1</v>
      </c>
      <c r="N594">
        <v>2</v>
      </c>
      <c r="P594" t="s">
        <v>315</v>
      </c>
      <c r="R594" t="str">
        <f t="shared" si="30"/>
        <v>TAB-AN</v>
      </c>
      <c r="S594">
        <f t="shared" si="28"/>
        <v>55</v>
      </c>
      <c r="T594">
        <f t="shared" si="29"/>
        <v>-21.64</v>
      </c>
      <c r="U594">
        <f>IF(SQRT(POWER(T594-F594,2))+SQRT(POWER(E594-S594,2))=0,0,SQRT(POWER(T594-F594,2))+SQRT(POWER(E594-S594,2))+DATOS!$H$20)</f>
        <v>44.87</v>
      </c>
    </row>
    <row r="595" spans="1:21">
      <c r="A595" t="s">
        <v>331</v>
      </c>
      <c r="B595" t="s">
        <v>120</v>
      </c>
      <c r="C595" t="s">
        <v>121</v>
      </c>
      <c r="E595">
        <v>27.78</v>
      </c>
      <c r="F595">
        <v>-9.77</v>
      </c>
      <c r="G595">
        <v>0</v>
      </c>
      <c r="H595">
        <v>180</v>
      </c>
      <c r="I595">
        <v>180</v>
      </c>
      <c r="L595">
        <v>127</v>
      </c>
      <c r="M595">
        <v>1</v>
      </c>
      <c r="N595">
        <v>2</v>
      </c>
      <c r="P595" t="s">
        <v>315</v>
      </c>
      <c r="R595" t="str">
        <f t="shared" si="30"/>
        <v>TAB-AN</v>
      </c>
      <c r="S595">
        <f t="shared" si="28"/>
        <v>55</v>
      </c>
      <c r="T595">
        <f t="shared" si="29"/>
        <v>-21.64</v>
      </c>
      <c r="U595">
        <f>IF(SQRT(POWER(T595-F595,2))+SQRT(POWER(E595-S595,2))=0,0,SQRT(POWER(T595-F595,2))+SQRT(POWER(E595-S595,2))+DATOS!$H$20)</f>
        <v>44.09</v>
      </c>
    </row>
    <row r="596" spans="1:21">
      <c r="A596" t="s">
        <v>331</v>
      </c>
      <c r="B596" t="s">
        <v>120</v>
      </c>
      <c r="C596" t="s">
        <v>121</v>
      </c>
      <c r="E596">
        <v>27.78</v>
      </c>
      <c r="F596">
        <v>-8.0500000000000007</v>
      </c>
      <c r="G596">
        <v>0</v>
      </c>
      <c r="H596">
        <v>180</v>
      </c>
      <c r="I596">
        <v>180</v>
      </c>
      <c r="L596">
        <v>127</v>
      </c>
      <c r="M596">
        <v>1</v>
      </c>
      <c r="N596">
        <v>2</v>
      </c>
      <c r="P596" t="s">
        <v>315</v>
      </c>
      <c r="R596" t="str">
        <f t="shared" si="30"/>
        <v>TAB-AN</v>
      </c>
      <c r="S596">
        <f t="shared" si="28"/>
        <v>55</v>
      </c>
      <c r="T596">
        <f t="shared" si="29"/>
        <v>-21.64</v>
      </c>
      <c r="U596">
        <f>IF(SQRT(POWER(T596-F596,2))+SQRT(POWER(E596-S596,2))=0,0,SQRT(POWER(T596-F596,2))+SQRT(POWER(E596-S596,2))+DATOS!$H$20)</f>
        <v>45.81</v>
      </c>
    </row>
    <row r="597" spans="1:21">
      <c r="A597" t="s">
        <v>333</v>
      </c>
      <c r="B597" t="s">
        <v>179</v>
      </c>
      <c r="C597" t="s">
        <v>180</v>
      </c>
      <c r="E597">
        <v>28.17</v>
      </c>
      <c r="F597">
        <v>-20.41</v>
      </c>
      <c r="G597">
        <v>0</v>
      </c>
      <c r="H597">
        <v>500</v>
      </c>
      <c r="I597">
        <v>500</v>
      </c>
      <c r="L597">
        <v>127</v>
      </c>
      <c r="M597">
        <v>1</v>
      </c>
      <c r="N597">
        <v>2</v>
      </c>
      <c r="P597" t="s">
        <v>315</v>
      </c>
      <c r="R597" t="str">
        <f t="shared" si="30"/>
        <v>TAB-AN</v>
      </c>
      <c r="S597">
        <f t="shared" si="28"/>
        <v>55</v>
      </c>
      <c r="T597">
        <f t="shared" si="29"/>
        <v>-21.64</v>
      </c>
      <c r="U597">
        <f>IF(SQRT(POWER(T597-F597,2))+SQRT(POWER(E597-S597,2))=0,0,SQRT(POWER(T597-F597,2))+SQRT(POWER(E597-S597,2))+DATOS!$H$20)</f>
        <v>33.06</v>
      </c>
    </row>
    <row r="598" spans="1:21">
      <c r="A598" t="s">
        <v>334</v>
      </c>
      <c r="B598" t="s">
        <v>172</v>
      </c>
      <c r="C598" t="s">
        <v>32</v>
      </c>
      <c r="E598">
        <v>31.9</v>
      </c>
      <c r="F598">
        <v>-1.65</v>
      </c>
      <c r="G598">
        <v>0</v>
      </c>
      <c r="H598">
        <v>180</v>
      </c>
      <c r="L598">
        <v>127</v>
      </c>
      <c r="M598">
        <v>1</v>
      </c>
      <c r="N598">
        <v>2</v>
      </c>
      <c r="P598" t="s">
        <v>315</v>
      </c>
      <c r="R598" t="str">
        <f t="shared" si="30"/>
        <v>TAB-AN</v>
      </c>
      <c r="S598">
        <f t="shared" si="28"/>
        <v>55</v>
      </c>
      <c r="T598">
        <f t="shared" si="29"/>
        <v>-21.64</v>
      </c>
      <c r="U598">
        <f>IF(SQRT(POWER(T598-F598,2))+SQRT(POWER(E598-S598,2))=0,0,SQRT(POWER(T598-F598,2))+SQRT(POWER(E598-S598,2))+DATOS!$H$20)</f>
        <v>48.09</v>
      </c>
    </row>
    <row r="599" spans="1:21">
      <c r="A599" t="s">
        <v>334</v>
      </c>
      <c r="B599" t="s">
        <v>172</v>
      </c>
      <c r="C599" t="s">
        <v>32</v>
      </c>
      <c r="E599">
        <v>32.19</v>
      </c>
      <c r="F599">
        <v>-1.65</v>
      </c>
      <c r="G599">
        <v>0</v>
      </c>
      <c r="H599">
        <v>180</v>
      </c>
      <c r="L599">
        <v>127</v>
      </c>
      <c r="M599">
        <v>1</v>
      </c>
      <c r="N599">
        <v>2</v>
      </c>
      <c r="P599" t="s">
        <v>315</v>
      </c>
      <c r="R599" t="str">
        <f t="shared" si="30"/>
        <v>TAB-AN</v>
      </c>
      <c r="S599">
        <f t="shared" si="28"/>
        <v>55</v>
      </c>
      <c r="T599">
        <f t="shared" si="29"/>
        <v>-21.64</v>
      </c>
      <c r="U599">
        <f>IF(SQRT(POWER(T599-F599,2))+SQRT(POWER(E599-S599,2))=0,0,SQRT(POWER(T599-F599,2))+SQRT(POWER(E599-S599,2))+DATOS!$H$20)</f>
        <v>47.800000000000004</v>
      </c>
    </row>
    <row r="600" spans="1:21">
      <c r="A600" t="s">
        <v>334</v>
      </c>
      <c r="B600" t="s">
        <v>172</v>
      </c>
      <c r="C600" t="s">
        <v>32</v>
      </c>
      <c r="E600">
        <v>29.05</v>
      </c>
      <c r="F600">
        <v>-1.65</v>
      </c>
      <c r="G600">
        <v>0</v>
      </c>
      <c r="H600">
        <v>180</v>
      </c>
      <c r="L600">
        <v>127</v>
      </c>
      <c r="M600">
        <v>1</v>
      </c>
      <c r="N600">
        <v>2</v>
      </c>
      <c r="P600" t="s">
        <v>315</v>
      </c>
      <c r="R600" t="str">
        <f t="shared" si="30"/>
        <v>TAB-AN</v>
      </c>
      <c r="S600">
        <f t="shared" si="28"/>
        <v>55</v>
      </c>
      <c r="T600">
        <f t="shared" si="29"/>
        <v>-21.64</v>
      </c>
      <c r="U600">
        <f>IF(SQRT(POWER(T600-F600,2))+SQRT(POWER(E600-S600,2))=0,0,SQRT(POWER(T600-F600,2))+SQRT(POWER(E600-S600,2))+DATOS!$H$20)</f>
        <v>50.94</v>
      </c>
    </row>
    <row r="601" spans="1:21">
      <c r="A601" t="s">
        <v>334</v>
      </c>
      <c r="B601" t="s">
        <v>172</v>
      </c>
      <c r="C601" t="s">
        <v>32</v>
      </c>
      <c r="E601">
        <v>29.35</v>
      </c>
      <c r="F601">
        <v>-1.65</v>
      </c>
      <c r="G601">
        <v>0</v>
      </c>
      <c r="H601">
        <v>180</v>
      </c>
      <c r="L601">
        <v>127</v>
      </c>
      <c r="M601">
        <v>1</v>
      </c>
      <c r="N601">
        <v>2</v>
      </c>
      <c r="P601" t="s">
        <v>315</v>
      </c>
      <c r="R601" t="str">
        <f t="shared" si="30"/>
        <v>TAB-AN</v>
      </c>
      <c r="S601">
        <f t="shared" si="28"/>
        <v>55</v>
      </c>
      <c r="T601">
        <f t="shared" si="29"/>
        <v>-21.64</v>
      </c>
      <c r="U601">
        <f>IF(SQRT(POWER(T601-F601,2))+SQRT(POWER(E601-S601,2))=0,0,SQRT(POWER(T601-F601,2))+SQRT(POWER(E601-S601,2))+DATOS!$H$20)</f>
        <v>50.64</v>
      </c>
    </row>
    <row r="602" spans="1:21">
      <c r="A602" t="s">
        <v>333</v>
      </c>
      <c r="B602" t="s">
        <v>179</v>
      </c>
      <c r="C602" t="s">
        <v>180</v>
      </c>
      <c r="E602">
        <v>28.17</v>
      </c>
      <c r="F602">
        <v>-7.22</v>
      </c>
      <c r="G602">
        <v>0</v>
      </c>
      <c r="H602">
        <v>500</v>
      </c>
      <c r="I602">
        <v>500</v>
      </c>
      <c r="L602">
        <v>127</v>
      </c>
      <c r="M602">
        <v>1</v>
      </c>
      <c r="N602">
        <v>2</v>
      </c>
      <c r="P602" t="s">
        <v>315</v>
      </c>
      <c r="R602" t="str">
        <f t="shared" si="30"/>
        <v>TAB-AN</v>
      </c>
      <c r="S602">
        <f t="shared" si="28"/>
        <v>55</v>
      </c>
      <c r="T602">
        <f t="shared" si="29"/>
        <v>-21.64</v>
      </c>
      <c r="U602">
        <f>IF(SQRT(POWER(T602-F602,2))+SQRT(POWER(E602-S602,2))=0,0,SQRT(POWER(T602-F602,2))+SQRT(POWER(E602-S602,2))+DATOS!$H$20)</f>
        <v>46.25</v>
      </c>
    </row>
    <row r="603" spans="1:21">
      <c r="A603" t="s">
        <v>335</v>
      </c>
      <c r="B603" t="s">
        <v>179</v>
      </c>
      <c r="C603" t="s">
        <v>180</v>
      </c>
      <c r="E603">
        <v>32.130000000000003</v>
      </c>
      <c r="F603">
        <v>0.3</v>
      </c>
      <c r="G603">
        <v>0</v>
      </c>
      <c r="H603">
        <v>500</v>
      </c>
      <c r="I603">
        <v>500</v>
      </c>
      <c r="L603">
        <v>127</v>
      </c>
      <c r="M603">
        <v>1</v>
      </c>
      <c r="N603">
        <v>2</v>
      </c>
      <c r="P603" t="s">
        <v>336</v>
      </c>
      <c r="R603" t="str">
        <f t="shared" si="30"/>
        <v>TAB-AN</v>
      </c>
      <c r="S603">
        <f t="shared" si="28"/>
        <v>55</v>
      </c>
      <c r="T603">
        <f t="shared" si="29"/>
        <v>-21.64</v>
      </c>
      <c r="U603">
        <f>IF(SQRT(POWER(T603-F603,2))+SQRT(POWER(E603-S603,2))=0,0,SQRT(POWER(T603-F603,2))+SQRT(POWER(E603-S603,2))+DATOS!$H$20)</f>
        <v>49.81</v>
      </c>
    </row>
    <row r="604" spans="1:21">
      <c r="A604" t="s">
        <v>332</v>
      </c>
      <c r="B604" t="s">
        <v>172</v>
      </c>
      <c r="C604" t="s">
        <v>32</v>
      </c>
      <c r="E604">
        <v>33.42</v>
      </c>
      <c r="F604">
        <v>-25.98</v>
      </c>
      <c r="G604">
        <v>0</v>
      </c>
      <c r="H604">
        <v>180</v>
      </c>
      <c r="L604">
        <v>127</v>
      </c>
      <c r="M604">
        <v>1</v>
      </c>
      <c r="N604">
        <v>2</v>
      </c>
      <c r="P604" t="s">
        <v>315</v>
      </c>
      <c r="R604" t="str">
        <f t="shared" si="30"/>
        <v>TAB-AN</v>
      </c>
      <c r="S604">
        <f t="shared" si="28"/>
        <v>55</v>
      </c>
      <c r="T604">
        <f t="shared" si="29"/>
        <v>-21.64</v>
      </c>
      <c r="U604">
        <f>IF(SQRT(POWER(T604-F604,2))+SQRT(POWER(E604-S604,2))=0,0,SQRT(POWER(T604-F604,2))+SQRT(POWER(E604-S604,2))+DATOS!$H$20)</f>
        <v>30.919999999999998</v>
      </c>
    </row>
    <row r="605" spans="1:21">
      <c r="A605" t="s">
        <v>332</v>
      </c>
      <c r="B605" t="s">
        <v>172</v>
      </c>
      <c r="C605" t="s">
        <v>32</v>
      </c>
      <c r="E605">
        <v>33.130000000000003</v>
      </c>
      <c r="F605">
        <v>-25.98</v>
      </c>
      <c r="G605">
        <v>0</v>
      </c>
      <c r="H605">
        <v>180</v>
      </c>
      <c r="L605">
        <v>127</v>
      </c>
      <c r="M605">
        <v>1</v>
      </c>
      <c r="N605">
        <v>2</v>
      </c>
      <c r="P605" t="s">
        <v>315</v>
      </c>
      <c r="R605" t="str">
        <f t="shared" si="30"/>
        <v>TAB-AN</v>
      </c>
      <c r="S605">
        <f t="shared" si="28"/>
        <v>55</v>
      </c>
      <c r="T605">
        <f t="shared" si="29"/>
        <v>-21.64</v>
      </c>
      <c r="U605">
        <f>IF(SQRT(POWER(T605-F605,2))+SQRT(POWER(E605-S605,2))=0,0,SQRT(POWER(T605-F605,2))+SQRT(POWER(E605-S605,2))+DATOS!$H$20)</f>
        <v>31.209999999999997</v>
      </c>
    </row>
    <row r="606" spans="1:21">
      <c r="A606" t="s">
        <v>332</v>
      </c>
      <c r="B606" t="s">
        <v>172</v>
      </c>
      <c r="C606" t="s">
        <v>32</v>
      </c>
      <c r="E606">
        <v>30.93</v>
      </c>
      <c r="F606">
        <v>-25.98</v>
      </c>
      <c r="G606">
        <v>0</v>
      </c>
      <c r="H606">
        <v>180</v>
      </c>
      <c r="L606">
        <v>127</v>
      </c>
      <c r="M606">
        <v>1</v>
      </c>
      <c r="N606">
        <v>2</v>
      </c>
      <c r="P606" t="s">
        <v>315</v>
      </c>
      <c r="R606" t="str">
        <f t="shared" si="30"/>
        <v>TAB-AN</v>
      </c>
      <c r="S606">
        <f t="shared" si="28"/>
        <v>55</v>
      </c>
      <c r="T606">
        <f t="shared" si="29"/>
        <v>-21.64</v>
      </c>
      <c r="U606">
        <f>IF(SQRT(POWER(T606-F606,2))+SQRT(POWER(E606-S606,2))=0,0,SQRT(POWER(T606-F606,2))+SQRT(POWER(E606-S606,2))+DATOS!$H$20)</f>
        <v>33.409999999999997</v>
      </c>
    </row>
    <row r="607" spans="1:21">
      <c r="A607" t="s">
        <v>332</v>
      </c>
      <c r="B607" t="s">
        <v>172</v>
      </c>
      <c r="C607" t="s">
        <v>32</v>
      </c>
      <c r="E607">
        <v>30.64</v>
      </c>
      <c r="F607">
        <v>-25.98</v>
      </c>
      <c r="G607">
        <v>0</v>
      </c>
      <c r="H607">
        <v>180</v>
      </c>
      <c r="L607">
        <v>127</v>
      </c>
      <c r="M607">
        <v>1</v>
      </c>
      <c r="N607">
        <v>2</v>
      </c>
      <c r="P607" t="s">
        <v>315</v>
      </c>
      <c r="R607" t="str">
        <f t="shared" si="30"/>
        <v>TAB-AN</v>
      </c>
      <c r="S607">
        <f t="shared" si="28"/>
        <v>55</v>
      </c>
      <c r="T607">
        <f t="shared" si="29"/>
        <v>-21.64</v>
      </c>
      <c r="U607">
        <f>IF(SQRT(POWER(T607-F607,2))+SQRT(POWER(E607-S607,2))=0,0,SQRT(POWER(T607-F607,2))+SQRT(POWER(E607-S607,2))+DATOS!$H$20)</f>
        <v>33.700000000000003</v>
      </c>
    </row>
    <row r="608" spans="1:21">
      <c r="A608" t="s">
        <v>330</v>
      </c>
      <c r="B608" t="s">
        <v>172</v>
      </c>
      <c r="C608" t="s">
        <v>32</v>
      </c>
      <c r="E608">
        <v>27.88</v>
      </c>
      <c r="F608">
        <v>-25.98</v>
      </c>
      <c r="G608">
        <v>0</v>
      </c>
      <c r="H608">
        <v>180</v>
      </c>
      <c r="L608">
        <v>127</v>
      </c>
      <c r="M608">
        <v>1</v>
      </c>
      <c r="N608">
        <v>2</v>
      </c>
      <c r="P608" t="s">
        <v>315</v>
      </c>
      <c r="R608" t="str">
        <f t="shared" si="30"/>
        <v>TAB-AN</v>
      </c>
      <c r="S608">
        <f t="shared" si="28"/>
        <v>55</v>
      </c>
      <c r="T608">
        <f t="shared" si="29"/>
        <v>-21.64</v>
      </c>
      <c r="U608">
        <f>IF(SQRT(POWER(T608-F608,2))+SQRT(POWER(E608-S608,2))=0,0,SQRT(POWER(T608-F608,2))+SQRT(POWER(E608-S608,2))+DATOS!$H$20)</f>
        <v>36.46</v>
      </c>
    </row>
    <row r="609" spans="1:21">
      <c r="A609" t="s">
        <v>330</v>
      </c>
      <c r="B609" t="s">
        <v>172</v>
      </c>
      <c r="C609" t="s">
        <v>32</v>
      </c>
      <c r="E609">
        <v>27.59</v>
      </c>
      <c r="F609">
        <v>-25.98</v>
      </c>
      <c r="G609">
        <v>0</v>
      </c>
      <c r="H609">
        <v>180</v>
      </c>
      <c r="L609">
        <v>127</v>
      </c>
      <c r="M609">
        <v>1</v>
      </c>
      <c r="N609">
        <v>2</v>
      </c>
      <c r="P609" t="s">
        <v>315</v>
      </c>
      <c r="R609" t="str">
        <f t="shared" si="30"/>
        <v>TAB-AN</v>
      </c>
      <c r="S609">
        <f t="shared" si="28"/>
        <v>55</v>
      </c>
      <c r="T609">
        <f t="shared" si="29"/>
        <v>-21.64</v>
      </c>
      <c r="U609">
        <f>IF(SQRT(POWER(T609-F609,2))+SQRT(POWER(E609-S609,2))=0,0,SQRT(POWER(T609-F609,2))+SQRT(POWER(E609-S609,2))+DATOS!$H$20)</f>
        <v>36.75</v>
      </c>
    </row>
    <row r="610" spans="1:21">
      <c r="A610" t="s">
        <v>330</v>
      </c>
      <c r="B610" t="s">
        <v>172</v>
      </c>
      <c r="C610" t="s">
        <v>32</v>
      </c>
      <c r="E610">
        <v>22.44</v>
      </c>
      <c r="F610">
        <v>-22.12</v>
      </c>
      <c r="G610">
        <v>0</v>
      </c>
      <c r="H610">
        <v>180</v>
      </c>
      <c r="L610">
        <v>127</v>
      </c>
      <c r="M610">
        <v>1</v>
      </c>
      <c r="N610">
        <v>2</v>
      </c>
      <c r="P610" t="s">
        <v>315</v>
      </c>
      <c r="R610" t="str">
        <f t="shared" si="30"/>
        <v>TAB-AN</v>
      </c>
      <c r="S610">
        <f t="shared" si="28"/>
        <v>55</v>
      </c>
      <c r="T610">
        <f t="shared" si="29"/>
        <v>-21.64</v>
      </c>
      <c r="U610">
        <f>IF(SQRT(POWER(T610-F610,2))+SQRT(POWER(E610-S610,2))=0,0,SQRT(POWER(T610-F610,2))+SQRT(POWER(E610-S610,2))+DATOS!$H$20)</f>
        <v>38.040000000000006</v>
      </c>
    </row>
    <row r="611" spans="1:21">
      <c r="A611" t="s">
        <v>330</v>
      </c>
      <c r="B611" t="s">
        <v>172</v>
      </c>
      <c r="C611" t="s">
        <v>32</v>
      </c>
      <c r="E611">
        <v>22.44</v>
      </c>
      <c r="F611">
        <v>-21.83</v>
      </c>
      <c r="G611">
        <v>0</v>
      </c>
      <c r="H611">
        <v>180</v>
      </c>
      <c r="L611">
        <v>127</v>
      </c>
      <c r="M611">
        <v>1</v>
      </c>
      <c r="N611">
        <v>2</v>
      </c>
      <c r="P611" t="s">
        <v>315</v>
      </c>
      <c r="R611" t="str">
        <f t="shared" si="30"/>
        <v>TAB-AN</v>
      </c>
      <c r="S611">
        <f t="shared" si="28"/>
        <v>55</v>
      </c>
      <c r="T611">
        <f t="shared" si="29"/>
        <v>-21.64</v>
      </c>
      <c r="U611">
        <f>IF(SQRT(POWER(T611-F611,2))+SQRT(POWER(E611-S611,2))=0,0,SQRT(POWER(T611-F611,2))+SQRT(POWER(E611-S611,2))+DATOS!$H$20)</f>
        <v>37.75</v>
      </c>
    </row>
    <row r="612" spans="1:21">
      <c r="A612" t="s">
        <v>337</v>
      </c>
      <c r="B612" t="s">
        <v>172</v>
      </c>
      <c r="C612" t="s">
        <v>32</v>
      </c>
      <c r="E612">
        <v>22.44</v>
      </c>
      <c r="F612">
        <v>-14.47</v>
      </c>
      <c r="G612">
        <v>0</v>
      </c>
      <c r="H612">
        <v>180</v>
      </c>
      <c r="L612">
        <v>127</v>
      </c>
      <c r="M612">
        <v>1</v>
      </c>
      <c r="N612">
        <v>2</v>
      </c>
      <c r="P612" t="s">
        <v>315</v>
      </c>
      <c r="R612" t="str">
        <f t="shared" si="30"/>
        <v>TAB-AN</v>
      </c>
      <c r="S612">
        <f t="shared" si="28"/>
        <v>55</v>
      </c>
      <c r="T612">
        <f t="shared" si="29"/>
        <v>-21.64</v>
      </c>
      <c r="U612">
        <f>IF(SQRT(POWER(T612-F612,2))+SQRT(POWER(E612-S612,2))=0,0,SQRT(POWER(T612-F612,2))+SQRT(POWER(E612-S612,2))+DATOS!$H$20)</f>
        <v>44.730000000000004</v>
      </c>
    </row>
    <row r="613" spans="1:21">
      <c r="A613" t="s">
        <v>337</v>
      </c>
      <c r="B613" t="s">
        <v>172</v>
      </c>
      <c r="C613" t="s">
        <v>32</v>
      </c>
      <c r="E613">
        <v>22.44</v>
      </c>
      <c r="F613">
        <v>-14.18</v>
      </c>
      <c r="G613">
        <v>0</v>
      </c>
      <c r="H613">
        <v>180</v>
      </c>
      <c r="L613">
        <v>127</v>
      </c>
      <c r="M613">
        <v>1</v>
      </c>
      <c r="N613">
        <v>2</v>
      </c>
      <c r="P613" t="s">
        <v>315</v>
      </c>
      <c r="R613" t="str">
        <f t="shared" si="30"/>
        <v>TAB-AN</v>
      </c>
      <c r="S613">
        <f t="shared" si="28"/>
        <v>55</v>
      </c>
      <c r="T613">
        <f t="shared" si="29"/>
        <v>-21.64</v>
      </c>
      <c r="U613">
        <f>IF(SQRT(POWER(T613-F613,2))+SQRT(POWER(E613-S613,2))=0,0,SQRT(POWER(T613-F613,2))+SQRT(POWER(E613-S613,2))+DATOS!$H$20)</f>
        <v>45.02</v>
      </c>
    </row>
    <row r="614" spans="1:21">
      <c r="A614" t="s">
        <v>337</v>
      </c>
      <c r="B614" t="s">
        <v>172</v>
      </c>
      <c r="C614" t="s">
        <v>32</v>
      </c>
      <c r="E614">
        <v>22.44</v>
      </c>
      <c r="F614">
        <v>-12.2</v>
      </c>
      <c r="G614">
        <v>0</v>
      </c>
      <c r="H614">
        <v>180</v>
      </c>
      <c r="L614">
        <v>127</v>
      </c>
      <c r="M614">
        <v>1</v>
      </c>
      <c r="N614">
        <v>2</v>
      </c>
      <c r="P614" t="s">
        <v>315</v>
      </c>
      <c r="R614" t="str">
        <f t="shared" si="30"/>
        <v>TAB-AN</v>
      </c>
      <c r="S614">
        <f t="shared" si="28"/>
        <v>55</v>
      </c>
      <c r="T614">
        <f t="shared" si="29"/>
        <v>-21.64</v>
      </c>
      <c r="U614">
        <f>IF(SQRT(POWER(T614-F614,2))+SQRT(POWER(E614-S614,2))=0,0,SQRT(POWER(T614-F614,2))+SQRT(POWER(E614-S614,2))+DATOS!$H$20)</f>
        <v>47</v>
      </c>
    </row>
    <row r="615" spans="1:21">
      <c r="A615" t="s">
        <v>337</v>
      </c>
      <c r="B615" t="s">
        <v>172</v>
      </c>
      <c r="C615" t="s">
        <v>32</v>
      </c>
      <c r="E615">
        <v>22.44</v>
      </c>
      <c r="F615">
        <v>-11.91</v>
      </c>
      <c r="G615">
        <v>0</v>
      </c>
      <c r="H615">
        <v>180</v>
      </c>
      <c r="L615">
        <v>127</v>
      </c>
      <c r="M615">
        <v>1</v>
      </c>
      <c r="N615">
        <v>2</v>
      </c>
      <c r="P615" t="s">
        <v>315</v>
      </c>
      <c r="R615" t="str">
        <f t="shared" si="30"/>
        <v>TAB-AN</v>
      </c>
      <c r="S615">
        <f t="shared" si="28"/>
        <v>55</v>
      </c>
      <c r="T615">
        <f t="shared" si="29"/>
        <v>-21.64</v>
      </c>
      <c r="U615">
        <f>IF(SQRT(POWER(T615-F615,2))+SQRT(POWER(E615-S615,2))=0,0,SQRT(POWER(T615-F615,2))+SQRT(POWER(E615-S615,2))+DATOS!$H$20)</f>
        <v>47.290000000000006</v>
      </c>
    </row>
    <row r="616" spans="1:21">
      <c r="A616" t="s">
        <v>338</v>
      </c>
      <c r="B616" t="s">
        <v>120</v>
      </c>
      <c r="C616" t="s">
        <v>121</v>
      </c>
      <c r="E616">
        <v>30.17</v>
      </c>
      <c r="F616">
        <v>0.79</v>
      </c>
      <c r="G616">
        <v>0</v>
      </c>
      <c r="H616">
        <v>180</v>
      </c>
      <c r="I616">
        <v>180</v>
      </c>
      <c r="L616">
        <v>127</v>
      </c>
      <c r="M616">
        <v>1</v>
      </c>
      <c r="N616">
        <v>2</v>
      </c>
      <c r="P616" t="s">
        <v>336</v>
      </c>
      <c r="R616" t="str">
        <f t="shared" si="30"/>
        <v>TAB-AN</v>
      </c>
      <c r="S616">
        <f t="shared" si="28"/>
        <v>55</v>
      </c>
      <c r="T616">
        <f t="shared" si="29"/>
        <v>-21.64</v>
      </c>
      <c r="U616">
        <f>IF(SQRT(POWER(T616-F616,2))+SQRT(POWER(E616-S616,2))=0,0,SQRT(POWER(T616-F616,2))+SQRT(POWER(E616-S616,2))+DATOS!$H$20)</f>
        <v>52.26</v>
      </c>
    </row>
    <row r="617" spans="1:21">
      <c r="A617" t="s">
        <v>322</v>
      </c>
      <c r="B617" t="s">
        <v>120</v>
      </c>
      <c r="C617" t="s">
        <v>121</v>
      </c>
      <c r="E617">
        <v>24.26</v>
      </c>
      <c r="F617">
        <v>-1.28</v>
      </c>
      <c r="G617">
        <v>0</v>
      </c>
      <c r="I617">
        <v>180</v>
      </c>
      <c r="L617">
        <v>127</v>
      </c>
      <c r="M617">
        <v>1</v>
      </c>
      <c r="N617">
        <v>2</v>
      </c>
      <c r="P617" t="s">
        <v>323</v>
      </c>
      <c r="R617" t="str">
        <f t="shared" si="30"/>
        <v>TAB-AN</v>
      </c>
      <c r="S617">
        <f t="shared" si="28"/>
        <v>55</v>
      </c>
      <c r="T617">
        <f t="shared" si="29"/>
        <v>-21.64</v>
      </c>
      <c r="U617">
        <f>IF(SQRT(POWER(T617-F617,2))+SQRT(POWER(E617-S617,2))=0,0,SQRT(POWER(T617-F617,2))+SQRT(POWER(E617-S617,2))+DATOS!$H$20)</f>
        <v>56.099999999999994</v>
      </c>
    </row>
    <row r="618" spans="1:21">
      <c r="A618" t="s">
        <v>339</v>
      </c>
      <c r="B618" t="s">
        <v>120</v>
      </c>
      <c r="C618" t="s">
        <v>121</v>
      </c>
      <c r="E618">
        <v>59.57</v>
      </c>
      <c r="F618">
        <v>-15.41</v>
      </c>
      <c r="G618">
        <v>0</v>
      </c>
      <c r="H618">
        <v>180</v>
      </c>
      <c r="I618">
        <v>180</v>
      </c>
      <c r="L618">
        <v>127</v>
      </c>
      <c r="M618">
        <v>1</v>
      </c>
      <c r="N618">
        <v>2</v>
      </c>
      <c r="P618" t="s">
        <v>340</v>
      </c>
      <c r="R618" t="str">
        <f t="shared" si="30"/>
        <v>TAB-AN</v>
      </c>
      <c r="S618">
        <f t="shared" si="28"/>
        <v>55</v>
      </c>
      <c r="T618">
        <f t="shared" si="29"/>
        <v>-21.64</v>
      </c>
      <c r="U618">
        <f>IF(SQRT(POWER(T618-F618,2))+SQRT(POWER(E618-S618,2))=0,0,SQRT(POWER(T618-F618,2))+SQRT(POWER(E618-S618,2))+DATOS!$H$20)</f>
        <v>15.8</v>
      </c>
    </row>
    <row r="619" spans="1:21">
      <c r="A619" t="s">
        <v>341</v>
      </c>
      <c r="B619" t="s">
        <v>172</v>
      </c>
      <c r="C619" t="s">
        <v>32</v>
      </c>
      <c r="E619">
        <v>48.61</v>
      </c>
      <c r="F619">
        <v>-10.65</v>
      </c>
      <c r="G619">
        <v>0</v>
      </c>
      <c r="H619">
        <v>180</v>
      </c>
      <c r="L619">
        <v>127</v>
      </c>
      <c r="M619">
        <v>1</v>
      </c>
      <c r="N619">
        <v>2</v>
      </c>
      <c r="P619" t="s">
        <v>296</v>
      </c>
      <c r="R619" t="str">
        <f t="shared" si="30"/>
        <v>TAB-AN</v>
      </c>
      <c r="S619">
        <f t="shared" si="28"/>
        <v>55</v>
      </c>
      <c r="T619">
        <f t="shared" si="29"/>
        <v>-21.64</v>
      </c>
      <c r="U619">
        <f>IF(SQRT(POWER(T619-F619,2))+SQRT(POWER(E619-S619,2))=0,0,SQRT(POWER(T619-F619,2))+SQRT(POWER(E619-S619,2))+DATOS!$H$20)</f>
        <v>22.380000000000003</v>
      </c>
    </row>
    <row r="620" spans="1:21">
      <c r="A620" t="s">
        <v>341</v>
      </c>
      <c r="B620" t="s">
        <v>172</v>
      </c>
      <c r="C620" t="s">
        <v>32</v>
      </c>
      <c r="E620">
        <v>48.61</v>
      </c>
      <c r="F620">
        <v>-10.36</v>
      </c>
      <c r="G620">
        <v>0</v>
      </c>
      <c r="H620">
        <v>180</v>
      </c>
      <c r="L620">
        <v>127</v>
      </c>
      <c r="M620">
        <v>1</v>
      </c>
      <c r="N620">
        <v>2</v>
      </c>
      <c r="P620" t="s">
        <v>296</v>
      </c>
      <c r="R620" t="str">
        <f t="shared" si="30"/>
        <v>TAB-AN</v>
      </c>
      <c r="S620">
        <f t="shared" si="28"/>
        <v>55</v>
      </c>
      <c r="T620">
        <f t="shared" si="29"/>
        <v>-21.64</v>
      </c>
      <c r="U620">
        <f>IF(SQRT(POWER(T620-F620,2))+SQRT(POWER(E620-S620,2))=0,0,SQRT(POWER(T620-F620,2))+SQRT(POWER(E620-S620,2))+DATOS!$H$20)</f>
        <v>22.67</v>
      </c>
    </row>
    <row r="621" spans="1:21">
      <c r="A621" t="s">
        <v>339</v>
      </c>
      <c r="B621" t="s">
        <v>120</v>
      </c>
      <c r="C621" t="s">
        <v>121</v>
      </c>
      <c r="E621">
        <v>59.57</v>
      </c>
      <c r="F621">
        <v>-14.41</v>
      </c>
      <c r="G621">
        <v>0</v>
      </c>
      <c r="H621">
        <v>180</v>
      </c>
      <c r="I621">
        <v>180</v>
      </c>
      <c r="L621">
        <v>127</v>
      </c>
      <c r="M621">
        <v>1</v>
      </c>
      <c r="N621">
        <v>2</v>
      </c>
      <c r="P621" t="s">
        <v>340</v>
      </c>
      <c r="R621" t="str">
        <f t="shared" si="30"/>
        <v>TAB-AN</v>
      </c>
      <c r="S621">
        <f t="shared" si="28"/>
        <v>55</v>
      </c>
      <c r="T621">
        <f t="shared" si="29"/>
        <v>-21.64</v>
      </c>
      <c r="U621">
        <f>IF(SQRT(POWER(T621-F621,2))+SQRT(POWER(E621-S621,2))=0,0,SQRT(POWER(T621-F621,2))+SQRT(POWER(E621-S621,2))+DATOS!$H$20)</f>
        <v>16.8</v>
      </c>
    </row>
    <row r="622" spans="1:21">
      <c r="A622" t="s">
        <v>339</v>
      </c>
      <c r="B622" t="s">
        <v>120</v>
      </c>
      <c r="C622" t="s">
        <v>121</v>
      </c>
      <c r="E622">
        <v>59.28</v>
      </c>
      <c r="F622">
        <v>-12.95</v>
      </c>
      <c r="G622">
        <v>0</v>
      </c>
      <c r="H622">
        <v>180</v>
      </c>
      <c r="I622">
        <v>180</v>
      </c>
      <c r="L622">
        <v>127</v>
      </c>
      <c r="M622">
        <v>1</v>
      </c>
      <c r="N622">
        <v>2</v>
      </c>
      <c r="P622" t="s">
        <v>340</v>
      </c>
      <c r="R622" t="str">
        <f t="shared" si="30"/>
        <v>TAB-AN</v>
      </c>
      <c r="S622">
        <f t="shared" si="28"/>
        <v>55</v>
      </c>
      <c r="T622">
        <f t="shared" si="29"/>
        <v>-21.64</v>
      </c>
      <c r="U622">
        <f>IF(SQRT(POWER(T622-F622,2))+SQRT(POWER(E622-S622,2))=0,0,SQRT(POWER(T622-F622,2))+SQRT(POWER(E622-S622,2))+DATOS!$H$20)</f>
        <v>17.970000000000002</v>
      </c>
    </row>
    <row r="623" spans="1:21">
      <c r="A623" t="s">
        <v>339</v>
      </c>
      <c r="B623" t="s">
        <v>120</v>
      </c>
      <c r="C623" t="s">
        <v>121</v>
      </c>
      <c r="E623">
        <v>54.96</v>
      </c>
      <c r="F623">
        <v>-12.96</v>
      </c>
      <c r="G623">
        <v>0</v>
      </c>
      <c r="H623">
        <v>180</v>
      </c>
      <c r="I623">
        <v>180</v>
      </c>
      <c r="L623">
        <v>127</v>
      </c>
      <c r="M623">
        <v>1</v>
      </c>
      <c r="N623">
        <v>2</v>
      </c>
      <c r="P623" t="s">
        <v>340</v>
      </c>
      <c r="R623" t="str">
        <f t="shared" si="30"/>
        <v>TAB-AN</v>
      </c>
      <c r="S623">
        <f t="shared" si="28"/>
        <v>55</v>
      </c>
      <c r="T623">
        <f t="shared" si="29"/>
        <v>-21.64</v>
      </c>
      <c r="U623">
        <f>IF(SQRT(POWER(T623-F623,2))+SQRT(POWER(E623-S623,2))=0,0,SQRT(POWER(T623-F623,2))+SQRT(POWER(E623-S623,2))+DATOS!$H$20)</f>
        <v>13.719999999999999</v>
      </c>
    </row>
    <row r="624" spans="1:21">
      <c r="A624" t="s">
        <v>339</v>
      </c>
      <c r="B624" t="s">
        <v>120</v>
      </c>
      <c r="C624" t="s">
        <v>121</v>
      </c>
      <c r="E624">
        <v>56.95</v>
      </c>
      <c r="F624">
        <v>-8.31</v>
      </c>
      <c r="G624">
        <v>0</v>
      </c>
      <c r="H624">
        <v>180</v>
      </c>
      <c r="I624">
        <v>180</v>
      </c>
      <c r="L624">
        <v>127</v>
      </c>
      <c r="M624">
        <v>1</v>
      </c>
      <c r="N624">
        <v>2</v>
      </c>
      <c r="P624" t="s">
        <v>340</v>
      </c>
      <c r="R624" t="str">
        <f t="shared" si="30"/>
        <v>TAB-AN</v>
      </c>
      <c r="S624">
        <f t="shared" si="28"/>
        <v>55</v>
      </c>
      <c r="T624">
        <f t="shared" si="29"/>
        <v>-21.64</v>
      </c>
      <c r="U624">
        <f>IF(SQRT(POWER(T624-F624,2))+SQRT(POWER(E624-S624,2))=0,0,SQRT(POWER(T624-F624,2))+SQRT(POWER(E624-S624,2))+DATOS!$H$20)</f>
        <v>20.28</v>
      </c>
    </row>
    <row r="625" spans="1:21">
      <c r="A625" t="s">
        <v>339</v>
      </c>
      <c r="B625" t="s">
        <v>172</v>
      </c>
      <c r="C625" t="s">
        <v>32</v>
      </c>
      <c r="E625">
        <v>55.45</v>
      </c>
      <c r="F625">
        <v>-7.87</v>
      </c>
      <c r="G625">
        <v>0</v>
      </c>
      <c r="H625">
        <v>180</v>
      </c>
      <c r="L625">
        <v>127</v>
      </c>
      <c r="M625">
        <v>1</v>
      </c>
      <c r="N625">
        <v>2</v>
      </c>
      <c r="P625" t="s">
        <v>340</v>
      </c>
      <c r="R625" t="str">
        <f t="shared" si="30"/>
        <v>TAB-AN</v>
      </c>
      <c r="S625">
        <f t="shared" si="28"/>
        <v>55</v>
      </c>
      <c r="T625">
        <f t="shared" si="29"/>
        <v>-21.64</v>
      </c>
      <c r="U625">
        <f>IF(SQRT(POWER(T625-F625,2))+SQRT(POWER(E625-S625,2))=0,0,SQRT(POWER(T625-F625,2))+SQRT(POWER(E625-S625,2))+DATOS!$H$20)</f>
        <v>19.220000000000002</v>
      </c>
    </row>
    <row r="626" spans="1:21">
      <c r="A626" t="s">
        <v>339</v>
      </c>
      <c r="B626" t="s">
        <v>172</v>
      </c>
      <c r="C626" t="s">
        <v>32</v>
      </c>
      <c r="E626">
        <v>55.74</v>
      </c>
      <c r="F626">
        <v>-7.87</v>
      </c>
      <c r="G626">
        <v>0</v>
      </c>
      <c r="H626">
        <v>180</v>
      </c>
      <c r="L626">
        <v>127</v>
      </c>
      <c r="M626">
        <v>1</v>
      </c>
      <c r="N626">
        <v>2</v>
      </c>
      <c r="P626" t="s">
        <v>340</v>
      </c>
      <c r="R626" t="str">
        <f t="shared" si="30"/>
        <v>TAB-AN</v>
      </c>
      <c r="S626">
        <f t="shared" si="28"/>
        <v>55</v>
      </c>
      <c r="T626">
        <f t="shared" si="29"/>
        <v>-21.64</v>
      </c>
      <c r="U626">
        <f>IF(SQRT(POWER(T626-F626,2))+SQRT(POWER(E626-S626,2))=0,0,SQRT(POWER(T626-F626,2))+SQRT(POWER(E626-S626,2))+DATOS!$H$20)</f>
        <v>19.510000000000002</v>
      </c>
    </row>
    <row r="627" spans="1:21">
      <c r="A627" t="s">
        <v>339</v>
      </c>
      <c r="B627" t="s">
        <v>120</v>
      </c>
      <c r="C627" t="s">
        <v>121</v>
      </c>
      <c r="E627">
        <v>58.86</v>
      </c>
      <c r="F627">
        <v>-6.99</v>
      </c>
      <c r="G627">
        <v>0</v>
      </c>
      <c r="H627">
        <v>180</v>
      </c>
      <c r="I627">
        <v>180</v>
      </c>
      <c r="L627">
        <v>127</v>
      </c>
      <c r="M627">
        <v>1</v>
      </c>
      <c r="N627">
        <v>2</v>
      </c>
      <c r="P627" t="s">
        <v>340</v>
      </c>
      <c r="R627" t="str">
        <f t="shared" si="30"/>
        <v>TAB-AN</v>
      </c>
      <c r="S627">
        <f t="shared" si="28"/>
        <v>55</v>
      </c>
      <c r="T627">
        <f t="shared" si="29"/>
        <v>-21.64</v>
      </c>
      <c r="U627">
        <f>IF(SQRT(POWER(T627-F627,2))+SQRT(POWER(E627-S627,2))=0,0,SQRT(POWER(T627-F627,2))+SQRT(POWER(E627-S627,2))+DATOS!$H$20)</f>
        <v>23.509999999999998</v>
      </c>
    </row>
    <row r="628" spans="1:21">
      <c r="A628" t="s">
        <v>341</v>
      </c>
      <c r="B628" t="s">
        <v>172</v>
      </c>
      <c r="C628" t="s">
        <v>32</v>
      </c>
      <c r="E628">
        <v>48.61</v>
      </c>
      <c r="F628">
        <v>-8.5</v>
      </c>
      <c r="G628">
        <v>0</v>
      </c>
      <c r="H628">
        <v>180</v>
      </c>
      <c r="L628">
        <v>127</v>
      </c>
      <c r="M628">
        <v>1</v>
      </c>
      <c r="N628">
        <v>2</v>
      </c>
      <c r="P628" t="s">
        <v>296</v>
      </c>
      <c r="R628" t="str">
        <f t="shared" si="30"/>
        <v>TAB-AN</v>
      </c>
      <c r="S628">
        <f t="shared" si="28"/>
        <v>55</v>
      </c>
      <c r="T628">
        <f t="shared" si="29"/>
        <v>-21.64</v>
      </c>
      <c r="U628">
        <f>IF(SQRT(POWER(T628-F628,2))+SQRT(POWER(E628-S628,2))=0,0,SQRT(POWER(T628-F628,2))+SQRT(POWER(E628-S628,2))+DATOS!$H$20)</f>
        <v>24.53</v>
      </c>
    </row>
    <row r="629" spans="1:21">
      <c r="A629" t="s">
        <v>341</v>
      </c>
      <c r="B629" t="s">
        <v>172</v>
      </c>
      <c r="C629" t="s">
        <v>32</v>
      </c>
      <c r="E629">
        <v>48.61</v>
      </c>
      <c r="F629">
        <v>-8.2100000000000009</v>
      </c>
      <c r="G629">
        <v>0</v>
      </c>
      <c r="H629">
        <v>180</v>
      </c>
      <c r="L629">
        <v>127</v>
      </c>
      <c r="M629">
        <v>1</v>
      </c>
      <c r="N629">
        <v>2</v>
      </c>
      <c r="P629" t="s">
        <v>296</v>
      </c>
      <c r="R629" t="str">
        <f t="shared" si="30"/>
        <v>TAB-AN</v>
      </c>
      <c r="S629">
        <f t="shared" si="28"/>
        <v>55</v>
      </c>
      <c r="T629">
        <f t="shared" si="29"/>
        <v>-21.64</v>
      </c>
      <c r="U629">
        <f>IF(SQRT(POWER(T629-F629,2))+SQRT(POWER(E629-S629,2))=0,0,SQRT(POWER(T629-F629,2))+SQRT(POWER(E629-S629,2))+DATOS!$H$20)</f>
        <v>24.82</v>
      </c>
    </row>
    <row r="630" spans="1:21">
      <c r="A630" t="s">
        <v>341</v>
      </c>
      <c r="B630" t="s">
        <v>172</v>
      </c>
      <c r="C630" t="s">
        <v>32</v>
      </c>
      <c r="E630">
        <v>48.61</v>
      </c>
      <c r="F630">
        <v>-6.61</v>
      </c>
      <c r="G630">
        <v>0</v>
      </c>
      <c r="H630">
        <v>180</v>
      </c>
      <c r="L630">
        <v>127</v>
      </c>
      <c r="M630">
        <v>1</v>
      </c>
      <c r="N630">
        <v>2</v>
      </c>
      <c r="P630" t="s">
        <v>296</v>
      </c>
      <c r="R630" t="str">
        <f t="shared" si="30"/>
        <v>TAB-AN</v>
      </c>
      <c r="S630">
        <f t="shared" si="28"/>
        <v>55</v>
      </c>
      <c r="T630">
        <f t="shared" si="29"/>
        <v>-21.64</v>
      </c>
      <c r="U630">
        <f>IF(SQRT(POWER(T630-F630,2))+SQRT(POWER(E630-S630,2))=0,0,SQRT(POWER(T630-F630,2))+SQRT(POWER(E630-S630,2))+DATOS!$H$20)</f>
        <v>26.42</v>
      </c>
    </row>
    <row r="631" spans="1:21">
      <c r="A631" t="s">
        <v>341</v>
      </c>
      <c r="B631" t="s">
        <v>172</v>
      </c>
      <c r="C631" t="s">
        <v>32</v>
      </c>
      <c r="E631">
        <v>48.61</v>
      </c>
      <c r="F631">
        <v>-6.32</v>
      </c>
      <c r="G631">
        <v>0</v>
      </c>
      <c r="H631">
        <v>180</v>
      </c>
      <c r="L631">
        <v>127</v>
      </c>
      <c r="M631">
        <v>1</v>
      </c>
      <c r="N631">
        <v>2</v>
      </c>
      <c r="P631" t="s">
        <v>296</v>
      </c>
      <c r="R631" t="str">
        <f t="shared" si="30"/>
        <v>TAB-AN</v>
      </c>
      <c r="S631">
        <f t="shared" si="28"/>
        <v>55</v>
      </c>
      <c r="T631">
        <f t="shared" si="29"/>
        <v>-21.64</v>
      </c>
      <c r="U631">
        <f>IF(SQRT(POWER(T631-F631,2))+SQRT(POWER(E631-S631,2))=0,0,SQRT(POWER(T631-F631,2))+SQRT(POWER(E631-S631,2))+DATOS!$H$20)</f>
        <v>26.71</v>
      </c>
    </row>
    <row r="632" spans="1:21">
      <c r="A632" t="s">
        <v>341</v>
      </c>
      <c r="B632" t="s">
        <v>172</v>
      </c>
      <c r="C632" t="s">
        <v>32</v>
      </c>
      <c r="E632">
        <v>48.61</v>
      </c>
      <c r="F632">
        <v>-4.63</v>
      </c>
      <c r="G632">
        <v>0</v>
      </c>
      <c r="H632">
        <v>180</v>
      </c>
      <c r="L632">
        <v>127</v>
      </c>
      <c r="M632">
        <v>1</v>
      </c>
      <c r="N632">
        <v>2</v>
      </c>
      <c r="P632" t="s">
        <v>296</v>
      </c>
      <c r="R632" t="str">
        <f t="shared" si="30"/>
        <v>TAB-AN</v>
      </c>
      <c r="S632">
        <f t="shared" si="28"/>
        <v>55</v>
      </c>
      <c r="T632">
        <f t="shared" si="29"/>
        <v>-21.64</v>
      </c>
      <c r="U632">
        <f>IF(SQRT(POWER(T632-F632,2))+SQRT(POWER(E632-S632,2))=0,0,SQRT(POWER(T632-F632,2))+SQRT(POWER(E632-S632,2))+DATOS!$H$20)</f>
        <v>28.400000000000002</v>
      </c>
    </row>
    <row r="633" spans="1:21">
      <c r="A633" t="s">
        <v>341</v>
      </c>
      <c r="B633" t="s">
        <v>172</v>
      </c>
      <c r="C633" t="s">
        <v>32</v>
      </c>
      <c r="E633">
        <v>48.61</v>
      </c>
      <c r="F633">
        <v>-4.34</v>
      </c>
      <c r="G633">
        <v>0</v>
      </c>
      <c r="H633">
        <v>180</v>
      </c>
      <c r="L633">
        <v>127</v>
      </c>
      <c r="M633">
        <v>1</v>
      </c>
      <c r="N633">
        <v>2</v>
      </c>
      <c r="P633" t="s">
        <v>296</v>
      </c>
      <c r="R633" t="str">
        <f t="shared" si="30"/>
        <v>TAB-AN</v>
      </c>
      <c r="S633">
        <f t="shared" si="28"/>
        <v>55</v>
      </c>
      <c r="T633">
        <f t="shared" si="29"/>
        <v>-21.64</v>
      </c>
      <c r="U633">
        <f>IF(SQRT(POWER(T633-F633,2))+SQRT(POWER(E633-S633,2))=0,0,SQRT(POWER(T633-F633,2))+SQRT(POWER(E633-S633,2))+DATOS!$H$20)</f>
        <v>28.69</v>
      </c>
    </row>
    <row r="634" spans="1:21">
      <c r="A634" t="s">
        <v>342</v>
      </c>
      <c r="B634" t="s">
        <v>120</v>
      </c>
      <c r="C634" t="s">
        <v>121</v>
      </c>
      <c r="E634">
        <v>52.09</v>
      </c>
      <c r="F634">
        <v>-10.210000000000001</v>
      </c>
      <c r="G634">
        <v>0</v>
      </c>
      <c r="H634">
        <v>180</v>
      </c>
      <c r="I634">
        <v>180</v>
      </c>
      <c r="L634">
        <v>127</v>
      </c>
      <c r="M634">
        <v>1</v>
      </c>
      <c r="N634">
        <v>2</v>
      </c>
      <c r="P634" t="s">
        <v>343</v>
      </c>
      <c r="R634" t="str">
        <f t="shared" si="30"/>
        <v>TAB-AN</v>
      </c>
      <c r="S634">
        <f t="shared" si="28"/>
        <v>55</v>
      </c>
      <c r="T634">
        <f t="shared" si="29"/>
        <v>-21.64</v>
      </c>
      <c r="U634">
        <f>IF(SQRT(POWER(T634-F634,2))+SQRT(POWER(E634-S634,2))=0,0,SQRT(POWER(T634-F634,2))+SQRT(POWER(E634-S634,2))+DATOS!$H$20)</f>
        <v>19.339999999999996</v>
      </c>
    </row>
    <row r="635" spans="1:21">
      <c r="A635" t="s">
        <v>342</v>
      </c>
      <c r="B635" t="s">
        <v>179</v>
      </c>
      <c r="C635" t="s">
        <v>180</v>
      </c>
      <c r="E635">
        <v>51.7</v>
      </c>
      <c r="F635">
        <v>-4.0599999999999996</v>
      </c>
      <c r="G635">
        <v>0</v>
      </c>
      <c r="I635">
        <v>180</v>
      </c>
      <c r="L635">
        <v>127</v>
      </c>
      <c r="M635">
        <v>1</v>
      </c>
      <c r="N635">
        <v>2</v>
      </c>
      <c r="P635" t="s">
        <v>343</v>
      </c>
      <c r="R635" t="str">
        <f t="shared" si="30"/>
        <v>TAB-AN</v>
      </c>
      <c r="S635">
        <f t="shared" si="28"/>
        <v>55</v>
      </c>
      <c r="T635">
        <f t="shared" si="29"/>
        <v>-21.64</v>
      </c>
      <c r="U635">
        <f>IF(SQRT(POWER(T635-F635,2))+SQRT(POWER(E635-S635,2))=0,0,SQRT(POWER(T635-F635,2))+SQRT(POWER(E635-S635,2))+DATOS!$H$20)</f>
        <v>25.88</v>
      </c>
    </row>
    <row r="636" spans="1:21">
      <c r="A636" t="s">
        <v>342</v>
      </c>
      <c r="B636" t="s">
        <v>120</v>
      </c>
      <c r="C636" t="s">
        <v>121</v>
      </c>
      <c r="E636">
        <v>50.7</v>
      </c>
      <c r="F636">
        <v>0.69</v>
      </c>
      <c r="G636">
        <v>0</v>
      </c>
      <c r="H636">
        <v>180</v>
      </c>
      <c r="I636">
        <v>180</v>
      </c>
      <c r="L636">
        <v>127</v>
      </c>
      <c r="M636">
        <v>1</v>
      </c>
      <c r="N636">
        <v>2</v>
      </c>
      <c r="P636" t="s">
        <v>343</v>
      </c>
      <c r="R636" t="str">
        <f t="shared" si="30"/>
        <v>TAB-AN</v>
      </c>
      <c r="S636">
        <f t="shared" si="28"/>
        <v>55</v>
      </c>
      <c r="T636">
        <f t="shared" si="29"/>
        <v>-21.64</v>
      </c>
      <c r="U636">
        <f>IF(SQRT(POWER(T636-F636,2))+SQRT(POWER(E636-S636,2))=0,0,SQRT(POWER(T636-F636,2))+SQRT(POWER(E636-S636,2))+DATOS!$H$20)</f>
        <v>31.63</v>
      </c>
    </row>
    <row r="637" spans="1:21">
      <c r="A637" t="s">
        <v>342</v>
      </c>
      <c r="B637" t="s">
        <v>120</v>
      </c>
      <c r="C637" t="s">
        <v>121</v>
      </c>
      <c r="E637">
        <v>49.21</v>
      </c>
      <c r="F637">
        <v>0.69</v>
      </c>
      <c r="G637">
        <v>0</v>
      </c>
      <c r="H637">
        <v>180</v>
      </c>
      <c r="I637">
        <v>180</v>
      </c>
      <c r="L637">
        <v>127</v>
      </c>
      <c r="M637">
        <v>1</v>
      </c>
      <c r="N637">
        <v>2</v>
      </c>
      <c r="P637" t="s">
        <v>343</v>
      </c>
      <c r="R637" t="str">
        <f t="shared" si="30"/>
        <v>TAB-AN</v>
      </c>
      <c r="S637">
        <f t="shared" si="28"/>
        <v>55</v>
      </c>
      <c r="T637">
        <f t="shared" si="29"/>
        <v>-21.64</v>
      </c>
      <c r="U637">
        <f>IF(SQRT(POWER(T637-F637,2))+SQRT(POWER(E637-S637,2))=0,0,SQRT(POWER(T637-F637,2))+SQRT(POWER(E637-S637,2))+DATOS!$H$20)</f>
        <v>33.120000000000005</v>
      </c>
    </row>
    <row r="638" spans="1:21">
      <c r="A638" t="s">
        <v>342</v>
      </c>
      <c r="B638" t="s">
        <v>179</v>
      </c>
      <c r="C638" t="s">
        <v>180</v>
      </c>
      <c r="E638">
        <v>48.52</v>
      </c>
      <c r="F638">
        <v>-1.39</v>
      </c>
      <c r="G638">
        <v>0</v>
      </c>
      <c r="I638">
        <v>180</v>
      </c>
      <c r="L638">
        <v>127</v>
      </c>
      <c r="M638">
        <v>1</v>
      </c>
      <c r="N638">
        <v>2</v>
      </c>
      <c r="P638" t="s">
        <v>343</v>
      </c>
      <c r="R638" t="str">
        <f t="shared" si="30"/>
        <v>TAB-AN</v>
      </c>
      <c r="S638">
        <f t="shared" si="28"/>
        <v>55</v>
      </c>
      <c r="T638">
        <f t="shared" si="29"/>
        <v>-21.64</v>
      </c>
      <c r="U638">
        <f>IF(SQRT(POWER(T638-F638,2))+SQRT(POWER(E638-S638,2))=0,0,SQRT(POWER(T638-F638,2))+SQRT(POWER(E638-S638,2))+DATOS!$H$20)</f>
        <v>31.729999999999997</v>
      </c>
    </row>
    <row r="639" spans="1:21">
      <c r="A639" t="s">
        <v>344</v>
      </c>
      <c r="B639" t="s">
        <v>172</v>
      </c>
      <c r="C639" t="s">
        <v>32</v>
      </c>
      <c r="E639">
        <v>58.38</v>
      </c>
      <c r="F639">
        <v>5.42</v>
      </c>
      <c r="G639">
        <v>0</v>
      </c>
      <c r="H639">
        <v>180</v>
      </c>
      <c r="L639">
        <v>127</v>
      </c>
      <c r="M639">
        <v>1</v>
      </c>
      <c r="N639">
        <v>2</v>
      </c>
      <c r="P639" t="s">
        <v>345</v>
      </c>
      <c r="R639" t="str">
        <f t="shared" si="30"/>
        <v>TAB-AN</v>
      </c>
      <c r="S639">
        <f t="shared" si="28"/>
        <v>55</v>
      </c>
      <c r="T639">
        <f t="shared" si="29"/>
        <v>-21.64</v>
      </c>
      <c r="U639">
        <f>IF(SQRT(POWER(T639-F639,2))+SQRT(POWER(E639-S639,2))=0,0,SQRT(POWER(T639-F639,2))+SQRT(POWER(E639-S639,2))+DATOS!$H$20)</f>
        <v>35.440000000000005</v>
      </c>
    </row>
    <row r="640" spans="1:21">
      <c r="A640" t="s">
        <v>342</v>
      </c>
      <c r="B640" t="s">
        <v>172</v>
      </c>
      <c r="C640" t="s">
        <v>32</v>
      </c>
      <c r="E640">
        <v>56.46</v>
      </c>
      <c r="F640">
        <v>-1.82</v>
      </c>
      <c r="G640">
        <v>0</v>
      </c>
      <c r="H640">
        <v>180</v>
      </c>
      <c r="L640">
        <v>127</v>
      </c>
      <c r="M640">
        <v>1</v>
      </c>
      <c r="N640">
        <v>2</v>
      </c>
      <c r="P640" t="s">
        <v>343</v>
      </c>
      <c r="R640" t="str">
        <f t="shared" si="30"/>
        <v>TAB-AN</v>
      </c>
      <c r="S640">
        <f t="shared" si="28"/>
        <v>55</v>
      </c>
      <c r="T640">
        <f t="shared" si="29"/>
        <v>-21.64</v>
      </c>
      <c r="U640">
        <f>IF(SQRT(POWER(T640-F640,2))+SQRT(POWER(E640-S640,2))=0,0,SQRT(POWER(T640-F640,2))+SQRT(POWER(E640-S640,2))+DATOS!$H$20)</f>
        <v>26.28</v>
      </c>
    </row>
    <row r="641" spans="1:21">
      <c r="A641" t="s">
        <v>342</v>
      </c>
      <c r="B641" t="s">
        <v>172</v>
      </c>
      <c r="C641" t="s">
        <v>32</v>
      </c>
      <c r="E641">
        <v>56.17</v>
      </c>
      <c r="F641">
        <v>-1.82</v>
      </c>
      <c r="G641">
        <v>0</v>
      </c>
      <c r="H641">
        <v>180</v>
      </c>
      <c r="L641">
        <v>127</v>
      </c>
      <c r="M641">
        <v>1</v>
      </c>
      <c r="N641">
        <v>2</v>
      </c>
      <c r="P641" t="s">
        <v>343</v>
      </c>
      <c r="R641" t="str">
        <f t="shared" si="30"/>
        <v>TAB-AN</v>
      </c>
      <c r="S641">
        <f t="shared" si="28"/>
        <v>55</v>
      </c>
      <c r="T641">
        <f t="shared" si="29"/>
        <v>-21.64</v>
      </c>
      <c r="U641">
        <f>IF(SQRT(POWER(T641-F641,2))+SQRT(POWER(E641-S641,2))=0,0,SQRT(POWER(T641-F641,2))+SQRT(POWER(E641-S641,2))+DATOS!$H$20)</f>
        <v>25.990000000000002</v>
      </c>
    </row>
    <row r="642" spans="1:21">
      <c r="A642" t="s">
        <v>342</v>
      </c>
      <c r="B642" t="s">
        <v>120</v>
      </c>
      <c r="C642" t="s">
        <v>121</v>
      </c>
      <c r="E642">
        <v>58.86</v>
      </c>
      <c r="F642">
        <v>-2.74</v>
      </c>
      <c r="G642">
        <v>0</v>
      </c>
      <c r="H642">
        <v>180</v>
      </c>
      <c r="I642">
        <v>180</v>
      </c>
      <c r="L642">
        <v>127</v>
      </c>
      <c r="M642">
        <v>1</v>
      </c>
      <c r="N642">
        <v>2</v>
      </c>
      <c r="P642" t="s">
        <v>343</v>
      </c>
      <c r="R642" t="str">
        <f t="shared" si="30"/>
        <v>TAB-AN</v>
      </c>
      <c r="S642">
        <f t="shared" si="28"/>
        <v>55</v>
      </c>
      <c r="T642">
        <f t="shared" si="29"/>
        <v>-21.64</v>
      </c>
      <c r="U642">
        <f>IF(SQRT(POWER(T642-F642,2))+SQRT(POWER(E642-S642,2))=0,0,SQRT(POWER(T642-F642,2))+SQRT(POWER(E642-S642,2))+DATOS!$H$20)</f>
        <v>27.759999999999998</v>
      </c>
    </row>
    <row r="643" spans="1:21">
      <c r="A643" t="s">
        <v>346</v>
      </c>
      <c r="B643" t="s">
        <v>120</v>
      </c>
      <c r="C643" t="s">
        <v>121</v>
      </c>
      <c r="E643">
        <v>44.07</v>
      </c>
      <c r="F643">
        <v>4.3600000000000003</v>
      </c>
      <c r="G643">
        <v>0</v>
      </c>
      <c r="H643">
        <v>180</v>
      </c>
      <c r="I643">
        <v>180</v>
      </c>
      <c r="L643">
        <v>127</v>
      </c>
      <c r="M643">
        <v>1</v>
      </c>
      <c r="N643">
        <v>2</v>
      </c>
      <c r="P643" t="s">
        <v>347</v>
      </c>
      <c r="R643" t="str">
        <f t="shared" si="30"/>
        <v>TAB-AN</v>
      </c>
      <c r="S643">
        <f t="shared" ref="S643:S700" si="31">IFERROR(VLOOKUP(R643,$A$2:$F$700,5,0),E643)</f>
        <v>55</v>
      </c>
      <c r="T643">
        <f t="shared" ref="T643:T700" si="32">IFERROR(VLOOKUP(R643,$A$2:$F$700,6,0),F643)</f>
        <v>-21.64</v>
      </c>
      <c r="U643">
        <f>IF(SQRT(POWER(T643-F643,2))+SQRT(POWER(E643-S643,2))=0,0,SQRT(POWER(T643-F643,2))+SQRT(POWER(E643-S643,2))+DATOS!$H$20)</f>
        <v>41.93</v>
      </c>
    </row>
    <row r="644" spans="1:21">
      <c r="A644" t="s">
        <v>346</v>
      </c>
      <c r="B644" t="s">
        <v>120</v>
      </c>
      <c r="C644" t="s">
        <v>121</v>
      </c>
      <c r="E644">
        <v>44.08</v>
      </c>
      <c r="F644">
        <v>3.4</v>
      </c>
      <c r="G644">
        <v>0</v>
      </c>
      <c r="H644">
        <v>180</v>
      </c>
      <c r="I644">
        <v>180</v>
      </c>
      <c r="L644">
        <v>127</v>
      </c>
      <c r="M644">
        <v>1</v>
      </c>
      <c r="N644">
        <v>2</v>
      </c>
      <c r="P644" t="s">
        <v>347</v>
      </c>
      <c r="R644" t="str">
        <f t="shared" si="30"/>
        <v>TAB-AN</v>
      </c>
      <c r="S644">
        <f t="shared" si="31"/>
        <v>55</v>
      </c>
      <c r="T644">
        <f t="shared" si="32"/>
        <v>-21.64</v>
      </c>
      <c r="U644">
        <f>IF(SQRT(POWER(T644-F644,2))+SQRT(POWER(E644-S644,2))=0,0,SQRT(POWER(T644-F644,2))+SQRT(POWER(E644-S644,2))+DATOS!$H$20)</f>
        <v>40.96</v>
      </c>
    </row>
    <row r="645" spans="1:21">
      <c r="A645" t="s">
        <v>346</v>
      </c>
      <c r="B645" t="s">
        <v>172</v>
      </c>
      <c r="C645" t="s">
        <v>32</v>
      </c>
      <c r="E645">
        <v>40.36</v>
      </c>
      <c r="F645">
        <v>2.16</v>
      </c>
      <c r="G645">
        <v>0</v>
      </c>
      <c r="H645">
        <v>180</v>
      </c>
      <c r="L645">
        <v>127</v>
      </c>
      <c r="M645">
        <v>1</v>
      </c>
      <c r="N645">
        <v>2</v>
      </c>
      <c r="P645" t="s">
        <v>347</v>
      </c>
      <c r="R645" t="str">
        <f t="shared" si="30"/>
        <v>TAB-AN</v>
      </c>
      <c r="S645">
        <f t="shared" si="31"/>
        <v>55</v>
      </c>
      <c r="T645">
        <f t="shared" si="32"/>
        <v>-21.64</v>
      </c>
      <c r="U645">
        <f>IF(SQRT(POWER(T645-F645,2))+SQRT(POWER(E645-S645,2))=0,0,SQRT(POWER(T645-F645,2))+SQRT(POWER(E645-S645,2))+DATOS!$H$20)</f>
        <v>43.44</v>
      </c>
    </row>
    <row r="646" spans="1:21">
      <c r="A646" t="s">
        <v>346</v>
      </c>
      <c r="B646" t="s">
        <v>172</v>
      </c>
      <c r="C646" t="s">
        <v>32</v>
      </c>
      <c r="E646">
        <v>40.36</v>
      </c>
      <c r="F646">
        <v>2.4500000000000002</v>
      </c>
      <c r="G646">
        <v>0</v>
      </c>
      <c r="H646">
        <v>180</v>
      </c>
      <c r="L646">
        <v>127</v>
      </c>
      <c r="M646">
        <v>1</v>
      </c>
      <c r="N646">
        <v>2</v>
      </c>
      <c r="P646" t="s">
        <v>347</v>
      </c>
      <c r="R646" t="str">
        <f t="shared" si="30"/>
        <v>TAB-AN</v>
      </c>
      <c r="S646">
        <f t="shared" si="31"/>
        <v>55</v>
      </c>
      <c r="T646">
        <f t="shared" si="32"/>
        <v>-21.64</v>
      </c>
      <c r="U646">
        <f>IF(SQRT(POWER(T646-F646,2))+SQRT(POWER(E646-S646,2))=0,0,SQRT(POWER(T646-F646,2))+SQRT(POWER(E646-S646,2))+DATOS!$H$20)</f>
        <v>43.730000000000004</v>
      </c>
    </row>
    <row r="647" spans="1:21">
      <c r="A647" t="s">
        <v>346</v>
      </c>
      <c r="B647" t="s">
        <v>172</v>
      </c>
      <c r="C647" t="s">
        <v>32</v>
      </c>
      <c r="E647">
        <v>40.36</v>
      </c>
      <c r="F647">
        <v>3.96</v>
      </c>
      <c r="G647">
        <v>0</v>
      </c>
      <c r="H647">
        <v>180</v>
      </c>
      <c r="L647">
        <v>127</v>
      </c>
      <c r="M647">
        <v>1</v>
      </c>
      <c r="N647">
        <v>2</v>
      </c>
      <c r="P647" t="s">
        <v>347</v>
      </c>
      <c r="R647" t="str">
        <f t="shared" si="30"/>
        <v>TAB-AN</v>
      </c>
      <c r="S647">
        <f t="shared" si="31"/>
        <v>55</v>
      </c>
      <c r="T647">
        <f t="shared" si="32"/>
        <v>-21.64</v>
      </c>
      <c r="U647">
        <f>IF(SQRT(POWER(T647-F647,2))+SQRT(POWER(E647-S647,2))=0,0,SQRT(POWER(T647-F647,2))+SQRT(POWER(E647-S647,2))+DATOS!$H$20)</f>
        <v>45.24</v>
      </c>
    </row>
    <row r="648" spans="1:21">
      <c r="A648" t="s">
        <v>346</v>
      </c>
      <c r="B648" t="s">
        <v>172</v>
      </c>
      <c r="C648" t="s">
        <v>32</v>
      </c>
      <c r="E648">
        <v>40.36</v>
      </c>
      <c r="F648">
        <v>4.25</v>
      </c>
      <c r="G648">
        <v>0</v>
      </c>
      <c r="H648">
        <v>180</v>
      </c>
      <c r="L648">
        <v>127</v>
      </c>
      <c r="M648">
        <v>1</v>
      </c>
      <c r="N648">
        <v>2</v>
      </c>
      <c r="P648" t="s">
        <v>347</v>
      </c>
      <c r="R648" t="str">
        <f t="shared" si="30"/>
        <v>TAB-AN</v>
      </c>
      <c r="S648">
        <f t="shared" si="31"/>
        <v>55</v>
      </c>
      <c r="T648">
        <f t="shared" si="32"/>
        <v>-21.64</v>
      </c>
      <c r="U648">
        <f>IF(SQRT(POWER(T648-F648,2))+SQRT(POWER(E648-S648,2))=0,0,SQRT(POWER(T648-F648,2))+SQRT(POWER(E648-S648,2))+DATOS!$H$20)</f>
        <v>45.53</v>
      </c>
    </row>
    <row r="649" spans="1:21">
      <c r="A649" t="s">
        <v>346</v>
      </c>
      <c r="B649" t="s">
        <v>172</v>
      </c>
      <c r="C649" t="s">
        <v>32</v>
      </c>
      <c r="E649">
        <v>40.36</v>
      </c>
      <c r="F649">
        <v>5.76</v>
      </c>
      <c r="G649">
        <v>0</v>
      </c>
      <c r="H649">
        <v>180</v>
      </c>
      <c r="L649">
        <v>127</v>
      </c>
      <c r="M649">
        <v>1</v>
      </c>
      <c r="N649">
        <v>2</v>
      </c>
      <c r="P649" t="s">
        <v>347</v>
      </c>
      <c r="R649" t="str">
        <f t="shared" si="30"/>
        <v>TAB-AN</v>
      </c>
      <c r="S649">
        <f t="shared" si="31"/>
        <v>55</v>
      </c>
      <c r="T649">
        <f t="shared" si="32"/>
        <v>-21.64</v>
      </c>
      <c r="U649">
        <f>IF(SQRT(POWER(T649-F649,2))+SQRT(POWER(E649-S649,2))=0,0,SQRT(POWER(T649-F649,2))+SQRT(POWER(E649-S649,2))+DATOS!$H$20)</f>
        <v>47.04</v>
      </c>
    </row>
    <row r="650" spans="1:21">
      <c r="A650" t="s">
        <v>346</v>
      </c>
      <c r="B650" t="s">
        <v>172</v>
      </c>
      <c r="C650" t="s">
        <v>32</v>
      </c>
      <c r="E650">
        <v>40.36</v>
      </c>
      <c r="F650">
        <v>6.05</v>
      </c>
      <c r="G650">
        <v>0</v>
      </c>
      <c r="H650">
        <v>180</v>
      </c>
      <c r="L650">
        <v>127</v>
      </c>
      <c r="M650">
        <v>1</v>
      </c>
      <c r="N650">
        <v>2</v>
      </c>
      <c r="P650" t="s">
        <v>347</v>
      </c>
      <c r="R650" t="str">
        <f t="shared" si="30"/>
        <v>TAB-AN</v>
      </c>
      <c r="S650">
        <f t="shared" si="31"/>
        <v>55</v>
      </c>
      <c r="T650">
        <f t="shared" si="32"/>
        <v>-21.64</v>
      </c>
      <c r="U650">
        <f>IF(SQRT(POWER(T650-F650,2))+SQRT(POWER(E650-S650,2))=0,0,SQRT(POWER(T650-F650,2))+SQRT(POWER(E650-S650,2))+DATOS!$H$20)</f>
        <v>47.33</v>
      </c>
    </row>
    <row r="651" spans="1:21">
      <c r="A651" t="s">
        <v>348</v>
      </c>
      <c r="B651" t="s">
        <v>172</v>
      </c>
      <c r="C651" t="s">
        <v>32</v>
      </c>
      <c r="E651">
        <v>40.36</v>
      </c>
      <c r="F651">
        <v>7.56</v>
      </c>
      <c r="G651">
        <v>0</v>
      </c>
      <c r="H651">
        <v>180</v>
      </c>
      <c r="L651">
        <v>127</v>
      </c>
      <c r="M651">
        <v>1</v>
      </c>
      <c r="N651">
        <v>2</v>
      </c>
      <c r="P651" t="s">
        <v>304</v>
      </c>
      <c r="R651" t="str">
        <f t="shared" si="30"/>
        <v>TAB-AN</v>
      </c>
      <c r="S651">
        <f t="shared" si="31"/>
        <v>55</v>
      </c>
      <c r="T651">
        <f t="shared" si="32"/>
        <v>-21.64</v>
      </c>
      <c r="U651">
        <f>IF(SQRT(POWER(T651-F651,2))+SQRT(POWER(E651-S651,2))=0,0,SQRT(POWER(T651-F651,2))+SQRT(POWER(E651-S651,2))+DATOS!$H$20)</f>
        <v>48.84</v>
      </c>
    </row>
    <row r="652" spans="1:21">
      <c r="A652" t="s">
        <v>348</v>
      </c>
      <c r="B652" t="s">
        <v>172</v>
      </c>
      <c r="C652" t="s">
        <v>32</v>
      </c>
      <c r="E652">
        <v>40.36</v>
      </c>
      <c r="F652">
        <v>7.85</v>
      </c>
      <c r="G652">
        <v>0</v>
      </c>
      <c r="H652">
        <v>180</v>
      </c>
      <c r="L652">
        <v>127</v>
      </c>
      <c r="M652">
        <v>1</v>
      </c>
      <c r="N652">
        <v>2</v>
      </c>
      <c r="P652" t="s">
        <v>304</v>
      </c>
      <c r="R652" t="str">
        <f t="shared" si="30"/>
        <v>TAB-AN</v>
      </c>
      <c r="S652">
        <f t="shared" si="31"/>
        <v>55</v>
      </c>
      <c r="T652">
        <f t="shared" si="32"/>
        <v>-21.64</v>
      </c>
      <c r="U652">
        <f>IF(SQRT(POWER(T652-F652,2))+SQRT(POWER(E652-S652,2))=0,0,SQRT(POWER(T652-F652,2))+SQRT(POWER(E652-S652,2))+DATOS!$H$20)</f>
        <v>49.13</v>
      </c>
    </row>
    <row r="653" spans="1:21">
      <c r="A653" t="s">
        <v>348</v>
      </c>
      <c r="B653" t="s">
        <v>172</v>
      </c>
      <c r="C653" t="s">
        <v>32</v>
      </c>
      <c r="E653">
        <v>40.36</v>
      </c>
      <c r="F653">
        <v>9.27</v>
      </c>
      <c r="G653">
        <v>0</v>
      </c>
      <c r="H653">
        <v>180</v>
      </c>
      <c r="L653">
        <v>127</v>
      </c>
      <c r="M653">
        <v>1</v>
      </c>
      <c r="N653">
        <v>2</v>
      </c>
      <c r="P653" t="s">
        <v>304</v>
      </c>
      <c r="R653" t="str">
        <f t="shared" si="30"/>
        <v>TAB-AN</v>
      </c>
      <c r="S653">
        <f t="shared" si="31"/>
        <v>55</v>
      </c>
      <c r="T653">
        <f t="shared" si="32"/>
        <v>-21.64</v>
      </c>
      <c r="U653">
        <f>IF(SQRT(POWER(T653-F653,2))+SQRT(POWER(E653-S653,2))=0,0,SQRT(POWER(T653-F653,2))+SQRT(POWER(E653-S653,2))+DATOS!$H$20)</f>
        <v>50.55</v>
      </c>
    </row>
    <row r="654" spans="1:21">
      <c r="A654" t="s">
        <v>348</v>
      </c>
      <c r="B654" t="s">
        <v>172</v>
      </c>
      <c r="C654" t="s">
        <v>304</v>
      </c>
      <c r="E654">
        <v>40.36</v>
      </c>
      <c r="F654">
        <v>9.56</v>
      </c>
      <c r="G654">
        <v>0</v>
      </c>
      <c r="H654">
        <v>180</v>
      </c>
      <c r="L654">
        <v>127</v>
      </c>
      <c r="M654">
        <v>1</v>
      </c>
      <c r="N654">
        <v>2</v>
      </c>
      <c r="P654" t="s">
        <v>304</v>
      </c>
      <c r="R654" t="str">
        <f t="shared" si="30"/>
        <v>TAB-AN</v>
      </c>
      <c r="S654">
        <f t="shared" si="31"/>
        <v>55</v>
      </c>
      <c r="T654">
        <f t="shared" si="32"/>
        <v>-21.64</v>
      </c>
      <c r="U654">
        <f>IF(SQRT(POWER(T654-F654,2))+SQRT(POWER(E654-S654,2))=0,0,SQRT(POWER(T654-F654,2))+SQRT(POWER(E654-S654,2))+DATOS!$H$20)</f>
        <v>50.84</v>
      </c>
    </row>
    <row r="655" spans="1:21">
      <c r="A655" t="s">
        <v>348</v>
      </c>
      <c r="B655" t="s">
        <v>172</v>
      </c>
      <c r="C655" t="s">
        <v>32</v>
      </c>
      <c r="E655">
        <v>46.99</v>
      </c>
      <c r="F655">
        <v>5.9</v>
      </c>
      <c r="G655">
        <v>0</v>
      </c>
      <c r="H655">
        <v>180</v>
      </c>
      <c r="L655">
        <v>127</v>
      </c>
      <c r="M655">
        <v>1</v>
      </c>
      <c r="N655">
        <v>2</v>
      </c>
      <c r="P655" t="s">
        <v>304</v>
      </c>
      <c r="R655" t="str">
        <f t="shared" si="30"/>
        <v>TAB-AN</v>
      </c>
      <c r="S655">
        <f t="shared" si="31"/>
        <v>55</v>
      </c>
      <c r="T655">
        <f t="shared" si="32"/>
        <v>-21.64</v>
      </c>
      <c r="U655">
        <f>IF(SQRT(POWER(T655-F655,2))+SQRT(POWER(E655-S655,2))=0,0,SQRT(POWER(T655-F655,2))+SQRT(POWER(E655-S655,2))+DATOS!$H$20)</f>
        <v>40.549999999999997</v>
      </c>
    </row>
    <row r="656" spans="1:21">
      <c r="A656" t="s">
        <v>348</v>
      </c>
      <c r="B656" t="s">
        <v>172</v>
      </c>
      <c r="C656" t="s">
        <v>32</v>
      </c>
      <c r="E656">
        <v>46.99</v>
      </c>
      <c r="F656">
        <v>6.19</v>
      </c>
      <c r="G656">
        <v>0</v>
      </c>
      <c r="H656">
        <v>180</v>
      </c>
      <c r="L656">
        <v>127</v>
      </c>
      <c r="M656">
        <v>1</v>
      </c>
      <c r="N656">
        <v>2</v>
      </c>
      <c r="P656" t="s">
        <v>304</v>
      </c>
      <c r="R656" t="str">
        <f t="shared" si="30"/>
        <v>TAB-AN</v>
      </c>
      <c r="S656">
        <f t="shared" si="31"/>
        <v>55</v>
      </c>
      <c r="T656">
        <f t="shared" si="32"/>
        <v>-21.64</v>
      </c>
      <c r="U656">
        <f>IF(SQRT(POWER(T656-F656,2))+SQRT(POWER(E656-S656,2))=0,0,SQRT(POWER(T656-F656,2))+SQRT(POWER(E656-S656,2))+DATOS!$H$20)</f>
        <v>40.840000000000003</v>
      </c>
    </row>
    <row r="657" spans="1:21">
      <c r="A657" t="s">
        <v>348</v>
      </c>
      <c r="B657" t="s">
        <v>172</v>
      </c>
      <c r="C657" t="s">
        <v>32</v>
      </c>
      <c r="E657">
        <v>46.99</v>
      </c>
      <c r="F657">
        <v>8.02</v>
      </c>
      <c r="G657">
        <v>0</v>
      </c>
      <c r="H657">
        <v>180</v>
      </c>
      <c r="L657">
        <v>127</v>
      </c>
      <c r="M657">
        <v>1</v>
      </c>
      <c r="N657">
        <v>2</v>
      </c>
      <c r="P657" t="s">
        <v>304</v>
      </c>
      <c r="R657" t="str">
        <f t="shared" ref="R657:R700" si="33">"TAB-"&amp;LEFT(A657,FIND("-",A657) -1)</f>
        <v>TAB-AN</v>
      </c>
      <c r="S657">
        <f t="shared" si="31"/>
        <v>55</v>
      </c>
      <c r="T657">
        <f t="shared" si="32"/>
        <v>-21.64</v>
      </c>
      <c r="U657">
        <f>IF(SQRT(POWER(T657-F657,2))+SQRT(POWER(E657-S657,2))=0,0,SQRT(POWER(T657-F657,2))+SQRT(POWER(E657-S657,2))+DATOS!$H$20)</f>
        <v>42.67</v>
      </c>
    </row>
    <row r="658" spans="1:21">
      <c r="A658" t="s">
        <v>348</v>
      </c>
      <c r="B658" t="s">
        <v>172</v>
      </c>
      <c r="C658" t="s">
        <v>32</v>
      </c>
      <c r="E658">
        <v>46.99</v>
      </c>
      <c r="F658">
        <v>8.31</v>
      </c>
      <c r="G658">
        <v>0</v>
      </c>
      <c r="H658">
        <v>180</v>
      </c>
      <c r="L658">
        <v>127</v>
      </c>
      <c r="M658">
        <v>1</v>
      </c>
      <c r="N658">
        <v>2</v>
      </c>
      <c r="P658" t="s">
        <v>304</v>
      </c>
      <c r="R658" t="str">
        <f t="shared" si="33"/>
        <v>TAB-AN</v>
      </c>
      <c r="S658">
        <f t="shared" si="31"/>
        <v>55</v>
      </c>
      <c r="T658">
        <f t="shared" si="32"/>
        <v>-21.64</v>
      </c>
      <c r="U658">
        <f>IF(SQRT(POWER(T658-F658,2))+SQRT(POWER(E658-S658,2))=0,0,SQRT(POWER(T658-F658,2))+SQRT(POWER(E658-S658,2))+DATOS!$H$20)</f>
        <v>42.96</v>
      </c>
    </row>
    <row r="659" spans="1:21">
      <c r="A659" t="s">
        <v>349</v>
      </c>
      <c r="B659" t="s">
        <v>172</v>
      </c>
      <c r="C659" t="s">
        <v>32</v>
      </c>
      <c r="E659">
        <v>47.06</v>
      </c>
      <c r="F659">
        <v>5.39</v>
      </c>
      <c r="G659">
        <v>0</v>
      </c>
      <c r="H659">
        <v>180</v>
      </c>
      <c r="L659">
        <v>127</v>
      </c>
      <c r="M659">
        <v>1</v>
      </c>
      <c r="N659">
        <v>2</v>
      </c>
      <c r="P659" t="s">
        <v>302</v>
      </c>
      <c r="R659" t="str">
        <f t="shared" si="33"/>
        <v>TAB-AN</v>
      </c>
      <c r="S659">
        <f t="shared" si="31"/>
        <v>55</v>
      </c>
      <c r="T659">
        <f t="shared" si="32"/>
        <v>-21.64</v>
      </c>
      <c r="U659">
        <f>IF(SQRT(POWER(T659-F659,2))+SQRT(POWER(E659-S659,2))=0,0,SQRT(POWER(T659-F659,2))+SQRT(POWER(E659-S659,2))+DATOS!$H$20)</f>
        <v>39.97</v>
      </c>
    </row>
    <row r="660" spans="1:21">
      <c r="A660" t="s">
        <v>349</v>
      </c>
      <c r="B660" t="s">
        <v>172</v>
      </c>
      <c r="C660" t="s">
        <v>32</v>
      </c>
      <c r="E660">
        <v>46.77</v>
      </c>
      <c r="F660">
        <v>5.39</v>
      </c>
      <c r="G660">
        <v>0</v>
      </c>
      <c r="H660">
        <v>180</v>
      </c>
      <c r="L660">
        <v>127</v>
      </c>
      <c r="M660">
        <v>1</v>
      </c>
      <c r="N660">
        <v>2</v>
      </c>
      <c r="P660" t="s">
        <v>302</v>
      </c>
      <c r="R660" t="str">
        <f t="shared" si="33"/>
        <v>TAB-AN</v>
      </c>
      <c r="S660">
        <f t="shared" si="31"/>
        <v>55</v>
      </c>
      <c r="T660">
        <f t="shared" si="32"/>
        <v>-21.64</v>
      </c>
      <c r="U660">
        <f>IF(SQRT(POWER(T660-F660,2))+SQRT(POWER(E660-S660,2))=0,0,SQRT(POWER(T660-F660,2))+SQRT(POWER(E660-S660,2))+DATOS!$H$20)</f>
        <v>40.26</v>
      </c>
    </row>
    <row r="661" spans="1:21">
      <c r="A661" t="s">
        <v>349</v>
      </c>
      <c r="B661" t="s">
        <v>172</v>
      </c>
      <c r="C661" t="s">
        <v>32</v>
      </c>
      <c r="E661">
        <v>48.86</v>
      </c>
      <c r="F661">
        <v>5.39</v>
      </c>
      <c r="G661">
        <v>0</v>
      </c>
      <c r="H661">
        <v>180</v>
      </c>
      <c r="L661">
        <v>127</v>
      </c>
      <c r="M661">
        <v>1</v>
      </c>
      <c r="N661">
        <v>2</v>
      </c>
      <c r="P661" t="s">
        <v>302</v>
      </c>
      <c r="R661" t="str">
        <f t="shared" si="33"/>
        <v>TAB-AN</v>
      </c>
      <c r="S661">
        <f t="shared" si="31"/>
        <v>55</v>
      </c>
      <c r="T661">
        <f t="shared" si="32"/>
        <v>-21.64</v>
      </c>
      <c r="U661">
        <f>IF(SQRT(POWER(T661-F661,2))+SQRT(POWER(E661-S661,2))=0,0,SQRT(POWER(T661-F661,2))+SQRT(POWER(E661-S661,2))+DATOS!$H$20)</f>
        <v>38.17</v>
      </c>
    </row>
    <row r="662" spans="1:21">
      <c r="A662" t="s">
        <v>349</v>
      </c>
      <c r="B662" t="s">
        <v>172</v>
      </c>
      <c r="C662" t="s">
        <v>32</v>
      </c>
      <c r="E662">
        <v>48.57</v>
      </c>
      <c r="F662">
        <v>5.39</v>
      </c>
      <c r="G662">
        <v>0</v>
      </c>
      <c r="H662">
        <v>180</v>
      </c>
      <c r="L662">
        <v>127</v>
      </c>
      <c r="M662">
        <v>1</v>
      </c>
      <c r="N662">
        <v>2</v>
      </c>
      <c r="P662" t="s">
        <v>302</v>
      </c>
      <c r="R662" t="str">
        <f t="shared" si="33"/>
        <v>TAB-AN</v>
      </c>
      <c r="S662">
        <f t="shared" si="31"/>
        <v>55</v>
      </c>
      <c r="T662">
        <f t="shared" si="32"/>
        <v>-21.64</v>
      </c>
      <c r="U662">
        <f>IF(SQRT(POWER(T662-F662,2))+SQRT(POWER(E662-S662,2))=0,0,SQRT(POWER(T662-F662,2))+SQRT(POWER(E662-S662,2))+DATOS!$H$20)</f>
        <v>38.46</v>
      </c>
    </row>
    <row r="663" spans="1:21">
      <c r="A663" t="s">
        <v>349</v>
      </c>
      <c r="B663" t="s">
        <v>172</v>
      </c>
      <c r="C663" t="s">
        <v>32</v>
      </c>
      <c r="E663">
        <v>50.71</v>
      </c>
      <c r="F663">
        <v>5.39</v>
      </c>
      <c r="G663">
        <v>0</v>
      </c>
      <c r="H663">
        <v>180</v>
      </c>
      <c r="L663">
        <v>127</v>
      </c>
      <c r="M663">
        <v>1</v>
      </c>
      <c r="N663">
        <v>2</v>
      </c>
      <c r="P663" t="s">
        <v>302</v>
      </c>
      <c r="R663" t="str">
        <f t="shared" si="33"/>
        <v>TAB-AN</v>
      </c>
      <c r="S663">
        <f t="shared" si="31"/>
        <v>55</v>
      </c>
      <c r="T663">
        <f t="shared" si="32"/>
        <v>-21.64</v>
      </c>
      <c r="U663">
        <f>IF(SQRT(POWER(T663-F663,2))+SQRT(POWER(E663-S663,2))=0,0,SQRT(POWER(T663-F663,2))+SQRT(POWER(E663-S663,2))+DATOS!$H$20)</f>
        <v>36.32</v>
      </c>
    </row>
    <row r="664" spans="1:21">
      <c r="A664" t="s">
        <v>349</v>
      </c>
      <c r="B664" t="s">
        <v>172</v>
      </c>
      <c r="C664" t="s">
        <v>32</v>
      </c>
      <c r="E664">
        <v>50.42</v>
      </c>
      <c r="F664">
        <v>5.39</v>
      </c>
      <c r="G664">
        <v>0</v>
      </c>
      <c r="H664">
        <v>180</v>
      </c>
      <c r="L664">
        <v>127</v>
      </c>
      <c r="M664">
        <v>1</v>
      </c>
      <c r="N664">
        <v>2</v>
      </c>
      <c r="P664" t="s">
        <v>302</v>
      </c>
      <c r="R664" t="str">
        <f t="shared" si="33"/>
        <v>TAB-AN</v>
      </c>
      <c r="S664">
        <f t="shared" si="31"/>
        <v>55</v>
      </c>
      <c r="T664">
        <f t="shared" si="32"/>
        <v>-21.64</v>
      </c>
      <c r="U664">
        <f>IF(SQRT(POWER(T664-F664,2))+SQRT(POWER(E664-S664,2))=0,0,SQRT(POWER(T664-F664,2))+SQRT(POWER(E664-S664,2))+DATOS!$H$20)</f>
        <v>36.61</v>
      </c>
    </row>
    <row r="665" spans="1:21">
      <c r="A665" t="s">
        <v>344</v>
      </c>
      <c r="B665" t="s">
        <v>120</v>
      </c>
      <c r="C665" t="s">
        <v>121</v>
      </c>
      <c r="E665">
        <v>59.28</v>
      </c>
      <c r="F665">
        <v>2.37</v>
      </c>
      <c r="G665">
        <v>0</v>
      </c>
      <c r="H665">
        <v>180</v>
      </c>
      <c r="I665">
        <v>180</v>
      </c>
      <c r="L665">
        <v>127</v>
      </c>
      <c r="M665">
        <v>1</v>
      </c>
      <c r="N665">
        <v>2</v>
      </c>
      <c r="R665" t="str">
        <f t="shared" si="33"/>
        <v>TAB-AN</v>
      </c>
      <c r="S665">
        <f t="shared" si="31"/>
        <v>55</v>
      </c>
      <c r="T665">
        <f t="shared" si="32"/>
        <v>-21.64</v>
      </c>
      <c r="U665">
        <f>IF(SQRT(POWER(T665-F665,2))+SQRT(POWER(E665-S665,2))=0,0,SQRT(POWER(T665-F665,2))+SQRT(POWER(E665-S665,2))+DATOS!$H$20)</f>
        <v>33.290000000000006</v>
      </c>
    </row>
    <row r="666" spans="1:21">
      <c r="A666" t="s">
        <v>344</v>
      </c>
      <c r="B666" t="s">
        <v>268</v>
      </c>
      <c r="C666" t="s">
        <v>269</v>
      </c>
      <c r="E666">
        <v>63.26</v>
      </c>
      <c r="F666">
        <v>4.16</v>
      </c>
      <c r="G666">
        <v>0</v>
      </c>
      <c r="I666">
        <v>180</v>
      </c>
      <c r="L666">
        <v>127</v>
      </c>
      <c r="M666">
        <v>1</v>
      </c>
      <c r="N666">
        <v>2</v>
      </c>
      <c r="P666" t="s">
        <v>345</v>
      </c>
      <c r="R666" t="str">
        <f t="shared" si="33"/>
        <v>TAB-AN</v>
      </c>
      <c r="S666">
        <f t="shared" si="31"/>
        <v>55</v>
      </c>
      <c r="T666">
        <f t="shared" si="32"/>
        <v>-21.64</v>
      </c>
      <c r="U666">
        <f>IF(SQRT(POWER(T666-F666,2))+SQRT(POWER(E666-S666,2))=0,0,SQRT(POWER(T666-F666,2))+SQRT(POWER(E666-S666,2))+DATOS!$H$20)</f>
        <v>39.06</v>
      </c>
    </row>
    <row r="667" spans="1:21">
      <c r="A667" t="s">
        <v>349</v>
      </c>
      <c r="B667" t="s">
        <v>172</v>
      </c>
      <c r="C667" t="s">
        <v>32</v>
      </c>
      <c r="E667">
        <v>53.02</v>
      </c>
      <c r="F667">
        <v>5.39</v>
      </c>
      <c r="G667">
        <v>0</v>
      </c>
      <c r="H667">
        <v>180</v>
      </c>
      <c r="L667">
        <v>127</v>
      </c>
      <c r="M667">
        <v>1</v>
      </c>
      <c r="N667">
        <v>2</v>
      </c>
      <c r="P667" t="s">
        <v>302</v>
      </c>
      <c r="R667" t="str">
        <f t="shared" si="33"/>
        <v>TAB-AN</v>
      </c>
      <c r="S667">
        <f t="shared" si="31"/>
        <v>55</v>
      </c>
      <c r="T667">
        <f t="shared" si="32"/>
        <v>-21.64</v>
      </c>
      <c r="U667">
        <f>IF(SQRT(POWER(T667-F667,2))+SQRT(POWER(E667-S667,2))=0,0,SQRT(POWER(T667-F667,2))+SQRT(POWER(E667-S667,2))+DATOS!$H$20)</f>
        <v>34.01</v>
      </c>
    </row>
    <row r="668" spans="1:21">
      <c r="A668" t="s">
        <v>349</v>
      </c>
      <c r="B668" t="s">
        <v>172</v>
      </c>
      <c r="C668" t="s">
        <v>32</v>
      </c>
      <c r="E668">
        <v>52.73</v>
      </c>
      <c r="F668">
        <v>5.39</v>
      </c>
      <c r="G668">
        <v>0</v>
      </c>
      <c r="H668">
        <v>180</v>
      </c>
      <c r="L668">
        <v>127</v>
      </c>
      <c r="M668">
        <v>1</v>
      </c>
      <c r="N668">
        <v>2</v>
      </c>
      <c r="P668" t="s">
        <v>302</v>
      </c>
      <c r="R668" t="str">
        <f t="shared" si="33"/>
        <v>TAB-AN</v>
      </c>
      <c r="S668">
        <f t="shared" si="31"/>
        <v>55</v>
      </c>
      <c r="T668">
        <f t="shared" si="32"/>
        <v>-21.64</v>
      </c>
      <c r="U668">
        <f>IF(SQRT(POWER(T668-F668,2))+SQRT(POWER(E668-S668,2))=0,0,SQRT(POWER(T668-F668,2))+SQRT(POWER(E668-S668,2))+DATOS!$H$20)</f>
        <v>34.300000000000004</v>
      </c>
    </row>
    <row r="669" spans="1:21">
      <c r="A669" t="s">
        <v>344</v>
      </c>
      <c r="B669" t="s">
        <v>172</v>
      </c>
      <c r="C669" t="s">
        <v>32</v>
      </c>
      <c r="E669">
        <v>54.82</v>
      </c>
      <c r="F669">
        <v>5.39</v>
      </c>
      <c r="G669">
        <v>0</v>
      </c>
      <c r="H669">
        <v>180</v>
      </c>
      <c r="L669">
        <v>127</v>
      </c>
      <c r="M669">
        <v>1</v>
      </c>
      <c r="N669">
        <v>2</v>
      </c>
      <c r="P669" t="s">
        <v>345</v>
      </c>
      <c r="R669" t="str">
        <f t="shared" si="33"/>
        <v>TAB-AN</v>
      </c>
      <c r="S669">
        <f t="shared" si="31"/>
        <v>55</v>
      </c>
      <c r="T669">
        <f t="shared" si="32"/>
        <v>-21.64</v>
      </c>
      <c r="U669">
        <f>IF(SQRT(POWER(T669-F669,2))+SQRT(POWER(E669-S669,2))=0,0,SQRT(POWER(T669-F669,2))+SQRT(POWER(E669-S669,2))+DATOS!$H$20)</f>
        <v>32.21</v>
      </c>
    </row>
    <row r="670" spans="1:21">
      <c r="A670" t="s">
        <v>344</v>
      </c>
      <c r="B670" t="s">
        <v>172</v>
      </c>
      <c r="C670" t="s">
        <v>32</v>
      </c>
      <c r="E670">
        <v>54.53</v>
      </c>
      <c r="F670">
        <v>5.39</v>
      </c>
      <c r="G670">
        <v>0</v>
      </c>
      <c r="H670">
        <v>180</v>
      </c>
      <c r="L670">
        <v>127</v>
      </c>
      <c r="M670">
        <v>1</v>
      </c>
      <c r="N670">
        <v>2</v>
      </c>
      <c r="P670" t="s">
        <v>345</v>
      </c>
      <c r="R670" t="str">
        <f t="shared" si="33"/>
        <v>TAB-AN</v>
      </c>
      <c r="S670">
        <f t="shared" si="31"/>
        <v>55</v>
      </c>
      <c r="T670">
        <f t="shared" si="32"/>
        <v>-21.64</v>
      </c>
      <c r="U670">
        <f>IF(SQRT(POWER(T670-F670,2))+SQRT(POWER(E670-S670,2))=0,0,SQRT(POWER(T670-F670,2))+SQRT(POWER(E670-S670,2))+DATOS!$H$20)</f>
        <v>32.5</v>
      </c>
    </row>
    <row r="671" spans="1:21">
      <c r="A671" t="s">
        <v>344</v>
      </c>
      <c r="B671" t="s">
        <v>172</v>
      </c>
      <c r="C671" t="s">
        <v>32</v>
      </c>
      <c r="E671">
        <v>58.38</v>
      </c>
      <c r="F671">
        <v>5.13</v>
      </c>
      <c r="G671">
        <v>0</v>
      </c>
      <c r="H671">
        <v>180</v>
      </c>
      <c r="L671">
        <v>127</v>
      </c>
      <c r="M671">
        <v>1</v>
      </c>
      <c r="N671">
        <v>2</v>
      </c>
      <c r="P671" t="s">
        <v>345</v>
      </c>
      <c r="R671" t="str">
        <f t="shared" si="33"/>
        <v>TAB-AN</v>
      </c>
      <c r="S671">
        <f t="shared" si="31"/>
        <v>55</v>
      </c>
      <c r="T671">
        <f t="shared" si="32"/>
        <v>-21.64</v>
      </c>
      <c r="U671">
        <f>IF(SQRT(POWER(T671-F671,2))+SQRT(POWER(E671-S671,2))=0,0,SQRT(POWER(T671-F671,2))+SQRT(POWER(E671-S671,2))+DATOS!$H$20)</f>
        <v>35.150000000000006</v>
      </c>
    </row>
    <row r="672" spans="1:21">
      <c r="A672" t="s">
        <v>344</v>
      </c>
      <c r="B672" t="s">
        <v>172</v>
      </c>
      <c r="C672" t="s">
        <v>32</v>
      </c>
      <c r="E672">
        <v>56.62</v>
      </c>
      <c r="F672">
        <v>5.39</v>
      </c>
      <c r="G672">
        <v>0</v>
      </c>
      <c r="H672">
        <v>180</v>
      </c>
      <c r="L672">
        <v>127</v>
      </c>
      <c r="M672">
        <v>1</v>
      </c>
      <c r="N672">
        <v>2</v>
      </c>
      <c r="P672" t="s">
        <v>345</v>
      </c>
      <c r="R672" t="str">
        <f t="shared" si="33"/>
        <v>TAB-AN</v>
      </c>
      <c r="S672">
        <f t="shared" si="31"/>
        <v>55</v>
      </c>
      <c r="T672">
        <f t="shared" si="32"/>
        <v>-21.64</v>
      </c>
      <c r="U672">
        <f>IF(SQRT(POWER(T672-F672,2))+SQRT(POWER(E672-S672,2))=0,0,SQRT(POWER(T672-F672,2))+SQRT(POWER(E672-S672,2))+DATOS!$H$20)</f>
        <v>33.65</v>
      </c>
    </row>
    <row r="673" spans="1:21">
      <c r="A673" t="s">
        <v>344</v>
      </c>
      <c r="B673" t="s">
        <v>172</v>
      </c>
      <c r="C673" t="s">
        <v>32</v>
      </c>
      <c r="E673">
        <v>56.33</v>
      </c>
      <c r="F673">
        <v>5.39</v>
      </c>
      <c r="G673">
        <v>0</v>
      </c>
      <c r="H673">
        <v>180</v>
      </c>
      <c r="L673">
        <v>127</v>
      </c>
      <c r="M673">
        <v>1</v>
      </c>
      <c r="N673">
        <v>2</v>
      </c>
      <c r="P673" t="s">
        <v>345</v>
      </c>
      <c r="R673" t="str">
        <f t="shared" si="33"/>
        <v>TAB-AN</v>
      </c>
      <c r="S673">
        <f t="shared" si="31"/>
        <v>55</v>
      </c>
      <c r="T673">
        <f t="shared" si="32"/>
        <v>-21.64</v>
      </c>
      <c r="U673">
        <f>IF(SQRT(POWER(T673-F673,2))+SQRT(POWER(E673-S673,2))=0,0,SQRT(POWER(T673-F673,2))+SQRT(POWER(E673-S673,2))+DATOS!$H$20)</f>
        <v>33.36</v>
      </c>
    </row>
    <row r="674" spans="1:21">
      <c r="A674" t="s">
        <v>337</v>
      </c>
      <c r="B674" t="s">
        <v>172</v>
      </c>
      <c r="C674" t="s">
        <v>32</v>
      </c>
      <c r="E674">
        <v>22.44</v>
      </c>
      <c r="F674">
        <v>-9.94</v>
      </c>
      <c r="G674">
        <v>0</v>
      </c>
      <c r="H674">
        <v>180</v>
      </c>
      <c r="L674">
        <v>127</v>
      </c>
      <c r="M674">
        <v>1</v>
      </c>
      <c r="N674">
        <v>2</v>
      </c>
      <c r="P674" t="s">
        <v>315</v>
      </c>
      <c r="R674" t="str">
        <f t="shared" si="33"/>
        <v>TAB-AN</v>
      </c>
      <c r="S674">
        <f t="shared" si="31"/>
        <v>55</v>
      </c>
      <c r="T674">
        <f t="shared" si="32"/>
        <v>-21.64</v>
      </c>
      <c r="U674">
        <f>IF(SQRT(POWER(T674-F674,2))+SQRT(POWER(E674-S674,2))=0,0,SQRT(POWER(T674-F674,2))+SQRT(POWER(E674-S674,2))+DATOS!$H$20)</f>
        <v>49.260000000000005</v>
      </c>
    </row>
    <row r="675" spans="1:21">
      <c r="A675" t="s">
        <v>337</v>
      </c>
      <c r="B675" t="s">
        <v>172</v>
      </c>
      <c r="C675" t="s">
        <v>32</v>
      </c>
      <c r="E675">
        <v>22.44</v>
      </c>
      <c r="F675">
        <v>-9.65</v>
      </c>
      <c r="G675">
        <v>0</v>
      </c>
      <c r="H675">
        <v>180</v>
      </c>
      <c r="L675">
        <v>127</v>
      </c>
      <c r="M675">
        <v>1</v>
      </c>
      <c r="N675">
        <v>2</v>
      </c>
      <c r="P675" t="s">
        <v>315</v>
      </c>
      <c r="R675" t="str">
        <f t="shared" si="33"/>
        <v>TAB-AN</v>
      </c>
      <c r="S675">
        <f t="shared" si="31"/>
        <v>55</v>
      </c>
      <c r="T675">
        <f t="shared" si="32"/>
        <v>-21.64</v>
      </c>
      <c r="U675">
        <f>IF(SQRT(POWER(T675-F675,2))+SQRT(POWER(E675-S675,2))=0,0,SQRT(POWER(T675-F675,2))+SQRT(POWER(E675-S675,2))+DATOS!$H$20)</f>
        <v>49.550000000000004</v>
      </c>
    </row>
    <row r="676" spans="1:21">
      <c r="A676" t="s">
        <v>337</v>
      </c>
      <c r="B676" t="s">
        <v>172</v>
      </c>
      <c r="C676" t="s">
        <v>32</v>
      </c>
      <c r="E676">
        <v>22.44</v>
      </c>
      <c r="F676">
        <v>-7.17</v>
      </c>
      <c r="G676">
        <v>0</v>
      </c>
      <c r="H676">
        <v>180</v>
      </c>
      <c r="L676">
        <v>127</v>
      </c>
      <c r="M676">
        <v>1</v>
      </c>
      <c r="N676">
        <v>2</v>
      </c>
      <c r="P676" t="s">
        <v>315</v>
      </c>
      <c r="R676" t="str">
        <f t="shared" si="33"/>
        <v>TAB-AN</v>
      </c>
      <c r="S676">
        <f t="shared" si="31"/>
        <v>55</v>
      </c>
      <c r="T676">
        <f t="shared" si="32"/>
        <v>-21.64</v>
      </c>
      <c r="U676">
        <f>IF(SQRT(POWER(T676-F676,2))+SQRT(POWER(E676-S676,2))=0,0,SQRT(POWER(T676-F676,2))+SQRT(POWER(E676-S676,2))+DATOS!$H$20)</f>
        <v>52.03</v>
      </c>
    </row>
    <row r="677" spans="1:21">
      <c r="A677" t="s">
        <v>337</v>
      </c>
      <c r="B677" t="s">
        <v>172</v>
      </c>
      <c r="C677" t="s">
        <v>32</v>
      </c>
      <c r="E677">
        <v>22.44</v>
      </c>
      <c r="F677">
        <v>-6.88</v>
      </c>
      <c r="G677">
        <v>0</v>
      </c>
      <c r="H677">
        <v>180</v>
      </c>
      <c r="L677">
        <v>127</v>
      </c>
      <c r="M677">
        <v>1</v>
      </c>
      <c r="N677">
        <v>2</v>
      </c>
      <c r="P677" t="s">
        <v>315</v>
      </c>
      <c r="R677" t="str">
        <f t="shared" si="33"/>
        <v>TAB-AN</v>
      </c>
      <c r="S677">
        <f t="shared" si="31"/>
        <v>55</v>
      </c>
      <c r="T677">
        <f t="shared" si="32"/>
        <v>-21.64</v>
      </c>
      <c r="U677">
        <f>IF(SQRT(POWER(T677-F677,2))+SQRT(POWER(E677-S677,2))=0,0,SQRT(POWER(T677-F677,2))+SQRT(POWER(E677-S677,2))+DATOS!$H$20)</f>
        <v>52.320000000000007</v>
      </c>
    </row>
    <row r="678" spans="1:21">
      <c r="A678" t="s">
        <v>334</v>
      </c>
      <c r="B678" t="s">
        <v>172</v>
      </c>
      <c r="C678" t="s">
        <v>32</v>
      </c>
      <c r="E678">
        <v>22.44</v>
      </c>
      <c r="F678">
        <v>-4.71</v>
      </c>
      <c r="G678">
        <v>0</v>
      </c>
      <c r="H678">
        <v>180</v>
      </c>
      <c r="L678">
        <v>127</v>
      </c>
      <c r="M678">
        <v>1</v>
      </c>
      <c r="N678">
        <v>2</v>
      </c>
      <c r="P678" t="s">
        <v>315</v>
      </c>
      <c r="R678" t="str">
        <f t="shared" si="33"/>
        <v>TAB-AN</v>
      </c>
      <c r="S678">
        <f t="shared" si="31"/>
        <v>55</v>
      </c>
      <c r="T678">
        <f t="shared" si="32"/>
        <v>-21.64</v>
      </c>
      <c r="U678">
        <f>IF(SQRT(POWER(T678-F678,2))+SQRT(POWER(E678-S678,2))=0,0,SQRT(POWER(T678-F678,2))+SQRT(POWER(E678-S678,2))+DATOS!$H$20)</f>
        <v>54.49</v>
      </c>
    </row>
    <row r="679" spans="1:21">
      <c r="A679" t="s">
        <v>334</v>
      </c>
      <c r="B679" t="s">
        <v>172</v>
      </c>
      <c r="C679" t="s">
        <v>32</v>
      </c>
      <c r="E679">
        <v>22.44</v>
      </c>
      <c r="F679">
        <v>-4.42</v>
      </c>
      <c r="G679">
        <v>0</v>
      </c>
      <c r="H679">
        <v>180</v>
      </c>
      <c r="L679">
        <v>127</v>
      </c>
      <c r="M679">
        <v>1</v>
      </c>
      <c r="N679">
        <v>2</v>
      </c>
      <c r="P679" t="s">
        <v>315</v>
      </c>
      <c r="R679" t="str">
        <f t="shared" si="33"/>
        <v>TAB-AN</v>
      </c>
      <c r="S679">
        <f t="shared" si="31"/>
        <v>55</v>
      </c>
      <c r="T679">
        <f t="shared" si="32"/>
        <v>-21.64</v>
      </c>
      <c r="U679">
        <f>IF(SQRT(POWER(T679-F679,2))+SQRT(POWER(E679-S679,2))=0,0,SQRT(POWER(T679-F679,2))+SQRT(POWER(E679-S679,2))+DATOS!$H$20)</f>
        <v>54.78</v>
      </c>
    </row>
    <row r="680" spans="1:21">
      <c r="A680" t="s">
        <v>334</v>
      </c>
      <c r="B680" t="s">
        <v>172</v>
      </c>
      <c r="C680" t="s">
        <v>32</v>
      </c>
      <c r="E680">
        <v>22.44</v>
      </c>
      <c r="F680">
        <v>-2.94</v>
      </c>
      <c r="G680">
        <v>0</v>
      </c>
      <c r="H680">
        <v>180</v>
      </c>
      <c r="L680">
        <v>127</v>
      </c>
      <c r="M680">
        <v>1</v>
      </c>
      <c r="N680">
        <v>2</v>
      </c>
      <c r="P680" t="s">
        <v>315</v>
      </c>
      <c r="R680" t="str">
        <f t="shared" si="33"/>
        <v>TAB-AN</v>
      </c>
      <c r="S680">
        <f t="shared" si="31"/>
        <v>55</v>
      </c>
      <c r="T680">
        <f t="shared" si="32"/>
        <v>-21.64</v>
      </c>
      <c r="U680">
        <f>IF(SQRT(POWER(T680-F680,2))+SQRT(POWER(E680-S680,2))=0,0,SQRT(POWER(T680-F680,2))+SQRT(POWER(E680-S680,2))+DATOS!$H$20)</f>
        <v>56.260000000000005</v>
      </c>
    </row>
    <row r="681" spans="1:21">
      <c r="A681" t="s">
        <v>334</v>
      </c>
      <c r="B681" t="s">
        <v>172</v>
      </c>
      <c r="C681" t="s">
        <v>32</v>
      </c>
      <c r="E681">
        <v>22.44</v>
      </c>
      <c r="F681">
        <v>-2.65</v>
      </c>
      <c r="G681">
        <v>0</v>
      </c>
      <c r="H681">
        <v>180</v>
      </c>
      <c r="L681">
        <v>127</v>
      </c>
      <c r="M681">
        <v>1</v>
      </c>
      <c r="N681">
        <v>2</v>
      </c>
      <c r="P681" t="s">
        <v>315</v>
      </c>
      <c r="R681" t="str">
        <f t="shared" si="33"/>
        <v>TAB-AN</v>
      </c>
      <c r="S681">
        <f t="shared" si="31"/>
        <v>55</v>
      </c>
      <c r="T681">
        <f t="shared" si="32"/>
        <v>-21.64</v>
      </c>
      <c r="U681">
        <f>IF(SQRT(POWER(T681-F681,2))+SQRT(POWER(E681-S681,2))=0,0,SQRT(POWER(T681-F681,2))+SQRT(POWER(E681-S681,2))+DATOS!$H$20)</f>
        <v>56.550000000000004</v>
      </c>
    </row>
    <row r="682" spans="1:21">
      <c r="A682" t="s">
        <v>350</v>
      </c>
      <c r="B682" t="s">
        <v>120</v>
      </c>
      <c r="C682" t="s">
        <v>121</v>
      </c>
      <c r="E682">
        <v>35.28</v>
      </c>
      <c r="F682">
        <v>1.5</v>
      </c>
      <c r="G682">
        <v>0</v>
      </c>
      <c r="H682">
        <v>180</v>
      </c>
      <c r="I682">
        <v>180</v>
      </c>
      <c r="L682">
        <v>127</v>
      </c>
      <c r="M682">
        <v>1</v>
      </c>
      <c r="N682">
        <v>2</v>
      </c>
      <c r="P682" t="s">
        <v>336</v>
      </c>
      <c r="R682" t="str">
        <f t="shared" si="33"/>
        <v>TAB-AN</v>
      </c>
      <c r="S682">
        <f t="shared" si="31"/>
        <v>55</v>
      </c>
      <c r="T682">
        <f t="shared" si="32"/>
        <v>-21.64</v>
      </c>
      <c r="U682">
        <f>IF(SQRT(POWER(T682-F682,2))+SQRT(POWER(E682-S682,2))=0,0,SQRT(POWER(T682-F682,2))+SQRT(POWER(E682-S682,2))+DATOS!$H$20)</f>
        <v>47.86</v>
      </c>
    </row>
    <row r="683" spans="1:21">
      <c r="A683" t="s">
        <v>350</v>
      </c>
      <c r="B683" t="s">
        <v>120</v>
      </c>
      <c r="C683" t="s">
        <v>121</v>
      </c>
      <c r="E683">
        <v>35.28</v>
      </c>
      <c r="F683">
        <v>3.08</v>
      </c>
      <c r="G683">
        <v>0</v>
      </c>
      <c r="H683">
        <v>180</v>
      </c>
      <c r="I683">
        <v>180</v>
      </c>
      <c r="L683">
        <v>127</v>
      </c>
      <c r="M683">
        <v>1</v>
      </c>
      <c r="N683">
        <v>2</v>
      </c>
      <c r="P683" t="s">
        <v>336</v>
      </c>
      <c r="R683" t="str">
        <f t="shared" si="33"/>
        <v>TAB-AN</v>
      </c>
      <c r="S683">
        <f t="shared" si="31"/>
        <v>55</v>
      </c>
      <c r="T683">
        <f t="shared" si="32"/>
        <v>-21.64</v>
      </c>
      <c r="U683">
        <f>IF(SQRT(POWER(T683-F683,2))+SQRT(POWER(E683-S683,2))=0,0,SQRT(POWER(T683-F683,2))+SQRT(POWER(E683-S683,2))+DATOS!$H$20)</f>
        <v>49.44</v>
      </c>
    </row>
    <row r="684" spans="1:21">
      <c r="A684" t="s">
        <v>350</v>
      </c>
      <c r="B684" t="s">
        <v>120</v>
      </c>
      <c r="C684" t="s">
        <v>121</v>
      </c>
      <c r="E684">
        <v>35.28</v>
      </c>
      <c r="F684">
        <v>4.3899999999999997</v>
      </c>
      <c r="G684">
        <v>0</v>
      </c>
      <c r="H684">
        <v>180</v>
      </c>
      <c r="I684">
        <v>180</v>
      </c>
      <c r="L684">
        <v>127</v>
      </c>
      <c r="M684">
        <v>1</v>
      </c>
      <c r="N684">
        <v>2</v>
      </c>
      <c r="P684" t="s">
        <v>336</v>
      </c>
      <c r="R684" t="str">
        <f t="shared" si="33"/>
        <v>TAB-AN</v>
      </c>
      <c r="S684">
        <f t="shared" si="31"/>
        <v>55</v>
      </c>
      <c r="T684">
        <f t="shared" si="32"/>
        <v>-21.64</v>
      </c>
      <c r="U684">
        <f>IF(SQRT(POWER(T684-F684,2))+SQRT(POWER(E684-S684,2))=0,0,SQRT(POWER(T684-F684,2))+SQRT(POWER(E684-S684,2))+DATOS!$H$20)</f>
        <v>50.75</v>
      </c>
    </row>
    <row r="685" spans="1:21">
      <c r="A685" t="s">
        <v>338</v>
      </c>
      <c r="B685" t="s">
        <v>120</v>
      </c>
      <c r="C685" t="s">
        <v>121</v>
      </c>
      <c r="E685">
        <v>30.49</v>
      </c>
      <c r="F685">
        <v>0.79</v>
      </c>
      <c r="G685">
        <v>0</v>
      </c>
      <c r="H685">
        <v>180</v>
      </c>
      <c r="I685">
        <v>180</v>
      </c>
      <c r="L685">
        <v>127</v>
      </c>
      <c r="M685">
        <v>1</v>
      </c>
      <c r="N685">
        <v>2</v>
      </c>
      <c r="P685" t="s">
        <v>336</v>
      </c>
      <c r="R685" t="str">
        <f t="shared" si="33"/>
        <v>TAB-AN</v>
      </c>
      <c r="S685">
        <f t="shared" si="31"/>
        <v>55</v>
      </c>
      <c r="T685">
        <f t="shared" si="32"/>
        <v>-21.64</v>
      </c>
      <c r="U685">
        <f>IF(SQRT(POWER(T685-F685,2))+SQRT(POWER(E685-S685,2))=0,0,SQRT(POWER(T685-F685,2))+SQRT(POWER(E685-S685,2))+DATOS!$H$20)</f>
        <v>51.94</v>
      </c>
    </row>
    <row r="686" spans="1:21">
      <c r="A686" t="s">
        <v>338</v>
      </c>
      <c r="B686" t="s">
        <v>120</v>
      </c>
      <c r="C686" t="s">
        <v>121</v>
      </c>
      <c r="E686">
        <v>30.49</v>
      </c>
      <c r="F686">
        <v>2.44</v>
      </c>
      <c r="G686">
        <v>0</v>
      </c>
      <c r="H686">
        <v>180</v>
      </c>
      <c r="I686">
        <v>180</v>
      </c>
      <c r="L686">
        <v>127</v>
      </c>
      <c r="M686">
        <v>1</v>
      </c>
      <c r="N686">
        <v>2</v>
      </c>
      <c r="P686" t="s">
        <v>336</v>
      </c>
      <c r="R686" t="str">
        <f t="shared" si="33"/>
        <v>TAB-AN</v>
      </c>
      <c r="S686">
        <f t="shared" si="31"/>
        <v>55</v>
      </c>
      <c r="T686">
        <f t="shared" si="32"/>
        <v>-21.64</v>
      </c>
      <c r="U686">
        <f>IF(SQRT(POWER(T686-F686,2))+SQRT(POWER(E686-S686,2))=0,0,SQRT(POWER(T686-F686,2))+SQRT(POWER(E686-S686,2))+DATOS!$H$20)</f>
        <v>53.59</v>
      </c>
    </row>
    <row r="687" spans="1:21">
      <c r="A687" t="s">
        <v>338</v>
      </c>
      <c r="B687" t="s">
        <v>120</v>
      </c>
      <c r="C687" t="s">
        <v>121</v>
      </c>
      <c r="E687">
        <v>30.49</v>
      </c>
      <c r="F687">
        <v>4.1900000000000004</v>
      </c>
      <c r="G687">
        <v>0</v>
      </c>
      <c r="H687">
        <v>180</v>
      </c>
      <c r="I687">
        <v>180</v>
      </c>
      <c r="L687">
        <v>127</v>
      </c>
      <c r="M687">
        <v>1</v>
      </c>
      <c r="N687">
        <v>2</v>
      </c>
      <c r="P687" t="s">
        <v>336</v>
      </c>
      <c r="R687" t="str">
        <f t="shared" si="33"/>
        <v>TAB-AN</v>
      </c>
      <c r="S687">
        <f t="shared" si="31"/>
        <v>55</v>
      </c>
      <c r="T687">
        <f t="shared" si="32"/>
        <v>-21.64</v>
      </c>
      <c r="U687">
        <f>IF(SQRT(POWER(T687-F687,2))+SQRT(POWER(E687-S687,2))=0,0,SQRT(POWER(T687-F687,2))+SQRT(POWER(E687-S687,2))+DATOS!$H$20)</f>
        <v>55.34</v>
      </c>
    </row>
    <row r="688" spans="1:21">
      <c r="A688" t="s">
        <v>350</v>
      </c>
      <c r="B688" t="s">
        <v>120</v>
      </c>
      <c r="C688" t="s">
        <v>121</v>
      </c>
      <c r="E688">
        <v>34.64</v>
      </c>
      <c r="F688">
        <v>7.68</v>
      </c>
      <c r="G688">
        <v>0</v>
      </c>
      <c r="I688">
        <v>180</v>
      </c>
      <c r="L688">
        <v>127</v>
      </c>
      <c r="M688">
        <v>1</v>
      </c>
      <c r="N688">
        <v>2</v>
      </c>
      <c r="P688" t="s">
        <v>336</v>
      </c>
      <c r="R688" t="str">
        <f t="shared" si="33"/>
        <v>TAB-AN</v>
      </c>
      <c r="S688">
        <f t="shared" si="31"/>
        <v>55</v>
      </c>
      <c r="T688">
        <f t="shared" si="32"/>
        <v>-21.64</v>
      </c>
      <c r="U688">
        <f>IF(SQRT(POWER(T688-F688,2))+SQRT(POWER(E688-S688,2))=0,0,SQRT(POWER(T688-F688,2))+SQRT(POWER(E688-S688,2))+DATOS!$H$20)</f>
        <v>54.68</v>
      </c>
    </row>
    <row r="689" spans="1:21">
      <c r="A689" t="s">
        <v>350</v>
      </c>
      <c r="B689" t="s">
        <v>120</v>
      </c>
      <c r="C689" t="s">
        <v>121</v>
      </c>
      <c r="E689">
        <v>34.64</v>
      </c>
      <c r="F689">
        <v>9.26</v>
      </c>
      <c r="G689">
        <v>0</v>
      </c>
      <c r="I689">
        <v>180</v>
      </c>
      <c r="L689">
        <v>127</v>
      </c>
      <c r="M689">
        <v>1</v>
      </c>
      <c r="N689">
        <v>2</v>
      </c>
      <c r="P689" t="s">
        <v>336</v>
      </c>
      <c r="R689" t="str">
        <f t="shared" si="33"/>
        <v>TAB-AN</v>
      </c>
      <c r="S689">
        <f t="shared" si="31"/>
        <v>55</v>
      </c>
      <c r="T689">
        <f t="shared" si="32"/>
        <v>-21.64</v>
      </c>
      <c r="U689">
        <f>IF(SQRT(POWER(T689-F689,2))+SQRT(POWER(E689-S689,2))=0,0,SQRT(POWER(T689-F689,2))+SQRT(POWER(E689-S689,2))+DATOS!$H$20)</f>
        <v>56.26</v>
      </c>
    </row>
    <row r="690" spans="1:21">
      <c r="A690" t="s">
        <v>322</v>
      </c>
      <c r="B690" t="s">
        <v>120</v>
      </c>
      <c r="C690" t="s">
        <v>121</v>
      </c>
      <c r="E690">
        <v>28.67</v>
      </c>
      <c r="F690">
        <v>4.5999999999999996</v>
      </c>
      <c r="G690">
        <v>0</v>
      </c>
      <c r="I690">
        <v>180</v>
      </c>
      <c r="L690">
        <v>127</v>
      </c>
      <c r="M690">
        <v>1</v>
      </c>
      <c r="N690">
        <v>2</v>
      </c>
      <c r="P690" t="s">
        <v>323</v>
      </c>
      <c r="R690" t="str">
        <f t="shared" si="33"/>
        <v>TAB-AN</v>
      </c>
      <c r="S690">
        <f t="shared" si="31"/>
        <v>55</v>
      </c>
      <c r="T690">
        <f t="shared" si="32"/>
        <v>-21.64</v>
      </c>
      <c r="U690">
        <f>IF(SQRT(POWER(T690-F690,2))+SQRT(POWER(E690-S690,2))=0,0,SQRT(POWER(T690-F690,2))+SQRT(POWER(E690-S690,2))+DATOS!$H$20)</f>
        <v>57.57</v>
      </c>
    </row>
    <row r="691" spans="1:21">
      <c r="A691" t="s">
        <v>322</v>
      </c>
      <c r="B691" t="s">
        <v>120</v>
      </c>
      <c r="C691" t="s">
        <v>121</v>
      </c>
      <c r="E691">
        <v>28.67</v>
      </c>
      <c r="F691">
        <v>7.46</v>
      </c>
      <c r="G691">
        <v>0</v>
      </c>
      <c r="I691">
        <v>180</v>
      </c>
      <c r="L691">
        <v>127</v>
      </c>
      <c r="M691">
        <v>1</v>
      </c>
      <c r="N691">
        <v>2</v>
      </c>
      <c r="P691" t="s">
        <v>323</v>
      </c>
      <c r="R691" t="str">
        <f t="shared" si="33"/>
        <v>TAB-AN</v>
      </c>
      <c r="S691">
        <f t="shared" si="31"/>
        <v>55</v>
      </c>
      <c r="T691">
        <f t="shared" si="32"/>
        <v>-21.64</v>
      </c>
      <c r="U691">
        <f>IF(SQRT(POWER(T691-F691,2))+SQRT(POWER(E691-S691,2))=0,0,SQRT(POWER(T691-F691,2))+SQRT(POWER(E691-S691,2))+DATOS!$H$20)</f>
        <v>60.43</v>
      </c>
    </row>
    <row r="692" spans="1:21">
      <c r="A692" t="s">
        <v>322</v>
      </c>
      <c r="B692" t="s">
        <v>120</v>
      </c>
      <c r="C692" t="s">
        <v>121</v>
      </c>
      <c r="E692">
        <v>25.01</v>
      </c>
      <c r="F692">
        <v>4.5999999999999996</v>
      </c>
      <c r="G692">
        <v>0</v>
      </c>
      <c r="I692">
        <v>180</v>
      </c>
      <c r="L692">
        <v>127</v>
      </c>
      <c r="M692">
        <v>1</v>
      </c>
      <c r="N692">
        <v>2</v>
      </c>
      <c r="P692" t="s">
        <v>323</v>
      </c>
      <c r="R692" t="str">
        <f t="shared" si="33"/>
        <v>TAB-AN</v>
      </c>
      <c r="S692">
        <f t="shared" si="31"/>
        <v>55</v>
      </c>
      <c r="T692">
        <f t="shared" si="32"/>
        <v>-21.64</v>
      </c>
      <c r="U692">
        <f>IF(SQRT(POWER(T692-F692,2))+SQRT(POWER(E692-S692,2))=0,0,SQRT(POWER(T692-F692,2))+SQRT(POWER(E692-S692,2))+DATOS!$H$20)</f>
        <v>61.230000000000004</v>
      </c>
    </row>
    <row r="693" spans="1:21">
      <c r="A693" t="s">
        <v>322</v>
      </c>
      <c r="B693" t="s">
        <v>120</v>
      </c>
      <c r="C693" t="s">
        <v>121</v>
      </c>
      <c r="E693">
        <v>25.01</v>
      </c>
      <c r="F693">
        <v>7.46</v>
      </c>
      <c r="G693">
        <v>0</v>
      </c>
      <c r="I693">
        <v>180</v>
      </c>
      <c r="L693">
        <v>127</v>
      </c>
      <c r="M693">
        <v>1</v>
      </c>
      <c r="N693">
        <v>2</v>
      </c>
      <c r="P693" t="s">
        <v>323</v>
      </c>
      <c r="R693" t="str">
        <f t="shared" si="33"/>
        <v>TAB-AN</v>
      </c>
      <c r="S693">
        <f t="shared" si="31"/>
        <v>55</v>
      </c>
      <c r="T693">
        <f t="shared" si="32"/>
        <v>-21.64</v>
      </c>
      <c r="U693">
        <f>IF(SQRT(POWER(T693-F693,2))+SQRT(POWER(E693-S693,2))=0,0,SQRT(POWER(T693-F693,2))+SQRT(POWER(E693-S693,2))+DATOS!$H$20)</f>
        <v>64.09</v>
      </c>
    </row>
    <row r="694" spans="1:21">
      <c r="A694" t="s">
        <v>324</v>
      </c>
      <c r="B694" t="s">
        <v>120</v>
      </c>
      <c r="C694" t="s">
        <v>121</v>
      </c>
      <c r="E694">
        <v>56.77</v>
      </c>
      <c r="F694">
        <v>-19.75</v>
      </c>
      <c r="G694">
        <v>0</v>
      </c>
      <c r="I694">
        <v>180</v>
      </c>
      <c r="L694">
        <v>127</v>
      </c>
      <c r="M694">
        <v>1</v>
      </c>
      <c r="N694">
        <v>2</v>
      </c>
      <c r="R694" t="str">
        <f t="shared" si="33"/>
        <v>TAB-AN</v>
      </c>
      <c r="S694">
        <f t="shared" si="31"/>
        <v>55</v>
      </c>
      <c r="T694">
        <f t="shared" si="32"/>
        <v>-21.64</v>
      </c>
      <c r="U694">
        <f>IF(SQRT(POWER(T694-F694,2))+SQRT(POWER(E694-S694,2))=0,0,SQRT(POWER(T694-F694,2))+SQRT(POWER(E694-S694,2))+DATOS!$H$20)</f>
        <v>8.6600000000000037</v>
      </c>
    </row>
    <row r="695" spans="1:21">
      <c r="A695" t="s">
        <v>324</v>
      </c>
      <c r="B695" t="s">
        <v>120</v>
      </c>
      <c r="C695" t="s">
        <v>121</v>
      </c>
      <c r="E695">
        <v>63.26</v>
      </c>
      <c r="F695">
        <v>-19.75</v>
      </c>
      <c r="G695">
        <v>0</v>
      </c>
      <c r="I695">
        <v>180</v>
      </c>
      <c r="L695">
        <v>127</v>
      </c>
      <c r="M695">
        <v>1</v>
      </c>
      <c r="N695">
        <v>2</v>
      </c>
      <c r="P695" t="s">
        <v>325</v>
      </c>
      <c r="R695" t="str">
        <f t="shared" si="33"/>
        <v>TAB-AN</v>
      </c>
      <c r="S695">
        <f t="shared" si="31"/>
        <v>55</v>
      </c>
      <c r="T695">
        <f t="shared" si="32"/>
        <v>-21.64</v>
      </c>
      <c r="U695">
        <f>IF(SQRT(POWER(T695-F695,2))+SQRT(POWER(E695-S695,2))=0,0,SQRT(POWER(T695-F695,2))+SQRT(POWER(E695-S695,2))+DATOS!$H$20)</f>
        <v>15.149999999999999</v>
      </c>
    </row>
    <row r="696" spans="1:21">
      <c r="A696" t="s">
        <v>324</v>
      </c>
      <c r="B696" t="s">
        <v>120</v>
      </c>
      <c r="C696" t="s">
        <v>121</v>
      </c>
      <c r="E696">
        <v>59.7</v>
      </c>
      <c r="F696">
        <v>-19.75</v>
      </c>
      <c r="G696">
        <v>0</v>
      </c>
      <c r="I696">
        <v>180</v>
      </c>
      <c r="L696">
        <v>127</v>
      </c>
      <c r="M696">
        <v>1</v>
      </c>
      <c r="N696">
        <v>2</v>
      </c>
      <c r="P696" t="s">
        <v>325</v>
      </c>
      <c r="R696" t="str">
        <f t="shared" si="33"/>
        <v>TAB-AN</v>
      </c>
      <c r="S696">
        <f t="shared" si="31"/>
        <v>55</v>
      </c>
      <c r="T696">
        <f t="shared" si="32"/>
        <v>-21.64</v>
      </c>
      <c r="U696">
        <f>IF(SQRT(POWER(T696-F696,2))+SQRT(POWER(E696-S696,2))=0,0,SQRT(POWER(T696-F696,2))+SQRT(POWER(E696-S696,2))+DATOS!$H$20)</f>
        <v>11.590000000000003</v>
      </c>
    </row>
    <row r="697" spans="1:21">
      <c r="A697" t="s">
        <v>324</v>
      </c>
      <c r="B697" t="s">
        <v>120</v>
      </c>
      <c r="C697" t="s">
        <v>121</v>
      </c>
      <c r="E697">
        <v>59.91</v>
      </c>
      <c r="F697">
        <v>-19.75</v>
      </c>
      <c r="G697">
        <v>0</v>
      </c>
      <c r="I697">
        <v>180</v>
      </c>
      <c r="L697">
        <v>127</v>
      </c>
      <c r="M697">
        <v>1</v>
      </c>
      <c r="N697">
        <v>2</v>
      </c>
      <c r="P697" t="s">
        <v>325</v>
      </c>
      <c r="R697" t="str">
        <f t="shared" si="33"/>
        <v>TAB-AN</v>
      </c>
      <c r="S697">
        <f t="shared" si="31"/>
        <v>55</v>
      </c>
      <c r="T697">
        <f t="shared" si="32"/>
        <v>-21.64</v>
      </c>
      <c r="U697">
        <f>IF(SQRT(POWER(T697-F697,2))+SQRT(POWER(E697-S697,2))=0,0,SQRT(POWER(T697-F697,2))+SQRT(POWER(E697-S697,2))+DATOS!$H$20)</f>
        <v>11.799999999999997</v>
      </c>
    </row>
    <row r="698" spans="1:21">
      <c r="A698" t="s">
        <v>324</v>
      </c>
      <c r="B698" t="s">
        <v>120</v>
      </c>
      <c r="C698" t="s">
        <v>121</v>
      </c>
      <c r="E698">
        <v>62.06</v>
      </c>
      <c r="F698">
        <v>-19.75</v>
      </c>
      <c r="G698">
        <v>0</v>
      </c>
      <c r="I698">
        <v>180</v>
      </c>
      <c r="L698">
        <v>127</v>
      </c>
      <c r="M698">
        <v>1</v>
      </c>
      <c r="N698">
        <v>2</v>
      </c>
      <c r="P698" t="s">
        <v>325</v>
      </c>
      <c r="R698" t="str">
        <f t="shared" si="33"/>
        <v>TAB-AN</v>
      </c>
      <c r="S698">
        <f t="shared" si="31"/>
        <v>55</v>
      </c>
      <c r="T698">
        <f t="shared" si="32"/>
        <v>-21.64</v>
      </c>
      <c r="U698">
        <f>IF(SQRT(POWER(T698-F698,2))+SQRT(POWER(E698-S698,2))=0,0,SQRT(POWER(T698-F698,2))+SQRT(POWER(E698-S698,2))+DATOS!$H$20)</f>
        <v>13.950000000000003</v>
      </c>
    </row>
    <row r="699" spans="1:21">
      <c r="R699" t="e">
        <f t="shared" si="33"/>
        <v>#VALUE!</v>
      </c>
      <c r="S699">
        <f t="shared" si="31"/>
        <v>0</v>
      </c>
      <c r="T699">
        <f t="shared" si="32"/>
        <v>0</v>
      </c>
      <c r="U699">
        <f>IF(SQRT(POWER(T699-F699,2))+SQRT(POWER(E699-S699,2))=0,0,SQRT(POWER(T699-F699,2))+SQRT(POWER(E699-S699,2))+DATOS!$H$20)</f>
        <v>0</v>
      </c>
    </row>
    <row r="700" spans="1:21">
      <c r="R700" t="e">
        <f t="shared" si="33"/>
        <v>#VALUE!</v>
      </c>
      <c r="S700">
        <f t="shared" si="31"/>
        <v>0</v>
      </c>
      <c r="T700">
        <f t="shared" si="32"/>
        <v>0</v>
      </c>
      <c r="U700">
        <f>IF(SQRT(POWER(T700-F700,2))+SQRT(POWER(E700-S700,2))=0,0,SQRT(POWER(T700-F700,2))+SQRT(POWER(E700-S700,2))+DATOS!$H$20)</f>
        <v>0</v>
      </c>
    </row>
    <row r="701" spans="1:21">
      <c r="R701" t="e">
        <f t="shared" ref="R701:R764" si="34">"TAB-"&amp;LEFT(A701,FIND("-",A701) -1)</f>
        <v>#VALUE!</v>
      </c>
      <c r="S701">
        <f t="shared" ref="S701:S764" si="35">IFERROR(VLOOKUP(R701,$A$2:$F$700,5,0),E701)</f>
        <v>0</v>
      </c>
      <c r="T701">
        <f t="shared" ref="T701:T764" si="36">IFERROR(VLOOKUP(R701,$A$2:$F$700,6,0),F701)</f>
        <v>0</v>
      </c>
      <c r="U701">
        <f>IF(SQRT(POWER(T701-F701,2))+SQRT(POWER(E701-S701,2))=0,0,SQRT(POWER(T701-F701,2))+SQRT(POWER(E701-S701,2))+DATOS!$H$20)</f>
        <v>0</v>
      </c>
    </row>
    <row r="702" spans="1:21">
      <c r="R702" t="e">
        <f t="shared" si="34"/>
        <v>#VALUE!</v>
      </c>
      <c r="S702">
        <f t="shared" si="35"/>
        <v>0</v>
      </c>
      <c r="T702">
        <f t="shared" si="36"/>
        <v>0</v>
      </c>
      <c r="U702">
        <f>IF(SQRT(POWER(T702-F702,2))+SQRT(POWER(E702-S702,2))=0,0,SQRT(POWER(T702-F702,2))+SQRT(POWER(E702-S702,2))+DATOS!$H$20)</f>
        <v>0</v>
      </c>
    </row>
    <row r="703" spans="1:21">
      <c r="R703" t="e">
        <f t="shared" si="34"/>
        <v>#VALUE!</v>
      </c>
      <c r="S703">
        <f t="shared" si="35"/>
        <v>0</v>
      </c>
      <c r="T703">
        <f t="shared" si="36"/>
        <v>0</v>
      </c>
      <c r="U703">
        <f>IF(SQRT(POWER(T703-F703,2))+SQRT(POWER(E703-S703,2))=0,0,SQRT(POWER(T703-F703,2))+SQRT(POWER(E703-S703,2))+DATOS!$H$20)</f>
        <v>0</v>
      </c>
    </row>
    <row r="704" spans="1:21">
      <c r="R704" t="e">
        <f t="shared" si="34"/>
        <v>#VALUE!</v>
      </c>
      <c r="S704">
        <f t="shared" si="35"/>
        <v>0</v>
      </c>
      <c r="T704">
        <f t="shared" si="36"/>
        <v>0</v>
      </c>
      <c r="U704">
        <f>IF(SQRT(POWER(T704-F704,2))+SQRT(POWER(E704-S704,2))=0,0,SQRT(POWER(T704-F704,2))+SQRT(POWER(E704-S704,2))+DATOS!$H$20)</f>
        <v>0</v>
      </c>
    </row>
    <row r="705" spans="18:21">
      <c r="R705" t="e">
        <f t="shared" si="34"/>
        <v>#VALUE!</v>
      </c>
      <c r="S705">
        <f t="shared" si="35"/>
        <v>0</v>
      </c>
      <c r="T705">
        <f t="shared" si="36"/>
        <v>0</v>
      </c>
      <c r="U705">
        <f>IF(SQRT(POWER(T705-F705,2))+SQRT(POWER(E705-S705,2))=0,0,SQRT(POWER(T705-F705,2))+SQRT(POWER(E705-S705,2))+DATOS!$H$20)</f>
        <v>0</v>
      </c>
    </row>
    <row r="706" spans="18:21">
      <c r="R706" t="e">
        <f t="shared" si="34"/>
        <v>#VALUE!</v>
      </c>
      <c r="S706">
        <f t="shared" si="35"/>
        <v>0</v>
      </c>
      <c r="T706">
        <f t="shared" si="36"/>
        <v>0</v>
      </c>
      <c r="U706">
        <f>IF(SQRT(POWER(T706-F706,2))+SQRT(POWER(E706-S706,2))=0,0,SQRT(POWER(T706-F706,2))+SQRT(POWER(E706-S706,2))+DATOS!$H$20)</f>
        <v>0</v>
      </c>
    </row>
    <row r="707" spans="18:21">
      <c r="R707" t="e">
        <f t="shared" si="34"/>
        <v>#VALUE!</v>
      </c>
      <c r="S707">
        <f t="shared" si="35"/>
        <v>0</v>
      </c>
      <c r="T707">
        <f t="shared" si="36"/>
        <v>0</v>
      </c>
      <c r="U707">
        <f>IF(SQRT(POWER(T707-F707,2))+SQRT(POWER(E707-S707,2))=0,0,SQRT(POWER(T707-F707,2))+SQRT(POWER(E707-S707,2))+DATOS!$H$20)</f>
        <v>0</v>
      </c>
    </row>
    <row r="708" spans="18:21">
      <c r="R708" t="e">
        <f t="shared" si="34"/>
        <v>#VALUE!</v>
      </c>
      <c r="S708">
        <f t="shared" si="35"/>
        <v>0</v>
      </c>
      <c r="T708">
        <f t="shared" si="36"/>
        <v>0</v>
      </c>
      <c r="U708">
        <f>IF(SQRT(POWER(T708-F708,2))+SQRT(POWER(E708-S708,2))=0,0,SQRT(POWER(T708-F708,2))+SQRT(POWER(E708-S708,2))+DATOS!$H$20)</f>
        <v>0</v>
      </c>
    </row>
    <row r="709" spans="18:21">
      <c r="R709" t="e">
        <f t="shared" si="34"/>
        <v>#VALUE!</v>
      </c>
      <c r="S709">
        <f t="shared" si="35"/>
        <v>0</v>
      </c>
      <c r="T709">
        <f t="shared" si="36"/>
        <v>0</v>
      </c>
      <c r="U709">
        <f>IF(SQRT(POWER(T709-F709,2))+SQRT(POWER(E709-S709,2))=0,0,SQRT(POWER(T709-F709,2))+SQRT(POWER(E709-S709,2))+DATOS!$H$20)</f>
        <v>0</v>
      </c>
    </row>
    <row r="710" spans="18:21">
      <c r="R710" t="e">
        <f t="shared" si="34"/>
        <v>#VALUE!</v>
      </c>
      <c r="S710">
        <f t="shared" si="35"/>
        <v>0</v>
      </c>
      <c r="T710">
        <f t="shared" si="36"/>
        <v>0</v>
      </c>
      <c r="U710">
        <f>IF(SQRT(POWER(T710-F710,2))+SQRT(POWER(E710-S710,2))=0,0,SQRT(POWER(T710-F710,2))+SQRT(POWER(E710-S710,2))+DATOS!$H$20)</f>
        <v>0</v>
      </c>
    </row>
    <row r="711" spans="18:21">
      <c r="R711" t="e">
        <f t="shared" si="34"/>
        <v>#VALUE!</v>
      </c>
      <c r="S711">
        <f t="shared" si="35"/>
        <v>0</v>
      </c>
      <c r="T711">
        <f t="shared" si="36"/>
        <v>0</v>
      </c>
      <c r="U711">
        <f>IF(SQRT(POWER(T711-F711,2))+SQRT(POWER(E711-S711,2))=0,0,SQRT(POWER(T711-F711,2))+SQRT(POWER(E711-S711,2))+DATOS!$H$20)</f>
        <v>0</v>
      </c>
    </row>
    <row r="712" spans="18:21">
      <c r="R712" t="e">
        <f t="shared" si="34"/>
        <v>#VALUE!</v>
      </c>
      <c r="S712">
        <f t="shared" si="35"/>
        <v>0</v>
      </c>
      <c r="T712">
        <f t="shared" si="36"/>
        <v>0</v>
      </c>
      <c r="U712">
        <f>IF(SQRT(POWER(T712-F712,2))+SQRT(POWER(E712-S712,2))=0,0,SQRT(POWER(T712-F712,2))+SQRT(POWER(E712-S712,2))+DATOS!$H$20)</f>
        <v>0</v>
      </c>
    </row>
    <row r="713" spans="18:21">
      <c r="R713" t="e">
        <f t="shared" si="34"/>
        <v>#VALUE!</v>
      </c>
      <c r="S713">
        <f t="shared" si="35"/>
        <v>0</v>
      </c>
      <c r="T713">
        <f t="shared" si="36"/>
        <v>0</v>
      </c>
      <c r="U713">
        <f>IF(SQRT(POWER(T713-F713,2))+SQRT(POWER(E713-S713,2))=0,0,SQRT(POWER(T713-F713,2))+SQRT(POWER(E713-S713,2))+DATOS!$H$20)</f>
        <v>0</v>
      </c>
    </row>
    <row r="714" spans="18:21">
      <c r="R714" t="e">
        <f t="shared" si="34"/>
        <v>#VALUE!</v>
      </c>
      <c r="S714">
        <f t="shared" si="35"/>
        <v>0</v>
      </c>
      <c r="T714">
        <f t="shared" si="36"/>
        <v>0</v>
      </c>
      <c r="U714">
        <f>IF(SQRT(POWER(T714-F714,2))+SQRT(POWER(E714-S714,2))=0,0,SQRT(POWER(T714-F714,2))+SQRT(POWER(E714-S714,2))+DATOS!$H$20)</f>
        <v>0</v>
      </c>
    </row>
    <row r="715" spans="18:21">
      <c r="R715" t="e">
        <f t="shared" si="34"/>
        <v>#VALUE!</v>
      </c>
      <c r="S715">
        <f t="shared" si="35"/>
        <v>0</v>
      </c>
      <c r="T715">
        <f t="shared" si="36"/>
        <v>0</v>
      </c>
      <c r="U715">
        <f>IF(SQRT(POWER(T715-F715,2))+SQRT(POWER(E715-S715,2))=0,0,SQRT(POWER(T715-F715,2))+SQRT(POWER(E715-S715,2))+DATOS!$H$20)</f>
        <v>0</v>
      </c>
    </row>
    <row r="716" spans="18:21">
      <c r="R716" t="e">
        <f t="shared" si="34"/>
        <v>#VALUE!</v>
      </c>
      <c r="S716">
        <f t="shared" si="35"/>
        <v>0</v>
      </c>
      <c r="T716">
        <f t="shared" si="36"/>
        <v>0</v>
      </c>
      <c r="U716">
        <f>IF(SQRT(POWER(T716-F716,2))+SQRT(POWER(E716-S716,2))=0,0,SQRT(POWER(T716-F716,2))+SQRT(POWER(E716-S716,2))+DATOS!$H$20)</f>
        <v>0</v>
      </c>
    </row>
    <row r="717" spans="18:21">
      <c r="R717" t="e">
        <f t="shared" si="34"/>
        <v>#VALUE!</v>
      </c>
      <c r="S717">
        <f t="shared" si="35"/>
        <v>0</v>
      </c>
      <c r="T717">
        <f t="shared" si="36"/>
        <v>0</v>
      </c>
      <c r="U717">
        <f>IF(SQRT(POWER(T717-F717,2))+SQRT(POWER(E717-S717,2))=0,0,SQRT(POWER(T717-F717,2))+SQRT(POWER(E717-S717,2))+DATOS!$H$20)</f>
        <v>0</v>
      </c>
    </row>
    <row r="718" spans="18:21">
      <c r="R718" t="e">
        <f t="shared" si="34"/>
        <v>#VALUE!</v>
      </c>
      <c r="S718">
        <f t="shared" si="35"/>
        <v>0</v>
      </c>
      <c r="T718">
        <f t="shared" si="36"/>
        <v>0</v>
      </c>
      <c r="U718">
        <f>IF(SQRT(POWER(T718-F718,2))+SQRT(POWER(E718-S718,2))=0,0,SQRT(POWER(T718-F718,2))+SQRT(POWER(E718-S718,2))+DATOS!$H$20)</f>
        <v>0</v>
      </c>
    </row>
    <row r="719" spans="18:21">
      <c r="R719" t="e">
        <f t="shared" si="34"/>
        <v>#VALUE!</v>
      </c>
      <c r="S719">
        <f t="shared" si="35"/>
        <v>0</v>
      </c>
      <c r="T719">
        <f t="shared" si="36"/>
        <v>0</v>
      </c>
      <c r="U719">
        <f>IF(SQRT(POWER(T719-F719,2))+SQRT(POWER(E719-S719,2))=0,0,SQRT(POWER(T719-F719,2))+SQRT(POWER(E719-S719,2))+DATOS!$H$20)</f>
        <v>0</v>
      </c>
    </row>
    <row r="720" spans="18:21">
      <c r="R720" t="e">
        <f t="shared" si="34"/>
        <v>#VALUE!</v>
      </c>
      <c r="S720">
        <f t="shared" si="35"/>
        <v>0</v>
      </c>
      <c r="T720">
        <f t="shared" si="36"/>
        <v>0</v>
      </c>
      <c r="U720">
        <f>IF(SQRT(POWER(T720-F720,2))+SQRT(POWER(E720-S720,2))=0,0,SQRT(POWER(T720-F720,2))+SQRT(POWER(E720-S720,2))+DATOS!$H$20)</f>
        <v>0</v>
      </c>
    </row>
    <row r="721" spans="18:21">
      <c r="R721" t="e">
        <f t="shared" si="34"/>
        <v>#VALUE!</v>
      </c>
      <c r="S721">
        <f t="shared" si="35"/>
        <v>0</v>
      </c>
      <c r="T721">
        <f t="shared" si="36"/>
        <v>0</v>
      </c>
      <c r="U721">
        <f>IF(SQRT(POWER(T721-F721,2))+SQRT(POWER(E721-S721,2))=0,0,SQRT(POWER(T721-F721,2))+SQRT(POWER(E721-S721,2))+DATOS!$H$20)</f>
        <v>0</v>
      </c>
    </row>
    <row r="722" spans="18:21">
      <c r="R722" t="e">
        <f t="shared" si="34"/>
        <v>#VALUE!</v>
      </c>
      <c r="S722">
        <f t="shared" si="35"/>
        <v>0</v>
      </c>
      <c r="T722">
        <f t="shared" si="36"/>
        <v>0</v>
      </c>
      <c r="U722">
        <f>IF(SQRT(POWER(T722-F722,2))+SQRT(POWER(E722-S722,2))=0,0,SQRT(POWER(T722-F722,2))+SQRT(POWER(E722-S722,2))+DATOS!$H$20)</f>
        <v>0</v>
      </c>
    </row>
    <row r="723" spans="18:21">
      <c r="R723" t="e">
        <f t="shared" si="34"/>
        <v>#VALUE!</v>
      </c>
      <c r="S723">
        <f t="shared" si="35"/>
        <v>0</v>
      </c>
      <c r="T723">
        <f t="shared" si="36"/>
        <v>0</v>
      </c>
      <c r="U723">
        <f>IF(SQRT(POWER(T723-F723,2))+SQRT(POWER(E723-S723,2))=0,0,SQRT(POWER(T723-F723,2))+SQRT(POWER(E723-S723,2))+DATOS!$H$20)</f>
        <v>0</v>
      </c>
    </row>
    <row r="724" spans="18:21">
      <c r="R724" t="e">
        <f t="shared" si="34"/>
        <v>#VALUE!</v>
      </c>
      <c r="S724">
        <f t="shared" si="35"/>
        <v>0</v>
      </c>
      <c r="T724">
        <f t="shared" si="36"/>
        <v>0</v>
      </c>
      <c r="U724">
        <f>IF(SQRT(POWER(T724-F724,2))+SQRT(POWER(E724-S724,2))=0,0,SQRT(POWER(T724-F724,2))+SQRT(POWER(E724-S724,2))+DATOS!$H$20)</f>
        <v>0</v>
      </c>
    </row>
    <row r="725" spans="18:21">
      <c r="R725" t="e">
        <f t="shared" si="34"/>
        <v>#VALUE!</v>
      </c>
      <c r="S725">
        <f t="shared" si="35"/>
        <v>0</v>
      </c>
      <c r="T725">
        <f t="shared" si="36"/>
        <v>0</v>
      </c>
      <c r="U725">
        <f>IF(SQRT(POWER(T725-F725,2))+SQRT(POWER(E725-S725,2))=0,0,SQRT(POWER(T725-F725,2))+SQRT(POWER(E725-S725,2))+DATOS!$H$20)</f>
        <v>0</v>
      </c>
    </row>
    <row r="726" spans="18:21">
      <c r="R726" t="e">
        <f t="shared" si="34"/>
        <v>#VALUE!</v>
      </c>
      <c r="S726">
        <f t="shared" si="35"/>
        <v>0</v>
      </c>
      <c r="T726">
        <f t="shared" si="36"/>
        <v>0</v>
      </c>
      <c r="U726">
        <f>IF(SQRT(POWER(T726-F726,2))+SQRT(POWER(E726-S726,2))=0,0,SQRT(POWER(T726-F726,2))+SQRT(POWER(E726-S726,2))+DATOS!$H$20)</f>
        <v>0</v>
      </c>
    </row>
    <row r="727" spans="18:21">
      <c r="R727" t="e">
        <f t="shared" si="34"/>
        <v>#VALUE!</v>
      </c>
      <c r="S727">
        <f t="shared" si="35"/>
        <v>0</v>
      </c>
      <c r="T727">
        <f t="shared" si="36"/>
        <v>0</v>
      </c>
      <c r="U727">
        <f>IF(SQRT(POWER(T727-F727,2))+SQRT(POWER(E727-S727,2))=0,0,SQRT(POWER(T727-F727,2))+SQRT(POWER(E727-S727,2))+DATOS!$H$20)</f>
        <v>0</v>
      </c>
    </row>
    <row r="728" spans="18:21">
      <c r="R728" t="e">
        <f t="shared" si="34"/>
        <v>#VALUE!</v>
      </c>
      <c r="S728">
        <f t="shared" si="35"/>
        <v>0</v>
      </c>
      <c r="T728">
        <f t="shared" si="36"/>
        <v>0</v>
      </c>
      <c r="U728">
        <f>IF(SQRT(POWER(T728-F728,2))+SQRT(POWER(E728-S728,2))=0,0,SQRT(POWER(T728-F728,2))+SQRT(POWER(E728-S728,2))+DATOS!$H$20)</f>
        <v>0</v>
      </c>
    </row>
    <row r="729" spans="18:21">
      <c r="R729" t="e">
        <f t="shared" si="34"/>
        <v>#VALUE!</v>
      </c>
      <c r="S729">
        <f t="shared" si="35"/>
        <v>0</v>
      </c>
      <c r="T729">
        <f t="shared" si="36"/>
        <v>0</v>
      </c>
      <c r="U729">
        <f>IF(SQRT(POWER(T729-F729,2))+SQRT(POWER(E729-S729,2))=0,0,SQRT(POWER(T729-F729,2))+SQRT(POWER(E729-S729,2))+DATOS!$H$20)</f>
        <v>0</v>
      </c>
    </row>
    <row r="730" spans="18:21">
      <c r="R730" t="e">
        <f t="shared" si="34"/>
        <v>#VALUE!</v>
      </c>
      <c r="S730">
        <f t="shared" si="35"/>
        <v>0</v>
      </c>
      <c r="T730">
        <f t="shared" si="36"/>
        <v>0</v>
      </c>
      <c r="U730">
        <f>IF(SQRT(POWER(T730-F730,2))+SQRT(POWER(E730-S730,2))=0,0,SQRT(POWER(T730-F730,2))+SQRT(POWER(E730-S730,2))+DATOS!$H$20)</f>
        <v>0</v>
      </c>
    </row>
    <row r="731" spans="18:21">
      <c r="R731" t="e">
        <f t="shared" si="34"/>
        <v>#VALUE!</v>
      </c>
      <c r="S731">
        <f t="shared" si="35"/>
        <v>0</v>
      </c>
      <c r="T731">
        <f t="shared" si="36"/>
        <v>0</v>
      </c>
      <c r="U731">
        <f>IF(SQRT(POWER(T731-F731,2))+SQRT(POWER(E731-S731,2))=0,0,SQRT(POWER(T731-F731,2))+SQRT(POWER(E731-S731,2))+DATOS!$H$20)</f>
        <v>0</v>
      </c>
    </row>
    <row r="732" spans="18:21">
      <c r="R732" t="e">
        <f t="shared" si="34"/>
        <v>#VALUE!</v>
      </c>
      <c r="S732">
        <f t="shared" si="35"/>
        <v>0</v>
      </c>
      <c r="T732">
        <f t="shared" si="36"/>
        <v>0</v>
      </c>
      <c r="U732">
        <f>IF(SQRT(POWER(T732-F732,2))+SQRT(POWER(E732-S732,2))=0,0,SQRT(POWER(T732-F732,2))+SQRT(POWER(E732-S732,2))+DATOS!$H$20)</f>
        <v>0</v>
      </c>
    </row>
    <row r="733" spans="18:21">
      <c r="R733" t="e">
        <f t="shared" si="34"/>
        <v>#VALUE!</v>
      </c>
      <c r="S733">
        <f t="shared" si="35"/>
        <v>0</v>
      </c>
      <c r="T733">
        <f t="shared" si="36"/>
        <v>0</v>
      </c>
      <c r="U733">
        <f>IF(SQRT(POWER(T733-F733,2))+SQRT(POWER(E733-S733,2))=0,0,SQRT(POWER(T733-F733,2))+SQRT(POWER(E733-S733,2))+DATOS!$H$20)</f>
        <v>0</v>
      </c>
    </row>
    <row r="734" spans="18:21">
      <c r="R734" t="e">
        <f t="shared" si="34"/>
        <v>#VALUE!</v>
      </c>
      <c r="S734">
        <f t="shared" si="35"/>
        <v>0</v>
      </c>
      <c r="T734">
        <f t="shared" si="36"/>
        <v>0</v>
      </c>
      <c r="U734">
        <f>IF(SQRT(POWER(T734-F734,2))+SQRT(POWER(E734-S734,2))=0,0,SQRT(POWER(T734-F734,2))+SQRT(POWER(E734-S734,2))+DATOS!$H$20)</f>
        <v>0</v>
      </c>
    </row>
    <row r="735" spans="18:21">
      <c r="R735" t="e">
        <f t="shared" si="34"/>
        <v>#VALUE!</v>
      </c>
      <c r="S735">
        <f t="shared" si="35"/>
        <v>0</v>
      </c>
      <c r="T735">
        <f t="shared" si="36"/>
        <v>0</v>
      </c>
      <c r="U735">
        <f>IF(SQRT(POWER(T735-F735,2))+SQRT(POWER(E735-S735,2))=0,0,SQRT(POWER(T735-F735,2))+SQRT(POWER(E735-S735,2))+DATOS!$H$20)</f>
        <v>0</v>
      </c>
    </row>
    <row r="736" spans="18:21">
      <c r="R736" t="e">
        <f t="shared" si="34"/>
        <v>#VALUE!</v>
      </c>
      <c r="S736">
        <f t="shared" si="35"/>
        <v>0</v>
      </c>
      <c r="T736">
        <f t="shared" si="36"/>
        <v>0</v>
      </c>
      <c r="U736">
        <f>IF(SQRT(POWER(T736-F736,2))+SQRT(POWER(E736-S736,2))=0,0,SQRT(POWER(T736-F736,2))+SQRT(POWER(E736-S736,2))+DATOS!$H$20)</f>
        <v>0</v>
      </c>
    </row>
    <row r="737" spans="18:21">
      <c r="R737" t="e">
        <f t="shared" si="34"/>
        <v>#VALUE!</v>
      </c>
      <c r="S737">
        <f t="shared" si="35"/>
        <v>0</v>
      </c>
      <c r="T737">
        <f t="shared" si="36"/>
        <v>0</v>
      </c>
      <c r="U737">
        <f>IF(SQRT(POWER(T737-F737,2))+SQRT(POWER(E737-S737,2))=0,0,SQRT(POWER(T737-F737,2))+SQRT(POWER(E737-S737,2))+DATOS!$H$20)</f>
        <v>0</v>
      </c>
    </row>
    <row r="738" spans="18:21">
      <c r="R738" t="e">
        <f t="shared" si="34"/>
        <v>#VALUE!</v>
      </c>
      <c r="S738">
        <f t="shared" si="35"/>
        <v>0</v>
      </c>
      <c r="T738">
        <f t="shared" si="36"/>
        <v>0</v>
      </c>
      <c r="U738">
        <f>IF(SQRT(POWER(T738-F738,2))+SQRT(POWER(E738-S738,2))=0,0,SQRT(POWER(T738-F738,2))+SQRT(POWER(E738-S738,2))+DATOS!$H$20)</f>
        <v>0</v>
      </c>
    </row>
    <row r="739" spans="18:21">
      <c r="R739" t="e">
        <f t="shared" si="34"/>
        <v>#VALUE!</v>
      </c>
      <c r="S739">
        <f t="shared" si="35"/>
        <v>0</v>
      </c>
      <c r="T739">
        <f t="shared" si="36"/>
        <v>0</v>
      </c>
      <c r="U739">
        <f>IF(SQRT(POWER(T739-F739,2))+SQRT(POWER(E739-S739,2))=0,0,SQRT(POWER(T739-F739,2))+SQRT(POWER(E739-S739,2))+DATOS!$H$20)</f>
        <v>0</v>
      </c>
    </row>
    <row r="740" spans="18:21">
      <c r="R740" t="e">
        <f t="shared" si="34"/>
        <v>#VALUE!</v>
      </c>
      <c r="S740">
        <f t="shared" si="35"/>
        <v>0</v>
      </c>
      <c r="T740">
        <f t="shared" si="36"/>
        <v>0</v>
      </c>
      <c r="U740">
        <f>IF(SQRT(POWER(T740-F740,2))+SQRT(POWER(E740-S740,2))=0,0,SQRT(POWER(T740-F740,2))+SQRT(POWER(E740-S740,2))+DATOS!$H$20)</f>
        <v>0</v>
      </c>
    </row>
    <row r="741" spans="18:21">
      <c r="R741" t="e">
        <f t="shared" si="34"/>
        <v>#VALUE!</v>
      </c>
      <c r="S741">
        <f t="shared" si="35"/>
        <v>0</v>
      </c>
      <c r="T741">
        <f t="shared" si="36"/>
        <v>0</v>
      </c>
      <c r="U741">
        <f>IF(SQRT(POWER(T741-F741,2))+SQRT(POWER(E741-S741,2))=0,0,SQRT(POWER(T741-F741,2))+SQRT(POWER(E741-S741,2))+DATOS!$H$20)</f>
        <v>0</v>
      </c>
    </row>
    <row r="742" spans="18:21">
      <c r="R742" t="e">
        <f t="shared" si="34"/>
        <v>#VALUE!</v>
      </c>
      <c r="S742">
        <f t="shared" si="35"/>
        <v>0</v>
      </c>
      <c r="T742">
        <f t="shared" si="36"/>
        <v>0</v>
      </c>
      <c r="U742">
        <f>IF(SQRT(POWER(T742-F742,2))+SQRT(POWER(E742-S742,2))=0,0,SQRT(POWER(T742-F742,2))+SQRT(POWER(E742-S742,2))+DATOS!$H$20)</f>
        <v>0</v>
      </c>
    </row>
    <row r="743" spans="18:21">
      <c r="R743" t="e">
        <f t="shared" si="34"/>
        <v>#VALUE!</v>
      </c>
      <c r="S743">
        <f t="shared" si="35"/>
        <v>0</v>
      </c>
      <c r="T743">
        <f t="shared" si="36"/>
        <v>0</v>
      </c>
      <c r="U743">
        <f>IF(SQRT(POWER(T743-F743,2))+SQRT(POWER(E743-S743,2))=0,0,SQRT(POWER(T743-F743,2))+SQRT(POWER(E743-S743,2))+DATOS!$H$20)</f>
        <v>0</v>
      </c>
    </row>
    <row r="744" spans="18:21">
      <c r="R744" t="e">
        <f t="shared" si="34"/>
        <v>#VALUE!</v>
      </c>
      <c r="S744">
        <f t="shared" si="35"/>
        <v>0</v>
      </c>
      <c r="T744">
        <f t="shared" si="36"/>
        <v>0</v>
      </c>
      <c r="U744">
        <f>IF(SQRT(POWER(T744-F744,2))+SQRT(POWER(E744-S744,2))=0,0,SQRT(POWER(T744-F744,2))+SQRT(POWER(E744-S744,2))+DATOS!$H$20)</f>
        <v>0</v>
      </c>
    </row>
    <row r="745" spans="18:21">
      <c r="R745" t="e">
        <f t="shared" si="34"/>
        <v>#VALUE!</v>
      </c>
      <c r="S745">
        <f t="shared" si="35"/>
        <v>0</v>
      </c>
      <c r="T745">
        <f t="shared" si="36"/>
        <v>0</v>
      </c>
      <c r="U745">
        <f>IF(SQRT(POWER(T745-F745,2))+SQRT(POWER(E745-S745,2))=0,0,SQRT(POWER(T745-F745,2))+SQRT(POWER(E745-S745,2))+DATOS!$H$20)</f>
        <v>0</v>
      </c>
    </row>
    <row r="746" spans="18:21">
      <c r="R746" t="e">
        <f t="shared" si="34"/>
        <v>#VALUE!</v>
      </c>
      <c r="S746">
        <f t="shared" si="35"/>
        <v>0</v>
      </c>
      <c r="T746">
        <f t="shared" si="36"/>
        <v>0</v>
      </c>
      <c r="U746">
        <f>IF(SQRT(POWER(T746-F746,2))+SQRT(POWER(E746-S746,2))=0,0,SQRT(POWER(T746-F746,2))+SQRT(POWER(E746-S746,2))+DATOS!$H$20)</f>
        <v>0</v>
      </c>
    </row>
    <row r="747" spans="18:21">
      <c r="R747" t="e">
        <f t="shared" si="34"/>
        <v>#VALUE!</v>
      </c>
      <c r="S747">
        <f t="shared" si="35"/>
        <v>0</v>
      </c>
      <c r="T747">
        <f t="shared" si="36"/>
        <v>0</v>
      </c>
      <c r="U747">
        <f>IF(SQRT(POWER(T747-F747,2))+SQRT(POWER(E747-S747,2))=0,0,SQRT(POWER(T747-F747,2))+SQRT(POWER(E747-S747,2))+DATOS!$H$20)</f>
        <v>0</v>
      </c>
    </row>
    <row r="748" spans="18:21">
      <c r="R748" t="e">
        <f t="shared" si="34"/>
        <v>#VALUE!</v>
      </c>
      <c r="S748">
        <f t="shared" si="35"/>
        <v>0</v>
      </c>
      <c r="T748">
        <f t="shared" si="36"/>
        <v>0</v>
      </c>
      <c r="U748">
        <f>IF(SQRT(POWER(T748-F748,2))+SQRT(POWER(E748-S748,2))=0,0,SQRT(POWER(T748-F748,2))+SQRT(POWER(E748-S748,2))+DATOS!$H$20)</f>
        <v>0</v>
      </c>
    </row>
    <row r="749" spans="18:21">
      <c r="R749" t="e">
        <f t="shared" si="34"/>
        <v>#VALUE!</v>
      </c>
      <c r="S749">
        <f t="shared" si="35"/>
        <v>0</v>
      </c>
      <c r="T749">
        <f t="shared" si="36"/>
        <v>0</v>
      </c>
      <c r="U749">
        <f>IF(SQRT(POWER(T749-F749,2))+SQRT(POWER(E749-S749,2))=0,0,SQRT(POWER(T749-F749,2))+SQRT(POWER(E749-S749,2))+DATOS!$H$20)</f>
        <v>0</v>
      </c>
    </row>
    <row r="750" spans="18:21">
      <c r="R750" t="e">
        <f t="shared" si="34"/>
        <v>#VALUE!</v>
      </c>
      <c r="S750">
        <f t="shared" si="35"/>
        <v>0</v>
      </c>
      <c r="T750">
        <f t="shared" si="36"/>
        <v>0</v>
      </c>
      <c r="U750">
        <f>IF(SQRT(POWER(T750-F750,2))+SQRT(POWER(E750-S750,2))=0,0,SQRT(POWER(T750-F750,2))+SQRT(POWER(E750-S750,2))+DATOS!$H$20)</f>
        <v>0</v>
      </c>
    </row>
    <row r="751" spans="18:21">
      <c r="R751" t="e">
        <f t="shared" si="34"/>
        <v>#VALUE!</v>
      </c>
      <c r="S751">
        <f t="shared" si="35"/>
        <v>0</v>
      </c>
      <c r="T751">
        <f t="shared" si="36"/>
        <v>0</v>
      </c>
      <c r="U751">
        <f>IF(SQRT(POWER(T751-F751,2))+SQRT(POWER(E751-S751,2))=0,0,SQRT(POWER(T751-F751,2))+SQRT(POWER(E751-S751,2))+DATOS!$H$20)</f>
        <v>0</v>
      </c>
    </row>
    <row r="752" spans="18:21">
      <c r="R752" t="e">
        <f t="shared" si="34"/>
        <v>#VALUE!</v>
      </c>
      <c r="S752">
        <f t="shared" si="35"/>
        <v>0</v>
      </c>
      <c r="T752">
        <f t="shared" si="36"/>
        <v>0</v>
      </c>
      <c r="U752">
        <f>IF(SQRT(POWER(T752-F752,2))+SQRT(POWER(E752-S752,2))=0,0,SQRT(POWER(T752-F752,2))+SQRT(POWER(E752-S752,2))+DATOS!$H$20)</f>
        <v>0</v>
      </c>
    </row>
    <row r="753" spans="18:21">
      <c r="R753" t="e">
        <f t="shared" si="34"/>
        <v>#VALUE!</v>
      </c>
      <c r="S753">
        <f t="shared" si="35"/>
        <v>0</v>
      </c>
      <c r="T753">
        <f t="shared" si="36"/>
        <v>0</v>
      </c>
      <c r="U753">
        <f>IF(SQRT(POWER(T753-F753,2))+SQRT(POWER(E753-S753,2))=0,0,SQRT(POWER(T753-F753,2))+SQRT(POWER(E753-S753,2))+DATOS!$H$20)</f>
        <v>0</v>
      </c>
    </row>
    <row r="754" spans="18:21">
      <c r="R754" t="e">
        <f t="shared" si="34"/>
        <v>#VALUE!</v>
      </c>
      <c r="S754">
        <f t="shared" si="35"/>
        <v>0</v>
      </c>
      <c r="T754">
        <f t="shared" si="36"/>
        <v>0</v>
      </c>
      <c r="U754">
        <f>IF(SQRT(POWER(T754-F754,2))+SQRT(POWER(E754-S754,2))=0,0,SQRT(POWER(T754-F754,2))+SQRT(POWER(E754-S754,2))+DATOS!$H$20)</f>
        <v>0</v>
      </c>
    </row>
    <row r="755" spans="18:21">
      <c r="R755" t="e">
        <f t="shared" si="34"/>
        <v>#VALUE!</v>
      </c>
      <c r="S755">
        <f t="shared" si="35"/>
        <v>0</v>
      </c>
      <c r="T755">
        <f t="shared" si="36"/>
        <v>0</v>
      </c>
      <c r="U755">
        <f>IF(SQRT(POWER(T755-F755,2))+SQRT(POWER(E755-S755,2))=0,0,SQRT(POWER(T755-F755,2))+SQRT(POWER(E755-S755,2))+DATOS!$H$20)</f>
        <v>0</v>
      </c>
    </row>
    <row r="756" spans="18:21">
      <c r="R756" t="e">
        <f t="shared" si="34"/>
        <v>#VALUE!</v>
      </c>
      <c r="S756">
        <f t="shared" si="35"/>
        <v>0</v>
      </c>
      <c r="T756">
        <f t="shared" si="36"/>
        <v>0</v>
      </c>
      <c r="U756">
        <f>IF(SQRT(POWER(T756-F756,2))+SQRT(POWER(E756-S756,2))=0,0,SQRT(POWER(T756-F756,2))+SQRT(POWER(E756-S756,2))+DATOS!$H$20)</f>
        <v>0</v>
      </c>
    </row>
    <row r="757" spans="18:21">
      <c r="R757" t="e">
        <f t="shared" si="34"/>
        <v>#VALUE!</v>
      </c>
      <c r="S757">
        <f t="shared" si="35"/>
        <v>0</v>
      </c>
      <c r="T757">
        <f t="shared" si="36"/>
        <v>0</v>
      </c>
      <c r="U757">
        <f>IF(SQRT(POWER(T757-F757,2))+SQRT(POWER(E757-S757,2))=0,0,SQRT(POWER(T757-F757,2))+SQRT(POWER(E757-S757,2))+DATOS!$H$20)</f>
        <v>0</v>
      </c>
    </row>
    <row r="758" spans="18:21">
      <c r="R758" t="e">
        <f t="shared" si="34"/>
        <v>#VALUE!</v>
      </c>
      <c r="S758">
        <f t="shared" si="35"/>
        <v>0</v>
      </c>
      <c r="T758">
        <f t="shared" si="36"/>
        <v>0</v>
      </c>
      <c r="U758">
        <f>IF(SQRT(POWER(T758-F758,2))+SQRT(POWER(E758-S758,2))=0,0,SQRT(POWER(T758-F758,2))+SQRT(POWER(E758-S758,2))+DATOS!$H$20)</f>
        <v>0</v>
      </c>
    </row>
    <row r="759" spans="18:21">
      <c r="R759" t="e">
        <f t="shared" si="34"/>
        <v>#VALUE!</v>
      </c>
      <c r="S759">
        <f t="shared" si="35"/>
        <v>0</v>
      </c>
      <c r="T759">
        <f t="shared" si="36"/>
        <v>0</v>
      </c>
      <c r="U759">
        <f>IF(SQRT(POWER(T759-F759,2))+SQRT(POWER(E759-S759,2))=0,0,SQRT(POWER(T759-F759,2))+SQRT(POWER(E759-S759,2))+DATOS!$H$20)</f>
        <v>0</v>
      </c>
    </row>
    <row r="760" spans="18:21">
      <c r="R760" t="e">
        <f t="shared" si="34"/>
        <v>#VALUE!</v>
      </c>
      <c r="S760">
        <f t="shared" si="35"/>
        <v>0</v>
      </c>
      <c r="T760">
        <f t="shared" si="36"/>
        <v>0</v>
      </c>
      <c r="U760">
        <f>IF(SQRT(POWER(T760-F760,2))+SQRT(POWER(E760-S760,2))=0,0,SQRT(POWER(T760-F760,2))+SQRT(POWER(E760-S760,2))+DATOS!$H$20)</f>
        <v>0</v>
      </c>
    </row>
    <row r="761" spans="18:21">
      <c r="R761" t="e">
        <f t="shared" si="34"/>
        <v>#VALUE!</v>
      </c>
      <c r="S761">
        <f t="shared" si="35"/>
        <v>0</v>
      </c>
      <c r="T761">
        <f t="shared" si="36"/>
        <v>0</v>
      </c>
      <c r="U761">
        <f>IF(SQRT(POWER(T761-F761,2))+SQRT(POWER(E761-S761,2))=0,0,SQRT(POWER(T761-F761,2))+SQRT(POWER(E761-S761,2))+DATOS!$H$20)</f>
        <v>0</v>
      </c>
    </row>
    <row r="762" spans="18:21">
      <c r="R762" t="e">
        <f t="shared" si="34"/>
        <v>#VALUE!</v>
      </c>
      <c r="S762">
        <f t="shared" si="35"/>
        <v>0</v>
      </c>
      <c r="T762">
        <f t="shared" si="36"/>
        <v>0</v>
      </c>
      <c r="U762">
        <f>IF(SQRT(POWER(T762-F762,2))+SQRT(POWER(E762-S762,2))=0,0,SQRT(POWER(T762-F762,2))+SQRT(POWER(E762-S762,2))+DATOS!$H$20)</f>
        <v>0</v>
      </c>
    </row>
    <row r="763" spans="18:21">
      <c r="R763" t="e">
        <f t="shared" si="34"/>
        <v>#VALUE!</v>
      </c>
      <c r="S763">
        <f t="shared" si="35"/>
        <v>0</v>
      </c>
      <c r="T763">
        <f t="shared" si="36"/>
        <v>0</v>
      </c>
      <c r="U763">
        <f>IF(SQRT(POWER(T763-F763,2))+SQRT(POWER(E763-S763,2))=0,0,SQRT(POWER(T763-F763,2))+SQRT(POWER(E763-S763,2))+DATOS!$H$20)</f>
        <v>0</v>
      </c>
    </row>
    <row r="764" spans="18:21">
      <c r="R764" t="e">
        <f t="shared" si="34"/>
        <v>#VALUE!</v>
      </c>
      <c r="S764">
        <f t="shared" si="35"/>
        <v>0</v>
      </c>
      <c r="T764">
        <f t="shared" si="36"/>
        <v>0</v>
      </c>
      <c r="U764">
        <f>IF(SQRT(POWER(T764-F764,2))+SQRT(POWER(E764-S764,2))=0,0,SQRT(POWER(T764-F764,2))+SQRT(POWER(E764-S764,2))+DATOS!$H$20)</f>
        <v>0</v>
      </c>
    </row>
    <row r="765" spans="18:21">
      <c r="R765" t="e">
        <f t="shared" ref="R765:R828" si="37">"TAB-"&amp;LEFT(A765,FIND("-",A765) -1)</f>
        <v>#VALUE!</v>
      </c>
      <c r="S765">
        <f t="shared" ref="S765:S828" si="38">IFERROR(VLOOKUP(R765,$A$2:$F$700,5,0),E765)</f>
        <v>0</v>
      </c>
      <c r="T765">
        <f t="shared" ref="T765:T828" si="39">IFERROR(VLOOKUP(R765,$A$2:$F$700,6,0),F765)</f>
        <v>0</v>
      </c>
      <c r="U765">
        <f>IF(SQRT(POWER(T765-F765,2))+SQRT(POWER(E765-S765,2))=0,0,SQRT(POWER(T765-F765,2))+SQRT(POWER(E765-S765,2))+DATOS!$H$20)</f>
        <v>0</v>
      </c>
    </row>
    <row r="766" spans="18:21">
      <c r="R766" t="e">
        <f t="shared" si="37"/>
        <v>#VALUE!</v>
      </c>
      <c r="S766">
        <f t="shared" si="38"/>
        <v>0</v>
      </c>
      <c r="T766">
        <f t="shared" si="39"/>
        <v>0</v>
      </c>
      <c r="U766">
        <f>IF(SQRT(POWER(T766-F766,2))+SQRT(POWER(E766-S766,2))=0,0,SQRT(POWER(T766-F766,2))+SQRT(POWER(E766-S766,2))+DATOS!$H$20)</f>
        <v>0</v>
      </c>
    </row>
    <row r="767" spans="18:21">
      <c r="R767" t="e">
        <f t="shared" si="37"/>
        <v>#VALUE!</v>
      </c>
      <c r="S767">
        <f t="shared" si="38"/>
        <v>0</v>
      </c>
      <c r="T767">
        <f t="shared" si="39"/>
        <v>0</v>
      </c>
      <c r="U767">
        <f>IF(SQRT(POWER(T767-F767,2))+SQRT(POWER(E767-S767,2))=0,0,SQRT(POWER(T767-F767,2))+SQRT(POWER(E767-S767,2))+DATOS!$H$20)</f>
        <v>0</v>
      </c>
    </row>
    <row r="768" spans="18:21">
      <c r="R768" t="e">
        <f t="shared" si="37"/>
        <v>#VALUE!</v>
      </c>
      <c r="S768">
        <f t="shared" si="38"/>
        <v>0</v>
      </c>
      <c r="T768">
        <f t="shared" si="39"/>
        <v>0</v>
      </c>
      <c r="U768">
        <f>IF(SQRT(POWER(T768-F768,2))+SQRT(POWER(E768-S768,2))=0,0,SQRT(POWER(T768-F768,2))+SQRT(POWER(E768-S768,2))+DATOS!$H$20)</f>
        <v>0</v>
      </c>
    </row>
    <row r="769" spans="18:21">
      <c r="R769" t="e">
        <f t="shared" si="37"/>
        <v>#VALUE!</v>
      </c>
      <c r="S769">
        <f t="shared" si="38"/>
        <v>0</v>
      </c>
      <c r="T769">
        <f t="shared" si="39"/>
        <v>0</v>
      </c>
      <c r="U769">
        <f>IF(SQRT(POWER(T769-F769,2))+SQRT(POWER(E769-S769,2))=0,0,SQRT(POWER(T769-F769,2))+SQRT(POWER(E769-S769,2))+DATOS!$H$20)</f>
        <v>0</v>
      </c>
    </row>
    <row r="770" spans="18:21">
      <c r="R770" t="e">
        <f t="shared" si="37"/>
        <v>#VALUE!</v>
      </c>
      <c r="S770">
        <f t="shared" si="38"/>
        <v>0</v>
      </c>
      <c r="T770">
        <f t="shared" si="39"/>
        <v>0</v>
      </c>
      <c r="U770">
        <f>IF(SQRT(POWER(T770-F770,2))+SQRT(POWER(E770-S770,2))=0,0,SQRT(POWER(T770-F770,2))+SQRT(POWER(E770-S770,2))+DATOS!$H$20)</f>
        <v>0</v>
      </c>
    </row>
    <row r="771" spans="18:21">
      <c r="R771" t="e">
        <f t="shared" si="37"/>
        <v>#VALUE!</v>
      </c>
      <c r="S771">
        <f t="shared" si="38"/>
        <v>0</v>
      </c>
      <c r="T771">
        <f t="shared" si="39"/>
        <v>0</v>
      </c>
      <c r="U771">
        <f>IF(SQRT(POWER(T771-F771,2))+SQRT(POWER(E771-S771,2))=0,0,SQRT(POWER(T771-F771,2))+SQRT(POWER(E771-S771,2))+DATOS!$H$20)</f>
        <v>0</v>
      </c>
    </row>
    <row r="772" spans="18:21">
      <c r="R772" t="e">
        <f t="shared" si="37"/>
        <v>#VALUE!</v>
      </c>
      <c r="S772">
        <f t="shared" si="38"/>
        <v>0</v>
      </c>
      <c r="T772">
        <f t="shared" si="39"/>
        <v>0</v>
      </c>
      <c r="U772">
        <f>IF(SQRT(POWER(T772-F772,2))+SQRT(POWER(E772-S772,2))=0,0,SQRT(POWER(T772-F772,2))+SQRT(POWER(E772-S772,2))+DATOS!$H$20)</f>
        <v>0</v>
      </c>
    </row>
    <row r="773" spans="18:21">
      <c r="R773" t="e">
        <f t="shared" si="37"/>
        <v>#VALUE!</v>
      </c>
      <c r="S773">
        <f t="shared" si="38"/>
        <v>0</v>
      </c>
      <c r="T773">
        <f t="shared" si="39"/>
        <v>0</v>
      </c>
      <c r="U773">
        <f>IF(SQRT(POWER(T773-F773,2))+SQRT(POWER(E773-S773,2))=0,0,SQRT(POWER(T773-F773,2))+SQRT(POWER(E773-S773,2))+DATOS!$H$20)</f>
        <v>0</v>
      </c>
    </row>
    <row r="774" spans="18:21">
      <c r="R774" t="e">
        <f t="shared" si="37"/>
        <v>#VALUE!</v>
      </c>
      <c r="S774">
        <f t="shared" si="38"/>
        <v>0</v>
      </c>
      <c r="T774">
        <f t="shared" si="39"/>
        <v>0</v>
      </c>
      <c r="U774">
        <f>IF(SQRT(POWER(T774-F774,2))+SQRT(POWER(E774-S774,2))=0,0,SQRT(POWER(T774-F774,2))+SQRT(POWER(E774-S774,2))+DATOS!$H$20)</f>
        <v>0</v>
      </c>
    </row>
    <row r="775" spans="18:21">
      <c r="R775" t="e">
        <f t="shared" si="37"/>
        <v>#VALUE!</v>
      </c>
      <c r="S775">
        <f t="shared" si="38"/>
        <v>0</v>
      </c>
      <c r="T775">
        <f t="shared" si="39"/>
        <v>0</v>
      </c>
      <c r="U775">
        <f>IF(SQRT(POWER(T775-F775,2))+SQRT(POWER(E775-S775,2))=0,0,SQRT(POWER(T775-F775,2))+SQRT(POWER(E775-S775,2))+DATOS!$H$20)</f>
        <v>0</v>
      </c>
    </row>
    <row r="776" spans="18:21">
      <c r="R776" t="e">
        <f t="shared" si="37"/>
        <v>#VALUE!</v>
      </c>
      <c r="S776">
        <f t="shared" si="38"/>
        <v>0</v>
      </c>
      <c r="T776">
        <f t="shared" si="39"/>
        <v>0</v>
      </c>
      <c r="U776">
        <f>IF(SQRT(POWER(T776-F776,2))+SQRT(POWER(E776-S776,2))=0,0,SQRT(POWER(T776-F776,2))+SQRT(POWER(E776-S776,2))+DATOS!$H$20)</f>
        <v>0</v>
      </c>
    </row>
    <row r="777" spans="18:21">
      <c r="R777" t="e">
        <f t="shared" si="37"/>
        <v>#VALUE!</v>
      </c>
      <c r="S777">
        <f t="shared" si="38"/>
        <v>0</v>
      </c>
      <c r="T777">
        <f t="shared" si="39"/>
        <v>0</v>
      </c>
      <c r="U777">
        <f>IF(SQRT(POWER(T777-F777,2))+SQRT(POWER(E777-S777,2))=0,0,SQRT(POWER(T777-F777,2))+SQRT(POWER(E777-S777,2))+DATOS!$H$20)</f>
        <v>0</v>
      </c>
    </row>
    <row r="778" spans="18:21">
      <c r="R778" t="e">
        <f t="shared" si="37"/>
        <v>#VALUE!</v>
      </c>
      <c r="S778">
        <f t="shared" si="38"/>
        <v>0</v>
      </c>
      <c r="T778">
        <f t="shared" si="39"/>
        <v>0</v>
      </c>
      <c r="U778">
        <f>IF(SQRT(POWER(T778-F778,2))+SQRT(POWER(E778-S778,2))=0,0,SQRT(POWER(T778-F778,2))+SQRT(POWER(E778-S778,2))+DATOS!$H$20)</f>
        <v>0</v>
      </c>
    </row>
    <row r="779" spans="18:21">
      <c r="R779" t="e">
        <f t="shared" si="37"/>
        <v>#VALUE!</v>
      </c>
      <c r="S779">
        <f t="shared" si="38"/>
        <v>0</v>
      </c>
      <c r="T779">
        <f t="shared" si="39"/>
        <v>0</v>
      </c>
      <c r="U779">
        <f>IF(SQRT(POWER(T779-F779,2))+SQRT(POWER(E779-S779,2))=0,0,SQRT(POWER(T779-F779,2))+SQRT(POWER(E779-S779,2))+DATOS!$H$20)</f>
        <v>0</v>
      </c>
    </row>
    <row r="780" spans="18:21">
      <c r="R780" t="e">
        <f t="shared" si="37"/>
        <v>#VALUE!</v>
      </c>
      <c r="S780">
        <f t="shared" si="38"/>
        <v>0</v>
      </c>
      <c r="T780">
        <f t="shared" si="39"/>
        <v>0</v>
      </c>
      <c r="U780">
        <f>IF(SQRT(POWER(T780-F780,2))+SQRT(POWER(E780-S780,2))=0,0,SQRT(POWER(T780-F780,2))+SQRT(POWER(E780-S780,2))+DATOS!$H$20)</f>
        <v>0</v>
      </c>
    </row>
    <row r="781" spans="18:21">
      <c r="R781" t="e">
        <f t="shared" si="37"/>
        <v>#VALUE!</v>
      </c>
      <c r="S781">
        <f t="shared" si="38"/>
        <v>0</v>
      </c>
      <c r="T781">
        <f t="shared" si="39"/>
        <v>0</v>
      </c>
      <c r="U781">
        <f>IF(SQRT(POWER(T781-F781,2))+SQRT(POWER(E781-S781,2))=0,0,SQRT(POWER(T781-F781,2))+SQRT(POWER(E781-S781,2))+DATOS!$H$20)</f>
        <v>0</v>
      </c>
    </row>
    <row r="782" spans="18:21">
      <c r="R782" t="e">
        <f t="shared" si="37"/>
        <v>#VALUE!</v>
      </c>
      <c r="S782">
        <f t="shared" si="38"/>
        <v>0</v>
      </c>
      <c r="T782">
        <f t="shared" si="39"/>
        <v>0</v>
      </c>
      <c r="U782">
        <f>IF(SQRT(POWER(T782-F782,2))+SQRT(POWER(E782-S782,2))=0,0,SQRT(POWER(T782-F782,2))+SQRT(POWER(E782-S782,2))+DATOS!$H$20)</f>
        <v>0</v>
      </c>
    </row>
    <row r="783" spans="18:21">
      <c r="R783" t="e">
        <f t="shared" si="37"/>
        <v>#VALUE!</v>
      </c>
      <c r="S783">
        <f t="shared" si="38"/>
        <v>0</v>
      </c>
      <c r="T783">
        <f t="shared" si="39"/>
        <v>0</v>
      </c>
      <c r="U783">
        <f>IF(SQRT(POWER(T783-F783,2))+SQRT(POWER(E783-S783,2))=0,0,SQRT(POWER(T783-F783,2))+SQRT(POWER(E783-S783,2))+DATOS!$H$20)</f>
        <v>0</v>
      </c>
    </row>
    <row r="784" spans="18:21">
      <c r="R784" t="e">
        <f t="shared" si="37"/>
        <v>#VALUE!</v>
      </c>
      <c r="S784">
        <f t="shared" si="38"/>
        <v>0</v>
      </c>
      <c r="T784">
        <f t="shared" si="39"/>
        <v>0</v>
      </c>
      <c r="U784">
        <f>IF(SQRT(POWER(T784-F784,2))+SQRT(POWER(E784-S784,2))=0,0,SQRT(POWER(T784-F784,2))+SQRT(POWER(E784-S784,2))+DATOS!$H$20)</f>
        <v>0</v>
      </c>
    </row>
    <row r="785" spans="18:21">
      <c r="R785" t="e">
        <f t="shared" si="37"/>
        <v>#VALUE!</v>
      </c>
      <c r="S785">
        <f t="shared" si="38"/>
        <v>0</v>
      </c>
      <c r="T785">
        <f t="shared" si="39"/>
        <v>0</v>
      </c>
      <c r="U785">
        <f>IF(SQRT(POWER(T785-F785,2))+SQRT(POWER(E785-S785,2))=0,0,SQRT(POWER(T785-F785,2))+SQRT(POWER(E785-S785,2))+DATOS!$H$20)</f>
        <v>0</v>
      </c>
    </row>
    <row r="786" spans="18:21">
      <c r="R786" t="e">
        <f t="shared" si="37"/>
        <v>#VALUE!</v>
      </c>
      <c r="S786">
        <f t="shared" si="38"/>
        <v>0</v>
      </c>
      <c r="T786">
        <f t="shared" si="39"/>
        <v>0</v>
      </c>
      <c r="U786">
        <f>IF(SQRT(POWER(T786-F786,2))+SQRT(POWER(E786-S786,2))=0,0,SQRT(POWER(T786-F786,2))+SQRT(POWER(E786-S786,2))+DATOS!$H$20)</f>
        <v>0</v>
      </c>
    </row>
    <row r="787" spans="18:21">
      <c r="R787" t="e">
        <f t="shared" si="37"/>
        <v>#VALUE!</v>
      </c>
      <c r="S787">
        <f t="shared" si="38"/>
        <v>0</v>
      </c>
      <c r="T787">
        <f t="shared" si="39"/>
        <v>0</v>
      </c>
      <c r="U787">
        <f>IF(SQRT(POWER(T787-F787,2))+SQRT(POWER(E787-S787,2))=0,0,SQRT(POWER(T787-F787,2))+SQRT(POWER(E787-S787,2))+DATOS!$H$20)</f>
        <v>0</v>
      </c>
    </row>
    <row r="788" spans="18:21">
      <c r="R788" t="e">
        <f t="shared" si="37"/>
        <v>#VALUE!</v>
      </c>
      <c r="S788">
        <f t="shared" si="38"/>
        <v>0</v>
      </c>
      <c r="T788">
        <f t="shared" si="39"/>
        <v>0</v>
      </c>
      <c r="U788">
        <f>IF(SQRT(POWER(T788-F788,2))+SQRT(POWER(E788-S788,2))=0,0,SQRT(POWER(T788-F788,2))+SQRT(POWER(E788-S788,2))+DATOS!$H$20)</f>
        <v>0</v>
      </c>
    </row>
    <row r="789" spans="18:21">
      <c r="R789" t="e">
        <f t="shared" si="37"/>
        <v>#VALUE!</v>
      </c>
      <c r="S789">
        <f t="shared" si="38"/>
        <v>0</v>
      </c>
      <c r="T789">
        <f t="shared" si="39"/>
        <v>0</v>
      </c>
      <c r="U789">
        <f>IF(SQRT(POWER(T789-F789,2))+SQRT(POWER(E789-S789,2))=0,0,SQRT(POWER(T789-F789,2))+SQRT(POWER(E789-S789,2))+DATOS!$H$20)</f>
        <v>0</v>
      </c>
    </row>
    <row r="790" spans="18:21">
      <c r="R790" t="e">
        <f t="shared" si="37"/>
        <v>#VALUE!</v>
      </c>
      <c r="S790">
        <f t="shared" si="38"/>
        <v>0</v>
      </c>
      <c r="T790">
        <f t="shared" si="39"/>
        <v>0</v>
      </c>
      <c r="U790">
        <f>IF(SQRT(POWER(T790-F790,2))+SQRT(POWER(E790-S790,2))=0,0,SQRT(POWER(T790-F790,2))+SQRT(POWER(E790-S790,2))+DATOS!$H$20)</f>
        <v>0</v>
      </c>
    </row>
    <row r="791" spans="18:21">
      <c r="R791" t="e">
        <f t="shared" si="37"/>
        <v>#VALUE!</v>
      </c>
      <c r="S791">
        <f t="shared" si="38"/>
        <v>0</v>
      </c>
      <c r="T791">
        <f t="shared" si="39"/>
        <v>0</v>
      </c>
      <c r="U791">
        <f>IF(SQRT(POWER(T791-F791,2))+SQRT(POWER(E791-S791,2))=0,0,SQRT(POWER(T791-F791,2))+SQRT(POWER(E791-S791,2))+DATOS!$H$20)</f>
        <v>0</v>
      </c>
    </row>
    <row r="792" spans="18:21">
      <c r="R792" t="e">
        <f t="shared" si="37"/>
        <v>#VALUE!</v>
      </c>
      <c r="S792">
        <f t="shared" si="38"/>
        <v>0</v>
      </c>
      <c r="T792">
        <f t="shared" si="39"/>
        <v>0</v>
      </c>
      <c r="U792">
        <f>IF(SQRT(POWER(T792-F792,2))+SQRT(POWER(E792-S792,2))=0,0,SQRT(POWER(T792-F792,2))+SQRT(POWER(E792-S792,2))+DATOS!$H$20)</f>
        <v>0</v>
      </c>
    </row>
    <row r="793" spans="18:21">
      <c r="R793" t="e">
        <f t="shared" si="37"/>
        <v>#VALUE!</v>
      </c>
      <c r="S793">
        <f t="shared" si="38"/>
        <v>0</v>
      </c>
      <c r="T793">
        <f t="shared" si="39"/>
        <v>0</v>
      </c>
      <c r="U793">
        <f>IF(SQRT(POWER(T793-F793,2))+SQRT(POWER(E793-S793,2))=0,0,SQRT(POWER(T793-F793,2))+SQRT(POWER(E793-S793,2))+DATOS!$H$20)</f>
        <v>0</v>
      </c>
    </row>
    <row r="794" spans="18:21">
      <c r="R794" t="e">
        <f t="shared" si="37"/>
        <v>#VALUE!</v>
      </c>
      <c r="S794">
        <f t="shared" si="38"/>
        <v>0</v>
      </c>
      <c r="T794">
        <f t="shared" si="39"/>
        <v>0</v>
      </c>
      <c r="U794">
        <f>IF(SQRT(POWER(T794-F794,2))+SQRT(POWER(E794-S794,2))=0,0,SQRT(POWER(T794-F794,2))+SQRT(POWER(E794-S794,2))+DATOS!$H$20)</f>
        <v>0</v>
      </c>
    </row>
    <row r="795" spans="18:21">
      <c r="R795" t="e">
        <f t="shared" si="37"/>
        <v>#VALUE!</v>
      </c>
      <c r="S795">
        <f t="shared" si="38"/>
        <v>0</v>
      </c>
      <c r="T795">
        <f t="shared" si="39"/>
        <v>0</v>
      </c>
      <c r="U795">
        <f>IF(SQRT(POWER(T795-F795,2))+SQRT(POWER(E795-S795,2))=0,0,SQRT(POWER(T795-F795,2))+SQRT(POWER(E795-S795,2))+DATOS!$H$20)</f>
        <v>0</v>
      </c>
    </row>
    <row r="796" spans="18:21">
      <c r="R796" t="e">
        <f t="shared" si="37"/>
        <v>#VALUE!</v>
      </c>
      <c r="S796">
        <f t="shared" si="38"/>
        <v>0</v>
      </c>
      <c r="T796">
        <f t="shared" si="39"/>
        <v>0</v>
      </c>
      <c r="U796">
        <f>IF(SQRT(POWER(T796-F796,2))+SQRT(POWER(E796-S796,2))=0,0,SQRT(POWER(T796-F796,2))+SQRT(POWER(E796-S796,2))+DATOS!$H$20)</f>
        <v>0</v>
      </c>
    </row>
    <row r="797" spans="18:21">
      <c r="R797" t="e">
        <f t="shared" si="37"/>
        <v>#VALUE!</v>
      </c>
      <c r="S797">
        <f t="shared" si="38"/>
        <v>0</v>
      </c>
      <c r="T797">
        <f t="shared" si="39"/>
        <v>0</v>
      </c>
      <c r="U797">
        <f>IF(SQRT(POWER(T797-F797,2))+SQRT(POWER(E797-S797,2))=0,0,SQRT(POWER(T797-F797,2))+SQRT(POWER(E797-S797,2))+DATOS!$H$20)</f>
        <v>0</v>
      </c>
    </row>
    <row r="798" spans="18:21">
      <c r="R798" t="e">
        <f t="shared" si="37"/>
        <v>#VALUE!</v>
      </c>
      <c r="S798">
        <f t="shared" si="38"/>
        <v>0</v>
      </c>
      <c r="T798">
        <f t="shared" si="39"/>
        <v>0</v>
      </c>
      <c r="U798">
        <f>IF(SQRT(POWER(T798-F798,2))+SQRT(POWER(E798-S798,2))=0,0,SQRT(POWER(T798-F798,2))+SQRT(POWER(E798-S798,2))+DATOS!$H$20)</f>
        <v>0</v>
      </c>
    </row>
    <row r="799" spans="18:21">
      <c r="R799" t="e">
        <f t="shared" si="37"/>
        <v>#VALUE!</v>
      </c>
      <c r="S799">
        <f t="shared" si="38"/>
        <v>0</v>
      </c>
      <c r="T799">
        <f t="shared" si="39"/>
        <v>0</v>
      </c>
      <c r="U799">
        <f>IF(SQRT(POWER(T799-F799,2))+SQRT(POWER(E799-S799,2))=0,0,SQRT(POWER(T799-F799,2))+SQRT(POWER(E799-S799,2))+DATOS!$H$20)</f>
        <v>0</v>
      </c>
    </row>
    <row r="800" spans="18:21">
      <c r="R800" t="e">
        <f t="shared" si="37"/>
        <v>#VALUE!</v>
      </c>
      <c r="S800">
        <f t="shared" si="38"/>
        <v>0</v>
      </c>
      <c r="T800">
        <f t="shared" si="39"/>
        <v>0</v>
      </c>
      <c r="U800">
        <f>IF(SQRT(POWER(T800-F800,2))+SQRT(POWER(E800-S800,2))=0,0,SQRT(POWER(T800-F800,2))+SQRT(POWER(E800-S800,2))+DATOS!$H$20)</f>
        <v>0</v>
      </c>
    </row>
    <row r="801" spans="18:21">
      <c r="R801" t="e">
        <f t="shared" si="37"/>
        <v>#VALUE!</v>
      </c>
      <c r="S801">
        <f t="shared" si="38"/>
        <v>0</v>
      </c>
      <c r="T801">
        <f t="shared" si="39"/>
        <v>0</v>
      </c>
      <c r="U801">
        <f>IF(SQRT(POWER(T801-F801,2))+SQRT(POWER(E801-S801,2))=0,0,SQRT(POWER(T801-F801,2))+SQRT(POWER(E801-S801,2))+DATOS!$H$20)</f>
        <v>0</v>
      </c>
    </row>
    <row r="802" spans="18:21">
      <c r="R802" t="e">
        <f t="shared" si="37"/>
        <v>#VALUE!</v>
      </c>
      <c r="S802">
        <f t="shared" si="38"/>
        <v>0</v>
      </c>
      <c r="T802">
        <f t="shared" si="39"/>
        <v>0</v>
      </c>
      <c r="U802">
        <f>IF(SQRT(POWER(T802-F802,2))+SQRT(POWER(E802-S802,2))=0,0,SQRT(POWER(T802-F802,2))+SQRT(POWER(E802-S802,2))+DATOS!$H$20)</f>
        <v>0</v>
      </c>
    </row>
    <row r="803" spans="18:21">
      <c r="R803" t="e">
        <f t="shared" si="37"/>
        <v>#VALUE!</v>
      </c>
      <c r="S803">
        <f t="shared" si="38"/>
        <v>0</v>
      </c>
      <c r="T803">
        <f t="shared" si="39"/>
        <v>0</v>
      </c>
      <c r="U803">
        <f>IF(SQRT(POWER(T803-F803,2))+SQRT(POWER(E803-S803,2))=0,0,SQRT(POWER(T803-F803,2))+SQRT(POWER(E803-S803,2))+DATOS!$H$20)</f>
        <v>0</v>
      </c>
    </row>
    <row r="804" spans="18:21">
      <c r="R804" t="e">
        <f t="shared" si="37"/>
        <v>#VALUE!</v>
      </c>
      <c r="S804">
        <f t="shared" si="38"/>
        <v>0</v>
      </c>
      <c r="T804">
        <f t="shared" si="39"/>
        <v>0</v>
      </c>
      <c r="U804">
        <f>IF(SQRT(POWER(T804-F804,2))+SQRT(POWER(E804-S804,2))=0,0,SQRT(POWER(T804-F804,2))+SQRT(POWER(E804-S804,2))+DATOS!$H$20)</f>
        <v>0</v>
      </c>
    </row>
    <row r="805" spans="18:21">
      <c r="R805" t="e">
        <f t="shared" si="37"/>
        <v>#VALUE!</v>
      </c>
      <c r="S805">
        <f t="shared" si="38"/>
        <v>0</v>
      </c>
      <c r="T805">
        <f t="shared" si="39"/>
        <v>0</v>
      </c>
      <c r="U805">
        <f>IF(SQRT(POWER(T805-F805,2))+SQRT(POWER(E805-S805,2))=0,0,SQRT(POWER(T805-F805,2))+SQRT(POWER(E805-S805,2))+DATOS!$H$20)</f>
        <v>0</v>
      </c>
    </row>
    <row r="806" spans="18:21">
      <c r="R806" t="e">
        <f t="shared" si="37"/>
        <v>#VALUE!</v>
      </c>
      <c r="S806">
        <f t="shared" si="38"/>
        <v>0</v>
      </c>
      <c r="T806">
        <f t="shared" si="39"/>
        <v>0</v>
      </c>
      <c r="U806">
        <f>IF(SQRT(POWER(T806-F806,2))+SQRT(POWER(E806-S806,2))=0,0,SQRT(POWER(T806-F806,2))+SQRT(POWER(E806-S806,2))+DATOS!$H$20)</f>
        <v>0</v>
      </c>
    </row>
    <row r="807" spans="18:21">
      <c r="R807" t="e">
        <f t="shared" si="37"/>
        <v>#VALUE!</v>
      </c>
      <c r="S807">
        <f t="shared" si="38"/>
        <v>0</v>
      </c>
      <c r="T807">
        <f t="shared" si="39"/>
        <v>0</v>
      </c>
      <c r="U807">
        <f>IF(SQRT(POWER(T807-F807,2))+SQRT(POWER(E807-S807,2))=0,0,SQRT(POWER(T807-F807,2))+SQRT(POWER(E807-S807,2))+DATOS!$H$20)</f>
        <v>0</v>
      </c>
    </row>
    <row r="808" spans="18:21">
      <c r="R808" t="e">
        <f t="shared" si="37"/>
        <v>#VALUE!</v>
      </c>
      <c r="S808">
        <f t="shared" si="38"/>
        <v>0</v>
      </c>
      <c r="T808">
        <f t="shared" si="39"/>
        <v>0</v>
      </c>
      <c r="U808">
        <f>IF(SQRT(POWER(T808-F808,2))+SQRT(POWER(E808-S808,2))=0,0,SQRT(POWER(T808-F808,2))+SQRT(POWER(E808-S808,2))+DATOS!$H$20)</f>
        <v>0</v>
      </c>
    </row>
    <row r="809" spans="18:21">
      <c r="R809" t="e">
        <f t="shared" si="37"/>
        <v>#VALUE!</v>
      </c>
      <c r="S809">
        <f t="shared" si="38"/>
        <v>0</v>
      </c>
      <c r="T809">
        <f t="shared" si="39"/>
        <v>0</v>
      </c>
      <c r="U809">
        <f>IF(SQRT(POWER(T809-F809,2))+SQRT(POWER(E809-S809,2))=0,0,SQRT(POWER(T809-F809,2))+SQRT(POWER(E809-S809,2))+DATOS!$H$20)</f>
        <v>0</v>
      </c>
    </row>
    <row r="810" spans="18:21">
      <c r="R810" t="e">
        <f t="shared" si="37"/>
        <v>#VALUE!</v>
      </c>
      <c r="S810">
        <f t="shared" si="38"/>
        <v>0</v>
      </c>
      <c r="T810">
        <f t="shared" si="39"/>
        <v>0</v>
      </c>
      <c r="U810">
        <f>IF(SQRT(POWER(T810-F810,2))+SQRT(POWER(E810-S810,2))=0,0,SQRT(POWER(T810-F810,2))+SQRT(POWER(E810-S810,2))+DATOS!$H$20)</f>
        <v>0</v>
      </c>
    </row>
    <row r="811" spans="18:21">
      <c r="R811" t="e">
        <f t="shared" si="37"/>
        <v>#VALUE!</v>
      </c>
      <c r="S811">
        <f t="shared" si="38"/>
        <v>0</v>
      </c>
      <c r="T811">
        <f t="shared" si="39"/>
        <v>0</v>
      </c>
      <c r="U811">
        <f>IF(SQRT(POWER(T811-F811,2))+SQRT(POWER(E811-S811,2))=0,0,SQRT(POWER(T811-F811,2))+SQRT(POWER(E811-S811,2))+DATOS!$H$20)</f>
        <v>0</v>
      </c>
    </row>
    <row r="812" spans="18:21">
      <c r="R812" t="e">
        <f t="shared" si="37"/>
        <v>#VALUE!</v>
      </c>
      <c r="S812">
        <f t="shared" si="38"/>
        <v>0</v>
      </c>
      <c r="T812">
        <f t="shared" si="39"/>
        <v>0</v>
      </c>
      <c r="U812">
        <f>IF(SQRT(POWER(T812-F812,2))+SQRT(POWER(E812-S812,2))=0,0,SQRT(POWER(T812-F812,2))+SQRT(POWER(E812-S812,2))+DATOS!$H$20)</f>
        <v>0</v>
      </c>
    </row>
    <row r="813" spans="18:21">
      <c r="R813" t="e">
        <f t="shared" si="37"/>
        <v>#VALUE!</v>
      </c>
      <c r="S813">
        <f t="shared" si="38"/>
        <v>0</v>
      </c>
      <c r="T813">
        <f t="shared" si="39"/>
        <v>0</v>
      </c>
      <c r="U813">
        <f>IF(SQRT(POWER(T813-F813,2))+SQRT(POWER(E813-S813,2))=0,0,SQRT(POWER(T813-F813,2))+SQRT(POWER(E813-S813,2))+DATOS!$H$20)</f>
        <v>0</v>
      </c>
    </row>
    <row r="814" spans="18:21">
      <c r="R814" t="e">
        <f t="shared" si="37"/>
        <v>#VALUE!</v>
      </c>
      <c r="S814">
        <f t="shared" si="38"/>
        <v>0</v>
      </c>
      <c r="T814">
        <f t="shared" si="39"/>
        <v>0</v>
      </c>
      <c r="U814">
        <f>IF(SQRT(POWER(T814-F814,2))+SQRT(POWER(E814-S814,2))=0,0,SQRT(POWER(T814-F814,2))+SQRT(POWER(E814-S814,2))+DATOS!$H$20)</f>
        <v>0</v>
      </c>
    </row>
    <row r="815" spans="18:21">
      <c r="R815" t="e">
        <f t="shared" si="37"/>
        <v>#VALUE!</v>
      </c>
      <c r="S815">
        <f t="shared" si="38"/>
        <v>0</v>
      </c>
      <c r="T815">
        <f t="shared" si="39"/>
        <v>0</v>
      </c>
      <c r="U815">
        <f>IF(SQRT(POWER(T815-F815,2))+SQRT(POWER(E815-S815,2))=0,0,SQRT(POWER(T815-F815,2))+SQRT(POWER(E815-S815,2))+DATOS!$H$20)</f>
        <v>0</v>
      </c>
    </row>
    <row r="816" spans="18:21">
      <c r="R816" t="e">
        <f t="shared" si="37"/>
        <v>#VALUE!</v>
      </c>
      <c r="S816">
        <f t="shared" si="38"/>
        <v>0</v>
      </c>
      <c r="T816">
        <f t="shared" si="39"/>
        <v>0</v>
      </c>
      <c r="U816">
        <f>IF(SQRT(POWER(T816-F816,2))+SQRT(POWER(E816-S816,2))=0,0,SQRT(POWER(T816-F816,2))+SQRT(POWER(E816-S816,2))+DATOS!$H$20)</f>
        <v>0</v>
      </c>
    </row>
    <row r="817" spans="18:21">
      <c r="R817" t="e">
        <f t="shared" si="37"/>
        <v>#VALUE!</v>
      </c>
      <c r="S817">
        <f t="shared" si="38"/>
        <v>0</v>
      </c>
      <c r="T817">
        <f t="shared" si="39"/>
        <v>0</v>
      </c>
      <c r="U817">
        <f>IF(SQRT(POWER(T817-F817,2))+SQRT(POWER(E817-S817,2))=0,0,SQRT(POWER(T817-F817,2))+SQRT(POWER(E817-S817,2))+DATOS!$H$20)</f>
        <v>0</v>
      </c>
    </row>
    <row r="818" spans="18:21">
      <c r="R818" t="e">
        <f t="shared" si="37"/>
        <v>#VALUE!</v>
      </c>
      <c r="S818">
        <f t="shared" si="38"/>
        <v>0</v>
      </c>
      <c r="T818">
        <f t="shared" si="39"/>
        <v>0</v>
      </c>
      <c r="U818">
        <f>IF(SQRT(POWER(T818-F818,2))+SQRT(POWER(E818-S818,2))=0,0,SQRT(POWER(T818-F818,2))+SQRT(POWER(E818-S818,2))+DATOS!$H$20)</f>
        <v>0</v>
      </c>
    </row>
    <row r="819" spans="18:21">
      <c r="R819" t="e">
        <f t="shared" si="37"/>
        <v>#VALUE!</v>
      </c>
      <c r="S819">
        <f t="shared" si="38"/>
        <v>0</v>
      </c>
      <c r="T819">
        <f t="shared" si="39"/>
        <v>0</v>
      </c>
      <c r="U819">
        <f>IF(SQRT(POWER(T819-F819,2))+SQRT(POWER(E819-S819,2))=0,0,SQRT(POWER(T819-F819,2))+SQRT(POWER(E819-S819,2))+DATOS!$H$20)</f>
        <v>0</v>
      </c>
    </row>
    <row r="820" spans="18:21">
      <c r="R820" t="e">
        <f t="shared" si="37"/>
        <v>#VALUE!</v>
      </c>
      <c r="S820">
        <f t="shared" si="38"/>
        <v>0</v>
      </c>
      <c r="T820">
        <f t="shared" si="39"/>
        <v>0</v>
      </c>
      <c r="U820">
        <f>IF(SQRT(POWER(T820-F820,2))+SQRT(POWER(E820-S820,2))=0,0,SQRT(POWER(T820-F820,2))+SQRT(POWER(E820-S820,2))+DATOS!$H$20)</f>
        <v>0</v>
      </c>
    </row>
    <row r="821" spans="18:21">
      <c r="R821" t="e">
        <f t="shared" si="37"/>
        <v>#VALUE!</v>
      </c>
      <c r="S821">
        <f t="shared" si="38"/>
        <v>0</v>
      </c>
      <c r="T821">
        <f t="shared" si="39"/>
        <v>0</v>
      </c>
      <c r="U821">
        <f>IF(SQRT(POWER(T821-F821,2))+SQRT(POWER(E821-S821,2))=0,0,SQRT(POWER(T821-F821,2))+SQRT(POWER(E821-S821,2))+DATOS!$H$20)</f>
        <v>0</v>
      </c>
    </row>
    <row r="822" spans="18:21">
      <c r="R822" t="e">
        <f t="shared" si="37"/>
        <v>#VALUE!</v>
      </c>
      <c r="S822">
        <f t="shared" si="38"/>
        <v>0</v>
      </c>
      <c r="T822">
        <f t="shared" si="39"/>
        <v>0</v>
      </c>
      <c r="U822">
        <f>IF(SQRT(POWER(T822-F822,2))+SQRT(POWER(E822-S822,2))=0,0,SQRT(POWER(T822-F822,2))+SQRT(POWER(E822-S822,2))+DATOS!$H$20)</f>
        <v>0</v>
      </c>
    </row>
    <row r="823" spans="18:21">
      <c r="R823" t="e">
        <f t="shared" si="37"/>
        <v>#VALUE!</v>
      </c>
      <c r="S823">
        <f t="shared" si="38"/>
        <v>0</v>
      </c>
      <c r="T823">
        <f t="shared" si="39"/>
        <v>0</v>
      </c>
      <c r="U823">
        <f>IF(SQRT(POWER(T823-F823,2))+SQRT(POWER(E823-S823,2))=0,0,SQRT(POWER(T823-F823,2))+SQRT(POWER(E823-S823,2))+DATOS!$H$20)</f>
        <v>0</v>
      </c>
    </row>
    <row r="824" spans="18:21">
      <c r="R824" t="e">
        <f t="shared" si="37"/>
        <v>#VALUE!</v>
      </c>
      <c r="S824">
        <f t="shared" si="38"/>
        <v>0</v>
      </c>
      <c r="T824">
        <f t="shared" si="39"/>
        <v>0</v>
      </c>
      <c r="U824">
        <f>IF(SQRT(POWER(T824-F824,2))+SQRT(POWER(E824-S824,2))=0,0,SQRT(POWER(T824-F824,2))+SQRT(POWER(E824-S824,2))+DATOS!$H$20)</f>
        <v>0</v>
      </c>
    </row>
    <row r="825" spans="18:21">
      <c r="R825" t="e">
        <f t="shared" si="37"/>
        <v>#VALUE!</v>
      </c>
      <c r="S825">
        <f t="shared" si="38"/>
        <v>0</v>
      </c>
      <c r="T825">
        <f t="shared" si="39"/>
        <v>0</v>
      </c>
      <c r="U825">
        <f>IF(SQRT(POWER(T825-F825,2))+SQRT(POWER(E825-S825,2))=0,0,SQRT(POWER(T825-F825,2))+SQRT(POWER(E825-S825,2))+DATOS!$H$20)</f>
        <v>0</v>
      </c>
    </row>
    <row r="826" spans="18:21">
      <c r="R826" t="e">
        <f t="shared" si="37"/>
        <v>#VALUE!</v>
      </c>
      <c r="S826">
        <f t="shared" si="38"/>
        <v>0</v>
      </c>
      <c r="T826">
        <f t="shared" si="39"/>
        <v>0</v>
      </c>
      <c r="U826">
        <f>IF(SQRT(POWER(T826-F826,2))+SQRT(POWER(E826-S826,2))=0,0,SQRT(POWER(T826-F826,2))+SQRT(POWER(E826-S826,2))+DATOS!$H$20)</f>
        <v>0</v>
      </c>
    </row>
    <row r="827" spans="18:21">
      <c r="R827" t="e">
        <f t="shared" si="37"/>
        <v>#VALUE!</v>
      </c>
      <c r="S827">
        <f t="shared" si="38"/>
        <v>0</v>
      </c>
      <c r="T827">
        <f t="shared" si="39"/>
        <v>0</v>
      </c>
      <c r="U827">
        <f>IF(SQRT(POWER(T827-F827,2))+SQRT(POWER(E827-S827,2))=0,0,SQRT(POWER(T827-F827,2))+SQRT(POWER(E827-S827,2))+DATOS!$H$20)</f>
        <v>0</v>
      </c>
    </row>
    <row r="828" spans="18:21">
      <c r="R828" t="e">
        <f t="shared" si="37"/>
        <v>#VALUE!</v>
      </c>
      <c r="S828">
        <f t="shared" si="38"/>
        <v>0</v>
      </c>
      <c r="T828">
        <f t="shared" si="39"/>
        <v>0</v>
      </c>
      <c r="U828">
        <f>IF(SQRT(POWER(T828-F828,2))+SQRT(POWER(E828-S828,2))=0,0,SQRT(POWER(T828-F828,2))+SQRT(POWER(E828-S828,2))+DATOS!$H$20)</f>
        <v>0</v>
      </c>
    </row>
    <row r="829" spans="18:21">
      <c r="R829" t="e">
        <f t="shared" ref="R829:R892" si="40">"TAB-"&amp;LEFT(A829,FIND("-",A829) -1)</f>
        <v>#VALUE!</v>
      </c>
      <c r="S829">
        <f t="shared" ref="S829:S892" si="41">IFERROR(VLOOKUP(R829,$A$2:$F$700,5,0),E829)</f>
        <v>0</v>
      </c>
      <c r="T829">
        <f t="shared" ref="T829:T892" si="42">IFERROR(VLOOKUP(R829,$A$2:$F$700,6,0),F829)</f>
        <v>0</v>
      </c>
      <c r="U829">
        <f>IF(SQRT(POWER(T829-F829,2))+SQRT(POWER(E829-S829,2))=0,0,SQRT(POWER(T829-F829,2))+SQRT(POWER(E829-S829,2))+DATOS!$H$20)</f>
        <v>0</v>
      </c>
    </row>
    <row r="830" spans="18:21">
      <c r="R830" t="e">
        <f t="shared" si="40"/>
        <v>#VALUE!</v>
      </c>
      <c r="S830">
        <f t="shared" si="41"/>
        <v>0</v>
      </c>
      <c r="T830">
        <f t="shared" si="42"/>
        <v>0</v>
      </c>
      <c r="U830">
        <f>IF(SQRT(POWER(T830-F830,2))+SQRT(POWER(E830-S830,2))=0,0,SQRT(POWER(T830-F830,2))+SQRT(POWER(E830-S830,2))+DATOS!$H$20)</f>
        <v>0</v>
      </c>
    </row>
    <row r="831" spans="18:21">
      <c r="R831" t="e">
        <f t="shared" si="40"/>
        <v>#VALUE!</v>
      </c>
      <c r="S831">
        <f t="shared" si="41"/>
        <v>0</v>
      </c>
      <c r="T831">
        <f t="shared" si="42"/>
        <v>0</v>
      </c>
      <c r="U831">
        <f>IF(SQRT(POWER(T831-F831,2))+SQRT(POWER(E831-S831,2))=0,0,SQRT(POWER(T831-F831,2))+SQRT(POWER(E831-S831,2))+DATOS!$H$20)</f>
        <v>0</v>
      </c>
    </row>
    <row r="832" spans="18:21">
      <c r="R832" t="e">
        <f t="shared" si="40"/>
        <v>#VALUE!</v>
      </c>
      <c r="S832">
        <f t="shared" si="41"/>
        <v>0</v>
      </c>
      <c r="T832">
        <f t="shared" si="42"/>
        <v>0</v>
      </c>
      <c r="U832">
        <f>IF(SQRT(POWER(T832-F832,2))+SQRT(POWER(E832-S832,2))=0,0,SQRT(POWER(T832-F832,2))+SQRT(POWER(E832-S832,2))+DATOS!$H$20)</f>
        <v>0</v>
      </c>
    </row>
    <row r="833" spans="18:21">
      <c r="R833" t="e">
        <f t="shared" si="40"/>
        <v>#VALUE!</v>
      </c>
      <c r="S833">
        <f t="shared" si="41"/>
        <v>0</v>
      </c>
      <c r="T833">
        <f t="shared" si="42"/>
        <v>0</v>
      </c>
      <c r="U833">
        <f>IF(SQRT(POWER(T833-F833,2))+SQRT(POWER(E833-S833,2))=0,0,SQRT(POWER(T833-F833,2))+SQRT(POWER(E833-S833,2))+DATOS!$H$20)</f>
        <v>0</v>
      </c>
    </row>
    <row r="834" spans="18:21">
      <c r="R834" t="e">
        <f t="shared" si="40"/>
        <v>#VALUE!</v>
      </c>
      <c r="S834">
        <f t="shared" si="41"/>
        <v>0</v>
      </c>
      <c r="T834">
        <f t="shared" si="42"/>
        <v>0</v>
      </c>
      <c r="U834">
        <f>IF(SQRT(POWER(T834-F834,2))+SQRT(POWER(E834-S834,2))=0,0,SQRT(POWER(T834-F834,2))+SQRT(POWER(E834-S834,2))+DATOS!$H$20)</f>
        <v>0</v>
      </c>
    </row>
    <row r="835" spans="18:21">
      <c r="R835" t="e">
        <f t="shared" si="40"/>
        <v>#VALUE!</v>
      </c>
      <c r="S835">
        <f t="shared" si="41"/>
        <v>0</v>
      </c>
      <c r="T835">
        <f t="shared" si="42"/>
        <v>0</v>
      </c>
      <c r="U835">
        <f>IF(SQRT(POWER(T835-F835,2))+SQRT(POWER(E835-S835,2))=0,0,SQRT(POWER(T835-F835,2))+SQRT(POWER(E835-S835,2))+DATOS!$H$20)</f>
        <v>0</v>
      </c>
    </row>
    <row r="836" spans="18:21">
      <c r="R836" t="e">
        <f t="shared" si="40"/>
        <v>#VALUE!</v>
      </c>
      <c r="S836">
        <f t="shared" si="41"/>
        <v>0</v>
      </c>
      <c r="T836">
        <f t="shared" si="42"/>
        <v>0</v>
      </c>
      <c r="U836">
        <f>IF(SQRT(POWER(T836-F836,2))+SQRT(POWER(E836-S836,2))=0,0,SQRT(POWER(T836-F836,2))+SQRT(POWER(E836-S836,2))+DATOS!$H$20)</f>
        <v>0</v>
      </c>
    </row>
    <row r="837" spans="18:21">
      <c r="R837" t="e">
        <f t="shared" si="40"/>
        <v>#VALUE!</v>
      </c>
      <c r="S837">
        <f t="shared" si="41"/>
        <v>0</v>
      </c>
      <c r="T837">
        <f t="shared" si="42"/>
        <v>0</v>
      </c>
      <c r="U837">
        <f>IF(SQRT(POWER(T837-F837,2))+SQRT(POWER(E837-S837,2))=0,0,SQRT(POWER(T837-F837,2))+SQRT(POWER(E837-S837,2))+DATOS!$H$20)</f>
        <v>0</v>
      </c>
    </row>
    <row r="838" spans="18:21">
      <c r="R838" t="e">
        <f t="shared" si="40"/>
        <v>#VALUE!</v>
      </c>
      <c r="S838">
        <f t="shared" si="41"/>
        <v>0</v>
      </c>
      <c r="T838">
        <f t="shared" si="42"/>
        <v>0</v>
      </c>
      <c r="U838">
        <f>IF(SQRT(POWER(T838-F838,2))+SQRT(POWER(E838-S838,2))=0,0,SQRT(POWER(T838-F838,2))+SQRT(POWER(E838-S838,2))+DATOS!$H$20)</f>
        <v>0</v>
      </c>
    </row>
    <row r="839" spans="18:21">
      <c r="R839" t="e">
        <f t="shared" si="40"/>
        <v>#VALUE!</v>
      </c>
      <c r="S839">
        <f t="shared" si="41"/>
        <v>0</v>
      </c>
      <c r="T839">
        <f t="shared" si="42"/>
        <v>0</v>
      </c>
      <c r="U839">
        <f>IF(SQRT(POWER(T839-F839,2))+SQRT(POWER(E839-S839,2))=0,0,SQRT(POWER(T839-F839,2))+SQRT(POWER(E839-S839,2))+DATOS!$H$20)</f>
        <v>0</v>
      </c>
    </row>
    <row r="840" spans="18:21">
      <c r="R840" t="e">
        <f t="shared" si="40"/>
        <v>#VALUE!</v>
      </c>
      <c r="S840">
        <f t="shared" si="41"/>
        <v>0</v>
      </c>
      <c r="T840">
        <f t="shared" si="42"/>
        <v>0</v>
      </c>
      <c r="U840">
        <f>IF(SQRT(POWER(T840-F840,2))+SQRT(POWER(E840-S840,2))=0,0,SQRT(POWER(T840-F840,2))+SQRT(POWER(E840-S840,2))+DATOS!$H$20)</f>
        <v>0</v>
      </c>
    </row>
    <row r="841" spans="18:21">
      <c r="R841" t="e">
        <f t="shared" si="40"/>
        <v>#VALUE!</v>
      </c>
      <c r="S841">
        <f t="shared" si="41"/>
        <v>0</v>
      </c>
      <c r="T841">
        <f t="shared" si="42"/>
        <v>0</v>
      </c>
      <c r="U841">
        <f>IF(SQRT(POWER(T841-F841,2))+SQRT(POWER(E841-S841,2))=0,0,SQRT(POWER(T841-F841,2))+SQRT(POWER(E841-S841,2))+DATOS!$H$20)</f>
        <v>0</v>
      </c>
    </row>
    <row r="842" spans="18:21">
      <c r="R842" t="e">
        <f t="shared" si="40"/>
        <v>#VALUE!</v>
      </c>
      <c r="S842">
        <f t="shared" si="41"/>
        <v>0</v>
      </c>
      <c r="T842">
        <f t="shared" si="42"/>
        <v>0</v>
      </c>
      <c r="U842">
        <f>IF(SQRT(POWER(T842-F842,2))+SQRT(POWER(E842-S842,2))=0,0,SQRT(POWER(T842-F842,2))+SQRT(POWER(E842-S842,2))+DATOS!$H$20)</f>
        <v>0</v>
      </c>
    </row>
    <row r="843" spans="18:21">
      <c r="R843" t="e">
        <f t="shared" si="40"/>
        <v>#VALUE!</v>
      </c>
      <c r="S843">
        <f t="shared" si="41"/>
        <v>0</v>
      </c>
      <c r="T843">
        <f t="shared" si="42"/>
        <v>0</v>
      </c>
      <c r="U843">
        <f>IF(SQRT(POWER(T843-F843,2))+SQRT(POWER(E843-S843,2))=0,0,SQRT(POWER(T843-F843,2))+SQRT(POWER(E843-S843,2))+DATOS!$H$20)</f>
        <v>0</v>
      </c>
    </row>
    <row r="844" spans="18:21">
      <c r="R844" t="e">
        <f t="shared" si="40"/>
        <v>#VALUE!</v>
      </c>
      <c r="S844">
        <f t="shared" si="41"/>
        <v>0</v>
      </c>
      <c r="T844">
        <f t="shared" si="42"/>
        <v>0</v>
      </c>
      <c r="U844">
        <f>IF(SQRT(POWER(T844-F844,2))+SQRT(POWER(E844-S844,2))=0,0,SQRT(POWER(T844-F844,2))+SQRT(POWER(E844-S844,2))+DATOS!$H$20)</f>
        <v>0</v>
      </c>
    </row>
    <row r="845" spans="18:21">
      <c r="R845" t="e">
        <f t="shared" si="40"/>
        <v>#VALUE!</v>
      </c>
      <c r="S845">
        <f t="shared" si="41"/>
        <v>0</v>
      </c>
      <c r="T845">
        <f t="shared" si="42"/>
        <v>0</v>
      </c>
      <c r="U845">
        <f>IF(SQRT(POWER(T845-F845,2))+SQRT(POWER(E845-S845,2))=0,0,SQRT(POWER(T845-F845,2))+SQRT(POWER(E845-S845,2))+DATOS!$H$20)</f>
        <v>0</v>
      </c>
    </row>
    <row r="846" spans="18:21">
      <c r="R846" t="e">
        <f t="shared" si="40"/>
        <v>#VALUE!</v>
      </c>
      <c r="S846">
        <f t="shared" si="41"/>
        <v>0</v>
      </c>
      <c r="T846">
        <f t="shared" si="42"/>
        <v>0</v>
      </c>
      <c r="U846">
        <f>IF(SQRT(POWER(T846-F846,2))+SQRT(POWER(E846-S846,2))=0,0,SQRT(POWER(T846-F846,2))+SQRT(POWER(E846-S846,2))+DATOS!$H$20)</f>
        <v>0</v>
      </c>
    </row>
    <row r="847" spans="18:21">
      <c r="R847" t="e">
        <f t="shared" si="40"/>
        <v>#VALUE!</v>
      </c>
      <c r="S847">
        <f t="shared" si="41"/>
        <v>0</v>
      </c>
      <c r="T847">
        <f t="shared" si="42"/>
        <v>0</v>
      </c>
      <c r="U847">
        <f>IF(SQRT(POWER(T847-F847,2))+SQRT(POWER(E847-S847,2))=0,0,SQRT(POWER(T847-F847,2))+SQRT(POWER(E847-S847,2))+DATOS!$H$20)</f>
        <v>0</v>
      </c>
    </row>
    <row r="848" spans="18:21">
      <c r="R848" t="e">
        <f t="shared" si="40"/>
        <v>#VALUE!</v>
      </c>
      <c r="S848">
        <f t="shared" si="41"/>
        <v>0</v>
      </c>
      <c r="T848">
        <f t="shared" si="42"/>
        <v>0</v>
      </c>
      <c r="U848">
        <f>IF(SQRT(POWER(T848-F848,2))+SQRT(POWER(E848-S848,2))=0,0,SQRT(POWER(T848-F848,2))+SQRT(POWER(E848-S848,2))+DATOS!$H$20)</f>
        <v>0</v>
      </c>
    </row>
    <row r="849" spans="18:21">
      <c r="R849" t="e">
        <f t="shared" si="40"/>
        <v>#VALUE!</v>
      </c>
      <c r="S849">
        <f t="shared" si="41"/>
        <v>0</v>
      </c>
      <c r="T849">
        <f t="shared" si="42"/>
        <v>0</v>
      </c>
      <c r="U849">
        <f>IF(SQRT(POWER(T849-F849,2))+SQRT(POWER(E849-S849,2))=0,0,SQRT(POWER(T849-F849,2))+SQRT(POWER(E849-S849,2))+DATOS!$H$20)</f>
        <v>0</v>
      </c>
    </row>
    <row r="850" spans="18:21">
      <c r="R850" t="e">
        <f t="shared" si="40"/>
        <v>#VALUE!</v>
      </c>
      <c r="S850">
        <f t="shared" si="41"/>
        <v>0</v>
      </c>
      <c r="T850">
        <f t="shared" si="42"/>
        <v>0</v>
      </c>
      <c r="U850">
        <f>IF(SQRT(POWER(T850-F850,2))+SQRT(POWER(E850-S850,2))=0,0,SQRT(POWER(T850-F850,2))+SQRT(POWER(E850-S850,2))+DATOS!$H$20)</f>
        <v>0</v>
      </c>
    </row>
    <row r="851" spans="18:21">
      <c r="R851" t="e">
        <f t="shared" si="40"/>
        <v>#VALUE!</v>
      </c>
      <c r="S851">
        <f t="shared" si="41"/>
        <v>0</v>
      </c>
      <c r="T851">
        <f t="shared" si="42"/>
        <v>0</v>
      </c>
      <c r="U851">
        <f>IF(SQRT(POWER(T851-F851,2))+SQRT(POWER(E851-S851,2))=0,0,SQRT(POWER(T851-F851,2))+SQRT(POWER(E851-S851,2))+DATOS!$H$20)</f>
        <v>0</v>
      </c>
    </row>
    <row r="852" spans="18:21">
      <c r="R852" t="e">
        <f t="shared" si="40"/>
        <v>#VALUE!</v>
      </c>
      <c r="S852">
        <f t="shared" si="41"/>
        <v>0</v>
      </c>
      <c r="T852">
        <f t="shared" si="42"/>
        <v>0</v>
      </c>
      <c r="U852">
        <f>IF(SQRT(POWER(T852-F852,2))+SQRT(POWER(E852-S852,2))=0,0,SQRT(POWER(T852-F852,2))+SQRT(POWER(E852-S852,2))+DATOS!$H$20)</f>
        <v>0</v>
      </c>
    </row>
    <row r="853" spans="18:21">
      <c r="R853" t="e">
        <f t="shared" si="40"/>
        <v>#VALUE!</v>
      </c>
      <c r="S853">
        <f t="shared" si="41"/>
        <v>0</v>
      </c>
      <c r="T853">
        <f t="shared" si="42"/>
        <v>0</v>
      </c>
      <c r="U853">
        <f>IF(SQRT(POWER(T853-F853,2))+SQRT(POWER(E853-S853,2))=0,0,SQRT(POWER(T853-F853,2))+SQRT(POWER(E853-S853,2))+DATOS!$H$20)</f>
        <v>0</v>
      </c>
    </row>
    <row r="854" spans="18:21">
      <c r="R854" t="e">
        <f t="shared" si="40"/>
        <v>#VALUE!</v>
      </c>
      <c r="S854">
        <f t="shared" si="41"/>
        <v>0</v>
      </c>
      <c r="T854">
        <f t="shared" si="42"/>
        <v>0</v>
      </c>
      <c r="U854">
        <f>IF(SQRT(POWER(T854-F854,2))+SQRT(POWER(E854-S854,2))=0,0,SQRT(POWER(T854-F854,2))+SQRT(POWER(E854-S854,2))+DATOS!$H$20)</f>
        <v>0</v>
      </c>
    </row>
    <row r="855" spans="18:21">
      <c r="R855" t="e">
        <f t="shared" si="40"/>
        <v>#VALUE!</v>
      </c>
      <c r="S855">
        <f t="shared" si="41"/>
        <v>0</v>
      </c>
      <c r="T855">
        <f t="shared" si="42"/>
        <v>0</v>
      </c>
      <c r="U855">
        <f>IF(SQRT(POWER(T855-F855,2))+SQRT(POWER(E855-S855,2))=0,0,SQRT(POWER(T855-F855,2))+SQRT(POWER(E855-S855,2))+DATOS!$H$20)</f>
        <v>0</v>
      </c>
    </row>
    <row r="856" spans="18:21">
      <c r="R856" t="e">
        <f t="shared" si="40"/>
        <v>#VALUE!</v>
      </c>
      <c r="S856">
        <f t="shared" si="41"/>
        <v>0</v>
      </c>
      <c r="T856">
        <f t="shared" si="42"/>
        <v>0</v>
      </c>
      <c r="U856">
        <f>IF(SQRT(POWER(T856-F856,2))+SQRT(POWER(E856-S856,2))=0,0,SQRT(POWER(T856-F856,2))+SQRT(POWER(E856-S856,2))+DATOS!$H$20)</f>
        <v>0</v>
      </c>
    </row>
    <row r="857" spans="18:21">
      <c r="R857" t="e">
        <f t="shared" si="40"/>
        <v>#VALUE!</v>
      </c>
      <c r="S857">
        <f t="shared" si="41"/>
        <v>0</v>
      </c>
      <c r="T857">
        <f t="shared" si="42"/>
        <v>0</v>
      </c>
      <c r="U857">
        <f>IF(SQRT(POWER(T857-F857,2))+SQRT(POWER(E857-S857,2))=0,0,SQRT(POWER(T857-F857,2))+SQRT(POWER(E857-S857,2))+DATOS!$H$20)</f>
        <v>0</v>
      </c>
    </row>
    <row r="858" spans="18:21">
      <c r="R858" t="e">
        <f t="shared" si="40"/>
        <v>#VALUE!</v>
      </c>
      <c r="S858">
        <f t="shared" si="41"/>
        <v>0</v>
      </c>
      <c r="T858">
        <f t="shared" si="42"/>
        <v>0</v>
      </c>
      <c r="U858">
        <f>IF(SQRT(POWER(T858-F858,2))+SQRT(POWER(E858-S858,2))=0,0,SQRT(POWER(T858-F858,2))+SQRT(POWER(E858-S858,2))+DATOS!$H$20)</f>
        <v>0</v>
      </c>
    </row>
    <row r="859" spans="18:21">
      <c r="R859" t="e">
        <f t="shared" si="40"/>
        <v>#VALUE!</v>
      </c>
      <c r="S859">
        <f t="shared" si="41"/>
        <v>0</v>
      </c>
      <c r="T859">
        <f t="shared" si="42"/>
        <v>0</v>
      </c>
      <c r="U859">
        <f>IF(SQRT(POWER(T859-F859,2))+SQRT(POWER(E859-S859,2))=0,0,SQRT(POWER(T859-F859,2))+SQRT(POWER(E859-S859,2))+DATOS!$H$20)</f>
        <v>0</v>
      </c>
    </row>
    <row r="860" spans="18:21">
      <c r="R860" t="e">
        <f t="shared" si="40"/>
        <v>#VALUE!</v>
      </c>
      <c r="S860">
        <f t="shared" si="41"/>
        <v>0</v>
      </c>
      <c r="T860">
        <f t="shared" si="42"/>
        <v>0</v>
      </c>
      <c r="U860">
        <f>IF(SQRT(POWER(T860-F860,2))+SQRT(POWER(E860-S860,2))=0,0,SQRT(POWER(T860-F860,2))+SQRT(POWER(E860-S860,2))+DATOS!$H$20)</f>
        <v>0</v>
      </c>
    </row>
    <row r="861" spans="18:21">
      <c r="R861" t="e">
        <f t="shared" si="40"/>
        <v>#VALUE!</v>
      </c>
      <c r="S861">
        <f t="shared" si="41"/>
        <v>0</v>
      </c>
      <c r="T861">
        <f t="shared" si="42"/>
        <v>0</v>
      </c>
      <c r="U861">
        <f>IF(SQRT(POWER(T861-F861,2))+SQRT(POWER(E861-S861,2))=0,0,SQRT(POWER(T861-F861,2))+SQRT(POWER(E861-S861,2))+DATOS!$H$20)</f>
        <v>0</v>
      </c>
    </row>
    <row r="862" spans="18:21">
      <c r="R862" t="e">
        <f t="shared" si="40"/>
        <v>#VALUE!</v>
      </c>
      <c r="S862">
        <f t="shared" si="41"/>
        <v>0</v>
      </c>
      <c r="T862">
        <f t="shared" si="42"/>
        <v>0</v>
      </c>
      <c r="U862">
        <f>IF(SQRT(POWER(T862-F862,2))+SQRT(POWER(E862-S862,2))=0,0,SQRT(POWER(T862-F862,2))+SQRT(POWER(E862-S862,2))+DATOS!$H$20)</f>
        <v>0</v>
      </c>
    </row>
    <row r="863" spans="18:21">
      <c r="R863" t="e">
        <f t="shared" si="40"/>
        <v>#VALUE!</v>
      </c>
      <c r="S863">
        <f t="shared" si="41"/>
        <v>0</v>
      </c>
      <c r="T863">
        <f t="shared" si="42"/>
        <v>0</v>
      </c>
      <c r="U863">
        <f>IF(SQRT(POWER(T863-F863,2))+SQRT(POWER(E863-S863,2))=0,0,SQRT(POWER(T863-F863,2))+SQRT(POWER(E863-S863,2))+DATOS!$H$20)</f>
        <v>0</v>
      </c>
    </row>
    <row r="864" spans="18:21">
      <c r="R864" t="e">
        <f t="shared" si="40"/>
        <v>#VALUE!</v>
      </c>
      <c r="S864">
        <f t="shared" si="41"/>
        <v>0</v>
      </c>
      <c r="T864">
        <f t="shared" si="42"/>
        <v>0</v>
      </c>
      <c r="U864">
        <f>IF(SQRT(POWER(T864-F864,2))+SQRT(POWER(E864-S864,2))=0,0,SQRT(POWER(T864-F864,2))+SQRT(POWER(E864-S864,2))+DATOS!$H$20)</f>
        <v>0</v>
      </c>
    </row>
    <row r="865" spans="18:21">
      <c r="R865" t="e">
        <f t="shared" si="40"/>
        <v>#VALUE!</v>
      </c>
      <c r="S865">
        <f t="shared" si="41"/>
        <v>0</v>
      </c>
      <c r="T865">
        <f t="shared" si="42"/>
        <v>0</v>
      </c>
      <c r="U865">
        <f>IF(SQRT(POWER(T865-F865,2))+SQRT(POWER(E865-S865,2))=0,0,SQRT(POWER(T865-F865,2))+SQRT(POWER(E865-S865,2))+DATOS!$H$20)</f>
        <v>0</v>
      </c>
    </row>
    <row r="866" spans="18:21">
      <c r="R866" t="e">
        <f t="shared" si="40"/>
        <v>#VALUE!</v>
      </c>
      <c r="S866">
        <f t="shared" si="41"/>
        <v>0</v>
      </c>
      <c r="T866">
        <f t="shared" si="42"/>
        <v>0</v>
      </c>
      <c r="U866">
        <f>IF(SQRT(POWER(T866-F866,2))+SQRT(POWER(E866-S866,2))=0,0,SQRT(POWER(T866-F866,2))+SQRT(POWER(E866-S866,2))+DATOS!$H$20)</f>
        <v>0</v>
      </c>
    </row>
    <row r="867" spans="18:21">
      <c r="R867" t="e">
        <f t="shared" si="40"/>
        <v>#VALUE!</v>
      </c>
      <c r="S867">
        <f t="shared" si="41"/>
        <v>0</v>
      </c>
      <c r="T867">
        <f t="shared" si="42"/>
        <v>0</v>
      </c>
      <c r="U867">
        <f>IF(SQRT(POWER(T867-F867,2))+SQRT(POWER(E867-S867,2))=0,0,SQRT(POWER(T867-F867,2))+SQRT(POWER(E867-S867,2))+DATOS!$H$20)</f>
        <v>0</v>
      </c>
    </row>
    <row r="868" spans="18:21">
      <c r="R868" t="e">
        <f t="shared" si="40"/>
        <v>#VALUE!</v>
      </c>
      <c r="S868">
        <f t="shared" si="41"/>
        <v>0</v>
      </c>
      <c r="T868">
        <f t="shared" si="42"/>
        <v>0</v>
      </c>
      <c r="U868">
        <f>IF(SQRT(POWER(T868-F868,2))+SQRT(POWER(E868-S868,2))=0,0,SQRT(POWER(T868-F868,2))+SQRT(POWER(E868-S868,2))+DATOS!$H$20)</f>
        <v>0</v>
      </c>
    </row>
    <row r="869" spans="18:21">
      <c r="R869" t="e">
        <f t="shared" si="40"/>
        <v>#VALUE!</v>
      </c>
      <c r="S869">
        <f t="shared" si="41"/>
        <v>0</v>
      </c>
      <c r="T869">
        <f t="shared" si="42"/>
        <v>0</v>
      </c>
      <c r="U869">
        <f>IF(SQRT(POWER(T869-F869,2))+SQRT(POWER(E869-S869,2))=0,0,SQRT(POWER(T869-F869,2))+SQRT(POWER(E869-S869,2))+DATOS!$H$20)</f>
        <v>0</v>
      </c>
    </row>
    <row r="870" spans="18:21">
      <c r="R870" t="e">
        <f t="shared" si="40"/>
        <v>#VALUE!</v>
      </c>
      <c r="S870">
        <f t="shared" si="41"/>
        <v>0</v>
      </c>
      <c r="T870">
        <f t="shared" si="42"/>
        <v>0</v>
      </c>
      <c r="U870">
        <f>IF(SQRT(POWER(T870-F870,2))+SQRT(POWER(E870-S870,2))=0,0,SQRT(POWER(T870-F870,2))+SQRT(POWER(E870-S870,2))+DATOS!$H$20)</f>
        <v>0</v>
      </c>
    </row>
    <row r="871" spans="18:21">
      <c r="R871" t="e">
        <f t="shared" si="40"/>
        <v>#VALUE!</v>
      </c>
      <c r="S871">
        <f t="shared" si="41"/>
        <v>0</v>
      </c>
      <c r="T871">
        <f t="shared" si="42"/>
        <v>0</v>
      </c>
      <c r="U871">
        <f>IF(SQRT(POWER(T871-F871,2))+SQRT(POWER(E871-S871,2))=0,0,SQRT(POWER(T871-F871,2))+SQRT(POWER(E871-S871,2))+DATOS!$H$20)</f>
        <v>0</v>
      </c>
    </row>
    <row r="872" spans="18:21">
      <c r="R872" t="e">
        <f t="shared" si="40"/>
        <v>#VALUE!</v>
      </c>
      <c r="S872">
        <f t="shared" si="41"/>
        <v>0</v>
      </c>
      <c r="T872">
        <f t="shared" si="42"/>
        <v>0</v>
      </c>
      <c r="U872">
        <f>IF(SQRT(POWER(T872-F872,2))+SQRT(POWER(E872-S872,2))=0,0,SQRT(POWER(T872-F872,2))+SQRT(POWER(E872-S872,2))+DATOS!$H$20)</f>
        <v>0</v>
      </c>
    </row>
    <row r="873" spans="18:21">
      <c r="R873" t="e">
        <f t="shared" si="40"/>
        <v>#VALUE!</v>
      </c>
      <c r="S873">
        <f t="shared" si="41"/>
        <v>0</v>
      </c>
      <c r="T873">
        <f t="shared" si="42"/>
        <v>0</v>
      </c>
      <c r="U873">
        <f>IF(SQRT(POWER(T873-F873,2))+SQRT(POWER(E873-S873,2))=0,0,SQRT(POWER(T873-F873,2))+SQRT(POWER(E873-S873,2))+DATOS!$H$20)</f>
        <v>0</v>
      </c>
    </row>
    <row r="874" spans="18:21">
      <c r="R874" t="e">
        <f t="shared" si="40"/>
        <v>#VALUE!</v>
      </c>
      <c r="S874">
        <f t="shared" si="41"/>
        <v>0</v>
      </c>
      <c r="T874">
        <f t="shared" si="42"/>
        <v>0</v>
      </c>
      <c r="U874">
        <f>IF(SQRT(POWER(T874-F874,2))+SQRT(POWER(E874-S874,2))=0,0,SQRT(POWER(T874-F874,2))+SQRT(POWER(E874-S874,2))+DATOS!$H$20)</f>
        <v>0</v>
      </c>
    </row>
    <row r="875" spans="18:21">
      <c r="R875" t="e">
        <f t="shared" si="40"/>
        <v>#VALUE!</v>
      </c>
      <c r="S875">
        <f t="shared" si="41"/>
        <v>0</v>
      </c>
      <c r="T875">
        <f t="shared" si="42"/>
        <v>0</v>
      </c>
      <c r="U875">
        <f>IF(SQRT(POWER(T875-F875,2))+SQRT(POWER(E875-S875,2))=0,0,SQRT(POWER(T875-F875,2))+SQRT(POWER(E875-S875,2))+DATOS!$H$20)</f>
        <v>0</v>
      </c>
    </row>
    <row r="876" spans="18:21">
      <c r="R876" t="e">
        <f t="shared" si="40"/>
        <v>#VALUE!</v>
      </c>
      <c r="S876">
        <f t="shared" si="41"/>
        <v>0</v>
      </c>
      <c r="T876">
        <f t="shared" si="42"/>
        <v>0</v>
      </c>
      <c r="U876">
        <f>IF(SQRT(POWER(T876-F876,2))+SQRT(POWER(E876-S876,2))=0,0,SQRT(POWER(T876-F876,2))+SQRT(POWER(E876-S876,2))+DATOS!$H$20)</f>
        <v>0</v>
      </c>
    </row>
    <row r="877" spans="18:21">
      <c r="R877" t="e">
        <f t="shared" si="40"/>
        <v>#VALUE!</v>
      </c>
      <c r="S877">
        <f t="shared" si="41"/>
        <v>0</v>
      </c>
      <c r="T877">
        <f t="shared" si="42"/>
        <v>0</v>
      </c>
      <c r="U877">
        <f>IF(SQRT(POWER(T877-F877,2))+SQRT(POWER(E877-S877,2))=0,0,SQRT(POWER(T877-F877,2))+SQRT(POWER(E877-S877,2))+DATOS!$H$20)</f>
        <v>0</v>
      </c>
    </row>
    <row r="878" spans="18:21">
      <c r="R878" t="e">
        <f t="shared" si="40"/>
        <v>#VALUE!</v>
      </c>
      <c r="S878">
        <f t="shared" si="41"/>
        <v>0</v>
      </c>
      <c r="T878">
        <f t="shared" si="42"/>
        <v>0</v>
      </c>
      <c r="U878">
        <f>IF(SQRT(POWER(T878-F878,2))+SQRT(POWER(E878-S878,2))=0,0,SQRT(POWER(T878-F878,2))+SQRT(POWER(E878-S878,2))+DATOS!$H$20)</f>
        <v>0</v>
      </c>
    </row>
    <row r="879" spans="18:21">
      <c r="R879" t="e">
        <f t="shared" si="40"/>
        <v>#VALUE!</v>
      </c>
      <c r="S879">
        <f t="shared" si="41"/>
        <v>0</v>
      </c>
      <c r="T879">
        <f t="shared" si="42"/>
        <v>0</v>
      </c>
      <c r="U879">
        <f>IF(SQRT(POWER(T879-F879,2))+SQRT(POWER(E879-S879,2))=0,0,SQRT(POWER(T879-F879,2))+SQRT(POWER(E879-S879,2))+DATOS!$H$20)</f>
        <v>0</v>
      </c>
    </row>
    <row r="880" spans="18:21">
      <c r="R880" t="e">
        <f t="shared" si="40"/>
        <v>#VALUE!</v>
      </c>
      <c r="S880">
        <f t="shared" si="41"/>
        <v>0</v>
      </c>
      <c r="T880">
        <f t="shared" si="42"/>
        <v>0</v>
      </c>
      <c r="U880">
        <f>IF(SQRT(POWER(T880-F880,2))+SQRT(POWER(E880-S880,2))=0,0,SQRT(POWER(T880-F880,2))+SQRT(POWER(E880-S880,2))+DATOS!$H$20)</f>
        <v>0</v>
      </c>
    </row>
    <row r="881" spans="18:21">
      <c r="R881" t="e">
        <f t="shared" si="40"/>
        <v>#VALUE!</v>
      </c>
      <c r="S881">
        <f t="shared" si="41"/>
        <v>0</v>
      </c>
      <c r="T881">
        <f t="shared" si="42"/>
        <v>0</v>
      </c>
      <c r="U881">
        <f>IF(SQRT(POWER(T881-F881,2))+SQRT(POWER(E881-S881,2))=0,0,SQRT(POWER(T881-F881,2))+SQRT(POWER(E881-S881,2))+DATOS!$H$20)</f>
        <v>0</v>
      </c>
    </row>
    <row r="882" spans="18:21">
      <c r="R882" t="e">
        <f t="shared" si="40"/>
        <v>#VALUE!</v>
      </c>
      <c r="S882">
        <f t="shared" si="41"/>
        <v>0</v>
      </c>
      <c r="T882">
        <f t="shared" si="42"/>
        <v>0</v>
      </c>
      <c r="U882">
        <f>IF(SQRT(POWER(T882-F882,2))+SQRT(POWER(E882-S882,2))=0,0,SQRT(POWER(T882-F882,2))+SQRT(POWER(E882-S882,2))+DATOS!$H$20)</f>
        <v>0</v>
      </c>
    </row>
    <row r="883" spans="18:21">
      <c r="R883" t="e">
        <f t="shared" si="40"/>
        <v>#VALUE!</v>
      </c>
      <c r="S883">
        <f t="shared" si="41"/>
        <v>0</v>
      </c>
      <c r="T883">
        <f t="shared" si="42"/>
        <v>0</v>
      </c>
      <c r="U883">
        <f>IF(SQRT(POWER(T883-F883,2))+SQRT(POWER(E883-S883,2))=0,0,SQRT(POWER(T883-F883,2))+SQRT(POWER(E883-S883,2))+DATOS!$H$20)</f>
        <v>0</v>
      </c>
    </row>
    <row r="884" spans="18:21">
      <c r="R884" t="e">
        <f t="shared" si="40"/>
        <v>#VALUE!</v>
      </c>
      <c r="S884">
        <f t="shared" si="41"/>
        <v>0</v>
      </c>
      <c r="T884">
        <f t="shared" si="42"/>
        <v>0</v>
      </c>
      <c r="U884">
        <f>IF(SQRT(POWER(T884-F884,2))+SQRT(POWER(E884-S884,2))=0,0,SQRT(POWER(T884-F884,2))+SQRT(POWER(E884-S884,2))+DATOS!$H$20)</f>
        <v>0</v>
      </c>
    </row>
    <row r="885" spans="18:21">
      <c r="R885" t="e">
        <f t="shared" si="40"/>
        <v>#VALUE!</v>
      </c>
      <c r="S885">
        <f t="shared" si="41"/>
        <v>0</v>
      </c>
      <c r="T885">
        <f t="shared" si="42"/>
        <v>0</v>
      </c>
      <c r="U885">
        <f>IF(SQRT(POWER(T885-F885,2))+SQRT(POWER(E885-S885,2))=0,0,SQRT(POWER(T885-F885,2))+SQRT(POWER(E885-S885,2))+DATOS!$H$20)</f>
        <v>0</v>
      </c>
    </row>
    <row r="886" spans="18:21">
      <c r="R886" t="e">
        <f t="shared" si="40"/>
        <v>#VALUE!</v>
      </c>
      <c r="S886">
        <f t="shared" si="41"/>
        <v>0</v>
      </c>
      <c r="T886">
        <f t="shared" si="42"/>
        <v>0</v>
      </c>
      <c r="U886">
        <f>IF(SQRT(POWER(T886-F886,2))+SQRT(POWER(E886-S886,2))=0,0,SQRT(POWER(T886-F886,2))+SQRT(POWER(E886-S886,2))+DATOS!$H$20)</f>
        <v>0</v>
      </c>
    </row>
    <row r="887" spans="18:21">
      <c r="R887" t="e">
        <f t="shared" si="40"/>
        <v>#VALUE!</v>
      </c>
      <c r="S887">
        <f t="shared" si="41"/>
        <v>0</v>
      </c>
      <c r="T887">
        <f t="shared" si="42"/>
        <v>0</v>
      </c>
      <c r="U887">
        <f>IF(SQRT(POWER(T887-F887,2))+SQRT(POWER(E887-S887,2))=0,0,SQRT(POWER(T887-F887,2))+SQRT(POWER(E887-S887,2))+DATOS!$H$20)</f>
        <v>0</v>
      </c>
    </row>
    <row r="888" spans="18:21">
      <c r="R888" t="e">
        <f t="shared" si="40"/>
        <v>#VALUE!</v>
      </c>
      <c r="S888">
        <f t="shared" si="41"/>
        <v>0</v>
      </c>
      <c r="T888">
        <f t="shared" si="42"/>
        <v>0</v>
      </c>
      <c r="U888">
        <f>IF(SQRT(POWER(T888-F888,2))+SQRT(POWER(E888-S888,2))=0,0,SQRT(POWER(T888-F888,2))+SQRT(POWER(E888-S888,2))+DATOS!$H$20)</f>
        <v>0</v>
      </c>
    </row>
    <row r="889" spans="18:21">
      <c r="R889" t="e">
        <f t="shared" si="40"/>
        <v>#VALUE!</v>
      </c>
      <c r="S889">
        <f t="shared" si="41"/>
        <v>0</v>
      </c>
      <c r="T889">
        <f t="shared" si="42"/>
        <v>0</v>
      </c>
      <c r="U889">
        <f>IF(SQRT(POWER(T889-F889,2))+SQRT(POWER(E889-S889,2))=0,0,SQRT(POWER(T889-F889,2))+SQRT(POWER(E889-S889,2))+DATOS!$H$20)</f>
        <v>0</v>
      </c>
    </row>
    <row r="890" spans="18:21">
      <c r="R890" t="e">
        <f t="shared" si="40"/>
        <v>#VALUE!</v>
      </c>
      <c r="S890">
        <f t="shared" si="41"/>
        <v>0</v>
      </c>
      <c r="T890">
        <f t="shared" si="42"/>
        <v>0</v>
      </c>
      <c r="U890">
        <f>IF(SQRT(POWER(T890-F890,2))+SQRT(POWER(E890-S890,2))=0,0,SQRT(POWER(T890-F890,2))+SQRT(POWER(E890-S890,2))+DATOS!$H$20)</f>
        <v>0</v>
      </c>
    </row>
    <row r="891" spans="18:21">
      <c r="R891" t="e">
        <f t="shared" si="40"/>
        <v>#VALUE!</v>
      </c>
      <c r="S891">
        <f t="shared" si="41"/>
        <v>0</v>
      </c>
      <c r="T891">
        <f t="shared" si="42"/>
        <v>0</v>
      </c>
      <c r="U891">
        <f>IF(SQRT(POWER(T891-F891,2))+SQRT(POWER(E891-S891,2))=0,0,SQRT(POWER(T891-F891,2))+SQRT(POWER(E891-S891,2))+DATOS!$H$20)</f>
        <v>0</v>
      </c>
    </row>
    <row r="892" spans="18:21">
      <c r="R892" t="e">
        <f t="shared" si="40"/>
        <v>#VALUE!</v>
      </c>
      <c r="S892">
        <f t="shared" si="41"/>
        <v>0</v>
      </c>
      <c r="T892">
        <f t="shared" si="42"/>
        <v>0</v>
      </c>
      <c r="U892">
        <f>IF(SQRT(POWER(T892-F892,2))+SQRT(POWER(E892-S892,2))=0,0,SQRT(POWER(T892-F892,2))+SQRT(POWER(E892-S892,2))+DATOS!$H$20)</f>
        <v>0</v>
      </c>
    </row>
    <row r="893" spans="18:21">
      <c r="R893" t="e">
        <f t="shared" ref="R893:R956" si="43">"TAB-"&amp;LEFT(A893,FIND("-",A893) -1)</f>
        <v>#VALUE!</v>
      </c>
      <c r="S893">
        <f t="shared" ref="S893:S956" si="44">IFERROR(VLOOKUP(R893,$A$2:$F$700,5,0),E893)</f>
        <v>0</v>
      </c>
      <c r="T893">
        <f t="shared" ref="T893:T956" si="45">IFERROR(VLOOKUP(R893,$A$2:$F$700,6,0),F893)</f>
        <v>0</v>
      </c>
      <c r="U893">
        <f>IF(SQRT(POWER(T893-F893,2))+SQRT(POWER(E893-S893,2))=0,0,SQRT(POWER(T893-F893,2))+SQRT(POWER(E893-S893,2))+DATOS!$H$20)</f>
        <v>0</v>
      </c>
    </row>
    <row r="894" spans="18:21">
      <c r="R894" t="e">
        <f t="shared" si="43"/>
        <v>#VALUE!</v>
      </c>
      <c r="S894">
        <f t="shared" si="44"/>
        <v>0</v>
      </c>
      <c r="T894">
        <f t="shared" si="45"/>
        <v>0</v>
      </c>
      <c r="U894">
        <f>IF(SQRT(POWER(T894-F894,2))+SQRT(POWER(E894-S894,2))=0,0,SQRT(POWER(T894-F894,2))+SQRT(POWER(E894-S894,2))+DATOS!$H$20)</f>
        <v>0</v>
      </c>
    </row>
    <row r="895" spans="18:21">
      <c r="R895" t="e">
        <f t="shared" si="43"/>
        <v>#VALUE!</v>
      </c>
      <c r="S895">
        <f t="shared" si="44"/>
        <v>0</v>
      </c>
      <c r="T895">
        <f t="shared" si="45"/>
        <v>0</v>
      </c>
      <c r="U895">
        <f>IF(SQRT(POWER(T895-F895,2))+SQRT(POWER(E895-S895,2))=0,0,SQRT(POWER(T895-F895,2))+SQRT(POWER(E895-S895,2))+DATOS!$H$20)</f>
        <v>0</v>
      </c>
    </row>
    <row r="896" spans="18:21">
      <c r="R896" t="e">
        <f t="shared" si="43"/>
        <v>#VALUE!</v>
      </c>
      <c r="S896">
        <f t="shared" si="44"/>
        <v>0</v>
      </c>
      <c r="T896">
        <f t="shared" si="45"/>
        <v>0</v>
      </c>
      <c r="U896">
        <f>IF(SQRT(POWER(T896-F896,2))+SQRT(POWER(E896-S896,2))=0,0,SQRT(POWER(T896-F896,2))+SQRT(POWER(E896-S896,2))+DATOS!$H$20)</f>
        <v>0</v>
      </c>
    </row>
    <row r="897" spans="18:21">
      <c r="R897" t="e">
        <f t="shared" si="43"/>
        <v>#VALUE!</v>
      </c>
      <c r="S897">
        <f t="shared" si="44"/>
        <v>0</v>
      </c>
      <c r="T897">
        <f t="shared" si="45"/>
        <v>0</v>
      </c>
      <c r="U897">
        <f>IF(SQRT(POWER(T897-F897,2))+SQRT(POWER(E897-S897,2))=0,0,SQRT(POWER(T897-F897,2))+SQRT(POWER(E897-S897,2))+DATOS!$H$20)</f>
        <v>0</v>
      </c>
    </row>
    <row r="898" spans="18:21">
      <c r="R898" t="e">
        <f t="shared" si="43"/>
        <v>#VALUE!</v>
      </c>
      <c r="S898">
        <f t="shared" si="44"/>
        <v>0</v>
      </c>
      <c r="T898">
        <f t="shared" si="45"/>
        <v>0</v>
      </c>
      <c r="U898">
        <f>IF(SQRT(POWER(T898-F898,2))+SQRT(POWER(E898-S898,2))=0,0,SQRT(POWER(T898-F898,2))+SQRT(POWER(E898-S898,2))+DATOS!$H$20)</f>
        <v>0</v>
      </c>
    </row>
    <row r="899" spans="18:21">
      <c r="R899" t="e">
        <f t="shared" si="43"/>
        <v>#VALUE!</v>
      </c>
      <c r="S899">
        <f t="shared" si="44"/>
        <v>0</v>
      </c>
      <c r="T899">
        <f t="shared" si="45"/>
        <v>0</v>
      </c>
      <c r="U899">
        <f>IF(SQRT(POWER(T899-F899,2))+SQRT(POWER(E899-S899,2))=0,0,SQRT(POWER(T899-F899,2))+SQRT(POWER(E899-S899,2))+DATOS!$H$20)</f>
        <v>0</v>
      </c>
    </row>
    <row r="900" spans="18:21">
      <c r="R900" t="e">
        <f t="shared" si="43"/>
        <v>#VALUE!</v>
      </c>
      <c r="S900">
        <f t="shared" si="44"/>
        <v>0</v>
      </c>
      <c r="T900">
        <f t="shared" si="45"/>
        <v>0</v>
      </c>
      <c r="U900">
        <f>IF(SQRT(POWER(T900-F900,2))+SQRT(POWER(E900-S900,2))=0,0,SQRT(POWER(T900-F900,2))+SQRT(POWER(E900-S900,2))+DATOS!$H$20)</f>
        <v>0</v>
      </c>
    </row>
    <row r="901" spans="18:21">
      <c r="R901" t="e">
        <f t="shared" si="43"/>
        <v>#VALUE!</v>
      </c>
      <c r="S901">
        <f t="shared" si="44"/>
        <v>0</v>
      </c>
      <c r="T901">
        <f t="shared" si="45"/>
        <v>0</v>
      </c>
      <c r="U901">
        <f>IF(SQRT(POWER(T901-F901,2))+SQRT(POWER(E901-S901,2))=0,0,SQRT(POWER(T901-F901,2))+SQRT(POWER(E901-S901,2))+DATOS!$H$20)</f>
        <v>0</v>
      </c>
    </row>
    <row r="902" spans="18:21">
      <c r="R902" t="e">
        <f t="shared" si="43"/>
        <v>#VALUE!</v>
      </c>
      <c r="S902">
        <f t="shared" si="44"/>
        <v>0</v>
      </c>
      <c r="T902">
        <f t="shared" si="45"/>
        <v>0</v>
      </c>
      <c r="U902">
        <f>IF(SQRT(POWER(T902-F902,2))+SQRT(POWER(E902-S902,2))=0,0,SQRT(POWER(T902-F902,2))+SQRT(POWER(E902-S902,2))+DATOS!$H$20)</f>
        <v>0</v>
      </c>
    </row>
    <row r="903" spans="18:21">
      <c r="R903" t="e">
        <f t="shared" si="43"/>
        <v>#VALUE!</v>
      </c>
      <c r="S903">
        <f t="shared" si="44"/>
        <v>0</v>
      </c>
      <c r="T903">
        <f t="shared" si="45"/>
        <v>0</v>
      </c>
      <c r="U903">
        <f>IF(SQRT(POWER(T903-F903,2))+SQRT(POWER(E903-S903,2))=0,0,SQRT(POWER(T903-F903,2))+SQRT(POWER(E903-S903,2))+DATOS!$H$20)</f>
        <v>0</v>
      </c>
    </row>
    <row r="904" spans="18:21">
      <c r="R904" t="e">
        <f t="shared" si="43"/>
        <v>#VALUE!</v>
      </c>
      <c r="S904">
        <f t="shared" si="44"/>
        <v>0</v>
      </c>
      <c r="T904">
        <f t="shared" si="45"/>
        <v>0</v>
      </c>
      <c r="U904">
        <f>IF(SQRT(POWER(T904-F904,2))+SQRT(POWER(E904-S904,2))=0,0,SQRT(POWER(T904-F904,2))+SQRT(POWER(E904-S904,2))+DATOS!$H$20)</f>
        <v>0</v>
      </c>
    </row>
    <row r="905" spans="18:21">
      <c r="R905" t="e">
        <f t="shared" si="43"/>
        <v>#VALUE!</v>
      </c>
      <c r="S905">
        <f t="shared" si="44"/>
        <v>0</v>
      </c>
      <c r="T905">
        <f t="shared" si="45"/>
        <v>0</v>
      </c>
      <c r="U905">
        <f>IF(SQRT(POWER(T905-F905,2))+SQRT(POWER(E905-S905,2))=0,0,SQRT(POWER(T905-F905,2))+SQRT(POWER(E905-S905,2))+DATOS!$H$20)</f>
        <v>0</v>
      </c>
    </row>
    <row r="906" spans="18:21">
      <c r="R906" t="e">
        <f t="shared" si="43"/>
        <v>#VALUE!</v>
      </c>
      <c r="S906">
        <f t="shared" si="44"/>
        <v>0</v>
      </c>
      <c r="T906">
        <f t="shared" si="45"/>
        <v>0</v>
      </c>
      <c r="U906">
        <f>IF(SQRT(POWER(T906-F906,2))+SQRT(POWER(E906-S906,2))=0,0,SQRT(POWER(T906-F906,2))+SQRT(POWER(E906-S906,2))+DATOS!$H$20)</f>
        <v>0</v>
      </c>
    </row>
    <row r="907" spans="18:21">
      <c r="R907" t="e">
        <f t="shared" si="43"/>
        <v>#VALUE!</v>
      </c>
      <c r="S907">
        <f t="shared" si="44"/>
        <v>0</v>
      </c>
      <c r="T907">
        <f t="shared" si="45"/>
        <v>0</v>
      </c>
      <c r="U907">
        <f>IF(SQRT(POWER(T907-F907,2))+SQRT(POWER(E907-S907,2))=0,0,SQRT(POWER(T907-F907,2))+SQRT(POWER(E907-S907,2))+DATOS!$H$20)</f>
        <v>0</v>
      </c>
    </row>
    <row r="908" spans="18:21">
      <c r="R908" t="e">
        <f t="shared" si="43"/>
        <v>#VALUE!</v>
      </c>
      <c r="S908">
        <f t="shared" si="44"/>
        <v>0</v>
      </c>
      <c r="T908">
        <f t="shared" si="45"/>
        <v>0</v>
      </c>
      <c r="U908">
        <f>IF(SQRT(POWER(T908-F908,2))+SQRT(POWER(E908-S908,2))=0,0,SQRT(POWER(T908-F908,2))+SQRT(POWER(E908-S908,2))+DATOS!$H$20)</f>
        <v>0</v>
      </c>
    </row>
    <row r="909" spans="18:21">
      <c r="R909" t="e">
        <f t="shared" si="43"/>
        <v>#VALUE!</v>
      </c>
      <c r="S909">
        <f t="shared" si="44"/>
        <v>0</v>
      </c>
      <c r="T909">
        <f t="shared" si="45"/>
        <v>0</v>
      </c>
      <c r="U909">
        <f>IF(SQRT(POWER(T909-F909,2))+SQRT(POWER(E909-S909,2))=0,0,SQRT(POWER(T909-F909,2))+SQRT(POWER(E909-S909,2))+DATOS!$H$20)</f>
        <v>0</v>
      </c>
    </row>
    <row r="910" spans="18:21">
      <c r="R910" t="e">
        <f t="shared" si="43"/>
        <v>#VALUE!</v>
      </c>
      <c r="S910">
        <f t="shared" si="44"/>
        <v>0</v>
      </c>
      <c r="T910">
        <f t="shared" si="45"/>
        <v>0</v>
      </c>
      <c r="U910">
        <f>IF(SQRT(POWER(T910-F910,2))+SQRT(POWER(E910-S910,2))=0,0,SQRT(POWER(T910-F910,2))+SQRT(POWER(E910-S910,2))+DATOS!$H$20)</f>
        <v>0</v>
      </c>
    </row>
    <row r="911" spans="18:21">
      <c r="R911" t="e">
        <f t="shared" si="43"/>
        <v>#VALUE!</v>
      </c>
      <c r="S911">
        <f t="shared" si="44"/>
        <v>0</v>
      </c>
      <c r="T911">
        <f t="shared" si="45"/>
        <v>0</v>
      </c>
      <c r="U911">
        <f>IF(SQRT(POWER(T911-F911,2))+SQRT(POWER(E911-S911,2))=0,0,SQRT(POWER(T911-F911,2))+SQRT(POWER(E911-S911,2))+DATOS!$H$20)</f>
        <v>0</v>
      </c>
    </row>
    <row r="912" spans="18:21">
      <c r="R912" t="e">
        <f t="shared" si="43"/>
        <v>#VALUE!</v>
      </c>
      <c r="S912">
        <f t="shared" si="44"/>
        <v>0</v>
      </c>
      <c r="T912">
        <f t="shared" si="45"/>
        <v>0</v>
      </c>
      <c r="U912">
        <f>IF(SQRT(POWER(T912-F912,2))+SQRT(POWER(E912-S912,2))=0,0,SQRT(POWER(T912-F912,2))+SQRT(POWER(E912-S912,2))+DATOS!$H$20)</f>
        <v>0</v>
      </c>
    </row>
    <row r="913" spans="18:21">
      <c r="R913" t="e">
        <f t="shared" si="43"/>
        <v>#VALUE!</v>
      </c>
      <c r="S913">
        <f t="shared" si="44"/>
        <v>0</v>
      </c>
      <c r="T913">
        <f t="shared" si="45"/>
        <v>0</v>
      </c>
      <c r="U913">
        <f>IF(SQRT(POWER(T913-F913,2))+SQRT(POWER(E913-S913,2))=0,0,SQRT(POWER(T913-F913,2))+SQRT(POWER(E913-S913,2))+DATOS!$H$20)</f>
        <v>0</v>
      </c>
    </row>
    <row r="914" spans="18:21">
      <c r="R914" t="e">
        <f t="shared" si="43"/>
        <v>#VALUE!</v>
      </c>
      <c r="S914">
        <f t="shared" si="44"/>
        <v>0</v>
      </c>
      <c r="T914">
        <f t="shared" si="45"/>
        <v>0</v>
      </c>
      <c r="U914">
        <f>IF(SQRT(POWER(T914-F914,2))+SQRT(POWER(E914-S914,2))=0,0,SQRT(POWER(T914-F914,2))+SQRT(POWER(E914-S914,2))+DATOS!$H$20)</f>
        <v>0</v>
      </c>
    </row>
    <row r="915" spans="18:21">
      <c r="R915" t="e">
        <f t="shared" si="43"/>
        <v>#VALUE!</v>
      </c>
      <c r="S915">
        <f t="shared" si="44"/>
        <v>0</v>
      </c>
      <c r="T915">
        <f t="shared" si="45"/>
        <v>0</v>
      </c>
      <c r="U915">
        <f>IF(SQRT(POWER(T915-F915,2))+SQRT(POWER(E915-S915,2))=0,0,SQRT(POWER(T915-F915,2))+SQRT(POWER(E915-S915,2))+DATOS!$H$20)</f>
        <v>0</v>
      </c>
    </row>
    <row r="916" spans="18:21">
      <c r="R916" t="e">
        <f t="shared" si="43"/>
        <v>#VALUE!</v>
      </c>
      <c r="S916">
        <f t="shared" si="44"/>
        <v>0</v>
      </c>
      <c r="T916">
        <f t="shared" si="45"/>
        <v>0</v>
      </c>
      <c r="U916">
        <f>IF(SQRT(POWER(T916-F916,2))+SQRT(POWER(E916-S916,2))=0,0,SQRT(POWER(T916-F916,2))+SQRT(POWER(E916-S916,2))+DATOS!$H$20)</f>
        <v>0</v>
      </c>
    </row>
    <row r="917" spans="18:21">
      <c r="R917" t="e">
        <f t="shared" si="43"/>
        <v>#VALUE!</v>
      </c>
      <c r="S917">
        <f t="shared" si="44"/>
        <v>0</v>
      </c>
      <c r="T917">
        <f t="shared" si="45"/>
        <v>0</v>
      </c>
      <c r="U917">
        <f>IF(SQRT(POWER(T917-F917,2))+SQRT(POWER(E917-S917,2))=0,0,SQRT(POWER(T917-F917,2))+SQRT(POWER(E917-S917,2))+DATOS!$H$20)</f>
        <v>0</v>
      </c>
    </row>
    <row r="918" spans="18:21">
      <c r="R918" t="e">
        <f t="shared" si="43"/>
        <v>#VALUE!</v>
      </c>
      <c r="S918">
        <f t="shared" si="44"/>
        <v>0</v>
      </c>
      <c r="T918">
        <f t="shared" si="45"/>
        <v>0</v>
      </c>
      <c r="U918">
        <f>IF(SQRT(POWER(T918-F918,2))+SQRT(POWER(E918-S918,2))=0,0,SQRT(POWER(T918-F918,2))+SQRT(POWER(E918-S918,2))+DATOS!$H$20)</f>
        <v>0</v>
      </c>
    </row>
    <row r="919" spans="18:21">
      <c r="R919" t="e">
        <f t="shared" si="43"/>
        <v>#VALUE!</v>
      </c>
      <c r="S919">
        <f t="shared" si="44"/>
        <v>0</v>
      </c>
      <c r="T919">
        <f t="shared" si="45"/>
        <v>0</v>
      </c>
      <c r="U919">
        <f>IF(SQRT(POWER(T919-F919,2))+SQRT(POWER(E919-S919,2))=0,0,SQRT(POWER(T919-F919,2))+SQRT(POWER(E919-S919,2))+DATOS!$H$20)</f>
        <v>0</v>
      </c>
    </row>
    <row r="920" spans="18:21">
      <c r="R920" t="e">
        <f t="shared" si="43"/>
        <v>#VALUE!</v>
      </c>
      <c r="S920">
        <f t="shared" si="44"/>
        <v>0</v>
      </c>
      <c r="T920">
        <f t="shared" si="45"/>
        <v>0</v>
      </c>
      <c r="U920">
        <f>IF(SQRT(POWER(T920-F920,2))+SQRT(POWER(E920-S920,2))=0,0,SQRT(POWER(T920-F920,2))+SQRT(POWER(E920-S920,2))+DATOS!$H$20)</f>
        <v>0</v>
      </c>
    </row>
    <row r="921" spans="18:21">
      <c r="R921" t="e">
        <f t="shared" si="43"/>
        <v>#VALUE!</v>
      </c>
      <c r="S921">
        <f t="shared" si="44"/>
        <v>0</v>
      </c>
      <c r="T921">
        <f t="shared" si="45"/>
        <v>0</v>
      </c>
      <c r="U921">
        <f>IF(SQRT(POWER(T921-F921,2))+SQRT(POWER(E921-S921,2))=0,0,SQRT(POWER(T921-F921,2))+SQRT(POWER(E921-S921,2))+DATOS!$H$20)</f>
        <v>0</v>
      </c>
    </row>
    <row r="922" spans="18:21">
      <c r="R922" t="e">
        <f t="shared" si="43"/>
        <v>#VALUE!</v>
      </c>
      <c r="S922">
        <f t="shared" si="44"/>
        <v>0</v>
      </c>
      <c r="T922">
        <f t="shared" si="45"/>
        <v>0</v>
      </c>
      <c r="U922">
        <f>IF(SQRT(POWER(T922-F922,2))+SQRT(POWER(E922-S922,2))=0,0,SQRT(POWER(T922-F922,2))+SQRT(POWER(E922-S922,2))+DATOS!$H$20)</f>
        <v>0</v>
      </c>
    </row>
    <row r="923" spans="18:21">
      <c r="R923" t="e">
        <f t="shared" si="43"/>
        <v>#VALUE!</v>
      </c>
      <c r="S923">
        <f t="shared" si="44"/>
        <v>0</v>
      </c>
      <c r="T923">
        <f t="shared" si="45"/>
        <v>0</v>
      </c>
      <c r="U923">
        <f>IF(SQRT(POWER(T923-F923,2))+SQRT(POWER(E923-S923,2))=0,0,SQRT(POWER(T923-F923,2))+SQRT(POWER(E923-S923,2))+DATOS!$H$20)</f>
        <v>0</v>
      </c>
    </row>
    <row r="924" spans="18:21">
      <c r="R924" t="e">
        <f t="shared" si="43"/>
        <v>#VALUE!</v>
      </c>
      <c r="S924">
        <f t="shared" si="44"/>
        <v>0</v>
      </c>
      <c r="T924">
        <f t="shared" si="45"/>
        <v>0</v>
      </c>
      <c r="U924">
        <f>IF(SQRT(POWER(T924-F924,2))+SQRT(POWER(E924-S924,2))=0,0,SQRT(POWER(T924-F924,2))+SQRT(POWER(E924-S924,2))+DATOS!$H$20)</f>
        <v>0</v>
      </c>
    </row>
    <row r="925" spans="18:21">
      <c r="R925" t="e">
        <f t="shared" si="43"/>
        <v>#VALUE!</v>
      </c>
      <c r="S925">
        <f t="shared" si="44"/>
        <v>0</v>
      </c>
      <c r="T925">
        <f t="shared" si="45"/>
        <v>0</v>
      </c>
      <c r="U925">
        <f>IF(SQRT(POWER(T925-F925,2))+SQRT(POWER(E925-S925,2))=0,0,SQRT(POWER(T925-F925,2))+SQRT(POWER(E925-S925,2))+DATOS!$H$20)</f>
        <v>0</v>
      </c>
    </row>
    <row r="926" spans="18:21">
      <c r="R926" t="e">
        <f t="shared" si="43"/>
        <v>#VALUE!</v>
      </c>
      <c r="S926">
        <f t="shared" si="44"/>
        <v>0</v>
      </c>
      <c r="T926">
        <f t="shared" si="45"/>
        <v>0</v>
      </c>
      <c r="U926">
        <f>IF(SQRT(POWER(T926-F926,2))+SQRT(POWER(E926-S926,2))=0,0,SQRT(POWER(T926-F926,2))+SQRT(POWER(E926-S926,2))+DATOS!$H$20)</f>
        <v>0</v>
      </c>
    </row>
    <row r="927" spans="18:21">
      <c r="R927" t="e">
        <f t="shared" si="43"/>
        <v>#VALUE!</v>
      </c>
      <c r="S927">
        <f t="shared" si="44"/>
        <v>0</v>
      </c>
      <c r="T927">
        <f t="shared" si="45"/>
        <v>0</v>
      </c>
      <c r="U927">
        <f>IF(SQRT(POWER(T927-F927,2))+SQRT(POWER(E927-S927,2))=0,0,SQRT(POWER(T927-F927,2))+SQRT(POWER(E927-S927,2))+DATOS!$H$20)</f>
        <v>0</v>
      </c>
    </row>
    <row r="928" spans="18:21">
      <c r="R928" t="e">
        <f t="shared" si="43"/>
        <v>#VALUE!</v>
      </c>
      <c r="S928">
        <f t="shared" si="44"/>
        <v>0</v>
      </c>
      <c r="T928">
        <f t="shared" si="45"/>
        <v>0</v>
      </c>
      <c r="U928">
        <f>IF(SQRT(POWER(T928-F928,2))+SQRT(POWER(E928-S928,2))=0,0,SQRT(POWER(T928-F928,2))+SQRT(POWER(E928-S928,2))+DATOS!$H$20)</f>
        <v>0</v>
      </c>
    </row>
    <row r="929" spans="18:21">
      <c r="R929" t="e">
        <f t="shared" si="43"/>
        <v>#VALUE!</v>
      </c>
      <c r="S929">
        <f t="shared" si="44"/>
        <v>0</v>
      </c>
      <c r="T929">
        <f t="shared" si="45"/>
        <v>0</v>
      </c>
      <c r="U929">
        <f>IF(SQRT(POWER(T929-F929,2))+SQRT(POWER(E929-S929,2))=0,0,SQRT(POWER(T929-F929,2))+SQRT(POWER(E929-S929,2))+DATOS!$H$20)</f>
        <v>0</v>
      </c>
    </row>
    <row r="930" spans="18:21">
      <c r="R930" t="e">
        <f t="shared" si="43"/>
        <v>#VALUE!</v>
      </c>
      <c r="S930">
        <f t="shared" si="44"/>
        <v>0</v>
      </c>
      <c r="T930">
        <f t="shared" si="45"/>
        <v>0</v>
      </c>
      <c r="U930">
        <f>IF(SQRT(POWER(T930-F930,2))+SQRT(POWER(E930-S930,2))=0,0,SQRT(POWER(T930-F930,2))+SQRT(POWER(E930-S930,2))+DATOS!$H$20)</f>
        <v>0</v>
      </c>
    </row>
    <row r="931" spans="18:21">
      <c r="R931" t="e">
        <f t="shared" si="43"/>
        <v>#VALUE!</v>
      </c>
      <c r="S931">
        <f t="shared" si="44"/>
        <v>0</v>
      </c>
      <c r="T931">
        <f t="shared" si="45"/>
        <v>0</v>
      </c>
      <c r="U931">
        <f>IF(SQRT(POWER(T931-F931,2))+SQRT(POWER(E931-S931,2))=0,0,SQRT(POWER(T931-F931,2))+SQRT(POWER(E931-S931,2))+DATOS!$H$20)</f>
        <v>0</v>
      </c>
    </row>
    <row r="932" spans="18:21">
      <c r="R932" t="e">
        <f t="shared" si="43"/>
        <v>#VALUE!</v>
      </c>
      <c r="S932">
        <f t="shared" si="44"/>
        <v>0</v>
      </c>
      <c r="T932">
        <f t="shared" si="45"/>
        <v>0</v>
      </c>
      <c r="U932">
        <f>IF(SQRT(POWER(T932-F932,2))+SQRT(POWER(E932-S932,2))=0,0,SQRT(POWER(T932-F932,2))+SQRT(POWER(E932-S932,2))+DATOS!$H$20)</f>
        <v>0</v>
      </c>
    </row>
    <row r="933" spans="18:21">
      <c r="R933" t="e">
        <f t="shared" si="43"/>
        <v>#VALUE!</v>
      </c>
      <c r="S933">
        <f t="shared" si="44"/>
        <v>0</v>
      </c>
      <c r="T933">
        <f t="shared" si="45"/>
        <v>0</v>
      </c>
      <c r="U933">
        <f>IF(SQRT(POWER(T933-F933,2))+SQRT(POWER(E933-S933,2))=0,0,SQRT(POWER(T933-F933,2))+SQRT(POWER(E933-S933,2))+DATOS!$H$20)</f>
        <v>0</v>
      </c>
    </row>
    <row r="934" spans="18:21">
      <c r="R934" t="e">
        <f t="shared" si="43"/>
        <v>#VALUE!</v>
      </c>
      <c r="S934">
        <f t="shared" si="44"/>
        <v>0</v>
      </c>
      <c r="T934">
        <f t="shared" si="45"/>
        <v>0</v>
      </c>
      <c r="U934">
        <f>IF(SQRT(POWER(T934-F934,2))+SQRT(POWER(E934-S934,2))=0,0,SQRT(POWER(T934-F934,2))+SQRT(POWER(E934-S934,2))+DATOS!$H$20)</f>
        <v>0</v>
      </c>
    </row>
    <row r="935" spans="18:21">
      <c r="R935" t="e">
        <f t="shared" si="43"/>
        <v>#VALUE!</v>
      </c>
      <c r="S935">
        <f t="shared" si="44"/>
        <v>0</v>
      </c>
      <c r="T935">
        <f t="shared" si="45"/>
        <v>0</v>
      </c>
      <c r="U935">
        <f>IF(SQRT(POWER(T935-F935,2))+SQRT(POWER(E935-S935,2))=0,0,SQRT(POWER(T935-F935,2))+SQRT(POWER(E935-S935,2))+DATOS!$H$20)</f>
        <v>0</v>
      </c>
    </row>
    <row r="936" spans="18:21">
      <c r="R936" t="e">
        <f t="shared" si="43"/>
        <v>#VALUE!</v>
      </c>
      <c r="S936">
        <f t="shared" si="44"/>
        <v>0</v>
      </c>
      <c r="T936">
        <f t="shared" si="45"/>
        <v>0</v>
      </c>
      <c r="U936">
        <f>IF(SQRT(POWER(T936-F936,2))+SQRT(POWER(E936-S936,2))=0,0,SQRT(POWER(T936-F936,2))+SQRT(POWER(E936-S936,2))+DATOS!$H$20)</f>
        <v>0</v>
      </c>
    </row>
    <row r="937" spans="18:21">
      <c r="R937" t="e">
        <f t="shared" si="43"/>
        <v>#VALUE!</v>
      </c>
      <c r="S937">
        <f t="shared" si="44"/>
        <v>0</v>
      </c>
      <c r="T937">
        <f t="shared" si="45"/>
        <v>0</v>
      </c>
      <c r="U937">
        <f>IF(SQRT(POWER(T937-F937,2))+SQRT(POWER(E937-S937,2))=0,0,SQRT(POWER(T937-F937,2))+SQRT(POWER(E937-S937,2))+DATOS!$H$20)</f>
        <v>0</v>
      </c>
    </row>
    <row r="938" spans="18:21">
      <c r="R938" t="e">
        <f t="shared" si="43"/>
        <v>#VALUE!</v>
      </c>
      <c r="S938">
        <f t="shared" si="44"/>
        <v>0</v>
      </c>
      <c r="T938">
        <f t="shared" si="45"/>
        <v>0</v>
      </c>
      <c r="U938">
        <f>IF(SQRT(POWER(T938-F938,2))+SQRT(POWER(E938-S938,2))=0,0,SQRT(POWER(T938-F938,2))+SQRT(POWER(E938-S938,2))+DATOS!$H$20)</f>
        <v>0</v>
      </c>
    </row>
    <row r="939" spans="18:21">
      <c r="R939" t="e">
        <f t="shared" si="43"/>
        <v>#VALUE!</v>
      </c>
      <c r="S939">
        <f t="shared" si="44"/>
        <v>0</v>
      </c>
      <c r="T939">
        <f t="shared" si="45"/>
        <v>0</v>
      </c>
      <c r="U939">
        <f>IF(SQRT(POWER(T939-F939,2))+SQRT(POWER(E939-S939,2))=0,0,SQRT(POWER(T939-F939,2))+SQRT(POWER(E939-S939,2))+DATOS!$H$20)</f>
        <v>0</v>
      </c>
    </row>
    <row r="940" spans="18:21">
      <c r="R940" t="e">
        <f t="shared" si="43"/>
        <v>#VALUE!</v>
      </c>
      <c r="S940">
        <f t="shared" si="44"/>
        <v>0</v>
      </c>
      <c r="T940">
        <f t="shared" si="45"/>
        <v>0</v>
      </c>
      <c r="U940">
        <f>IF(SQRT(POWER(T940-F940,2))+SQRT(POWER(E940-S940,2))=0,0,SQRT(POWER(T940-F940,2))+SQRT(POWER(E940-S940,2))+DATOS!$H$20)</f>
        <v>0</v>
      </c>
    </row>
    <row r="941" spans="18:21">
      <c r="R941" t="e">
        <f t="shared" si="43"/>
        <v>#VALUE!</v>
      </c>
      <c r="S941">
        <f t="shared" si="44"/>
        <v>0</v>
      </c>
      <c r="T941">
        <f t="shared" si="45"/>
        <v>0</v>
      </c>
      <c r="U941">
        <f>IF(SQRT(POWER(T941-F941,2))+SQRT(POWER(E941-S941,2))=0,0,SQRT(POWER(T941-F941,2))+SQRT(POWER(E941-S941,2))+DATOS!$H$20)</f>
        <v>0</v>
      </c>
    </row>
    <row r="942" spans="18:21">
      <c r="R942" t="e">
        <f t="shared" si="43"/>
        <v>#VALUE!</v>
      </c>
      <c r="S942">
        <f t="shared" si="44"/>
        <v>0</v>
      </c>
      <c r="T942">
        <f t="shared" si="45"/>
        <v>0</v>
      </c>
      <c r="U942">
        <f>IF(SQRT(POWER(T942-F942,2))+SQRT(POWER(E942-S942,2))=0,0,SQRT(POWER(T942-F942,2))+SQRT(POWER(E942-S942,2))+DATOS!$H$20)</f>
        <v>0</v>
      </c>
    </row>
    <row r="943" spans="18:21">
      <c r="R943" t="e">
        <f t="shared" si="43"/>
        <v>#VALUE!</v>
      </c>
      <c r="S943">
        <f t="shared" si="44"/>
        <v>0</v>
      </c>
      <c r="T943">
        <f t="shared" si="45"/>
        <v>0</v>
      </c>
      <c r="U943">
        <f>IF(SQRT(POWER(T943-F943,2))+SQRT(POWER(E943-S943,2))=0,0,SQRT(POWER(T943-F943,2))+SQRT(POWER(E943-S943,2))+DATOS!$H$20)</f>
        <v>0</v>
      </c>
    </row>
    <row r="944" spans="18:21">
      <c r="R944" t="e">
        <f t="shared" si="43"/>
        <v>#VALUE!</v>
      </c>
      <c r="S944">
        <f t="shared" si="44"/>
        <v>0</v>
      </c>
      <c r="T944">
        <f t="shared" si="45"/>
        <v>0</v>
      </c>
      <c r="U944">
        <f>IF(SQRT(POWER(T944-F944,2))+SQRT(POWER(E944-S944,2))=0,0,SQRT(POWER(T944-F944,2))+SQRT(POWER(E944-S944,2))+DATOS!$H$20)</f>
        <v>0</v>
      </c>
    </row>
    <row r="945" spans="18:21">
      <c r="R945" t="e">
        <f t="shared" si="43"/>
        <v>#VALUE!</v>
      </c>
      <c r="S945">
        <f t="shared" si="44"/>
        <v>0</v>
      </c>
      <c r="T945">
        <f t="shared" si="45"/>
        <v>0</v>
      </c>
      <c r="U945">
        <f>IF(SQRT(POWER(T945-F945,2))+SQRT(POWER(E945-S945,2))=0,0,SQRT(POWER(T945-F945,2))+SQRT(POWER(E945-S945,2))+DATOS!$H$20)</f>
        <v>0</v>
      </c>
    </row>
    <row r="946" spans="18:21">
      <c r="R946" t="e">
        <f t="shared" si="43"/>
        <v>#VALUE!</v>
      </c>
      <c r="S946">
        <f t="shared" si="44"/>
        <v>0</v>
      </c>
      <c r="T946">
        <f t="shared" si="45"/>
        <v>0</v>
      </c>
      <c r="U946">
        <f>IF(SQRT(POWER(T946-F946,2))+SQRT(POWER(E946-S946,2))=0,0,SQRT(POWER(T946-F946,2))+SQRT(POWER(E946-S946,2))+DATOS!$H$20)</f>
        <v>0</v>
      </c>
    </row>
    <row r="947" spans="18:21">
      <c r="R947" t="e">
        <f t="shared" si="43"/>
        <v>#VALUE!</v>
      </c>
      <c r="S947">
        <f t="shared" si="44"/>
        <v>0</v>
      </c>
      <c r="T947">
        <f t="shared" si="45"/>
        <v>0</v>
      </c>
      <c r="U947">
        <f>IF(SQRT(POWER(T947-F947,2))+SQRT(POWER(E947-S947,2))=0,0,SQRT(POWER(T947-F947,2))+SQRT(POWER(E947-S947,2))+DATOS!$H$20)</f>
        <v>0</v>
      </c>
    </row>
    <row r="948" spans="18:21">
      <c r="R948" t="e">
        <f t="shared" si="43"/>
        <v>#VALUE!</v>
      </c>
      <c r="S948">
        <f t="shared" si="44"/>
        <v>0</v>
      </c>
      <c r="T948">
        <f t="shared" si="45"/>
        <v>0</v>
      </c>
      <c r="U948">
        <f>IF(SQRT(POWER(T948-F948,2))+SQRT(POWER(E948-S948,2))=0,0,SQRT(POWER(T948-F948,2))+SQRT(POWER(E948-S948,2))+DATOS!$H$20)</f>
        <v>0</v>
      </c>
    </row>
    <row r="949" spans="18:21">
      <c r="R949" t="e">
        <f t="shared" si="43"/>
        <v>#VALUE!</v>
      </c>
      <c r="S949">
        <f t="shared" si="44"/>
        <v>0</v>
      </c>
      <c r="T949">
        <f t="shared" si="45"/>
        <v>0</v>
      </c>
      <c r="U949">
        <f>IF(SQRT(POWER(T949-F949,2))+SQRT(POWER(E949-S949,2))=0,0,SQRT(POWER(T949-F949,2))+SQRT(POWER(E949-S949,2))+DATOS!$H$20)</f>
        <v>0</v>
      </c>
    </row>
    <row r="950" spans="18:21">
      <c r="R950" t="e">
        <f t="shared" si="43"/>
        <v>#VALUE!</v>
      </c>
      <c r="S950">
        <f t="shared" si="44"/>
        <v>0</v>
      </c>
      <c r="T950">
        <f t="shared" si="45"/>
        <v>0</v>
      </c>
      <c r="U950">
        <f>IF(SQRT(POWER(T950-F950,2))+SQRT(POWER(E950-S950,2))=0,0,SQRT(POWER(T950-F950,2))+SQRT(POWER(E950-S950,2))+DATOS!$H$20)</f>
        <v>0</v>
      </c>
    </row>
    <row r="951" spans="18:21">
      <c r="R951" t="e">
        <f t="shared" si="43"/>
        <v>#VALUE!</v>
      </c>
      <c r="S951">
        <f t="shared" si="44"/>
        <v>0</v>
      </c>
      <c r="T951">
        <f t="shared" si="45"/>
        <v>0</v>
      </c>
      <c r="U951">
        <f>IF(SQRT(POWER(T951-F951,2))+SQRT(POWER(E951-S951,2))=0,0,SQRT(POWER(T951-F951,2))+SQRT(POWER(E951-S951,2))+DATOS!$H$20)</f>
        <v>0</v>
      </c>
    </row>
    <row r="952" spans="18:21">
      <c r="R952" t="e">
        <f t="shared" si="43"/>
        <v>#VALUE!</v>
      </c>
      <c r="S952">
        <f t="shared" si="44"/>
        <v>0</v>
      </c>
      <c r="T952">
        <f t="shared" si="45"/>
        <v>0</v>
      </c>
      <c r="U952">
        <f>IF(SQRT(POWER(T952-F952,2))+SQRT(POWER(E952-S952,2))=0,0,SQRT(POWER(T952-F952,2))+SQRT(POWER(E952-S952,2))+DATOS!$H$20)</f>
        <v>0</v>
      </c>
    </row>
    <row r="953" spans="18:21">
      <c r="R953" t="e">
        <f t="shared" si="43"/>
        <v>#VALUE!</v>
      </c>
      <c r="S953">
        <f t="shared" si="44"/>
        <v>0</v>
      </c>
      <c r="T953">
        <f t="shared" si="45"/>
        <v>0</v>
      </c>
      <c r="U953">
        <f>IF(SQRT(POWER(T953-F953,2))+SQRT(POWER(E953-S953,2))=0,0,SQRT(POWER(T953-F953,2))+SQRT(POWER(E953-S953,2))+DATOS!$H$20)</f>
        <v>0</v>
      </c>
    </row>
    <row r="954" spans="18:21">
      <c r="R954" t="e">
        <f t="shared" si="43"/>
        <v>#VALUE!</v>
      </c>
      <c r="S954">
        <f t="shared" si="44"/>
        <v>0</v>
      </c>
      <c r="T954">
        <f t="shared" si="45"/>
        <v>0</v>
      </c>
      <c r="U954">
        <f>IF(SQRT(POWER(T954-F954,2))+SQRT(POWER(E954-S954,2))=0,0,SQRT(POWER(T954-F954,2))+SQRT(POWER(E954-S954,2))+DATOS!$H$20)</f>
        <v>0</v>
      </c>
    </row>
    <row r="955" spans="18:21">
      <c r="R955" t="e">
        <f t="shared" si="43"/>
        <v>#VALUE!</v>
      </c>
      <c r="S955">
        <f t="shared" si="44"/>
        <v>0</v>
      </c>
      <c r="T955">
        <f t="shared" si="45"/>
        <v>0</v>
      </c>
      <c r="U955">
        <f>IF(SQRT(POWER(T955-F955,2))+SQRT(POWER(E955-S955,2))=0,0,SQRT(POWER(T955-F955,2))+SQRT(POWER(E955-S955,2))+DATOS!$H$20)</f>
        <v>0</v>
      </c>
    </row>
    <row r="956" spans="18:21">
      <c r="R956" t="e">
        <f t="shared" si="43"/>
        <v>#VALUE!</v>
      </c>
      <c r="S956">
        <f t="shared" si="44"/>
        <v>0</v>
      </c>
      <c r="T956">
        <f t="shared" si="45"/>
        <v>0</v>
      </c>
      <c r="U956">
        <f>IF(SQRT(POWER(T956-F956,2))+SQRT(POWER(E956-S956,2))=0,0,SQRT(POWER(T956-F956,2))+SQRT(POWER(E956-S956,2))+DATOS!$H$20)</f>
        <v>0</v>
      </c>
    </row>
    <row r="957" spans="18:21">
      <c r="R957" t="e">
        <f t="shared" ref="R957:R1020" si="46">"TAB-"&amp;LEFT(A957,FIND("-",A957) -1)</f>
        <v>#VALUE!</v>
      </c>
      <c r="S957">
        <f t="shared" ref="S957:S1020" si="47">IFERROR(VLOOKUP(R957,$A$2:$F$700,5,0),E957)</f>
        <v>0</v>
      </c>
      <c r="T957">
        <f t="shared" ref="T957:T1020" si="48">IFERROR(VLOOKUP(R957,$A$2:$F$700,6,0),F957)</f>
        <v>0</v>
      </c>
      <c r="U957">
        <f>IF(SQRT(POWER(T957-F957,2))+SQRT(POWER(E957-S957,2))=0,0,SQRT(POWER(T957-F957,2))+SQRT(POWER(E957-S957,2))+DATOS!$H$20)</f>
        <v>0</v>
      </c>
    </row>
    <row r="958" spans="18:21">
      <c r="R958" t="e">
        <f t="shared" si="46"/>
        <v>#VALUE!</v>
      </c>
      <c r="S958">
        <f t="shared" si="47"/>
        <v>0</v>
      </c>
      <c r="T958">
        <f t="shared" si="48"/>
        <v>0</v>
      </c>
      <c r="U958">
        <f>IF(SQRT(POWER(T958-F958,2))+SQRT(POWER(E958-S958,2))=0,0,SQRT(POWER(T958-F958,2))+SQRT(POWER(E958-S958,2))+DATOS!$H$20)</f>
        <v>0</v>
      </c>
    </row>
    <row r="959" spans="18:21">
      <c r="R959" t="e">
        <f t="shared" si="46"/>
        <v>#VALUE!</v>
      </c>
      <c r="S959">
        <f t="shared" si="47"/>
        <v>0</v>
      </c>
      <c r="T959">
        <f t="shared" si="48"/>
        <v>0</v>
      </c>
      <c r="U959">
        <f>IF(SQRT(POWER(T959-F959,2))+SQRT(POWER(E959-S959,2))=0,0,SQRT(POWER(T959-F959,2))+SQRT(POWER(E959-S959,2))+DATOS!$H$20)</f>
        <v>0</v>
      </c>
    </row>
    <row r="960" spans="18:21">
      <c r="R960" t="e">
        <f t="shared" si="46"/>
        <v>#VALUE!</v>
      </c>
      <c r="S960">
        <f t="shared" si="47"/>
        <v>0</v>
      </c>
      <c r="T960">
        <f t="shared" si="48"/>
        <v>0</v>
      </c>
      <c r="U960">
        <f>IF(SQRT(POWER(T960-F960,2))+SQRT(POWER(E960-S960,2))=0,0,SQRT(POWER(T960-F960,2))+SQRT(POWER(E960-S960,2))+DATOS!$H$20)</f>
        <v>0</v>
      </c>
    </row>
    <row r="961" spans="18:21">
      <c r="R961" t="e">
        <f t="shared" si="46"/>
        <v>#VALUE!</v>
      </c>
      <c r="S961">
        <f t="shared" si="47"/>
        <v>0</v>
      </c>
      <c r="T961">
        <f t="shared" si="48"/>
        <v>0</v>
      </c>
      <c r="U961">
        <f>IF(SQRT(POWER(T961-F961,2))+SQRT(POWER(E961-S961,2))=0,0,SQRT(POWER(T961-F961,2))+SQRT(POWER(E961-S961,2))+DATOS!$H$20)</f>
        <v>0</v>
      </c>
    </row>
    <row r="962" spans="18:21">
      <c r="R962" t="e">
        <f t="shared" si="46"/>
        <v>#VALUE!</v>
      </c>
      <c r="S962">
        <f t="shared" si="47"/>
        <v>0</v>
      </c>
      <c r="T962">
        <f t="shared" si="48"/>
        <v>0</v>
      </c>
      <c r="U962">
        <f>IF(SQRT(POWER(T962-F962,2))+SQRT(POWER(E962-S962,2))=0,0,SQRT(POWER(T962-F962,2))+SQRT(POWER(E962-S962,2))+DATOS!$H$20)</f>
        <v>0</v>
      </c>
    </row>
    <row r="963" spans="18:21">
      <c r="R963" t="e">
        <f t="shared" si="46"/>
        <v>#VALUE!</v>
      </c>
      <c r="S963">
        <f t="shared" si="47"/>
        <v>0</v>
      </c>
      <c r="T963">
        <f t="shared" si="48"/>
        <v>0</v>
      </c>
      <c r="U963">
        <f>IF(SQRT(POWER(T963-F963,2))+SQRT(POWER(E963-S963,2))=0,0,SQRT(POWER(T963-F963,2))+SQRT(POWER(E963-S963,2))+DATOS!$H$20)</f>
        <v>0</v>
      </c>
    </row>
    <row r="964" spans="18:21">
      <c r="R964" t="e">
        <f t="shared" si="46"/>
        <v>#VALUE!</v>
      </c>
      <c r="S964">
        <f t="shared" si="47"/>
        <v>0</v>
      </c>
      <c r="T964">
        <f t="shared" si="48"/>
        <v>0</v>
      </c>
      <c r="U964">
        <f>IF(SQRT(POWER(T964-F964,2))+SQRT(POWER(E964-S964,2))=0,0,SQRT(POWER(T964-F964,2))+SQRT(POWER(E964-S964,2))+DATOS!$H$20)</f>
        <v>0</v>
      </c>
    </row>
    <row r="965" spans="18:21">
      <c r="R965" t="e">
        <f t="shared" si="46"/>
        <v>#VALUE!</v>
      </c>
      <c r="S965">
        <f t="shared" si="47"/>
        <v>0</v>
      </c>
      <c r="T965">
        <f t="shared" si="48"/>
        <v>0</v>
      </c>
      <c r="U965">
        <f>IF(SQRT(POWER(T965-F965,2))+SQRT(POWER(E965-S965,2))=0,0,SQRT(POWER(T965-F965,2))+SQRT(POWER(E965-S965,2))+DATOS!$H$20)</f>
        <v>0</v>
      </c>
    </row>
    <row r="966" spans="18:21">
      <c r="R966" t="e">
        <f t="shared" si="46"/>
        <v>#VALUE!</v>
      </c>
      <c r="S966">
        <f t="shared" si="47"/>
        <v>0</v>
      </c>
      <c r="T966">
        <f t="shared" si="48"/>
        <v>0</v>
      </c>
      <c r="U966">
        <f>IF(SQRT(POWER(T966-F966,2))+SQRT(POWER(E966-S966,2))=0,0,SQRT(POWER(T966-F966,2))+SQRT(POWER(E966-S966,2))+DATOS!$H$20)</f>
        <v>0</v>
      </c>
    </row>
    <row r="967" spans="18:21">
      <c r="R967" t="e">
        <f t="shared" si="46"/>
        <v>#VALUE!</v>
      </c>
      <c r="S967">
        <f t="shared" si="47"/>
        <v>0</v>
      </c>
      <c r="T967">
        <f t="shared" si="48"/>
        <v>0</v>
      </c>
      <c r="U967">
        <f>IF(SQRT(POWER(T967-F967,2))+SQRT(POWER(E967-S967,2))=0,0,SQRT(POWER(T967-F967,2))+SQRT(POWER(E967-S967,2))+DATOS!$H$20)</f>
        <v>0</v>
      </c>
    </row>
    <row r="968" spans="18:21">
      <c r="R968" t="e">
        <f t="shared" si="46"/>
        <v>#VALUE!</v>
      </c>
      <c r="S968">
        <f t="shared" si="47"/>
        <v>0</v>
      </c>
      <c r="T968">
        <f t="shared" si="48"/>
        <v>0</v>
      </c>
      <c r="U968">
        <f>IF(SQRT(POWER(T968-F968,2))+SQRT(POWER(E968-S968,2))=0,0,SQRT(POWER(T968-F968,2))+SQRT(POWER(E968-S968,2))+DATOS!$H$20)</f>
        <v>0</v>
      </c>
    </row>
    <row r="969" spans="18:21">
      <c r="R969" t="e">
        <f t="shared" si="46"/>
        <v>#VALUE!</v>
      </c>
      <c r="S969">
        <f t="shared" si="47"/>
        <v>0</v>
      </c>
      <c r="T969">
        <f t="shared" si="48"/>
        <v>0</v>
      </c>
      <c r="U969">
        <f>IF(SQRT(POWER(T969-F969,2))+SQRT(POWER(E969-S969,2))=0,0,SQRT(POWER(T969-F969,2))+SQRT(POWER(E969-S969,2))+DATOS!$H$20)</f>
        <v>0</v>
      </c>
    </row>
    <row r="970" spans="18:21">
      <c r="R970" t="e">
        <f t="shared" si="46"/>
        <v>#VALUE!</v>
      </c>
      <c r="S970">
        <f t="shared" si="47"/>
        <v>0</v>
      </c>
      <c r="T970">
        <f t="shared" si="48"/>
        <v>0</v>
      </c>
      <c r="U970">
        <f>IF(SQRT(POWER(T970-F970,2))+SQRT(POWER(E970-S970,2))=0,0,SQRT(POWER(T970-F970,2))+SQRT(POWER(E970-S970,2))+DATOS!$H$20)</f>
        <v>0</v>
      </c>
    </row>
    <row r="971" spans="18:21">
      <c r="R971" t="e">
        <f t="shared" si="46"/>
        <v>#VALUE!</v>
      </c>
      <c r="S971">
        <f t="shared" si="47"/>
        <v>0</v>
      </c>
      <c r="T971">
        <f t="shared" si="48"/>
        <v>0</v>
      </c>
      <c r="U971">
        <f>IF(SQRT(POWER(T971-F971,2))+SQRT(POWER(E971-S971,2))=0,0,SQRT(POWER(T971-F971,2))+SQRT(POWER(E971-S971,2))+DATOS!$H$20)</f>
        <v>0</v>
      </c>
    </row>
    <row r="972" spans="18:21">
      <c r="R972" t="e">
        <f t="shared" si="46"/>
        <v>#VALUE!</v>
      </c>
      <c r="S972">
        <f t="shared" si="47"/>
        <v>0</v>
      </c>
      <c r="T972">
        <f t="shared" si="48"/>
        <v>0</v>
      </c>
      <c r="U972">
        <f>IF(SQRT(POWER(T972-F972,2))+SQRT(POWER(E972-S972,2))=0,0,SQRT(POWER(T972-F972,2))+SQRT(POWER(E972-S972,2))+DATOS!$H$20)</f>
        <v>0</v>
      </c>
    </row>
    <row r="973" spans="18:21">
      <c r="R973" t="e">
        <f t="shared" si="46"/>
        <v>#VALUE!</v>
      </c>
      <c r="S973">
        <f t="shared" si="47"/>
        <v>0</v>
      </c>
      <c r="T973">
        <f t="shared" si="48"/>
        <v>0</v>
      </c>
      <c r="U973">
        <f>IF(SQRT(POWER(T973-F973,2))+SQRT(POWER(E973-S973,2))=0,0,SQRT(POWER(T973-F973,2))+SQRT(POWER(E973-S973,2))+DATOS!$H$20)</f>
        <v>0</v>
      </c>
    </row>
    <row r="974" spans="18:21">
      <c r="R974" t="e">
        <f t="shared" si="46"/>
        <v>#VALUE!</v>
      </c>
      <c r="S974">
        <f t="shared" si="47"/>
        <v>0</v>
      </c>
      <c r="T974">
        <f t="shared" si="48"/>
        <v>0</v>
      </c>
      <c r="U974">
        <f>IF(SQRT(POWER(T974-F974,2))+SQRT(POWER(E974-S974,2))=0,0,SQRT(POWER(T974-F974,2))+SQRT(POWER(E974-S974,2))+DATOS!$H$20)</f>
        <v>0</v>
      </c>
    </row>
    <row r="975" spans="18:21">
      <c r="R975" t="e">
        <f t="shared" si="46"/>
        <v>#VALUE!</v>
      </c>
      <c r="S975">
        <f t="shared" si="47"/>
        <v>0</v>
      </c>
      <c r="T975">
        <f t="shared" si="48"/>
        <v>0</v>
      </c>
      <c r="U975">
        <f>IF(SQRT(POWER(T975-F975,2))+SQRT(POWER(E975-S975,2))=0,0,SQRT(POWER(T975-F975,2))+SQRT(POWER(E975-S975,2))+DATOS!$H$20)</f>
        <v>0</v>
      </c>
    </row>
    <row r="976" spans="18:21">
      <c r="R976" t="e">
        <f t="shared" si="46"/>
        <v>#VALUE!</v>
      </c>
      <c r="S976">
        <f t="shared" si="47"/>
        <v>0</v>
      </c>
      <c r="T976">
        <f t="shared" si="48"/>
        <v>0</v>
      </c>
      <c r="U976">
        <f>IF(SQRT(POWER(T976-F976,2))+SQRT(POWER(E976-S976,2))=0,0,SQRT(POWER(T976-F976,2))+SQRT(POWER(E976-S976,2))+DATOS!$H$20)</f>
        <v>0</v>
      </c>
    </row>
    <row r="977" spans="18:21">
      <c r="R977" t="e">
        <f t="shared" si="46"/>
        <v>#VALUE!</v>
      </c>
      <c r="S977">
        <f t="shared" si="47"/>
        <v>0</v>
      </c>
      <c r="T977">
        <f t="shared" si="48"/>
        <v>0</v>
      </c>
      <c r="U977">
        <f>IF(SQRT(POWER(T977-F977,2))+SQRT(POWER(E977-S977,2))=0,0,SQRT(POWER(T977-F977,2))+SQRT(POWER(E977-S977,2))+DATOS!$H$20)</f>
        <v>0</v>
      </c>
    </row>
    <row r="978" spans="18:21">
      <c r="R978" t="e">
        <f t="shared" si="46"/>
        <v>#VALUE!</v>
      </c>
      <c r="S978">
        <f t="shared" si="47"/>
        <v>0</v>
      </c>
      <c r="T978">
        <f t="shared" si="48"/>
        <v>0</v>
      </c>
      <c r="U978">
        <f>IF(SQRT(POWER(T978-F978,2))+SQRT(POWER(E978-S978,2))=0,0,SQRT(POWER(T978-F978,2))+SQRT(POWER(E978-S978,2))+DATOS!$H$20)</f>
        <v>0</v>
      </c>
    </row>
    <row r="979" spans="18:21">
      <c r="R979" t="e">
        <f t="shared" si="46"/>
        <v>#VALUE!</v>
      </c>
      <c r="S979">
        <f t="shared" si="47"/>
        <v>0</v>
      </c>
      <c r="T979">
        <f t="shared" si="48"/>
        <v>0</v>
      </c>
      <c r="U979">
        <f>IF(SQRT(POWER(T979-F979,2))+SQRT(POWER(E979-S979,2))=0,0,SQRT(POWER(T979-F979,2))+SQRT(POWER(E979-S979,2))+DATOS!$H$20)</f>
        <v>0</v>
      </c>
    </row>
    <row r="980" spans="18:21">
      <c r="R980" t="e">
        <f t="shared" si="46"/>
        <v>#VALUE!</v>
      </c>
      <c r="S980">
        <f t="shared" si="47"/>
        <v>0</v>
      </c>
      <c r="T980">
        <f t="shared" si="48"/>
        <v>0</v>
      </c>
      <c r="U980">
        <f>IF(SQRT(POWER(T980-F980,2))+SQRT(POWER(E980-S980,2))=0,0,SQRT(POWER(T980-F980,2))+SQRT(POWER(E980-S980,2))+DATOS!$H$20)</f>
        <v>0</v>
      </c>
    </row>
    <row r="981" spans="18:21">
      <c r="R981" t="e">
        <f t="shared" si="46"/>
        <v>#VALUE!</v>
      </c>
      <c r="S981">
        <f t="shared" si="47"/>
        <v>0</v>
      </c>
      <c r="T981">
        <f t="shared" si="48"/>
        <v>0</v>
      </c>
      <c r="U981">
        <f>IF(SQRT(POWER(T981-F981,2))+SQRT(POWER(E981-S981,2))=0,0,SQRT(POWER(T981-F981,2))+SQRT(POWER(E981-S981,2))+DATOS!$H$20)</f>
        <v>0</v>
      </c>
    </row>
    <row r="982" spans="18:21">
      <c r="R982" t="e">
        <f t="shared" si="46"/>
        <v>#VALUE!</v>
      </c>
      <c r="S982">
        <f t="shared" si="47"/>
        <v>0</v>
      </c>
      <c r="T982">
        <f t="shared" si="48"/>
        <v>0</v>
      </c>
      <c r="U982">
        <f>IF(SQRT(POWER(T982-F982,2))+SQRT(POWER(E982-S982,2))=0,0,SQRT(POWER(T982-F982,2))+SQRT(POWER(E982-S982,2))+DATOS!$H$20)</f>
        <v>0</v>
      </c>
    </row>
    <row r="983" spans="18:21">
      <c r="R983" t="e">
        <f t="shared" si="46"/>
        <v>#VALUE!</v>
      </c>
      <c r="S983">
        <f t="shared" si="47"/>
        <v>0</v>
      </c>
      <c r="T983">
        <f t="shared" si="48"/>
        <v>0</v>
      </c>
      <c r="U983">
        <f>IF(SQRT(POWER(T983-F983,2))+SQRT(POWER(E983-S983,2))=0,0,SQRT(POWER(T983-F983,2))+SQRT(POWER(E983-S983,2))+DATOS!$H$20)</f>
        <v>0</v>
      </c>
    </row>
    <row r="984" spans="18:21">
      <c r="R984" t="e">
        <f t="shared" si="46"/>
        <v>#VALUE!</v>
      </c>
      <c r="S984">
        <f t="shared" si="47"/>
        <v>0</v>
      </c>
      <c r="T984">
        <f t="shared" si="48"/>
        <v>0</v>
      </c>
      <c r="U984">
        <f>IF(SQRT(POWER(T984-F984,2))+SQRT(POWER(E984-S984,2))=0,0,SQRT(POWER(T984-F984,2))+SQRT(POWER(E984-S984,2))+DATOS!$H$20)</f>
        <v>0</v>
      </c>
    </row>
    <row r="985" spans="18:21">
      <c r="R985" t="e">
        <f t="shared" si="46"/>
        <v>#VALUE!</v>
      </c>
      <c r="S985">
        <f t="shared" si="47"/>
        <v>0</v>
      </c>
      <c r="T985">
        <f t="shared" si="48"/>
        <v>0</v>
      </c>
      <c r="U985">
        <f>IF(SQRT(POWER(T985-F985,2))+SQRT(POWER(E985-S985,2))=0,0,SQRT(POWER(T985-F985,2))+SQRT(POWER(E985-S985,2))+DATOS!$H$20)</f>
        <v>0</v>
      </c>
    </row>
    <row r="986" spans="18:21">
      <c r="R986" t="e">
        <f t="shared" si="46"/>
        <v>#VALUE!</v>
      </c>
      <c r="S986">
        <f t="shared" si="47"/>
        <v>0</v>
      </c>
      <c r="T986">
        <f t="shared" si="48"/>
        <v>0</v>
      </c>
      <c r="U986">
        <f>IF(SQRT(POWER(T986-F986,2))+SQRT(POWER(E986-S986,2))=0,0,SQRT(POWER(T986-F986,2))+SQRT(POWER(E986-S986,2))+DATOS!$H$20)</f>
        <v>0</v>
      </c>
    </row>
    <row r="987" spans="18:21">
      <c r="R987" t="e">
        <f t="shared" si="46"/>
        <v>#VALUE!</v>
      </c>
      <c r="S987">
        <f t="shared" si="47"/>
        <v>0</v>
      </c>
      <c r="T987">
        <f t="shared" si="48"/>
        <v>0</v>
      </c>
      <c r="U987">
        <f>IF(SQRT(POWER(T987-F987,2))+SQRT(POWER(E987-S987,2))=0,0,SQRT(POWER(T987-F987,2))+SQRT(POWER(E987-S987,2))+DATOS!$H$20)</f>
        <v>0</v>
      </c>
    </row>
    <row r="988" spans="18:21">
      <c r="R988" t="e">
        <f t="shared" si="46"/>
        <v>#VALUE!</v>
      </c>
      <c r="S988">
        <f t="shared" si="47"/>
        <v>0</v>
      </c>
      <c r="T988">
        <f t="shared" si="48"/>
        <v>0</v>
      </c>
      <c r="U988">
        <f>IF(SQRT(POWER(T988-F988,2))+SQRT(POWER(E988-S988,2))=0,0,SQRT(POWER(T988-F988,2))+SQRT(POWER(E988-S988,2))+DATOS!$H$20)</f>
        <v>0</v>
      </c>
    </row>
    <row r="989" spans="18:21">
      <c r="R989" t="e">
        <f t="shared" si="46"/>
        <v>#VALUE!</v>
      </c>
      <c r="S989">
        <f t="shared" si="47"/>
        <v>0</v>
      </c>
      <c r="T989">
        <f t="shared" si="48"/>
        <v>0</v>
      </c>
      <c r="U989">
        <f>IF(SQRT(POWER(T989-F989,2))+SQRT(POWER(E989-S989,2))=0,0,SQRT(POWER(T989-F989,2))+SQRT(POWER(E989-S989,2))+DATOS!$H$20)</f>
        <v>0</v>
      </c>
    </row>
    <row r="990" spans="18:21">
      <c r="R990" t="e">
        <f t="shared" si="46"/>
        <v>#VALUE!</v>
      </c>
      <c r="S990">
        <f t="shared" si="47"/>
        <v>0</v>
      </c>
      <c r="T990">
        <f t="shared" si="48"/>
        <v>0</v>
      </c>
      <c r="U990">
        <f>IF(SQRT(POWER(T990-F990,2))+SQRT(POWER(E990-S990,2))=0,0,SQRT(POWER(T990-F990,2))+SQRT(POWER(E990-S990,2))+DATOS!$H$20)</f>
        <v>0</v>
      </c>
    </row>
    <row r="991" spans="18:21">
      <c r="R991" t="e">
        <f t="shared" si="46"/>
        <v>#VALUE!</v>
      </c>
      <c r="S991">
        <f t="shared" si="47"/>
        <v>0</v>
      </c>
      <c r="T991">
        <f t="shared" si="48"/>
        <v>0</v>
      </c>
      <c r="U991">
        <f>IF(SQRT(POWER(T991-F991,2))+SQRT(POWER(E991-S991,2))=0,0,SQRT(POWER(T991-F991,2))+SQRT(POWER(E991-S991,2))+DATOS!$H$20)</f>
        <v>0</v>
      </c>
    </row>
    <row r="992" spans="18:21">
      <c r="R992" t="e">
        <f t="shared" si="46"/>
        <v>#VALUE!</v>
      </c>
      <c r="S992">
        <f t="shared" si="47"/>
        <v>0</v>
      </c>
      <c r="T992">
        <f t="shared" si="48"/>
        <v>0</v>
      </c>
      <c r="U992">
        <f>IF(SQRT(POWER(T992-F992,2))+SQRT(POWER(E992-S992,2))=0,0,SQRT(POWER(T992-F992,2))+SQRT(POWER(E992-S992,2))+DATOS!$H$20)</f>
        <v>0</v>
      </c>
    </row>
    <row r="993" spans="18:21">
      <c r="R993" t="e">
        <f t="shared" si="46"/>
        <v>#VALUE!</v>
      </c>
      <c r="S993">
        <f t="shared" si="47"/>
        <v>0</v>
      </c>
      <c r="T993">
        <f t="shared" si="48"/>
        <v>0</v>
      </c>
      <c r="U993">
        <f>IF(SQRT(POWER(T993-F993,2))+SQRT(POWER(E993-S993,2))=0,0,SQRT(POWER(T993-F993,2))+SQRT(POWER(E993-S993,2))+DATOS!$H$20)</f>
        <v>0</v>
      </c>
    </row>
    <row r="994" spans="18:21">
      <c r="R994" t="e">
        <f t="shared" si="46"/>
        <v>#VALUE!</v>
      </c>
      <c r="S994">
        <f t="shared" si="47"/>
        <v>0</v>
      </c>
      <c r="T994">
        <f t="shared" si="48"/>
        <v>0</v>
      </c>
      <c r="U994">
        <f>IF(SQRT(POWER(T994-F994,2))+SQRT(POWER(E994-S994,2))=0,0,SQRT(POWER(T994-F994,2))+SQRT(POWER(E994-S994,2))+DATOS!$H$20)</f>
        <v>0</v>
      </c>
    </row>
    <row r="995" spans="18:21">
      <c r="R995" t="e">
        <f t="shared" si="46"/>
        <v>#VALUE!</v>
      </c>
      <c r="S995">
        <f t="shared" si="47"/>
        <v>0</v>
      </c>
      <c r="T995">
        <f t="shared" si="48"/>
        <v>0</v>
      </c>
      <c r="U995">
        <f>IF(SQRT(POWER(T995-F995,2))+SQRT(POWER(E995-S995,2))=0,0,SQRT(POWER(T995-F995,2))+SQRT(POWER(E995-S995,2))+DATOS!$H$20)</f>
        <v>0</v>
      </c>
    </row>
    <row r="996" spans="18:21">
      <c r="R996" t="e">
        <f t="shared" si="46"/>
        <v>#VALUE!</v>
      </c>
      <c r="S996">
        <f t="shared" si="47"/>
        <v>0</v>
      </c>
      <c r="T996">
        <f t="shared" si="48"/>
        <v>0</v>
      </c>
      <c r="U996">
        <f>IF(SQRT(POWER(T996-F996,2))+SQRT(POWER(E996-S996,2))=0,0,SQRT(POWER(T996-F996,2))+SQRT(POWER(E996-S996,2))+DATOS!$H$20)</f>
        <v>0</v>
      </c>
    </row>
    <row r="997" spans="18:21">
      <c r="R997" t="e">
        <f t="shared" si="46"/>
        <v>#VALUE!</v>
      </c>
      <c r="S997">
        <f t="shared" si="47"/>
        <v>0</v>
      </c>
      <c r="T997">
        <f t="shared" si="48"/>
        <v>0</v>
      </c>
      <c r="U997">
        <f>IF(SQRT(POWER(T997-F997,2))+SQRT(POWER(E997-S997,2))=0,0,SQRT(POWER(T997-F997,2))+SQRT(POWER(E997-S997,2))+DATOS!$H$20)</f>
        <v>0</v>
      </c>
    </row>
    <row r="998" spans="18:21">
      <c r="R998" t="e">
        <f t="shared" si="46"/>
        <v>#VALUE!</v>
      </c>
      <c r="S998">
        <f t="shared" si="47"/>
        <v>0</v>
      </c>
      <c r="T998">
        <f t="shared" si="48"/>
        <v>0</v>
      </c>
      <c r="U998">
        <f>IF(SQRT(POWER(T998-F998,2))+SQRT(POWER(E998-S998,2))=0,0,SQRT(POWER(T998-F998,2))+SQRT(POWER(E998-S998,2))+DATOS!$H$20)</f>
        <v>0</v>
      </c>
    </row>
    <row r="999" spans="18:21">
      <c r="R999" t="e">
        <f t="shared" si="46"/>
        <v>#VALUE!</v>
      </c>
      <c r="S999">
        <f t="shared" si="47"/>
        <v>0</v>
      </c>
      <c r="T999">
        <f t="shared" si="48"/>
        <v>0</v>
      </c>
      <c r="U999">
        <f>IF(SQRT(POWER(T999-F999,2))+SQRT(POWER(E999-S999,2))=0,0,SQRT(POWER(T999-F999,2))+SQRT(POWER(E999-S999,2))+DATOS!$H$20)</f>
        <v>0</v>
      </c>
    </row>
    <row r="1000" spans="18:21">
      <c r="R1000" t="e">
        <f t="shared" si="46"/>
        <v>#VALUE!</v>
      </c>
      <c r="S1000">
        <f t="shared" si="47"/>
        <v>0</v>
      </c>
      <c r="T1000">
        <f t="shared" si="48"/>
        <v>0</v>
      </c>
      <c r="U1000">
        <f>IF(SQRT(POWER(T1000-F1000,2))+SQRT(POWER(E1000-S1000,2))=0,0,SQRT(POWER(T1000-F1000,2))+SQRT(POWER(E1000-S1000,2))+DATOS!$H$20)</f>
        <v>0</v>
      </c>
    </row>
    <row r="1001" spans="18:21">
      <c r="R1001" t="e">
        <f t="shared" si="46"/>
        <v>#VALUE!</v>
      </c>
      <c r="S1001">
        <f t="shared" si="47"/>
        <v>0</v>
      </c>
      <c r="T1001">
        <f t="shared" si="48"/>
        <v>0</v>
      </c>
      <c r="U1001">
        <f>IF(SQRT(POWER(T1001-F1001,2))+SQRT(POWER(E1001-S1001,2))=0,0,SQRT(POWER(T1001-F1001,2))+SQRT(POWER(E1001-S1001,2))+DATOS!$H$20)</f>
        <v>0</v>
      </c>
    </row>
    <row r="1002" spans="18:21">
      <c r="R1002" t="e">
        <f t="shared" si="46"/>
        <v>#VALUE!</v>
      </c>
      <c r="S1002">
        <f t="shared" si="47"/>
        <v>0</v>
      </c>
      <c r="T1002">
        <f t="shared" si="48"/>
        <v>0</v>
      </c>
      <c r="U1002">
        <f>IF(SQRT(POWER(T1002-F1002,2))+SQRT(POWER(E1002-S1002,2))=0,0,SQRT(POWER(T1002-F1002,2))+SQRT(POWER(E1002-S1002,2))+DATOS!$H$20)</f>
        <v>0</v>
      </c>
    </row>
    <row r="1003" spans="18:21">
      <c r="R1003" t="e">
        <f t="shared" si="46"/>
        <v>#VALUE!</v>
      </c>
      <c r="S1003">
        <f t="shared" si="47"/>
        <v>0</v>
      </c>
      <c r="T1003">
        <f t="shared" si="48"/>
        <v>0</v>
      </c>
      <c r="U1003">
        <f>IF(SQRT(POWER(T1003-F1003,2))+SQRT(POWER(E1003-S1003,2))=0,0,SQRT(POWER(T1003-F1003,2))+SQRT(POWER(E1003-S1003,2))+DATOS!$H$20)</f>
        <v>0</v>
      </c>
    </row>
    <row r="1004" spans="18:21">
      <c r="R1004" t="e">
        <f t="shared" si="46"/>
        <v>#VALUE!</v>
      </c>
      <c r="S1004">
        <f t="shared" si="47"/>
        <v>0</v>
      </c>
      <c r="T1004">
        <f t="shared" si="48"/>
        <v>0</v>
      </c>
      <c r="U1004">
        <f>IF(SQRT(POWER(T1004-F1004,2))+SQRT(POWER(E1004-S1004,2))=0,0,SQRT(POWER(T1004-F1004,2))+SQRT(POWER(E1004-S1004,2))+DATOS!$H$20)</f>
        <v>0</v>
      </c>
    </row>
    <row r="1005" spans="18:21">
      <c r="R1005" t="e">
        <f t="shared" si="46"/>
        <v>#VALUE!</v>
      </c>
      <c r="S1005">
        <f t="shared" si="47"/>
        <v>0</v>
      </c>
      <c r="T1005">
        <f t="shared" si="48"/>
        <v>0</v>
      </c>
      <c r="U1005">
        <f>IF(SQRT(POWER(T1005-F1005,2))+SQRT(POWER(E1005-S1005,2))=0,0,SQRT(POWER(T1005-F1005,2))+SQRT(POWER(E1005-S1005,2))+DATOS!$H$20)</f>
        <v>0</v>
      </c>
    </row>
    <row r="1006" spans="18:21">
      <c r="R1006" t="e">
        <f t="shared" si="46"/>
        <v>#VALUE!</v>
      </c>
      <c r="S1006">
        <f t="shared" si="47"/>
        <v>0</v>
      </c>
      <c r="T1006">
        <f t="shared" si="48"/>
        <v>0</v>
      </c>
      <c r="U1006">
        <f>IF(SQRT(POWER(T1006-F1006,2))+SQRT(POWER(E1006-S1006,2))=0,0,SQRT(POWER(T1006-F1006,2))+SQRT(POWER(E1006-S1006,2))+DATOS!$H$20)</f>
        <v>0</v>
      </c>
    </row>
    <row r="1007" spans="18:21">
      <c r="R1007" t="e">
        <f t="shared" si="46"/>
        <v>#VALUE!</v>
      </c>
      <c r="S1007">
        <f t="shared" si="47"/>
        <v>0</v>
      </c>
      <c r="T1007">
        <f t="shared" si="48"/>
        <v>0</v>
      </c>
      <c r="U1007">
        <f>IF(SQRT(POWER(T1007-F1007,2))+SQRT(POWER(E1007-S1007,2))=0,0,SQRT(POWER(T1007-F1007,2))+SQRT(POWER(E1007-S1007,2))+DATOS!$H$20)</f>
        <v>0</v>
      </c>
    </row>
    <row r="1008" spans="18:21">
      <c r="R1008" t="e">
        <f t="shared" si="46"/>
        <v>#VALUE!</v>
      </c>
      <c r="S1008">
        <f t="shared" si="47"/>
        <v>0</v>
      </c>
      <c r="T1008">
        <f t="shared" si="48"/>
        <v>0</v>
      </c>
      <c r="U1008">
        <f>IF(SQRT(POWER(T1008-F1008,2))+SQRT(POWER(E1008-S1008,2))=0,0,SQRT(POWER(T1008-F1008,2))+SQRT(POWER(E1008-S1008,2))+DATOS!$H$20)</f>
        <v>0</v>
      </c>
    </row>
    <row r="1009" spans="18:21">
      <c r="R1009" t="e">
        <f t="shared" si="46"/>
        <v>#VALUE!</v>
      </c>
      <c r="S1009">
        <f t="shared" si="47"/>
        <v>0</v>
      </c>
      <c r="T1009">
        <f t="shared" si="48"/>
        <v>0</v>
      </c>
      <c r="U1009">
        <f>IF(SQRT(POWER(T1009-F1009,2))+SQRT(POWER(E1009-S1009,2))=0,0,SQRT(POWER(T1009-F1009,2))+SQRT(POWER(E1009-S1009,2))+DATOS!$H$20)</f>
        <v>0</v>
      </c>
    </row>
    <row r="1010" spans="18:21">
      <c r="R1010" t="e">
        <f t="shared" si="46"/>
        <v>#VALUE!</v>
      </c>
      <c r="S1010">
        <f t="shared" si="47"/>
        <v>0</v>
      </c>
      <c r="T1010">
        <f t="shared" si="48"/>
        <v>0</v>
      </c>
      <c r="U1010">
        <f>IF(SQRT(POWER(T1010-F1010,2))+SQRT(POWER(E1010-S1010,2))=0,0,SQRT(POWER(T1010-F1010,2))+SQRT(POWER(E1010-S1010,2))+DATOS!$H$20)</f>
        <v>0</v>
      </c>
    </row>
    <row r="1011" spans="18:21">
      <c r="R1011" t="e">
        <f t="shared" si="46"/>
        <v>#VALUE!</v>
      </c>
      <c r="S1011">
        <f t="shared" si="47"/>
        <v>0</v>
      </c>
      <c r="T1011">
        <f t="shared" si="48"/>
        <v>0</v>
      </c>
      <c r="U1011">
        <f>IF(SQRT(POWER(T1011-F1011,2))+SQRT(POWER(E1011-S1011,2))=0,0,SQRT(POWER(T1011-F1011,2))+SQRT(POWER(E1011-S1011,2))+DATOS!$H$20)</f>
        <v>0</v>
      </c>
    </row>
    <row r="1012" spans="18:21">
      <c r="R1012" t="e">
        <f t="shared" si="46"/>
        <v>#VALUE!</v>
      </c>
      <c r="S1012">
        <f t="shared" si="47"/>
        <v>0</v>
      </c>
      <c r="T1012">
        <f t="shared" si="48"/>
        <v>0</v>
      </c>
      <c r="U1012">
        <f>IF(SQRT(POWER(T1012-F1012,2))+SQRT(POWER(E1012-S1012,2))=0,0,SQRT(POWER(T1012-F1012,2))+SQRT(POWER(E1012-S1012,2))+DATOS!$H$20)</f>
        <v>0</v>
      </c>
    </row>
    <row r="1013" spans="18:21">
      <c r="R1013" t="e">
        <f t="shared" si="46"/>
        <v>#VALUE!</v>
      </c>
      <c r="S1013">
        <f t="shared" si="47"/>
        <v>0</v>
      </c>
      <c r="T1013">
        <f t="shared" si="48"/>
        <v>0</v>
      </c>
      <c r="U1013">
        <f>IF(SQRT(POWER(T1013-F1013,2))+SQRT(POWER(E1013-S1013,2))=0,0,SQRT(POWER(T1013-F1013,2))+SQRT(POWER(E1013-S1013,2))+DATOS!$H$20)</f>
        <v>0</v>
      </c>
    </row>
    <row r="1014" spans="18:21">
      <c r="R1014" t="e">
        <f t="shared" si="46"/>
        <v>#VALUE!</v>
      </c>
      <c r="S1014">
        <f t="shared" si="47"/>
        <v>0</v>
      </c>
      <c r="T1014">
        <f t="shared" si="48"/>
        <v>0</v>
      </c>
      <c r="U1014">
        <f>IF(SQRT(POWER(T1014-F1014,2))+SQRT(POWER(E1014-S1014,2))=0,0,SQRT(POWER(T1014-F1014,2))+SQRT(POWER(E1014-S1014,2))+DATOS!$H$20)</f>
        <v>0</v>
      </c>
    </row>
    <row r="1015" spans="18:21">
      <c r="R1015" t="e">
        <f t="shared" si="46"/>
        <v>#VALUE!</v>
      </c>
      <c r="S1015">
        <f t="shared" si="47"/>
        <v>0</v>
      </c>
      <c r="T1015">
        <f t="shared" si="48"/>
        <v>0</v>
      </c>
      <c r="U1015">
        <f>IF(SQRT(POWER(T1015-F1015,2))+SQRT(POWER(E1015-S1015,2))=0,0,SQRT(POWER(T1015-F1015,2))+SQRT(POWER(E1015-S1015,2))+DATOS!$H$20)</f>
        <v>0</v>
      </c>
    </row>
    <row r="1016" spans="18:21">
      <c r="R1016" t="e">
        <f t="shared" si="46"/>
        <v>#VALUE!</v>
      </c>
      <c r="S1016">
        <f t="shared" si="47"/>
        <v>0</v>
      </c>
      <c r="T1016">
        <f t="shared" si="48"/>
        <v>0</v>
      </c>
      <c r="U1016">
        <f>IF(SQRT(POWER(T1016-F1016,2))+SQRT(POWER(E1016-S1016,2))=0,0,SQRT(POWER(T1016-F1016,2))+SQRT(POWER(E1016-S1016,2))+DATOS!$H$20)</f>
        <v>0</v>
      </c>
    </row>
    <row r="1017" spans="18:21">
      <c r="R1017" t="e">
        <f t="shared" si="46"/>
        <v>#VALUE!</v>
      </c>
      <c r="S1017">
        <f t="shared" si="47"/>
        <v>0</v>
      </c>
      <c r="T1017">
        <f t="shared" si="48"/>
        <v>0</v>
      </c>
      <c r="U1017">
        <f>IF(SQRT(POWER(T1017-F1017,2))+SQRT(POWER(E1017-S1017,2))=0,0,SQRT(POWER(T1017-F1017,2))+SQRT(POWER(E1017-S1017,2))+DATOS!$H$20)</f>
        <v>0</v>
      </c>
    </row>
    <row r="1018" spans="18:21">
      <c r="R1018" t="e">
        <f t="shared" si="46"/>
        <v>#VALUE!</v>
      </c>
      <c r="S1018">
        <f t="shared" si="47"/>
        <v>0</v>
      </c>
      <c r="T1018">
        <f t="shared" si="48"/>
        <v>0</v>
      </c>
      <c r="U1018">
        <f>IF(SQRT(POWER(T1018-F1018,2))+SQRT(POWER(E1018-S1018,2))=0,0,SQRT(POWER(T1018-F1018,2))+SQRT(POWER(E1018-S1018,2))+DATOS!$H$20)</f>
        <v>0</v>
      </c>
    </row>
    <row r="1019" spans="18:21">
      <c r="R1019" t="e">
        <f t="shared" si="46"/>
        <v>#VALUE!</v>
      </c>
      <c r="S1019">
        <f t="shared" si="47"/>
        <v>0</v>
      </c>
      <c r="T1019">
        <f t="shared" si="48"/>
        <v>0</v>
      </c>
      <c r="U1019">
        <f>IF(SQRT(POWER(T1019-F1019,2))+SQRT(POWER(E1019-S1019,2))=0,0,SQRT(POWER(T1019-F1019,2))+SQRT(POWER(E1019-S1019,2))+DATOS!$H$20)</f>
        <v>0</v>
      </c>
    </row>
    <row r="1020" spans="18:21">
      <c r="R1020" t="e">
        <f t="shared" si="46"/>
        <v>#VALUE!</v>
      </c>
      <c r="S1020">
        <f t="shared" si="47"/>
        <v>0</v>
      </c>
      <c r="T1020">
        <f t="shared" si="48"/>
        <v>0</v>
      </c>
      <c r="U1020">
        <f>IF(SQRT(POWER(T1020-F1020,2))+SQRT(POWER(E1020-S1020,2))=0,0,SQRT(POWER(T1020-F1020,2))+SQRT(POWER(E1020-S1020,2))+DATOS!$H$20)</f>
        <v>0</v>
      </c>
    </row>
    <row r="1021" spans="18:21">
      <c r="R1021" t="e">
        <f t="shared" ref="R1021:R1084" si="49">"TAB-"&amp;LEFT(A1021,FIND("-",A1021) -1)</f>
        <v>#VALUE!</v>
      </c>
      <c r="S1021">
        <f t="shared" ref="S1021:S1084" si="50">IFERROR(VLOOKUP(R1021,$A$2:$F$700,5,0),E1021)</f>
        <v>0</v>
      </c>
      <c r="T1021">
        <f t="shared" ref="T1021:T1084" si="51">IFERROR(VLOOKUP(R1021,$A$2:$F$700,6,0),F1021)</f>
        <v>0</v>
      </c>
      <c r="U1021">
        <f>IF(SQRT(POWER(T1021-F1021,2))+SQRT(POWER(E1021-S1021,2))=0,0,SQRT(POWER(T1021-F1021,2))+SQRT(POWER(E1021-S1021,2))+DATOS!$H$20)</f>
        <v>0</v>
      </c>
    </row>
    <row r="1022" spans="18:21">
      <c r="R1022" t="e">
        <f t="shared" si="49"/>
        <v>#VALUE!</v>
      </c>
      <c r="S1022">
        <f t="shared" si="50"/>
        <v>0</v>
      </c>
      <c r="T1022">
        <f t="shared" si="51"/>
        <v>0</v>
      </c>
      <c r="U1022">
        <f>IF(SQRT(POWER(T1022-F1022,2))+SQRT(POWER(E1022-S1022,2))=0,0,SQRT(POWER(T1022-F1022,2))+SQRT(POWER(E1022-S1022,2))+DATOS!$H$20)</f>
        <v>0</v>
      </c>
    </row>
    <row r="1023" spans="18:21">
      <c r="R1023" t="e">
        <f t="shared" si="49"/>
        <v>#VALUE!</v>
      </c>
      <c r="S1023">
        <f t="shared" si="50"/>
        <v>0</v>
      </c>
      <c r="T1023">
        <f t="shared" si="51"/>
        <v>0</v>
      </c>
      <c r="U1023">
        <f>IF(SQRT(POWER(T1023-F1023,2))+SQRT(POWER(E1023-S1023,2))=0,0,SQRT(POWER(T1023-F1023,2))+SQRT(POWER(E1023-S1023,2))+DATOS!$H$20)</f>
        <v>0</v>
      </c>
    </row>
    <row r="1024" spans="18:21">
      <c r="R1024" t="e">
        <f t="shared" si="49"/>
        <v>#VALUE!</v>
      </c>
      <c r="S1024">
        <f t="shared" si="50"/>
        <v>0</v>
      </c>
      <c r="T1024">
        <f t="shared" si="51"/>
        <v>0</v>
      </c>
      <c r="U1024">
        <f>IF(SQRT(POWER(T1024-F1024,2))+SQRT(POWER(E1024-S1024,2))=0,0,SQRT(POWER(T1024-F1024,2))+SQRT(POWER(E1024-S1024,2))+DATOS!$H$20)</f>
        <v>0</v>
      </c>
    </row>
    <row r="1025" spans="18:21">
      <c r="R1025" t="e">
        <f t="shared" si="49"/>
        <v>#VALUE!</v>
      </c>
      <c r="S1025">
        <f t="shared" si="50"/>
        <v>0</v>
      </c>
      <c r="T1025">
        <f t="shared" si="51"/>
        <v>0</v>
      </c>
      <c r="U1025">
        <f>IF(SQRT(POWER(T1025-F1025,2))+SQRT(POWER(E1025-S1025,2))=0,0,SQRT(POWER(T1025-F1025,2))+SQRT(POWER(E1025-S1025,2))+DATOS!$H$20)</f>
        <v>0</v>
      </c>
    </row>
    <row r="1026" spans="18:21">
      <c r="R1026" t="e">
        <f t="shared" si="49"/>
        <v>#VALUE!</v>
      </c>
      <c r="S1026">
        <f t="shared" si="50"/>
        <v>0</v>
      </c>
      <c r="T1026">
        <f t="shared" si="51"/>
        <v>0</v>
      </c>
      <c r="U1026">
        <f>IF(SQRT(POWER(T1026-F1026,2))+SQRT(POWER(E1026-S1026,2))=0,0,SQRT(POWER(T1026-F1026,2))+SQRT(POWER(E1026-S1026,2))+DATOS!$H$20)</f>
        <v>0</v>
      </c>
    </row>
    <row r="1027" spans="18:21">
      <c r="R1027" t="e">
        <f t="shared" si="49"/>
        <v>#VALUE!</v>
      </c>
      <c r="S1027">
        <f t="shared" si="50"/>
        <v>0</v>
      </c>
      <c r="T1027">
        <f t="shared" si="51"/>
        <v>0</v>
      </c>
      <c r="U1027">
        <f>IF(SQRT(POWER(T1027-F1027,2))+SQRT(POWER(E1027-S1027,2))=0,0,SQRT(POWER(T1027-F1027,2))+SQRT(POWER(E1027-S1027,2))+DATOS!$H$20)</f>
        <v>0</v>
      </c>
    </row>
    <row r="1028" spans="18:21">
      <c r="R1028" t="e">
        <f t="shared" si="49"/>
        <v>#VALUE!</v>
      </c>
      <c r="S1028">
        <f t="shared" si="50"/>
        <v>0</v>
      </c>
      <c r="T1028">
        <f t="shared" si="51"/>
        <v>0</v>
      </c>
      <c r="U1028">
        <f>IF(SQRT(POWER(T1028-F1028,2))+SQRT(POWER(E1028-S1028,2))=0,0,SQRT(POWER(T1028-F1028,2))+SQRT(POWER(E1028-S1028,2))+DATOS!$H$20)</f>
        <v>0</v>
      </c>
    </row>
    <row r="1029" spans="18:21">
      <c r="R1029" t="e">
        <f t="shared" si="49"/>
        <v>#VALUE!</v>
      </c>
      <c r="S1029">
        <f t="shared" si="50"/>
        <v>0</v>
      </c>
      <c r="T1029">
        <f t="shared" si="51"/>
        <v>0</v>
      </c>
      <c r="U1029">
        <f>IF(SQRT(POWER(T1029-F1029,2))+SQRT(POWER(E1029-S1029,2))=0,0,SQRT(POWER(T1029-F1029,2))+SQRT(POWER(E1029-S1029,2))+DATOS!$H$20)</f>
        <v>0</v>
      </c>
    </row>
    <row r="1030" spans="18:21">
      <c r="R1030" t="e">
        <f t="shared" si="49"/>
        <v>#VALUE!</v>
      </c>
      <c r="S1030">
        <f t="shared" si="50"/>
        <v>0</v>
      </c>
      <c r="T1030">
        <f t="shared" si="51"/>
        <v>0</v>
      </c>
      <c r="U1030">
        <f>IF(SQRT(POWER(T1030-F1030,2))+SQRT(POWER(E1030-S1030,2))=0,0,SQRT(POWER(T1030-F1030,2))+SQRT(POWER(E1030-S1030,2))+DATOS!$H$20)</f>
        <v>0</v>
      </c>
    </row>
    <row r="1031" spans="18:21">
      <c r="R1031" t="e">
        <f t="shared" si="49"/>
        <v>#VALUE!</v>
      </c>
      <c r="S1031">
        <f t="shared" si="50"/>
        <v>0</v>
      </c>
      <c r="T1031">
        <f t="shared" si="51"/>
        <v>0</v>
      </c>
      <c r="U1031">
        <f>IF(SQRT(POWER(T1031-F1031,2))+SQRT(POWER(E1031-S1031,2))=0,0,SQRT(POWER(T1031-F1031,2))+SQRT(POWER(E1031-S1031,2))+DATOS!$H$20)</f>
        <v>0</v>
      </c>
    </row>
    <row r="1032" spans="18:21">
      <c r="R1032" t="e">
        <f t="shared" si="49"/>
        <v>#VALUE!</v>
      </c>
      <c r="S1032">
        <f t="shared" si="50"/>
        <v>0</v>
      </c>
      <c r="T1032">
        <f t="shared" si="51"/>
        <v>0</v>
      </c>
      <c r="U1032">
        <f>IF(SQRT(POWER(T1032-F1032,2))+SQRT(POWER(E1032-S1032,2))=0,0,SQRT(POWER(T1032-F1032,2))+SQRT(POWER(E1032-S1032,2))+DATOS!$H$20)</f>
        <v>0</v>
      </c>
    </row>
    <row r="1033" spans="18:21">
      <c r="R1033" t="e">
        <f t="shared" si="49"/>
        <v>#VALUE!</v>
      </c>
      <c r="S1033">
        <f t="shared" si="50"/>
        <v>0</v>
      </c>
      <c r="T1033">
        <f t="shared" si="51"/>
        <v>0</v>
      </c>
      <c r="U1033">
        <f>IF(SQRT(POWER(T1033-F1033,2))+SQRT(POWER(E1033-S1033,2))=0,0,SQRT(POWER(T1033-F1033,2))+SQRT(POWER(E1033-S1033,2))+DATOS!$H$20)</f>
        <v>0</v>
      </c>
    </row>
    <row r="1034" spans="18:21">
      <c r="R1034" t="e">
        <f t="shared" si="49"/>
        <v>#VALUE!</v>
      </c>
      <c r="S1034">
        <f t="shared" si="50"/>
        <v>0</v>
      </c>
      <c r="T1034">
        <f t="shared" si="51"/>
        <v>0</v>
      </c>
      <c r="U1034">
        <f>IF(SQRT(POWER(T1034-F1034,2))+SQRT(POWER(E1034-S1034,2))=0,0,SQRT(POWER(T1034-F1034,2))+SQRT(POWER(E1034-S1034,2))+DATOS!$H$20)</f>
        <v>0</v>
      </c>
    </row>
    <row r="1035" spans="18:21">
      <c r="R1035" t="e">
        <f t="shared" si="49"/>
        <v>#VALUE!</v>
      </c>
      <c r="S1035">
        <f t="shared" si="50"/>
        <v>0</v>
      </c>
      <c r="T1035">
        <f t="shared" si="51"/>
        <v>0</v>
      </c>
      <c r="U1035">
        <f>IF(SQRT(POWER(T1035-F1035,2))+SQRT(POWER(E1035-S1035,2))=0,0,SQRT(POWER(T1035-F1035,2))+SQRT(POWER(E1035-S1035,2))+DATOS!$H$20)</f>
        <v>0</v>
      </c>
    </row>
    <row r="1036" spans="18:21">
      <c r="R1036" t="e">
        <f t="shared" si="49"/>
        <v>#VALUE!</v>
      </c>
      <c r="S1036">
        <f t="shared" si="50"/>
        <v>0</v>
      </c>
      <c r="T1036">
        <f t="shared" si="51"/>
        <v>0</v>
      </c>
      <c r="U1036">
        <f>IF(SQRT(POWER(T1036-F1036,2))+SQRT(POWER(E1036-S1036,2))=0,0,SQRT(POWER(T1036-F1036,2))+SQRT(POWER(E1036-S1036,2))+DATOS!$H$20)</f>
        <v>0</v>
      </c>
    </row>
    <row r="1037" spans="18:21">
      <c r="R1037" t="e">
        <f t="shared" si="49"/>
        <v>#VALUE!</v>
      </c>
      <c r="S1037">
        <f t="shared" si="50"/>
        <v>0</v>
      </c>
      <c r="T1037">
        <f t="shared" si="51"/>
        <v>0</v>
      </c>
      <c r="U1037">
        <f>IF(SQRT(POWER(T1037-F1037,2))+SQRT(POWER(E1037-S1037,2))=0,0,SQRT(POWER(T1037-F1037,2))+SQRT(POWER(E1037-S1037,2))+DATOS!$H$20)</f>
        <v>0</v>
      </c>
    </row>
    <row r="1038" spans="18:21">
      <c r="R1038" t="e">
        <f t="shared" si="49"/>
        <v>#VALUE!</v>
      </c>
      <c r="S1038">
        <f t="shared" si="50"/>
        <v>0</v>
      </c>
      <c r="T1038">
        <f t="shared" si="51"/>
        <v>0</v>
      </c>
      <c r="U1038">
        <f>IF(SQRT(POWER(T1038-F1038,2))+SQRT(POWER(E1038-S1038,2))=0,0,SQRT(POWER(T1038-F1038,2))+SQRT(POWER(E1038-S1038,2))+DATOS!$H$20)</f>
        <v>0</v>
      </c>
    </row>
    <row r="1039" spans="18:21">
      <c r="R1039" t="e">
        <f t="shared" si="49"/>
        <v>#VALUE!</v>
      </c>
      <c r="S1039">
        <f t="shared" si="50"/>
        <v>0</v>
      </c>
      <c r="T1039">
        <f t="shared" si="51"/>
        <v>0</v>
      </c>
      <c r="U1039">
        <f>IF(SQRT(POWER(T1039-F1039,2))+SQRT(POWER(E1039-S1039,2))=0,0,SQRT(POWER(T1039-F1039,2))+SQRT(POWER(E1039-S1039,2))+DATOS!$H$20)</f>
        <v>0</v>
      </c>
    </row>
    <row r="1040" spans="18:21">
      <c r="R1040" t="e">
        <f t="shared" si="49"/>
        <v>#VALUE!</v>
      </c>
      <c r="S1040">
        <f t="shared" si="50"/>
        <v>0</v>
      </c>
      <c r="T1040">
        <f t="shared" si="51"/>
        <v>0</v>
      </c>
      <c r="U1040">
        <f>IF(SQRT(POWER(T1040-F1040,2))+SQRT(POWER(E1040-S1040,2))=0,0,SQRT(POWER(T1040-F1040,2))+SQRT(POWER(E1040-S1040,2))+DATOS!$H$20)</f>
        <v>0</v>
      </c>
    </row>
    <row r="1041" spans="18:21">
      <c r="R1041" t="e">
        <f t="shared" si="49"/>
        <v>#VALUE!</v>
      </c>
      <c r="S1041">
        <f t="shared" si="50"/>
        <v>0</v>
      </c>
      <c r="T1041">
        <f t="shared" si="51"/>
        <v>0</v>
      </c>
      <c r="U1041">
        <f>IF(SQRT(POWER(T1041-F1041,2))+SQRT(POWER(E1041-S1041,2))=0,0,SQRT(POWER(T1041-F1041,2))+SQRT(POWER(E1041-S1041,2))+DATOS!$H$20)</f>
        <v>0</v>
      </c>
    </row>
    <row r="1042" spans="18:21">
      <c r="R1042" t="e">
        <f t="shared" si="49"/>
        <v>#VALUE!</v>
      </c>
      <c r="S1042">
        <f t="shared" si="50"/>
        <v>0</v>
      </c>
      <c r="T1042">
        <f t="shared" si="51"/>
        <v>0</v>
      </c>
      <c r="U1042">
        <f>IF(SQRT(POWER(T1042-F1042,2))+SQRT(POWER(E1042-S1042,2))=0,0,SQRT(POWER(T1042-F1042,2))+SQRT(POWER(E1042-S1042,2))+DATOS!$H$20)</f>
        <v>0</v>
      </c>
    </row>
    <row r="1043" spans="18:21">
      <c r="R1043" t="e">
        <f t="shared" si="49"/>
        <v>#VALUE!</v>
      </c>
      <c r="S1043">
        <f t="shared" si="50"/>
        <v>0</v>
      </c>
      <c r="T1043">
        <f t="shared" si="51"/>
        <v>0</v>
      </c>
      <c r="U1043">
        <f>IF(SQRT(POWER(T1043-F1043,2))+SQRT(POWER(E1043-S1043,2))=0,0,SQRT(POWER(T1043-F1043,2))+SQRT(POWER(E1043-S1043,2))+DATOS!$H$20)</f>
        <v>0</v>
      </c>
    </row>
    <row r="1044" spans="18:21">
      <c r="R1044" t="e">
        <f t="shared" si="49"/>
        <v>#VALUE!</v>
      </c>
      <c r="S1044">
        <f t="shared" si="50"/>
        <v>0</v>
      </c>
      <c r="T1044">
        <f t="shared" si="51"/>
        <v>0</v>
      </c>
      <c r="U1044">
        <f>IF(SQRT(POWER(T1044-F1044,2))+SQRT(POWER(E1044-S1044,2))=0,0,SQRT(POWER(T1044-F1044,2))+SQRT(POWER(E1044-S1044,2))+DATOS!$H$20)</f>
        <v>0</v>
      </c>
    </row>
    <row r="1045" spans="18:21">
      <c r="R1045" t="e">
        <f t="shared" si="49"/>
        <v>#VALUE!</v>
      </c>
      <c r="S1045">
        <f t="shared" si="50"/>
        <v>0</v>
      </c>
      <c r="T1045">
        <f t="shared" si="51"/>
        <v>0</v>
      </c>
      <c r="U1045">
        <f>IF(SQRT(POWER(T1045-F1045,2))+SQRT(POWER(E1045-S1045,2))=0,0,SQRT(POWER(T1045-F1045,2))+SQRT(POWER(E1045-S1045,2))+DATOS!$H$20)</f>
        <v>0</v>
      </c>
    </row>
    <row r="1046" spans="18:21">
      <c r="R1046" t="e">
        <f t="shared" si="49"/>
        <v>#VALUE!</v>
      </c>
      <c r="S1046">
        <f t="shared" si="50"/>
        <v>0</v>
      </c>
      <c r="T1046">
        <f t="shared" si="51"/>
        <v>0</v>
      </c>
      <c r="U1046">
        <f>IF(SQRT(POWER(T1046-F1046,2))+SQRT(POWER(E1046-S1046,2))=0,0,SQRT(POWER(T1046-F1046,2))+SQRT(POWER(E1046-S1046,2))+DATOS!$H$20)</f>
        <v>0</v>
      </c>
    </row>
    <row r="1047" spans="18:21">
      <c r="R1047" t="e">
        <f t="shared" si="49"/>
        <v>#VALUE!</v>
      </c>
      <c r="S1047">
        <f t="shared" si="50"/>
        <v>0</v>
      </c>
      <c r="T1047">
        <f t="shared" si="51"/>
        <v>0</v>
      </c>
      <c r="U1047">
        <f>IF(SQRT(POWER(T1047-F1047,2))+SQRT(POWER(E1047-S1047,2))=0,0,SQRT(POWER(T1047-F1047,2))+SQRT(POWER(E1047-S1047,2))+DATOS!$H$20)</f>
        <v>0</v>
      </c>
    </row>
    <row r="1048" spans="18:21">
      <c r="R1048" t="e">
        <f t="shared" si="49"/>
        <v>#VALUE!</v>
      </c>
      <c r="S1048">
        <f t="shared" si="50"/>
        <v>0</v>
      </c>
      <c r="T1048">
        <f t="shared" si="51"/>
        <v>0</v>
      </c>
      <c r="U1048">
        <f>IF(SQRT(POWER(T1048-F1048,2))+SQRT(POWER(E1048-S1048,2))=0,0,SQRT(POWER(T1048-F1048,2))+SQRT(POWER(E1048-S1048,2))+DATOS!$H$20)</f>
        <v>0</v>
      </c>
    </row>
    <row r="1049" spans="18:21">
      <c r="R1049" t="e">
        <f t="shared" si="49"/>
        <v>#VALUE!</v>
      </c>
      <c r="S1049">
        <f t="shared" si="50"/>
        <v>0</v>
      </c>
      <c r="T1049">
        <f t="shared" si="51"/>
        <v>0</v>
      </c>
      <c r="U1049">
        <f>IF(SQRT(POWER(T1049-F1049,2))+SQRT(POWER(E1049-S1049,2))=0,0,SQRT(POWER(T1049-F1049,2))+SQRT(POWER(E1049-S1049,2))+DATOS!$H$20)</f>
        <v>0</v>
      </c>
    </row>
    <row r="1050" spans="18:21">
      <c r="R1050" t="e">
        <f t="shared" si="49"/>
        <v>#VALUE!</v>
      </c>
      <c r="S1050">
        <f t="shared" si="50"/>
        <v>0</v>
      </c>
      <c r="T1050">
        <f t="shared" si="51"/>
        <v>0</v>
      </c>
      <c r="U1050">
        <f>IF(SQRT(POWER(T1050-F1050,2))+SQRT(POWER(E1050-S1050,2))=0,0,SQRT(POWER(T1050-F1050,2))+SQRT(POWER(E1050-S1050,2))+DATOS!$H$20)</f>
        <v>0</v>
      </c>
    </row>
    <row r="1051" spans="18:21">
      <c r="R1051" t="e">
        <f t="shared" si="49"/>
        <v>#VALUE!</v>
      </c>
      <c r="S1051">
        <f t="shared" si="50"/>
        <v>0</v>
      </c>
      <c r="T1051">
        <f t="shared" si="51"/>
        <v>0</v>
      </c>
      <c r="U1051">
        <f>IF(SQRT(POWER(T1051-F1051,2))+SQRT(POWER(E1051-S1051,2))=0,0,SQRT(POWER(T1051-F1051,2))+SQRT(POWER(E1051-S1051,2))+DATOS!$H$20)</f>
        <v>0</v>
      </c>
    </row>
    <row r="1052" spans="18:21">
      <c r="R1052" t="e">
        <f t="shared" si="49"/>
        <v>#VALUE!</v>
      </c>
      <c r="S1052">
        <f t="shared" si="50"/>
        <v>0</v>
      </c>
      <c r="T1052">
        <f t="shared" si="51"/>
        <v>0</v>
      </c>
      <c r="U1052">
        <f>IF(SQRT(POWER(T1052-F1052,2))+SQRT(POWER(E1052-S1052,2))=0,0,SQRT(POWER(T1052-F1052,2))+SQRT(POWER(E1052-S1052,2))+DATOS!$H$20)</f>
        <v>0</v>
      </c>
    </row>
    <row r="1053" spans="18:21">
      <c r="R1053" t="e">
        <f t="shared" si="49"/>
        <v>#VALUE!</v>
      </c>
      <c r="S1053">
        <f t="shared" si="50"/>
        <v>0</v>
      </c>
      <c r="T1053">
        <f t="shared" si="51"/>
        <v>0</v>
      </c>
      <c r="U1053">
        <f>IF(SQRT(POWER(T1053-F1053,2))+SQRT(POWER(E1053-S1053,2))=0,0,SQRT(POWER(T1053-F1053,2))+SQRT(POWER(E1053-S1053,2))+DATOS!$H$20)</f>
        <v>0</v>
      </c>
    </row>
    <row r="1054" spans="18:21">
      <c r="R1054" t="e">
        <f t="shared" si="49"/>
        <v>#VALUE!</v>
      </c>
      <c r="S1054">
        <f t="shared" si="50"/>
        <v>0</v>
      </c>
      <c r="T1054">
        <f t="shared" si="51"/>
        <v>0</v>
      </c>
      <c r="U1054">
        <f>IF(SQRT(POWER(T1054-F1054,2))+SQRT(POWER(E1054-S1054,2))=0,0,SQRT(POWER(T1054-F1054,2))+SQRT(POWER(E1054-S1054,2))+DATOS!$H$20)</f>
        <v>0</v>
      </c>
    </row>
    <row r="1055" spans="18:21">
      <c r="R1055" t="e">
        <f t="shared" si="49"/>
        <v>#VALUE!</v>
      </c>
      <c r="S1055">
        <f t="shared" si="50"/>
        <v>0</v>
      </c>
      <c r="T1055">
        <f t="shared" si="51"/>
        <v>0</v>
      </c>
      <c r="U1055">
        <f>IF(SQRT(POWER(T1055-F1055,2))+SQRT(POWER(E1055-S1055,2))=0,0,SQRT(POWER(T1055-F1055,2))+SQRT(POWER(E1055-S1055,2))+DATOS!$H$20)</f>
        <v>0</v>
      </c>
    </row>
    <row r="1056" spans="18:21">
      <c r="R1056" t="e">
        <f t="shared" si="49"/>
        <v>#VALUE!</v>
      </c>
      <c r="S1056">
        <f t="shared" si="50"/>
        <v>0</v>
      </c>
      <c r="T1056">
        <f t="shared" si="51"/>
        <v>0</v>
      </c>
      <c r="U1056">
        <f>IF(SQRT(POWER(T1056-F1056,2))+SQRT(POWER(E1056-S1056,2))=0,0,SQRT(POWER(T1056-F1056,2))+SQRT(POWER(E1056-S1056,2))+DATOS!$H$20)</f>
        <v>0</v>
      </c>
    </row>
    <row r="1057" spans="18:21">
      <c r="R1057" t="e">
        <f t="shared" si="49"/>
        <v>#VALUE!</v>
      </c>
      <c r="S1057">
        <f t="shared" si="50"/>
        <v>0</v>
      </c>
      <c r="T1057">
        <f t="shared" si="51"/>
        <v>0</v>
      </c>
      <c r="U1057">
        <f>IF(SQRT(POWER(T1057-F1057,2))+SQRT(POWER(E1057-S1057,2))=0,0,SQRT(POWER(T1057-F1057,2))+SQRT(POWER(E1057-S1057,2))+DATOS!$H$20)</f>
        <v>0</v>
      </c>
    </row>
    <row r="1058" spans="18:21">
      <c r="R1058" t="e">
        <f t="shared" si="49"/>
        <v>#VALUE!</v>
      </c>
      <c r="S1058">
        <f t="shared" si="50"/>
        <v>0</v>
      </c>
      <c r="T1058">
        <f t="shared" si="51"/>
        <v>0</v>
      </c>
      <c r="U1058">
        <f>IF(SQRT(POWER(T1058-F1058,2))+SQRT(POWER(E1058-S1058,2))=0,0,SQRT(POWER(T1058-F1058,2))+SQRT(POWER(E1058-S1058,2))+DATOS!$H$20)</f>
        <v>0</v>
      </c>
    </row>
    <row r="1059" spans="18:21">
      <c r="R1059" t="e">
        <f t="shared" si="49"/>
        <v>#VALUE!</v>
      </c>
      <c r="S1059">
        <f t="shared" si="50"/>
        <v>0</v>
      </c>
      <c r="T1059">
        <f t="shared" si="51"/>
        <v>0</v>
      </c>
      <c r="U1059">
        <f>IF(SQRT(POWER(T1059-F1059,2))+SQRT(POWER(E1059-S1059,2))=0,0,SQRT(POWER(T1059-F1059,2))+SQRT(POWER(E1059-S1059,2))+DATOS!$H$20)</f>
        <v>0</v>
      </c>
    </row>
    <row r="1060" spans="18:21">
      <c r="R1060" t="e">
        <f t="shared" si="49"/>
        <v>#VALUE!</v>
      </c>
      <c r="S1060">
        <f t="shared" si="50"/>
        <v>0</v>
      </c>
      <c r="T1060">
        <f t="shared" si="51"/>
        <v>0</v>
      </c>
      <c r="U1060">
        <f>IF(SQRT(POWER(T1060-F1060,2))+SQRT(POWER(E1060-S1060,2))=0,0,SQRT(POWER(T1060-F1060,2))+SQRT(POWER(E1060-S1060,2))+DATOS!$H$20)</f>
        <v>0</v>
      </c>
    </row>
    <row r="1061" spans="18:21">
      <c r="R1061" t="e">
        <f t="shared" si="49"/>
        <v>#VALUE!</v>
      </c>
      <c r="S1061">
        <f t="shared" si="50"/>
        <v>0</v>
      </c>
      <c r="T1061">
        <f t="shared" si="51"/>
        <v>0</v>
      </c>
      <c r="U1061">
        <f>IF(SQRT(POWER(T1061-F1061,2))+SQRT(POWER(E1061-S1061,2))=0,0,SQRT(POWER(T1061-F1061,2))+SQRT(POWER(E1061-S1061,2))+DATOS!$H$20)</f>
        <v>0</v>
      </c>
    </row>
    <row r="1062" spans="18:21">
      <c r="R1062" t="e">
        <f t="shared" si="49"/>
        <v>#VALUE!</v>
      </c>
      <c r="S1062">
        <f t="shared" si="50"/>
        <v>0</v>
      </c>
      <c r="T1062">
        <f t="shared" si="51"/>
        <v>0</v>
      </c>
      <c r="U1062">
        <f>IF(SQRT(POWER(T1062-F1062,2))+SQRT(POWER(E1062-S1062,2))=0,0,SQRT(POWER(T1062-F1062,2))+SQRT(POWER(E1062-S1062,2))+DATOS!$H$20)</f>
        <v>0</v>
      </c>
    </row>
    <row r="1063" spans="18:21">
      <c r="R1063" t="e">
        <f t="shared" si="49"/>
        <v>#VALUE!</v>
      </c>
      <c r="S1063">
        <f t="shared" si="50"/>
        <v>0</v>
      </c>
      <c r="T1063">
        <f t="shared" si="51"/>
        <v>0</v>
      </c>
      <c r="U1063">
        <f>IF(SQRT(POWER(T1063-F1063,2))+SQRT(POWER(E1063-S1063,2))=0,0,SQRT(POWER(T1063-F1063,2))+SQRT(POWER(E1063-S1063,2))+DATOS!$H$20)</f>
        <v>0</v>
      </c>
    </row>
    <row r="1064" spans="18:21">
      <c r="R1064" t="e">
        <f t="shared" si="49"/>
        <v>#VALUE!</v>
      </c>
      <c r="S1064">
        <f t="shared" si="50"/>
        <v>0</v>
      </c>
      <c r="T1064">
        <f t="shared" si="51"/>
        <v>0</v>
      </c>
      <c r="U1064">
        <f>IF(SQRT(POWER(T1064-F1064,2))+SQRT(POWER(E1064-S1064,2))=0,0,SQRT(POWER(T1064-F1064,2))+SQRT(POWER(E1064-S1064,2))+DATOS!$H$20)</f>
        <v>0</v>
      </c>
    </row>
    <row r="1065" spans="18:21">
      <c r="R1065" t="e">
        <f t="shared" si="49"/>
        <v>#VALUE!</v>
      </c>
      <c r="S1065">
        <f t="shared" si="50"/>
        <v>0</v>
      </c>
      <c r="T1065">
        <f t="shared" si="51"/>
        <v>0</v>
      </c>
      <c r="U1065">
        <f>IF(SQRT(POWER(T1065-F1065,2))+SQRT(POWER(E1065-S1065,2))=0,0,SQRT(POWER(T1065-F1065,2))+SQRT(POWER(E1065-S1065,2))+DATOS!$H$20)</f>
        <v>0</v>
      </c>
    </row>
    <row r="1066" spans="18:21">
      <c r="R1066" t="e">
        <f t="shared" si="49"/>
        <v>#VALUE!</v>
      </c>
      <c r="S1066">
        <f t="shared" si="50"/>
        <v>0</v>
      </c>
      <c r="T1066">
        <f t="shared" si="51"/>
        <v>0</v>
      </c>
      <c r="U1066">
        <f>IF(SQRT(POWER(T1066-F1066,2))+SQRT(POWER(E1066-S1066,2))=0,0,SQRT(POWER(T1066-F1066,2))+SQRT(POWER(E1066-S1066,2))+DATOS!$H$20)</f>
        <v>0</v>
      </c>
    </row>
    <row r="1067" spans="18:21">
      <c r="R1067" t="e">
        <f t="shared" si="49"/>
        <v>#VALUE!</v>
      </c>
      <c r="S1067">
        <f t="shared" si="50"/>
        <v>0</v>
      </c>
      <c r="T1067">
        <f t="shared" si="51"/>
        <v>0</v>
      </c>
      <c r="U1067">
        <f>IF(SQRT(POWER(T1067-F1067,2))+SQRT(POWER(E1067-S1067,2))=0,0,SQRT(POWER(T1067-F1067,2))+SQRT(POWER(E1067-S1067,2))+DATOS!$H$20)</f>
        <v>0</v>
      </c>
    </row>
    <row r="1068" spans="18:21">
      <c r="R1068" t="e">
        <f t="shared" si="49"/>
        <v>#VALUE!</v>
      </c>
      <c r="S1068">
        <f t="shared" si="50"/>
        <v>0</v>
      </c>
      <c r="T1068">
        <f t="shared" si="51"/>
        <v>0</v>
      </c>
      <c r="U1068">
        <f>IF(SQRT(POWER(T1068-F1068,2))+SQRT(POWER(E1068-S1068,2))=0,0,SQRT(POWER(T1068-F1068,2))+SQRT(POWER(E1068-S1068,2))+DATOS!$H$20)</f>
        <v>0</v>
      </c>
    </row>
    <row r="1069" spans="18:21">
      <c r="R1069" t="e">
        <f t="shared" si="49"/>
        <v>#VALUE!</v>
      </c>
      <c r="S1069">
        <f t="shared" si="50"/>
        <v>0</v>
      </c>
      <c r="T1069">
        <f t="shared" si="51"/>
        <v>0</v>
      </c>
      <c r="U1069">
        <f>IF(SQRT(POWER(T1069-F1069,2))+SQRT(POWER(E1069-S1069,2))=0,0,SQRT(POWER(T1069-F1069,2))+SQRT(POWER(E1069-S1069,2))+DATOS!$H$20)</f>
        <v>0</v>
      </c>
    </row>
    <row r="1070" spans="18:21">
      <c r="R1070" t="e">
        <f t="shared" si="49"/>
        <v>#VALUE!</v>
      </c>
      <c r="S1070">
        <f t="shared" si="50"/>
        <v>0</v>
      </c>
      <c r="T1070">
        <f t="shared" si="51"/>
        <v>0</v>
      </c>
      <c r="U1070">
        <f>IF(SQRT(POWER(T1070-F1070,2))+SQRT(POWER(E1070-S1070,2))=0,0,SQRT(POWER(T1070-F1070,2))+SQRT(POWER(E1070-S1070,2))+DATOS!$H$20)</f>
        <v>0</v>
      </c>
    </row>
    <row r="1071" spans="18:21">
      <c r="R1071" t="e">
        <f t="shared" si="49"/>
        <v>#VALUE!</v>
      </c>
      <c r="S1071">
        <f t="shared" si="50"/>
        <v>0</v>
      </c>
      <c r="T1071">
        <f t="shared" si="51"/>
        <v>0</v>
      </c>
      <c r="U1071">
        <f>IF(SQRT(POWER(T1071-F1071,2))+SQRT(POWER(E1071-S1071,2))=0,0,SQRT(POWER(T1071-F1071,2))+SQRT(POWER(E1071-S1071,2))+DATOS!$H$20)</f>
        <v>0</v>
      </c>
    </row>
    <row r="1072" spans="18:21">
      <c r="R1072" t="e">
        <f t="shared" si="49"/>
        <v>#VALUE!</v>
      </c>
      <c r="S1072">
        <f t="shared" si="50"/>
        <v>0</v>
      </c>
      <c r="T1072">
        <f t="shared" si="51"/>
        <v>0</v>
      </c>
      <c r="U1072">
        <f>IF(SQRT(POWER(T1072-F1072,2))+SQRT(POWER(E1072-S1072,2))=0,0,SQRT(POWER(T1072-F1072,2))+SQRT(POWER(E1072-S1072,2))+DATOS!$H$20)</f>
        <v>0</v>
      </c>
    </row>
    <row r="1073" spans="18:21">
      <c r="R1073" t="e">
        <f t="shared" si="49"/>
        <v>#VALUE!</v>
      </c>
      <c r="S1073">
        <f t="shared" si="50"/>
        <v>0</v>
      </c>
      <c r="T1073">
        <f t="shared" si="51"/>
        <v>0</v>
      </c>
      <c r="U1073">
        <f>IF(SQRT(POWER(T1073-F1073,2))+SQRT(POWER(E1073-S1073,2))=0,0,SQRT(POWER(T1073-F1073,2))+SQRT(POWER(E1073-S1073,2))+DATOS!$H$20)</f>
        <v>0</v>
      </c>
    </row>
    <row r="1074" spans="18:21">
      <c r="R1074" t="e">
        <f t="shared" si="49"/>
        <v>#VALUE!</v>
      </c>
      <c r="S1074">
        <f t="shared" si="50"/>
        <v>0</v>
      </c>
      <c r="T1074">
        <f t="shared" si="51"/>
        <v>0</v>
      </c>
      <c r="U1074">
        <f>IF(SQRT(POWER(T1074-F1074,2))+SQRT(POWER(E1074-S1074,2))=0,0,SQRT(POWER(T1074-F1074,2))+SQRT(POWER(E1074-S1074,2))+DATOS!$H$20)</f>
        <v>0</v>
      </c>
    </row>
    <row r="1075" spans="18:21">
      <c r="R1075" t="e">
        <f t="shared" si="49"/>
        <v>#VALUE!</v>
      </c>
      <c r="S1075">
        <f t="shared" si="50"/>
        <v>0</v>
      </c>
      <c r="T1075">
        <f t="shared" si="51"/>
        <v>0</v>
      </c>
      <c r="U1075">
        <f>IF(SQRT(POWER(T1075-F1075,2))+SQRT(POWER(E1075-S1075,2))=0,0,SQRT(POWER(T1075-F1075,2))+SQRT(POWER(E1075-S1075,2))+DATOS!$H$20)</f>
        <v>0</v>
      </c>
    </row>
    <row r="1076" spans="18:21">
      <c r="R1076" t="e">
        <f t="shared" si="49"/>
        <v>#VALUE!</v>
      </c>
      <c r="S1076">
        <f t="shared" si="50"/>
        <v>0</v>
      </c>
      <c r="T1076">
        <f t="shared" si="51"/>
        <v>0</v>
      </c>
      <c r="U1076">
        <f>IF(SQRT(POWER(T1076-F1076,2))+SQRT(POWER(E1076-S1076,2))=0,0,SQRT(POWER(T1076-F1076,2))+SQRT(POWER(E1076-S1076,2))+DATOS!$H$20)</f>
        <v>0</v>
      </c>
    </row>
    <row r="1077" spans="18:21">
      <c r="R1077" t="e">
        <f t="shared" si="49"/>
        <v>#VALUE!</v>
      </c>
      <c r="S1077">
        <f t="shared" si="50"/>
        <v>0</v>
      </c>
      <c r="T1077">
        <f t="shared" si="51"/>
        <v>0</v>
      </c>
      <c r="U1077">
        <f>IF(SQRT(POWER(T1077-F1077,2))+SQRT(POWER(E1077-S1077,2))=0,0,SQRT(POWER(T1077-F1077,2))+SQRT(POWER(E1077-S1077,2))+DATOS!$H$20)</f>
        <v>0</v>
      </c>
    </row>
    <row r="1078" spans="18:21">
      <c r="R1078" t="e">
        <f t="shared" si="49"/>
        <v>#VALUE!</v>
      </c>
      <c r="S1078">
        <f t="shared" si="50"/>
        <v>0</v>
      </c>
      <c r="T1078">
        <f t="shared" si="51"/>
        <v>0</v>
      </c>
      <c r="U1078">
        <f>IF(SQRT(POWER(T1078-F1078,2))+SQRT(POWER(E1078-S1078,2))=0,0,SQRT(POWER(T1078-F1078,2))+SQRT(POWER(E1078-S1078,2))+DATOS!$H$20)</f>
        <v>0</v>
      </c>
    </row>
    <row r="1079" spans="18:21">
      <c r="R1079" t="e">
        <f t="shared" si="49"/>
        <v>#VALUE!</v>
      </c>
      <c r="S1079">
        <f t="shared" si="50"/>
        <v>0</v>
      </c>
      <c r="T1079">
        <f t="shared" si="51"/>
        <v>0</v>
      </c>
      <c r="U1079">
        <f>IF(SQRT(POWER(T1079-F1079,2))+SQRT(POWER(E1079-S1079,2))=0,0,SQRT(POWER(T1079-F1079,2))+SQRT(POWER(E1079-S1079,2))+DATOS!$H$20)</f>
        <v>0</v>
      </c>
    </row>
    <row r="1080" spans="18:21">
      <c r="R1080" t="e">
        <f t="shared" si="49"/>
        <v>#VALUE!</v>
      </c>
      <c r="S1080">
        <f t="shared" si="50"/>
        <v>0</v>
      </c>
      <c r="T1080">
        <f t="shared" si="51"/>
        <v>0</v>
      </c>
      <c r="U1080">
        <f>IF(SQRT(POWER(T1080-F1080,2))+SQRT(POWER(E1080-S1080,2))=0,0,SQRT(POWER(T1080-F1080,2))+SQRT(POWER(E1080-S1080,2))+DATOS!$H$20)</f>
        <v>0</v>
      </c>
    </row>
    <row r="1081" spans="18:21">
      <c r="R1081" t="e">
        <f t="shared" si="49"/>
        <v>#VALUE!</v>
      </c>
      <c r="S1081">
        <f t="shared" si="50"/>
        <v>0</v>
      </c>
      <c r="T1081">
        <f t="shared" si="51"/>
        <v>0</v>
      </c>
      <c r="U1081">
        <f>IF(SQRT(POWER(T1081-F1081,2))+SQRT(POWER(E1081-S1081,2))=0,0,SQRT(POWER(T1081-F1081,2))+SQRT(POWER(E1081-S1081,2))+DATOS!$H$20)</f>
        <v>0</v>
      </c>
    </row>
    <row r="1082" spans="18:21">
      <c r="R1082" t="e">
        <f t="shared" si="49"/>
        <v>#VALUE!</v>
      </c>
      <c r="S1082">
        <f t="shared" si="50"/>
        <v>0</v>
      </c>
      <c r="T1082">
        <f t="shared" si="51"/>
        <v>0</v>
      </c>
      <c r="U1082">
        <f>IF(SQRT(POWER(T1082-F1082,2))+SQRT(POWER(E1082-S1082,2))=0,0,SQRT(POWER(T1082-F1082,2))+SQRT(POWER(E1082-S1082,2))+DATOS!$H$20)</f>
        <v>0</v>
      </c>
    </row>
    <row r="1083" spans="18:21">
      <c r="R1083" t="e">
        <f t="shared" si="49"/>
        <v>#VALUE!</v>
      </c>
      <c r="S1083">
        <f t="shared" si="50"/>
        <v>0</v>
      </c>
      <c r="T1083">
        <f t="shared" si="51"/>
        <v>0</v>
      </c>
      <c r="U1083">
        <f>IF(SQRT(POWER(T1083-F1083,2))+SQRT(POWER(E1083-S1083,2))=0,0,SQRT(POWER(T1083-F1083,2))+SQRT(POWER(E1083-S1083,2))+DATOS!$H$20)</f>
        <v>0</v>
      </c>
    </row>
    <row r="1084" spans="18:21">
      <c r="R1084" t="e">
        <f t="shared" si="49"/>
        <v>#VALUE!</v>
      </c>
      <c r="S1084">
        <f t="shared" si="50"/>
        <v>0</v>
      </c>
      <c r="T1084">
        <f t="shared" si="51"/>
        <v>0</v>
      </c>
      <c r="U1084">
        <f>IF(SQRT(POWER(T1084-F1084,2))+SQRT(POWER(E1084-S1084,2))=0,0,SQRT(POWER(T1084-F1084,2))+SQRT(POWER(E1084-S1084,2))+DATOS!$H$20)</f>
        <v>0</v>
      </c>
    </row>
    <row r="1085" spans="18:21">
      <c r="R1085" t="e">
        <f t="shared" ref="R1085:R1148" si="52">"TAB-"&amp;LEFT(A1085,FIND("-",A1085) -1)</f>
        <v>#VALUE!</v>
      </c>
      <c r="S1085">
        <f t="shared" ref="S1085:S1148" si="53">IFERROR(VLOOKUP(R1085,$A$2:$F$700,5,0),E1085)</f>
        <v>0</v>
      </c>
      <c r="T1085">
        <f t="shared" ref="T1085:T1148" si="54">IFERROR(VLOOKUP(R1085,$A$2:$F$700,6,0),F1085)</f>
        <v>0</v>
      </c>
      <c r="U1085">
        <f>IF(SQRT(POWER(T1085-F1085,2))+SQRT(POWER(E1085-S1085,2))=0,0,SQRT(POWER(T1085-F1085,2))+SQRT(POWER(E1085-S1085,2))+DATOS!$H$20)</f>
        <v>0</v>
      </c>
    </row>
    <row r="1086" spans="18:21">
      <c r="R1086" t="e">
        <f t="shared" si="52"/>
        <v>#VALUE!</v>
      </c>
      <c r="S1086">
        <f t="shared" si="53"/>
        <v>0</v>
      </c>
      <c r="T1086">
        <f t="shared" si="54"/>
        <v>0</v>
      </c>
      <c r="U1086">
        <f>IF(SQRT(POWER(T1086-F1086,2))+SQRT(POWER(E1086-S1086,2))=0,0,SQRT(POWER(T1086-F1086,2))+SQRT(POWER(E1086-S1086,2))+DATOS!$H$20)</f>
        <v>0</v>
      </c>
    </row>
    <row r="1087" spans="18:21">
      <c r="R1087" t="e">
        <f t="shared" si="52"/>
        <v>#VALUE!</v>
      </c>
      <c r="S1087">
        <f t="shared" si="53"/>
        <v>0</v>
      </c>
      <c r="T1087">
        <f t="shared" si="54"/>
        <v>0</v>
      </c>
      <c r="U1087">
        <f>IF(SQRT(POWER(T1087-F1087,2))+SQRT(POWER(E1087-S1087,2))=0,0,SQRT(POWER(T1087-F1087,2))+SQRT(POWER(E1087-S1087,2))+DATOS!$H$20)</f>
        <v>0</v>
      </c>
    </row>
    <row r="1088" spans="18:21">
      <c r="R1088" t="e">
        <f t="shared" si="52"/>
        <v>#VALUE!</v>
      </c>
      <c r="S1088">
        <f t="shared" si="53"/>
        <v>0</v>
      </c>
      <c r="T1088">
        <f t="shared" si="54"/>
        <v>0</v>
      </c>
      <c r="U1088">
        <f>IF(SQRT(POWER(T1088-F1088,2))+SQRT(POWER(E1088-S1088,2))=0,0,SQRT(POWER(T1088-F1088,2))+SQRT(POWER(E1088-S1088,2))+DATOS!$H$20)</f>
        <v>0</v>
      </c>
    </row>
    <row r="1089" spans="18:21">
      <c r="R1089" t="e">
        <f t="shared" si="52"/>
        <v>#VALUE!</v>
      </c>
      <c r="S1089">
        <f t="shared" si="53"/>
        <v>0</v>
      </c>
      <c r="T1089">
        <f t="shared" si="54"/>
        <v>0</v>
      </c>
      <c r="U1089">
        <f>IF(SQRT(POWER(T1089-F1089,2))+SQRT(POWER(E1089-S1089,2))=0,0,SQRT(POWER(T1089-F1089,2))+SQRT(POWER(E1089-S1089,2))+DATOS!$H$20)</f>
        <v>0</v>
      </c>
    </row>
    <row r="1090" spans="18:21">
      <c r="R1090" t="e">
        <f t="shared" si="52"/>
        <v>#VALUE!</v>
      </c>
      <c r="S1090">
        <f t="shared" si="53"/>
        <v>0</v>
      </c>
      <c r="T1090">
        <f t="shared" si="54"/>
        <v>0</v>
      </c>
      <c r="U1090">
        <f>IF(SQRT(POWER(T1090-F1090,2))+SQRT(POWER(E1090-S1090,2))=0,0,SQRT(POWER(T1090-F1090,2))+SQRT(POWER(E1090-S1090,2))+DATOS!$H$20)</f>
        <v>0</v>
      </c>
    </row>
    <row r="1091" spans="18:21">
      <c r="R1091" t="e">
        <f t="shared" si="52"/>
        <v>#VALUE!</v>
      </c>
      <c r="S1091">
        <f t="shared" si="53"/>
        <v>0</v>
      </c>
      <c r="T1091">
        <f t="shared" si="54"/>
        <v>0</v>
      </c>
      <c r="U1091">
        <f>IF(SQRT(POWER(T1091-F1091,2))+SQRT(POWER(E1091-S1091,2))=0,0,SQRT(POWER(T1091-F1091,2))+SQRT(POWER(E1091-S1091,2))+DATOS!$H$20)</f>
        <v>0</v>
      </c>
    </row>
    <row r="1092" spans="18:21">
      <c r="R1092" t="e">
        <f t="shared" si="52"/>
        <v>#VALUE!</v>
      </c>
      <c r="S1092">
        <f t="shared" si="53"/>
        <v>0</v>
      </c>
      <c r="T1092">
        <f t="shared" si="54"/>
        <v>0</v>
      </c>
      <c r="U1092">
        <f>IF(SQRT(POWER(T1092-F1092,2))+SQRT(POWER(E1092-S1092,2))=0,0,SQRT(POWER(T1092-F1092,2))+SQRT(POWER(E1092-S1092,2))+DATOS!$H$20)</f>
        <v>0</v>
      </c>
    </row>
    <row r="1093" spans="18:21">
      <c r="R1093" t="e">
        <f t="shared" si="52"/>
        <v>#VALUE!</v>
      </c>
      <c r="S1093">
        <f t="shared" si="53"/>
        <v>0</v>
      </c>
      <c r="T1093">
        <f t="shared" si="54"/>
        <v>0</v>
      </c>
      <c r="U1093">
        <f>IF(SQRT(POWER(T1093-F1093,2))+SQRT(POWER(E1093-S1093,2))=0,0,SQRT(POWER(T1093-F1093,2))+SQRT(POWER(E1093-S1093,2))+DATOS!$H$20)</f>
        <v>0</v>
      </c>
    </row>
    <row r="1094" spans="18:21">
      <c r="R1094" t="e">
        <f t="shared" si="52"/>
        <v>#VALUE!</v>
      </c>
      <c r="S1094">
        <f t="shared" si="53"/>
        <v>0</v>
      </c>
      <c r="T1094">
        <f t="shared" si="54"/>
        <v>0</v>
      </c>
      <c r="U1094">
        <f>IF(SQRT(POWER(T1094-F1094,2))+SQRT(POWER(E1094-S1094,2))=0,0,SQRT(POWER(T1094-F1094,2))+SQRT(POWER(E1094-S1094,2))+DATOS!$H$20)</f>
        <v>0</v>
      </c>
    </row>
    <row r="1095" spans="18:21">
      <c r="R1095" t="e">
        <f t="shared" si="52"/>
        <v>#VALUE!</v>
      </c>
      <c r="S1095">
        <f t="shared" si="53"/>
        <v>0</v>
      </c>
      <c r="T1095">
        <f t="shared" si="54"/>
        <v>0</v>
      </c>
      <c r="U1095">
        <f>IF(SQRT(POWER(T1095-F1095,2))+SQRT(POWER(E1095-S1095,2))=0,0,SQRT(POWER(T1095-F1095,2))+SQRT(POWER(E1095-S1095,2))+DATOS!$H$20)</f>
        <v>0</v>
      </c>
    </row>
    <row r="1096" spans="18:21">
      <c r="R1096" t="e">
        <f t="shared" si="52"/>
        <v>#VALUE!</v>
      </c>
      <c r="S1096">
        <f t="shared" si="53"/>
        <v>0</v>
      </c>
      <c r="T1096">
        <f t="shared" si="54"/>
        <v>0</v>
      </c>
      <c r="U1096">
        <f>IF(SQRT(POWER(T1096-F1096,2))+SQRT(POWER(E1096-S1096,2))=0,0,SQRT(POWER(T1096-F1096,2))+SQRT(POWER(E1096-S1096,2))+DATOS!$H$20)</f>
        <v>0</v>
      </c>
    </row>
    <row r="1097" spans="18:21">
      <c r="R1097" t="e">
        <f t="shared" si="52"/>
        <v>#VALUE!</v>
      </c>
      <c r="S1097">
        <f t="shared" si="53"/>
        <v>0</v>
      </c>
      <c r="T1097">
        <f t="shared" si="54"/>
        <v>0</v>
      </c>
      <c r="U1097">
        <f>IF(SQRT(POWER(T1097-F1097,2))+SQRT(POWER(E1097-S1097,2))=0,0,SQRT(POWER(T1097-F1097,2))+SQRT(POWER(E1097-S1097,2))+DATOS!$H$20)</f>
        <v>0</v>
      </c>
    </row>
    <row r="1098" spans="18:21">
      <c r="R1098" t="e">
        <f t="shared" si="52"/>
        <v>#VALUE!</v>
      </c>
      <c r="S1098">
        <f t="shared" si="53"/>
        <v>0</v>
      </c>
      <c r="T1098">
        <f t="shared" si="54"/>
        <v>0</v>
      </c>
      <c r="U1098">
        <f>IF(SQRT(POWER(T1098-F1098,2))+SQRT(POWER(E1098-S1098,2))=0,0,SQRT(POWER(T1098-F1098,2))+SQRT(POWER(E1098-S1098,2))+DATOS!$H$20)</f>
        <v>0</v>
      </c>
    </row>
    <row r="1099" spans="18:21">
      <c r="R1099" t="e">
        <f t="shared" si="52"/>
        <v>#VALUE!</v>
      </c>
      <c r="S1099">
        <f t="shared" si="53"/>
        <v>0</v>
      </c>
      <c r="T1099">
        <f t="shared" si="54"/>
        <v>0</v>
      </c>
      <c r="U1099">
        <f>IF(SQRT(POWER(T1099-F1099,2))+SQRT(POWER(E1099-S1099,2))=0,0,SQRT(POWER(T1099-F1099,2))+SQRT(POWER(E1099-S1099,2))+DATOS!$H$20)</f>
        <v>0</v>
      </c>
    </row>
    <row r="1100" spans="18:21">
      <c r="R1100" t="e">
        <f t="shared" si="52"/>
        <v>#VALUE!</v>
      </c>
      <c r="S1100">
        <f t="shared" si="53"/>
        <v>0</v>
      </c>
      <c r="T1100">
        <f t="shared" si="54"/>
        <v>0</v>
      </c>
      <c r="U1100">
        <f>IF(SQRT(POWER(T1100-F1100,2))+SQRT(POWER(E1100-S1100,2))=0,0,SQRT(POWER(T1100-F1100,2))+SQRT(POWER(E1100-S1100,2))+DATOS!$H$20)</f>
        <v>0</v>
      </c>
    </row>
    <row r="1101" spans="18:21">
      <c r="R1101" t="e">
        <f t="shared" si="52"/>
        <v>#VALUE!</v>
      </c>
      <c r="S1101">
        <f t="shared" si="53"/>
        <v>0</v>
      </c>
      <c r="T1101">
        <f t="shared" si="54"/>
        <v>0</v>
      </c>
      <c r="U1101">
        <f>IF(SQRT(POWER(T1101-F1101,2))+SQRT(POWER(E1101-S1101,2))=0,0,SQRT(POWER(T1101-F1101,2))+SQRT(POWER(E1101-S1101,2))+DATOS!$H$20)</f>
        <v>0</v>
      </c>
    </row>
    <row r="1102" spans="18:21">
      <c r="R1102" t="e">
        <f t="shared" si="52"/>
        <v>#VALUE!</v>
      </c>
      <c r="S1102">
        <f t="shared" si="53"/>
        <v>0</v>
      </c>
      <c r="T1102">
        <f t="shared" si="54"/>
        <v>0</v>
      </c>
      <c r="U1102">
        <f>IF(SQRT(POWER(T1102-F1102,2))+SQRT(POWER(E1102-S1102,2))=0,0,SQRT(POWER(T1102-F1102,2))+SQRT(POWER(E1102-S1102,2))+DATOS!$H$20)</f>
        <v>0</v>
      </c>
    </row>
    <row r="1103" spans="18:21">
      <c r="R1103" t="e">
        <f t="shared" si="52"/>
        <v>#VALUE!</v>
      </c>
      <c r="S1103">
        <f t="shared" si="53"/>
        <v>0</v>
      </c>
      <c r="T1103">
        <f t="shared" si="54"/>
        <v>0</v>
      </c>
      <c r="U1103">
        <f>IF(SQRT(POWER(T1103-F1103,2))+SQRT(POWER(E1103-S1103,2))=0,0,SQRT(POWER(T1103-F1103,2))+SQRT(POWER(E1103-S1103,2))+DATOS!$H$20)</f>
        <v>0</v>
      </c>
    </row>
    <row r="1104" spans="18:21">
      <c r="R1104" t="e">
        <f t="shared" si="52"/>
        <v>#VALUE!</v>
      </c>
      <c r="S1104">
        <f t="shared" si="53"/>
        <v>0</v>
      </c>
      <c r="T1104">
        <f t="shared" si="54"/>
        <v>0</v>
      </c>
      <c r="U1104">
        <f>IF(SQRT(POWER(T1104-F1104,2))+SQRT(POWER(E1104-S1104,2))=0,0,SQRT(POWER(T1104-F1104,2))+SQRT(POWER(E1104-S1104,2))+DATOS!$H$20)</f>
        <v>0</v>
      </c>
    </row>
    <row r="1105" spans="18:21">
      <c r="R1105" t="e">
        <f t="shared" si="52"/>
        <v>#VALUE!</v>
      </c>
      <c r="S1105">
        <f t="shared" si="53"/>
        <v>0</v>
      </c>
      <c r="T1105">
        <f t="shared" si="54"/>
        <v>0</v>
      </c>
      <c r="U1105">
        <f>IF(SQRT(POWER(T1105-F1105,2))+SQRT(POWER(E1105-S1105,2))=0,0,SQRT(POWER(T1105-F1105,2))+SQRT(POWER(E1105-S1105,2))+DATOS!$H$20)</f>
        <v>0</v>
      </c>
    </row>
    <row r="1106" spans="18:21">
      <c r="R1106" t="e">
        <f t="shared" si="52"/>
        <v>#VALUE!</v>
      </c>
      <c r="S1106">
        <f t="shared" si="53"/>
        <v>0</v>
      </c>
      <c r="T1106">
        <f t="shared" si="54"/>
        <v>0</v>
      </c>
      <c r="U1106">
        <f>IF(SQRT(POWER(T1106-F1106,2))+SQRT(POWER(E1106-S1106,2))=0,0,SQRT(POWER(T1106-F1106,2))+SQRT(POWER(E1106-S1106,2))+DATOS!$H$20)</f>
        <v>0</v>
      </c>
    </row>
    <row r="1107" spans="18:21">
      <c r="R1107" t="e">
        <f t="shared" si="52"/>
        <v>#VALUE!</v>
      </c>
      <c r="S1107">
        <f t="shared" si="53"/>
        <v>0</v>
      </c>
      <c r="T1107">
        <f t="shared" si="54"/>
        <v>0</v>
      </c>
      <c r="U1107">
        <f>IF(SQRT(POWER(T1107-F1107,2))+SQRT(POWER(E1107-S1107,2))=0,0,SQRT(POWER(T1107-F1107,2))+SQRT(POWER(E1107-S1107,2))+DATOS!$H$20)</f>
        <v>0</v>
      </c>
    </row>
    <row r="1108" spans="18:21">
      <c r="R1108" t="e">
        <f t="shared" si="52"/>
        <v>#VALUE!</v>
      </c>
      <c r="S1108">
        <f t="shared" si="53"/>
        <v>0</v>
      </c>
      <c r="T1108">
        <f t="shared" si="54"/>
        <v>0</v>
      </c>
      <c r="U1108">
        <f>IF(SQRT(POWER(T1108-F1108,2))+SQRT(POWER(E1108-S1108,2))=0,0,SQRT(POWER(T1108-F1108,2))+SQRT(POWER(E1108-S1108,2))+DATOS!$H$20)</f>
        <v>0</v>
      </c>
    </row>
    <row r="1109" spans="18:21">
      <c r="R1109" t="e">
        <f t="shared" si="52"/>
        <v>#VALUE!</v>
      </c>
      <c r="S1109">
        <f t="shared" si="53"/>
        <v>0</v>
      </c>
      <c r="T1109">
        <f t="shared" si="54"/>
        <v>0</v>
      </c>
      <c r="U1109">
        <f>IF(SQRT(POWER(T1109-F1109,2))+SQRT(POWER(E1109-S1109,2))=0,0,SQRT(POWER(T1109-F1109,2))+SQRT(POWER(E1109-S1109,2))+DATOS!$H$20)</f>
        <v>0</v>
      </c>
    </row>
    <row r="1110" spans="18:21">
      <c r="R1110" t="e">
        <f t="shared" si="52"/>
        <v>#VALUE!</v>
      </c>
      <c r="S1110">
        <f t="shared" si="53"/>
        <v>0</v>
      </c>
      <c r="T1110">
        <f t="shared" si="54"/>
        <v>0</v>
      </c>
      <c r="U1110">
        <f>IF(SQRT(POWER(T1110-F1110,2))+SQRT(POWER(E1110-S1110,2))=0,0,SQRT(POWER(T1110-F1110,2))+SQRT(POWER(E1110-S1110,2))+DATOS!$H$20)</f>
        <v>0</v>
      </c>
    </row>
    <row r="1111" spans="18:21">
      <c r="R1111" t="e">
        <f t="shared" si="52"/>
        <v>#VALUE!</v>
      </c>
      <c r="S1111">
        <f t="shared" si="53"/>
        <v>0</v>
      </c>
      <c r="T1111">
        <f t="shared" si="54"/>
        <v>0</v>
      </c>
      <c r="U1111">
        <f>IF(SQRT(POWER(T1111-F1111,2))+SQRT(POWER(E1111-S1111,2))=0,0,SQRT(POWER(T1111-F1111,2))+SQRT(POWER(E1111-S1111,2))+DATOS!$H$20)</f>
        <v>0</v>
      </c>
    </row>
    <row r="1112" spans="18:21">
      <c r="R1112" t="e">
        <f t="shared" si="52"/>
        <v>#VALUE!</v>
      </c>
      <c r="S1112">
        <f t="shared" si="53"/>
        <v>0</v>
      </c>
      <c r="T1112">
        <f t="shared" si="54"/>
        <v>0</v>
      </c>
      <c r="U1112">
        <f>IF(SQRT(POWER(T1112-F1112,2))+SQRT(POWER(E1112-S1112,2))=0,0,SQRT(POWER(T1112-F1112,2))+SQRT(POWER(E1112-S1112,2))+DATOS!$H$20)</f>
        <v>0</v>
      </c>
    </row>
    <row r="1113" spans="18:21">
      <c r="R1113" t="e">
        <f t="shared" si="52"/>
        <v>#VALUE!</v>
      </c>
      <c r="S1113">
        <f t="shared" si="53"/>
        <v>0</v>
      </c>
      <c r="T1113">
        <f t="shared" si="54"/>
        <v>0</v>
      </c>
      <c r="U1113">
        <f>IF(SQRT(POWER(T1113-F1113,2))+SQRT(POWER(E1113-S1113,2))=0,0,SQRT(POWER(T1113-F1113,2))+SQRT(POWER(E1113-S1113,2))+DATOS!$H$20)</f>
        <v>0</v>
      </c>
    </row>
    <row r="1114" spans="18:21">
      <c r="R1114" t="e">
        <f t="shared" si="52"/>
        <v>#VALUE!</v>
      </c>
      <c r="S1114">
        <f t="shared" si="53"/>
        <v>0</v>
      </c>
      <c r="T1114">
        <f t="shared" si="54"/>
        <v>0</v>
      </c>
      <c r="U1114">
        <f>IF(SQRT(POWER(T1114-F1114,2))+SQRT(POWER(E1114-S1114,2))=0,0,SQRT(POWER(T1114-F1114,2))+SQRT(POWER(E1114-S1114,2))+DATOS!$H$20)</f>
        <v>0</v>
      </c>
    </row>
    <row r="1115" spans="18:21">
      <c r="R1115" t="e">
        <f t="shared" si="52"/>
        <v>#VALUE!</v>
      </c>
      <c r="S1115">
        <f t="shared" si="53"/>
        <v>0</v>
      </c>
      <c r="T1115">
        <f t="shared" si="54"/>
        <v>0</v>
      </c>
      <c r="U1115">
        <f>IF(SQRT(POWER(T1115-F1115,2))+SQRT(POWER(E1115-S1115,2))=0,0,SQRT(POWER(T1115-F1115,2))+SQRT(POWER(E1115-S1115,2))+DATOS!$H$20)</f>
        <v>0</v>
      </c>
    </row>
    <row r="1116" spans="18:21">
      <c r="R1116" t="e">
        <f t="shared" si="52"/>
        <v>#VALUE!</v>
      </c>
      <c r="S1116">
        <f t="shared" si="53"/>
        <v>0</v>
      </c>
      <c r="T1116">
        <f t="shared" si="54"/>
        <v>0</v>
      </c>
      <c r="U1116">
        <f>IF(SQRT(POWER(T1116-F1116,2))+SQRT(POWER(E1116-S1116,2))=0,0,SQRT(POWER(T1116-F1116,2))+SQRT(POWER(E1116-S1116,2))+DATOS!$H$20)</f>
        <v>0</v>
      </c>
    </row>
    <row r="1117" spans="18:21">
      <c r="R1117" t="e">
        <f t="shared" si="52"/>
        <v>#VALUE!</v>
      </c>
      <c r="S1117">
        <f t="shared" si="53"/>
        <v>0</v>
      </c>
      <c r="T1117">
        <f t="shared" si="54"/>
        <v>0</v>
      </c>
      <c r="U1117">
        <f>IF(SQRT(POWER(T1117-F1117,2))+SQRT(POWER(E1117-S1117,2))=0,0,SQRT(POWER(T1117-F1117,2))+SQRT(POWER(E1117-S1117,2))+DATOS!$H$20)</f>
        <v>0</v>
      </c>
    </row>
    <row r="1118" spans="18:21">
      <c r="R1118" t="e">
        <f t="shared" si="52"/>
        <v>#VALUE!</v>
      </c>
      <c r="S1118">
        <f t="shared" si="53"/>
        <v>0</v>
      </c>
      <c r="T1118">
        <f t="shared" si="54"/>
        <v>0</v>
      </c>
      <c r="U1118">
        <f>IF(SQRT(POWER(T1118-F1118,2))+SQRT(POWER(E1118-S1118,2))=0,0,SQRT(POWER(T1118-F1118,2))+SQRT(POWER(E1118-S1118,2))+DATOS!$H$20)</f>
        <v>0</v>
      </c>
    </row>
    <row r="1119" spans="18:21">
      <c r="R1119" t="e">
        <f t="shared" si="52"/>
        <v>#VALUE!</v>
      </c>
      <c r="S1119">
        <f t="shared" si="53"/>
        <v>0</v>
      </c>
      <c r="T1119">
        <f t="shared" si="54"/>
        <v>0</v>
      </c>
      <c r="U1119">
        <f>IF(SQRT(POWER(T1119-F1119,2))+SQRT(POWER(E1119-S1119,2))=0,0,SQRT(POWER(T1119-F1119,2))+SQRT(POWER(E1119-S1119,2))+DATOS!$H$20)</f>
        <v>0</v>
      </c>
    </row>
    <row r="1120" spans="18:21">
      <c r="R1120" t="e">
        <f t="shared" si="52"/>
        <v>#VALUE!</v>
      </c>
      <c r="S1120">
        <f t="shared" si="53"/>
        <v>0</v>
      </c>
      <c r="T1120">
        <f t="shared" si="54"/>
        <v>0</v>
      </c>
      <c r="U1120">
        <f>IF(SQRT(POWER(T1120-F1120,2))+SQRT(POWER(E1120-S1120,2))=0,0,SQRT(POWER(T1120-F1120,2))+SQRT(POWER(E1120-S1120,2))+DATOS!$H$20)</f>
        <v>0</v>
      </c>
    </row>
    <row r="1121" spans="18:21">
      <c r="R1121" t="e">
        <f t="shared" si="52"/>
        <v>#VALUE!</v>
      </c>
      <c r="S1121">
        <f t="shared" si="53"/>
        <v>0</v>
      </c>
      <c r="T1121">
        <f t="shared" si="54"/>
        <v>0</v>
      </c>
      <c r="U1121">
        <f>IF(SQRT(POWER(T1121-F1121,2))+SQRT(POWER(E1121-S1121,2))=0,0,SQRT(POWER(T1121-F1121,2))+SQRT(POWER(E1121-S1121,2))+DATOS!$H$20)</f>
        <v>0</v>
      </c>
    </row>
    <row r="1122" spans="18:21">
      <c r="R1122" t="e">
        <f t="shared" si="52"/>
        <v>#VALUE!</v>
      </c>
      <c r="S1122">
        <f t="shared" si="53"/>
        <v>0</v>
      </c>
      <c r="T1122">
        <f t="shared" si="54"/>
        <v>0</v>
      </c>
      <c r="U1122">
        <f>IF(SQRT(POWER(T1122-F1122,2))+SQRT(POWER(E1122-S1122,2))=0,0,SQRT(POWER(T1122-F1122,2))+SQRT(POWER(E1122-S1122,2))+DATOS!$H$20)</f>
        <v>0</v>
      </c>
    </row>
    <row r="1123" spans="18:21">
      <c r="R1123" t="e">
        <f t="shared" si="52"/>
        <v>#VALUE!</v>
      </c>
      <c r="S1123">
        <f t="shared" si="53"/>
        <v>0</v>
      </c>
      <c r="T1123">
        <f t="shared" si="54"/>
        <v>0</v>
      </c>
      <c r="U1123">
        <f>IF(SQRT(POWER(T1123-F1123,2))+SQRT(POWER(E1123-S1123,2))=0,0,SQRT(POWER(T1123-F1123,2))+SQRT(POWER(E1123-S1123,2))+DATOS!$H$20)</f>
        <v>0</v>
      </c>
    </row>
    <row r="1124" spans="18:21">
      <c r="R1124" t="e">
        <f t="shared" si="52"/>
        <v>#VALUE!</v>
      </c>
      <c r="S1124">
        <f t="shared" si="53"/>
        <v>0</v>
      </c>
      <c r="T1124">
        <f t="shared" si="54"/>
        <v>0</v>
      </c>
      <c r="U1124">
        <f>IF(SQRT(POWER(T1124-F1124,2))+SQRT(POWER(E1124-S1124,2))=0,0,SQRT(POWER(T1124-F1124,2))+SQRT(POWER(E1124-S1124,2))+DATOS!$H$20)</f>
        <v>0</v>
      </c>
    </row>
    <row r="1125" spans="18:21">
      <c r="R1125" t="e">
        <f t="shared" si="52"/>
        <v>#VALUE!</v>
      </c>
      <c r="S1125">
        <f t="shared" si="53"/>
        <v>0</v>
      </c>
      <c r="T1125">
        <f t="shared" si="54"/>
        <v>0</v>
      </c>
      <c r="U1125">
        <f>IF(SQRT(POWER(T1125-F1125,2))+SQRT(POWER(E1125-S1125,2))=0,0,SQRT(POWER(T1125-F1125,2))+SQRT(POWER(E1125-S1125,2))+DATOS!$H$20)</f>
        <v>0</v>
      </c>
    </row>
    <row r="1126" spans="18:21">
      <c r="R1126" t="e">
        <f t="shared" si="52"/>
        <v>#VALUE!</v>
      </c>
      <c r="S1126">
        <f t="shared" si="53"/>
        <v>0</v>
      </c>
      <c r="T1126">
        <f t="shared" si="54"/>
        <v>0</v>
      </c>
      <c r="U1126">
        <f>IF(SQRT(POWER(T1126-F1126,2))+SQRT(POWER(E1126-S1126,2))=0,0,SQRT(POWER(T1126-F1126,2))+SQRT(POWER(E1126-S1126,2))+DATOS!$H$20)</f>
        <v>0</v>
      </c>
    </row>
    <row r="1127" spans="18:21">
      <c r="R1127" t="e">
        <f t="shared" si="52"/>
        <v>#VALUE!</v>
      </c>
      <c r="S1127">
        <f t="shared" si="53"/>
        <v>0</v>
      </c>
      <c r="T1127">
        <f t="shared" si="54"/>
        <v>0</v>
      </c>
      <c r="U1127">
        <f>IF(SQRT(POWER(T1127-F1127,2))+SQRT(POWER(E1127-S1127,2))=0,0,SQRT(POWER(T1127-F1127,2))+SQRT(POWER(E1127-S1127,2))+DATOS!$H$20)</f>
        <v>0</v>
      </c>
    </row>
    <row r="1128" spans="18:21">
      <c r="R1128" t="e">
        <f t="shared" si="52"/>
        <v>#VALUE!</v>
      </c>
      <c r="S1128">
        <f t="shared" si="53"/>
        <v>0</v>
      </c>
      <c r="T1128">
        <f t="shared" si="54"/>
        <v>0</v>
      </c>
      <c r="U1128">
        <f>IF(SQRT(POWER(T1128-F1128,2))+SQRT(POWER(E1128-S1128,2))=0,0,SQRT(POWER(T1128-F1128,2))+SQRT(POWER(E1128-S1128,2))+DATOS!$H$20)</f>
        <v>0</v>
      </c>
    </row>
    <row r="1129" spans="18:21">
      <c r="R1129" t="e">
        <f t="shared" si="52"/>
        <v>#VALUE!</v>
      </c>
      <c r="S1129">
        <f t="shared" si="53"/>
        <v>0</v>
      </c>
      <c r="T1129">
        <f t="shared" si="54"/>
        <v>0</v>
      </c>
      <c r="U1129">
        <f>IF(SQRT(POWER(T1129-F1129,2))+SQRT(POWER(E1129-S1129,2))=0,0,SQRT(POWER(T1129-F1129,2))+SQRT(POWER(E1129-S1129,2))+DATOS!$H$20)</f>
        <v>0</v>
      </c>
    </row>
    <row r="1130" spans="18:21">
      <c r="R1130" t="e">
        <f t="shared" si="52"/>
        <v>#VALUE!</v>
      </c>
      <c r="S1130">
        <f t="shared" si="53"/>
        <v>0</v>
      </c>
      <c r="T1130">
        <f t="shared" si="54"/>
        <v>0</v>
      </c>
      <c r="U1130">
        <f>IF(SQRT(POWER(T1130-F1130,2))+SQRT(POWER(E1130-S1130,2))=0,0,SQRT(POWER(T1130-F1130,2))+SQRT(POWER(E1130-S1130,2))+DATOS!$H$20)</f>
        <v>0</v>
      </c>
    </row>
    <row r="1131" spans="18:21">
      <c r="R1131" t="e">
        <f t="shared" si="52"/>
        <v>#VALUE!</v>
      </c>
      <c r="S1131">
        <f t="shared" si="53"/>
        <v>0</v>
      </c>
      <c r="T1131">
        <f t="shared" si="54"/>
        <v>0</v>
      </c>
      <c r="U1131">
        <f>IF(SQRT(POWER(T1131-F1131,2))+SQRT(POWER(E1131-S1131,2))=0,0,SQRT(POWER(T1131-F1131,2))+SQRT(POWER(E1131-S1131,2))+DATOS!$H$20)</f>
        <v>0</v>
      </c>
    </row>
    <row r="1132" spans="18:21">
      <c r="R1132" t="e">
        <f t="shared" si="52"/>
        <v>#VALUE!</v>
      </c>
      <c r="S1132">
        <f t="shared" si="53"/>
        <v>0</v>
      </c>
      <c r="T1132">
        <f t="shared" si="54"/>
        <v>0</v>
      </c>
      <c r="U1132">
        <f>IF(SQRT(POWER(T1132-F1132,2))+SQRT(POWER(E1132-S1132,2))=0,0,SQRT(POWER(T1132-F1132,2))+SQRT(POWER(E1132-S1132,2))+DATOS!$H$20)</f>
        <v>0</v>
      </c>
    </row>
    <row r="1133" spans="18:21">
      <c r="R1133" t="e">
        <f t="shared" si="52"/>
        <v>#VALUE!</v>
      </c>
      <c r="S1133">
        <f t="shared" si="53"/>
        <v>0</v>
      </c>
      <c r="T1133">
        <f t="shared" si="54"/>
        <v>0</v>
      </c>
      <c r="U1133">
        <f>IF(SQRT(POWER(T1133-F1133,2))+SQRT(POWER(E1133-S1133,2))=0,0,SQRT(POWER(T1133-F1133,2))+SQRT(POWER(E1133-S1133,2))+DATOS!$H$20)</f>
        <v>0</v>
      </c>
    </row>
    <row r="1134" spans="18:21">
      <c r="R1134" t="e">
        <f t="shared" si="52"/>
        <v>#VALUE!</v>
      </c>
      <c r="S1134">
        <f t="shared" si="53"/>
        <v>0</v>
      </c>
      <c r="T1134">
        <f t="shared" si="54"/>
        <v>0</v>
      </c>
      <c r="U1134">
        <f>IF(SQRT(POWER(T1134-F1134,2))+SQRT(POWER(E1134-S1134,2))=0,0,SQRT(POWER(T1134-F1134,2))+SQRT(POWER(E1134-S1134,2))+DATOS!$H$20)</f>
        <v>0</v>
      </c>
    </row>
    <row r="1135" spans="18:21">
      <c r="R1135" t="e">
        <f t="shared" si="52"/>
        <v>#VALUE!</v>
      </c>
      <c r="S1135">
        <f t="shared" si="53"/>
        <v>0</v>
      </c>
      <c r="T1135">
        <f t="shared" si="54"/>
        <v>0</v>
      </c>
      <c r="U1135">
        <f>IF(SQRT(POWER(T1135-F1135,2))+SQRT(POWER(E1135-S1135,2))=0,0,SQRT(POWER(T1135-F1135,2))+SQRT(POWER(E1135-S1135,2))+DATOS!$H$20)</f>
        <v>0</v>
      </c>
    </row>
    <row r="1136" spans="18:21">
      <c r="R1136" t="e">
        <f t="shared" si="52"/>
        <v>#VALUE!</v>
      </c>
      <c r="S1136">
        <f t="shared" si="53"/>
        <v>0</v>
      </c>
      <c r="T1136">
        <f t="shared" si="54"/>
        <v>0</v>
      </c>
      <c r="U1136">
        <f>IF(SQRT(POWER(T1136-F1136,2))+SQRT(POWER(E1136-S1136,2))=0,0,SQRT(POWER(T1136-F1136,2))+SQRT(POWER(E1136-S1136,2))+DATOS!$H$20)</f>
        <v>0</v>
      </c>
    </row>
    <row r="1137" spans="18:21">
      <c r="R1137" t="e">
        <f t="shared" si="52"/>
        <v>#VALUE!</v>
      </c>
      <c r="S1137">
        <f t="shared" si="53"/>
        <v>0</v>
      </c>
      <c r="T1137">
        <f t="shared" si="54"/>
        <v>0</v>
      </c>
      <c r="U1137">
        <f>IF(SQRT(POWER(T1137-F1137,2))+SQRT(POWER(E1137-S1137,2))=0,0,SQRT(POWER(T1137-F1137,2))+SQRT(POWER(E1137-S1137,2))+DATOS!$H$20)</f>
        <v>0</v>
      </c>
    </row>
    <row r="1138" spans="18:21">
      <c r="R1138" t="e">
        <f t="shared" si="52"/>
        <v>#VALUE!</v>
      </c>
      <c r="S1138">
        <f t="shared" si="53"/>
        <v>0</v>
      </c>
      <c r="T1138">
        <f t="shared" si="54"/>
        <v>0</v>
      </c>
      <c r="U1138">
        <f>IF(SQRT(POWER(T1138-F1138,2))+SQRT(POWER(E1138-S1138,2))=0,0,SQRT(POWER(T1138-F1138,2))+SQRT(POWER(E1138-S1138,2))+DATOS!$H$20)</f>
        <v>0</v>
      </c>
    </row>
    <row r="1139" spans="18:21">
      <c r="R1139" t="e">
        <f t="shared" si="52"/>
        <v>#VALUE!</v>
      </c>
      <c r="S1139">
        <f t="shared" si="53"/>
        <v>0</v>
      </c>
      <c r="T1139">
        <f t="shared" si="54"/>
        <v>0</v>
      </c>
      <c r="U1139">
        <f>IF(SQRT(POWER(T1139-F1139,2))+SQRT(POWER(E1139-S1139,2))=0,0,SQRT(POWER(T1139-F1139,2))+SQRT(POWER(E1139-S1139,2))+DATOS!$H$20)</f>
        <v>0</v>
      </c>
    </row>
    <row r="1140" spans="18:21">
      <c r="R1140" t="e">
        <f t="shared" si="52"/>
        <v>#VALUE!</v>
      </c>
      <c r="S1140">
        <f t="shared" si="53"/>
        <v>0</v>
      </c>
      <c r="T1140">
        <f t="shared" si="54"/>
        <v>0</v>
      </c>
      <c r="U1140">
        <f>IF(SQRT(POWER(T1140-F1140,2))+SQRT(POWER(E1140-S1140,2))=0,0,SQRT(POWER(T1140-F1140,2))+SQRT(POWER(E1140-S1140,2))+DATOS!$H$20)</f>
        <v>0</v>
      </c>
    </row>
    <row r="1141" spans="18:21">
      <c r="R1141" t="e">
        <f t="shared" si="52"/>
        <v>#VALUE!</v>
      </c>
      <c r="S1141">
        <f t="shared" si="53"/>
        <v>0</v>
      </c>
      <c r="T1141">
        <f t="shared" si="54"/>
        <v>0</v>
      </c>
      <c r="U1141">
        <f>IF(SQRT(POWER(T1141-F1141,2))+SQRT(POWER(E1141-S1141,2))=0,0,SQRT(POWER(T1141-F1141,2))+SQRT(POWER(E1141-S1141,2))+DATOS!$H$20)</f>
        <v>0</v>
      </c>
    </row>
    <row r="1142" spans="18:21">
      <c r="R1142" t="e">
        <f t="shared" si="52"/>
        <v>#VALUE!</v>
      </c>
      <c r="S1142">
        <f t="shared" si="53"/>
        <v>0</v>
      </c>
      <c r="T1142">
        <f t="shared" si="54"/>
        <v>0</v>
      </c>
      <c r="U1142">
        <f>IF(SQRT(POWER(T1142-F1142,2))+SQRT(POWER(E1142-S1142,2))=0,0,SQRT(POWER(T1142-F1142,2))+SQRT(POWER(E1142-S1142,2))+DATOS!$H$20)</f>
        <v>0</v>
      </c>
    </row>
    <row r="1143" spans="18:21">
      <c r="R1143" t="e">
        <f t="shared" si="52"/>
        <v>#VALUE!</v>
      </c>
      <c r="S1143">
        <f t="shared" si="53"/>
        <v>0</v>
      </c>
      <c r="T1143">
        <f t="shared" si="54"/>
        <v>0</v>
      </c>
      <c r="U1143">
        <f>IF(SQRT(POWER(T1143-F1143,2))+SQRT(POWER(E1143-S1143,2))=0,0,SQRT(POWER(T1143-F1143,2))+SQRT(POWER(E1143-S1143,2))+DATOS!$H$20)</f>
        <v>0</v>
      </c>
    </row>
    <row r="1144" spans="18:21">
      <c r="R1144" t="e">
        <f t="shared" si="52"/>
        <v>#VALUE!</v>
      </c>
      <c r="S1144">
        <f t="shared" si="53"/>
        <v>0</v>
      </c>
      <c r="T1144">
        <f t="shared" si="54"/>
        <v>0</v>
      </c>
      <c r="U1144">
        <f>IF(SQRT(POWER(T1144-F1144,2))+SQRT(POWER(E1144-S1144,2))=0,0,SQRT(POWER(T1144-F1144,2))+SQRT(POWER(E1144-S1144,2))+DATOS!$H$20)</f>
        <v>0</v>
      </c>
    </row>
    <row r="1145" spans="18:21">
      <c r="R1145" t="e">
        <f t="shared" si="52"/>
        <v>#VALUE!</v>
      </c>
      <c r="S1145">
        <f t="shared" si="53"/>
        <v>0</v>
      </c>
      <c r="T1145">
        <f t="shared" si="54"/>
        <v>0</v>
      </c>
      <c r="U1145">
        <f>IF(SQRT(POWER(T1145-F1145,2))+SQRT(POWER(E1145-S1145,2))=0,0,SQRT(POWER(T1145-F1145,2))+SQRT(POWER(E1145-S1145,2))+DATOS!$H$20)</f>
        <v>0</v>
      </c>
    </row>
    <row r="1146" spans="18:21">
      <c r="R1146" t="e">
        <f t="shared" si="52"/>
        <v>#VALUE!</v>
      </c>
      <c r="S1146">
        <f t="shared" si="53"/>
        <v>0</v>
      </c>
      <c r="T1146">
        <f t="shared" si="54"/>
        <v>0</v>
      </c>
      <c r="U1146">
        <f>IF(SQRT(POWER(T1146-F1146,2))+SQRT(POWER(E1146-S1146,2))=0,0,SQRT(POWER(T1146-F1146,2))+SQRT(POWER(E1146-S1146,2))+DATOS!$H$20)</f>
        <v>0</v>
      </c>
    </row>
    <row r="1147" spans="18:21">
      <c r="R1147" t="e">
        <f t="shared" si="52"/>
        <v>#VALUE!</v>
      </c>
      <c r="S1147">
        <f t="shared" si="53"/>
        <v>0</v>
      </c>
      <c r="T1147">
        <f t="shared" si="54"/>
        <v>0</v>
      </c>
      <c r="U1147">
        <f>IF(SQRT(POWER(T1147-F1147,2))+SQRT(POWER(E1147-S1147,2))=0,0,SQRT(POWER(T1147-F1147,2))+SQRT(POWER(E1147-S1147,2))+DATOS!$H$20)</f>
        <v>0</v>
      </c>
    </row>
    <row r="1148" spans="18:21">
      <c r="R1148" t="e">
        <f t="shared" si="52"/>
        <v>#VALUE!</v>
      </c>
      <c r="S1148">
        <f t="shared" si="53"/>
        <v>0</v>
      </c>
      <c r="T1148">
        <f t="shared" si="54"/>
        <v>0</v>
      </c>
      <c r="U1148">
        <f>IF(SQRT(POWER(T1148-F1148,2))+SQRT(POWER(E1148-S1148,2))=0,0,SQRT(POWER(T1148-F1148,2))+SQRT(POWER(E1148-S1148,2))+DATOS!$H$20)</f>
        <v>0</v>
      </c>
    </row>
    <row r="1149" spans="18:21">
      <c r="R1149" t="e">
        <f t="shared" ref="R1149:R1212" si="55">"TAB-"&amp;LEFT(A1149,FIND("-",A1149) -1)</f>
        <v>#VALUE!</v>
      </c>
      <c r="S1149">
        <f t="shared" ref="S1149:S1212" si="56">IFERROR(VLOOKUP(R1149,$A$2:$F$700,5,0),E1149)</f>
        <v>0</v>
      </c>
      <c r="T1149">
        <f t="shared" ref="T1149:T1212" si="57">IFERROR(VLOOKUP(R1149,$A$2:$F$700,6,0),F1149)</f>
        <v>0</v>
      </c>
      <c r="U1149">
        <f>IF(SQRT(POWER(T1149-F1149,2))+SQRT(POWER(E1149-S1149,2))=0,0,SQRT(POWER(T1149-F1149,2))+SQRT(POWER(E1149-S1149,2))+DATOS!$H$20)</f>
        <v>0</v>
      </c>
    </row>
    <row r="1150" spans="18:21">
      <c r="R1150" t="e">
        <f t="shared" si="55"/>
        <v>#VALUE!</v>
      </c>
      <c r="S1150">
        <f t="shared" si="56"/>
        <v>0</v>
      </c>
      <c r="T1150">
        <f t="shared" si="57"/>
        <v>0</v>
      </c>
      <c r="U1150">
        <f>IF(SQRT(POWER(T1150-F1150,2))+SQRT(POWER(E1150-S1150,2))=0,0,SQRT(POWER(T1150-F1150,2))+SQRT(POWER(E1150-S1150,2))+DATOS!$H$20)</f>
        <v>0</v>
      </c>
    </row>
    <row r="1151" spans="18:21">
      <c r="R1151" t="e">
        <f t="shared" si="55"/>
        <v>#VALUE!</v>
      </c>
      <c r="S1151">
        <f t="shared" si="56"/>
        <v>0</v>
      </c>
      <c r="T1151">
        <f t="shared" si="57"/>
        <v>0</v>
      </c>
      <c r="U1151">
        <f>IF(SQRT(POWER(T1151-F1151,2))+SQRT(POWER(E1151-S1151,2))=0,0,SQRT(POWER(T1151-F1151,2))+SQRT(POWER(E1151-S1151,2))+DATOS!$H$20)</f>
        <v>0</v>
      </c>
    </row>
    <row r="1152" spans="18:21">
      <c r="R1152" t="e">
        <f t="shared" si="55"/>
        <v>#VALUE!</v>
      </c>
      <c r="S1152">
        <f t="shared" si="56"/>
        <v>0</v>
      </c>
      <c r="T1152">
        <f t="shared" si="57"/>
        <v>0</v>
      </c>
      <c r="U1152">
        <f>IF(SQRT(POWER(T1152-F1152,2))+SQRT(POWER(E1152-S1152,2))=0,0,SQRT(POWER(T1152-F1152,2))+SQRT(POWER(E1152-S1152,2))+DATOS!$H$20)</f>
        <v>0</v>
      </c>
    </row>
    <row r="1153" spans="18:21">
      <c r="R1153" t="e">
        <f t="shared" si="55"/>
        <v>#VALUE!</v>
      </c>
      <c r="S1153">
        <f t="shared" si="56"/>
        <v>0</v>
      </c>
      <c r="T1153">
        <f t="shared" si="57"/>
        <v>0</v>
      </c>
      <c r="U1153">
        <f>IF(SQRT(POWER(T1153-F1153,2))+SQRT(POWER(E1153-S1153,2))=0,0,SQRT(POWER(T1153-F1153,2))+SQRT(POWER(E1153-S1153,2))+DATOS!$H$20)</f>
        <v>0</v>
      </c>
    </row>
    <row r="1154" spans="18:21">
      <c r="R1154" t="e">
        <f t="shared" si="55"/>
        <v>#VALUE!</v>
      </c>
      <c r="S1154">
        <f t="shared" si="56"/>
        <v>0</v>
      </c>
      <c r="T1154">
        <f t="shared" si="57"/>
        <v>0</v>
      </c>
      <c r="U1154">
        <f>IF(SQRT(POWER(T1154-F1154,2))+SQRT(POWER(E1154-S1154,2))=0,0,SQRT(POWER(T1154-F1154,2))+SQRT(POWER(E1154-S1154,2))+DATOS!$H$20)</f>
        <v>0</v>
      </c>
    </row>
    <row r="1155" spans="18:21">
      <c r="R1155" t="e">
        <f t="shared" si="55"/>
        <v>#VALUE!</v>
      </c>
      <c r="S1155">
        <f t="shared" si="56"/>
        <v>0</v>
      </c>
      <c r="T1155">
        <f t="shared" si="57"/>
        <v>0</v>
      </c>
      <c r="U1155">
        <f>IF(SQRT(POWER(T1155-F1155,2))+SQRT(POWER(E1155-S1155,2))=0,0,SQRT(POWER(T1155-F1155,2))+SQRT(POWER(E1155-S1155,2))+DATOS!$H$20)</f>
        <v>0</v>
      </c>
    </row>
    <row r="1156" spans="18:21">
      <c r="R1156" t="e">
        <f t="shared" si="55"/>
        <v>#VALUE!</v>
      </c>
      <c r="S1156">
        <f t="shared" si="56"/>
        <v>0</v>
      </c>
      <c r="T1156">
        <f t="shared" si="57"/>
        <v>0</v>
      </c>
      <c r="U1156">
        <f>IF(SQRT(POWER(T1156-F1156,2))+SQRT(POWER(E1156-S1156,2))=0,0,SQRT(POWER(T1156-F1156,2))+SQRT(POWER(E1156-S1156,2))+DATOS!$H$20)</f>
        <v>0</v>
      </c>
    </row>
    <row r="1157" spans="18:21">
      <c r="R1157" t="e">
        <f t="shared" si="55"/>
        <v>#VALUE!</v>
      </c>
      <c r="S1157">
        <f t="shared" si="56"/>
        <v>0</v>
      </c>
      <c r="T1157">
        <f t="shared" si="57"/>
        <v>0</v>
      </c>
      <c r="U1157">
        <f>IF(SQRT(POWER(T1157-F1157,2))+SQRT(POWER(E1157-S1157,2))=0,0,SQRT(POWER(T1157-F1157,2))+SQRT(POWER(E1157-S1157,2))+DATOS!$H$20)</f>
        <v>0</v>
      </c>
    </row>
    <row r="1158" spans="18:21">
      <c r="R1158" t="e">
        <f t="shared" si="55"/>
        <v>#VALUE!</v>
      </c>
      <c r="S1158">
        <f t="shared" si="56"/>
        <v>0</v>
      </c>
      <c r="T1158">
        <f t="shared" si="57"/>
        <v>0</v>
      </c>
      <c r="U1158">
        <f>IF(SQRT(POWER(T1158-F1158,2))+SQRT(POWER(E1158-S1158,2))=0,0,SQRT(POWER(T1158-F1158,2))+SQRT(POWER(E1158-S1158,2))+DATOS!$H$20)</f>
        <v>0</v>
      </c>
    </row>
    <row r="1159" spans="18:21">
      <c r="R1159" t="e">
        <f t="shared" si="55"/>
        <v>#VALUE!</v>
      </c>
      <c r="S1159">
        <f t="shared" si="56"/>
        <v>0</v>
      </c>
      <c r="T1159">
        <f t="shared" si="57"/>
        <v>0</v>
      </c>
      <c r="U1159">
        <f>IF(SQRT(POWER(T1159-F1159,2))+SQRT(POWER(E1159-S1159,2))=0,0,SQRT(POWER(T1159-F1159,2))+SQRT(POWER(E1159-S1159,2))+DATOS!$H$20)</f>
        <v>0</v>
      </c>
    </row>
    <row r="1160" spans="18:21">
      <c r="R1160" t="e">
        <f t="shared" si="55"/>
        <v>#VALUE!</v>
      </c>
      <c r="S1160">
        <f t="shared" si="56"/>
        <v>0</v>
      </c>
      <c r="T1160">
        <f t="shared" si="57"/>
        <v>0</v>
      </c>
      <c r="U1160">
        <f>IF(SQRT(POWER(T1160-F1160,2))+SQRT(POWER(E1160-S1160,2))=0,0,SQRT(POWER(T1160-F1160,2))+SQRT(POWER(E1160-S1160,2))+DATOS!$H$20)</f>
        <v>0</v>
      </c>
    </row>
    <row r="1161" spans="18:21">
      <c r="R1161" t="e">
        <f t="shared" si="55"/>
        <v>#VALUE!</v>
      </c>
      <c r="S1161">
        <f t="shared" si="56"/>
        <v>0</v>
      </c>
      <c r="T1161">
        <f t="shared" si="57"/>
        <v>0</v>
      </c>
      <c r="U1161">
        <f>IF(SQRT(POWER(T1161-F1161,2))+SQRT(POWER(E1161-S1161,2))=0,0,SQRT(POWER(T1161-F1161,2))+SQRT(POWER(E1161-S1161,2))+DATOS!$H$20)</f>
        <v>0</v>
      </c>
    </row>
    <row r="1162" spans="18:21">
      <c r="R1162" t="e">
        <f t="shared" si="55"/>
        <v>#VALUE!</v>
      </c>
      <c r="S1162">
        <f t="shared" si="56"/>
        <v>0</v>
      </c>
      <c r="T1162">
        <f t="shared" si="57"/>
        <v>0</v>
      </c>
      <c r="U1162">
        <f>IF(SQRT(POWER(T1162-F1162,2))+SQRT(POWER(E1162-S1162,2))=0,0,SQRT(POWER(T1162-F1162,2))+SQRT(POWER(E1162-S1162,2))+DATOS!$H$20)</f>
        <v>0</v>
      </c>
    </row>
    <row r="1163" spans="18:21">
      <c r="R1163" t="e">
        <f t="shared" si="55"/>
        <v>#VALUE!</v>
      </c>
      <c r="S1163">
        <f t="shared" si="56"/>
        <v>0</v>
      </c>
      <c r="T1163">
        <f t="shared" si="57"/>
        <v>0</v>
      </c>
      <c r="U1163">
        <f>IF(SQRT(POWER(T1163-F1163,2))+SQRT(POWER(E1163-S1163,2))=0,0,SQRT(POWER(T1163-F1163,2))+SQRT(POWER(E1163-S1163,2))+DATOS!$H$20)</f>
        <v>0</v>
      </c>
    </row>
    <row r="1164" spans="18:21">
      <c r="R1164" t="e">
        <f t="shared" si="55"/>
        <v>#VALUE!</v>
      </c>
      <c r="S1164">
        <f t="shared" si="56"/>
        <v>0</v>
      </c>
      <c r="T1164">
        <f t="shared" si="57"/>
        <v>0</v>
      </c>
      <c r="U1164">
        <f>IF(SQRT(POWER(T1164-F1164,2))+SQRT(POWER(E1164-S1164,2))=0,0,SQRT(POWER(T1164-F1164,2))+SQRT(POWER(E1164-S1164,2))+DATOS!$H$20)</f>
        <v>0</v>
      </c>
    </row>
    <row r="1165" spans="18:21">
      <c r="R1165" t="e">
        <f t="shared" si="55"/>
        <v>#VALUE!</v>
      </c>
      <c r="S1165">
        <f t="shared" si="56"/>
        <v>0</v>
      </c>
      <c r="T1165">
        <f t="shared" si="57"/>
        <v>0</v>
      </c>
      <c r="U1165">
        <f>IF(SQRT(POWER(T1165-F1165,2))+SQRT(POWER(E1165-S1165,2))=0,0,SQRT(POWER(T1165-F1165,2))+SQRT(POWER(E1165-S1165,2))+DATOS!$H$20)</f>
        <v>0</v>
      </c>
    </row>
    <row r="1166" spans="18:21">
      <c r="R1166" t="e">
        <f t="shared" si="55"/>
        <v>#VALUE!</v>
      </c>
      <c r="S1166">
        <f t="shared" si="56"/>
        <v>0</v>
      </c>
      <c r="T1166">
        <f t="shared" si="57"/>
        <v>0</v>
      </c>
      <c r="U1166">
        <f>IF(SQRT(POWER(T1166-F1166,2))+SQRT(POWER(E1166-S1166,2))=0,0,SQRT(POWER(T1166-F1166,2))+SQRT(POWER(E1166-S1166,2))+DATOS!$H$20)</f>
        <v>0</v>
      </c>
    </row>
    <row r="1167" spans="18:21">
      <c r="R1167" t="e">
        <f t="shared" si="55"/>
        <v>#VALUE!</v>
      </c>
      <c r="S1167">
        <f t="shared" si="56"/>
        <v>0</v>
      </c>
      <c r="T1167">
        <f t="shared" si="57"/>
        <v>0</v>
      </c>
      <c r="U1167">
        <f>IF(SQRT(POWER(T1167-F1167,2))+SQRT(POWER(E1167-S1167,2))=0,0,SQRT(POWER(T1167-F1167,2))+SQRT(POWER(E1167-S1167,2))+DATOS!$H$20)</f>
        <v>0</v>
      </c>
    </row>
    <row r="1168" spans="18:21">
      <c r="R1168" t="e">
        <f t="shared" si="55"/>
        <v>#VALUE!</v>
      </c>
      <c r="S1168">
        <f t="shared" si="56"/>
        <v>0</v>
      </c>
      <c r="T1168">
        <f t="shared" si="57"/>
        <v>0</v>
      </c>
      <c r="U1168">
        <f>IF(SQRT(POWER(T1168-F1168,2))+SQRT(POWER(E1168-S1168,2))=0,0,SQRT(POWER(T1168-F1168,2))+SQRT(POWER(E1168-S1168,2))+DATOS!$H$20)</f>
        <v>0</v>
      </c>
    </row>
    <row r="1169" spans="18:21">
      <c r="R1169" t="e">
        <f t="shared" si="55"/>
        <v>#VALUE!</v>
      </c>
      <c r="S1169">
        <f t="shared" si="56"/>
        <v>0</v>
      </c>
      <c r="T1169">
        <f t="shared" si="57"/>
        <v>0</v>
      </c>
      <c r="U1169">
        <f>IF(SQRT(POWER(T1169-F1169,2))+SQRT(POWER(E1169-S1169,2))=0,0,SQRT(POWER(T1169-F1169,2))+SQRT(POWER(E1169-S1169,2))+DATOS!$H$20)</f>
        <v>0</v>
      </c>
    </row>
    <row r="1170" spans="18:21">
      <c r="R1170" t="e">
        <f t="shared" si="55"/>
        <v>#VALUE!</v>
      </c>
      <c r="S1170">
        <f t="shared" si="56"/>
        <v>0</v>
      </c>
      <c r="T1170">
        <f t="shared" si="57"/>
        <v>0</v>
      </c>
      <c r="U1170">
        <f>IF(SQRT(POWER(T1170-F1170,2))+SQRT(POWER(E1170-S1170,2))=0,0,SQRT(POWER(T1170-F1170,2))+SQRT(POWER(E1170-S1170,2))+DATOS!$H$20)</f>
        <v>0</v>
      </c>
    </row>
    <row r="1171" spans="18:21">
      <c r="R1171" t="e">
        <f t="shared" si="55"/>
        <v>#VALUE!</v>
      </c>
      <c r="S1171">
        <f t="shared" si="56"/>
        <v>0</v>
      </c>
      <c r="T1171">
        <f t="shared" si="57"/>
        <v>0</v>
      </c>
      <c r="U1171">
        <f>IF(SQRT(POWER(T1171-F1171,2))+SQRT(POWER(E1171-S1171,2))=0,0,SQRT(POWER(T1171-F1171,2))+SQRT(POWER(E1171-S1171,2))+DATOS!$H$20)</f>
        <v>0</v>
      </c>
    </row>
    <row r="1172" spans="18:21">
      <c r="R1172" t="e">
        <f t="shared" si="55"/>
        <v>#VALUE!</v>
      </c>
      <c r="S1172">
        <f t="shared" si="56"/>
        <v>0</v>
      </c>
      <c r="T1172">
        <f t="shared" si="57"/>
        <v>0</v>
      </c>
      <c r="U1172">
        <f>IF(SQRT(POWER(T1172-F1172,2))+SQRT(POWER(E1172-S1172,2))=0,0,SQRT(POWER(T1172-F1172,2))+SQRT(POWER(E1172-S1172,2))+DATOS!$H$20)</f>
        <v>0</v>
      </c>
    </row>
    <row r="1173" spans="18:21">
      <c r="R1173" t="e">
        <f t="shared" si="55"/>
        <v>#VALUE!</v>
      </c>
      <c r="S1173">
        <f t="shared" si="56"/>
        <v>0</v>
      </c>
      <c r="T1173">
        <f t="shared" si="57"/>
        <v>0</v>
      </c>
      <c r="U1173">
        <f>IF(SQRT(POWER(T1173-F1173,2))+SQRT(POWER(E1173-S1173,2))=0,0,SQRT(POWER(T1173-F1173,2))+SQRT(POWER(E1173-S1173,2))+DATOS!$H$20)</f>
        <v>0</v>
      </c>
    </row>
    <row r="1174" spans="18:21">
      <c r="R1174" t="e">
        <f t="shared" si="55"/>
        <v>#VALUE!</v>
      </c>
      <c r="S1174">
        <f t="shared" si="56"/>
        <v>0</v>
      </c>
      <c r="T1174">
        <f t="shared" si="57"/>
        <v>0</v>
      </c>
      <c r="U1174">
        <f>IF(SQRT(POWER(T1174-F1174,2))+SQRT(POWER(E1174-S1174,2))=0,0,SQRT(POWER(T1174-F1174,2))+SQRT(POWER(E1174-S1174,2))+DATOS!$H$20)</f>
        <v>0</v>
      </c>
    </row>
    <row r="1175" spans="18:21">
      <c r="R1175" t="e">
        <f t="shared" si="55"/>
        <v>#VALUE!</v>
      </c>
      <c r="S1175">
        <f t="shared" si="56"/>
        <v>0</v>
      </c>
      <c r="T1175">
        <f t="shared" si="57"/>
        <v>0</v>
      </c>
      <c r="U1175">
        <f>IF(SQRT(POWER(T1175-F1175,2))+SQRT(POWER(E1175-S1175,2))=0,0,SQRT(POWER(T1175-F1175,2))+SQRT(POWER(E1175-S1175,2))+DATOS!$H$20)</f>
        <v>0</v>
      </c>
    </row>
    <row r="1176" spans="18:21">
      <c r="R1176" t="e">
        <f t="shared" si="55"/>
        <v>#VALUE!</v>
      </c>
      <c r="S1176">
        <f t="shared" si="56"/>
        <v>0</v>
      </c>
      <c r="T1176">
        <f t="shared" si="57"/>
        <v>0</v>
      </c>
      <c r="U1176">
        <f>IF(SQRT(POWER(T1176-F1176,2))+SQRT(POWER(E1176-S1176,2))=0,0,SQRT(POWER(T1176-F1176,2))+SQRT(POWER(E1176-S1176,2))+DATOS!$H$20)</f>
        <v>0</v>
      </c>
    </row>
    <row r="1177" spans="18:21">
      <c r="R1177" t="e">
        <f t="shared" si="55"/>
        <v>#VALUE!</v>
      </c>
      <c r="S1177">
        <f t="shared" si="56"/>
        <v>0</v>
      </c>
      <c r="T1177">
        <f t="shared" si="57"/>
        <v>0</v>
      </c>
      <c r="U1177">
        <f>IF(SQRT(POWER(T1177-F1177,2))+SQRT(POWER(E1177-S1177,2))=0,0,SQRT(POWER(T1177-F1177,2))+SQRT(POWER(E1177-S1177,2))+DATOS!$H$20)</f>
        <v>0</v>
      </c>
    </row>
    <row r="1178" spans="18:21">
      <c r="R1178" t="e">
        <f t="shared" si="55"/>
        <v>#VALUE!</v>
      </c>
      <c r="S1178">
        <f t="shared" si="56"/>
        <v>0</v>
      </c>
      <c r="T1178">
        <f t="shared" si="57"/>
        <v>0</v>
      </c>
      <c r="U1178">
        <f>IF(SQRT(POWER(T1178-F1178,2))+SQRT(POWER(E1178-S1178,2))=0,0,SQRT(POWER(T1178-F1178,2))+SQRT(POWER(E1178-S1178,2))+DATOS!$H$20)</f>
        <v>0</v>
      </c>
    </row>
    <row r="1179" spans="18:21">
      <c r="R1179" t="e">
        <f t="shared" si="55"/>
        <v>#VALUE!</v>
      </c>
      <c r="S1179">
        <f t="shared" si="56"/>
        <v>0</v>
      </c>
      <c r="T1179">
        <f t="shared" si="57"/>
        <v>0</v>
      </c>
      <c r="U1179">
        <f>IF(SQRT(POWER(T1179-F1179,2))+SQRT(POWER(E1179-S1179,2))=0,0,SQRT(POWER(T1179-F1179,2))+SQRT(POWER(E1179-S1179,2))+DATOS!$H$20)</f>
        <v>0</v>
      </c>
    </row>
    <row r="1180" spans="18:21">
      <c r="R1180" t="e">
        <f t="shared" si="55"/>
        <v>#VALUE!</v>
      </c>
      <c r="S1180">
        <f t="shared" si="56"/>
        <v>0</v>
      </c>
      <c r="T1180">
        <f t="shared" si="57"/>
        <v>0</v>
      </c>
      <c r="U1180">
        <f>IF(SQRT(POWER(T1180-F1180,2))+SQRT(POWER(E1180-S1180,2))=0,0,SQRT(POWER(T1180-F1180,2))+SQRT(POWER(E1180-S1180,2))+DATOS!$H$20)</f>
        <v>0</v>
      </c>
    </row>
    <row r="1181" spans="18:21">
      <c r="R1181" t="e">
        <f t="shared" si="55"/>
        <v>#VALUE!</v>
      </c>
      <c r="S1181">
        <f t="shared" si="56"/>
        <v>0</v>
      </c>
      <c r="T1181">
        <f t="shared" si="57"/>
        <v>0</v>
      </c>
      <c r="U1181">
        <f>IF(SQRT(POWER(T1181-F1181,2))+SQRT(POWER(E1181-S1181,2))=0,0,SQRT(POWER(T1181-F1181,2))+SQRT(POWER(E1181-S1181,2))+DATOS!$H$20)</f>
        <v>0</v>
      </c>
    </row>
    <row r="1182" spans="18:21">
      <c r="R1182" t="e">
        <f t="shared" si="55"/>
        <v>#VALUE!</v>
      </c>
      <c r="S1182">
        <f t="shared" si="56"/>
        <v>0</v>
      </c>
      <c r="T1182">
        <f t="shared" si="57"/>
        <v>0</v>
      </c>
      <c r="U1182">
        <f>IF(SQRT(POWER(T1182-F1182,2))+SQRT(POWER(E1182-S1182,2))=0,0,SQRT(POWER(T1182-F1182,2))+SQRT(POWER(E1182-S1182,2))+DATOS!$H$20)</f>
        <v>0</v>
      </c>
    </row>
    <row r="1183" spans="18:21">
      <c r="R1183" t="e">
        <f t="shared" si="55"/>
        <v>#VALUE!</v>
      </c>
      <c r="S1183">
        <f t="shared" si="56"/>
        <v>0</v>
      </c>
      <c r="T1183">
        <f t="shared" si="57"/>
        <v>0</v>
      </c>
      <c r="U1183">
        <f>IF(SQRT(POWER(T1183-F1183,2))+SQRT(POWER(E1183-S1183,2))=0,0,SQRT(POWER(T1183-F1183,2))+SQRT(POWER(E1183-S1183,2))+DATOS!$H$20)</f>
        <v>0</v>
      </c>
    </row>
    <row r="1184" spans="18:21">
      <c r="R1184" t="e">
        <f t="shared" si="55"/>
        <v>#VALUE!</v>
      </c>
      <c r="S1184">
        <f t="shared" si="56"/>
        <v>0</v>
      </c>
      <c r="T1184">
        <f t="shared" si="57"/>
        <v>0</v>
      </c>
      <c r="U1184">
        <f>IF(SQRT(POWER(T1184-F1184,2))+SQRT(POWER(E1184-S1184,2))=0,0,SQRT(POWER(T1184-F1184,2))+SQRT(POWER(E1184-S1184,2))+DATOS!$H$20)</f>
        <v>0</v>
      </c>
    </row>
    <row r="1185" spans="18:21">
      <c r="R1185" t="e">
        <f t="shared" si="55"/>
        <v>#VALUE!</v>
      </c>
      <c r="S1185">
        <f t="shared" si="56"/>
        <v>0</v>
      </c>
      <c r="T1185">
        <f t="shared" si="57"/>
        <v>0</v>
      </c>
      <c r="U1185">
        <f>IF(SQRT(POWER(T1185-F1185,2))+SQRT(POWER(E1185-S1185,2))=0,0,SQRT(POWER(T1185-F1185,2))+SQRT(POWER(E1185-S1185,2))+DATOS!$H$20)</f>
        <v>0</v>
      </c>
    </row>
    <row r="1186" spans="18:21">
      <c r="R1186" t="e">
        <f t="shared" si="55"/>
        <v>#VALUE!</v>
      </c>
      <c r="S1186">
        <f t="shared" si="56"/>
        <v>0</v>
      </c>
      <c r="T1186">
        <f t="shared" si="57"/>
        <v>0</v>
      </c>
      <c r="U1186">
        <f>IF(SQRT(POWER(T1186-F1186,2))+SQRT(POWER(E1186-S1186,2))=0,0,SQRT(POWER(T1186-F1186,2))+SQRT(POWER(E1186-S1186,2))+DATOS!$H$20)</f>
        <v>0</v>
      </c>
    </row>
    <row r="1187" spans="18:21">
      <c r="R1187" t="e">
        <f t="shared" si="55"/>
        <v>#VALUE!</v>
      </c>
      <c r="S1187">
        <f t="shared" si="56"/>
        <v>0</v>
      </c>
      <c r="T1187">
        <f t="shared" si="57"/>
        <v>0</v>
      </c>
      <c r="U1187">
        <f>IF(SQRT(POWER(T1187-F1187,2))+SQRT(POWER(E1187-S1187,2))=0,0,SQRT(POWER(T1187-F1187,2))+SQRT(POWER(E1187-S1187,2))+DATOS!$H$20)</f>
        <v>0</v>
      </c>
    </row>
    <row r="1188" spans="18:21">
      <c r="R1188" t="e">
        <f t="shared" si="55"/>
        <v>#VALUE!</v>
      </c>
      <c r="S1188">
        <f t="shared" si="56"/>
        <v>0</v>
      </c>
      <c r="T1188">
        <f t="shared" si="57"/>
        <v>0</v>
      </c>
      <c r="U1188">
        <f>IF(SQRT(POWER(T1188-F1188,2))+SQRT(POWER(E1188-S1188,2))=0,0,SQRT(POWER(T1188-F1188,2))+SQRT(POWER(E1188-S1188,2))+DATOS!$H$20)</f>
        <v>0</v>
      </c>
    </row>
    <row r="1189" spans="18:21">
      <c r="R1189" t="e">
        <f t="shared" si="55"/>
        <v>#VALUE!</v>
      </c>
      <c r="S1189">
        <f t="shared" si="56"/>
        <v>0</v>
      </c>
      <c r="T1189">
        <f t="shared" si="57"/>
        <v>0</v>
      </c>
      <c r="U1189">
        <f>IF(SQRT(POWER(T1189-F1189,2))+SQRT(POWER(E1189-S1189,2))=0,0,SQRT(POWER(T1189-F1189,2))+SQRT(POWER(E1189-S1189,2))+DATOS!$H$20)</f>
        <v>0</v>
      </c>
    </row>
    <row r="1190" spans="18:21">
      <c r="R1190" t="e">
        <f t="shared" si="55"/>
        <v>#VALUE!</v>
      </c>
      <c r="S1190">
        <f t="shared" si="56"/>
        <v>0</v>
      </c>
      <c r="T1190">
        <f t="shared" si="57"/>
        <v>0</v>
      </c>
      <c r="U1190">
        <f>IF(SQRT(POWER(T1190-F1190,2))+SQRT(POWER(E1190-S1190,2))=0,0,SQRT(POWER(T1190-F1190,2))+SQRT(POWER(E1190-S1190,2))+DATOS!$H$20)</f>
        <v>0</v>
      </c>
    </row>
    <row r="1191" spans="18:21">
      <c r="R1191" t="e">
        <f t="shared" si="55"/>
        <v>#VALUE!</v>
      </c>
      <c r="S1191">
        <f t="shared" si="56"/>
        <v>0</v>
      </c>
      <c r="T1191">
        <f t="shared" si="57"/>
        <v>0</v>
      </c>
      <c r="U1191">
        <f>IF(SQRT(POWER(T1191-F1191,2))+SQRT(POWER(E1191-S1191,2))=0,0,SQRT(POWER(T1191-F1191,2))+SQRT(POWER(E1191-S1191,2))+DATOS!$H$20)</f>
        <v>0</v>
      </c>
    </row>
    <row r="1192" spans="18:21">
      <c r="R1192" t="e">
        <f t="shared" si="55"/>
        <v>#VALUE!</v>
      </c>
      <c r="S1192">
        <f t="shared" si="56"/>
        <v>0</v>
      </c>
      <c r="T1192">
        <f t="shared" si="57"/>
        <v>0</v>
      </c>
      <c r="U1192">
        <f>IF(SQRT(POWER(T1192-F1192,2))+SQRT(POWER(E1192-S1192,2))=0,0,SQRT(POWER(T1192-F1192,2))+SQRT(POWER(E1192-S1192,2))+DATOS!$H$20)</f>
        <v>0</v>
      </c>
    </row>
    <row r="1193" spans="18:21">
      <c r="R1193" t="e">
        <f t="shared" si="55"/>
        <v>#VALUE!</v>
      </c>
      <c r="S1193">
        <f t="shared" si="56"/>
        <v>0</v>
      </c>
      <c r="T1193">
        <f t="shared" si="57"/>
        <v>0</v>
      </c>
      <c r="U1193">
        <f>IF(SQRT(POWER(T1193-F1193,2))+SQRT(POWER(E1193-S1193,2))=0,0,SQRT(POWER(T1193-F1193,2))+SQRT(POWER(E1193-S1193,2))+DATOS!$H$20)</f>
        <v>0</v>
      </c>
    </row>
    <row r="1194" spans="18:21">
      <c r="R1194" t="e">
        <f t="shared" si="55"/>
        <v>#VALUE!</v>
      </c>
      <c r="S1194">
        <f t="shared" si="56"/>
        <v>0</v>
      </c>
      <c r="T1194">
        <f t="shared" si="57"/>
        <v>0</v>
      </c>
      <c r="U1194">
        <f>IF(SQRT(POWER(T1194-F1194,2))+SQRT(POWER(E1194-S1194,2))=0,0,SQRT(POWER(T1194-F1194,2))+SQRT(POWER(E1194-S1194,2))+DATOS!$H$20)</f>
        <v>0</v>
      </c>
    </row>
    <row r="1195" spans="18:21">
      <c r="R1195" t="e">
        <f t="shared" si="55"/>
        <v>#VALUE!</v>
      </c>
      <c r="S1195">
        <f t="shared" si="56"/>
        <v>0</v>
      </c>
      <c r="T1195">
        <f t="shared" si="57"/>
        <v>0</v>
      </c>
      <c r="U1195">
        <f>IF(SQRT(POWER(T1195-F1195,2))+SQRT(POWER(E1195-S1195,2))=0,0,SQRT(POWER(T1195-F1195,2))+SQRT(POWER(E1195-S1195,2))+DATOS!$H$20)</f>
        <v>0</v>
      </c>
    </row>
    <row r="1196" spans="18:21">
      <c r="R1196" t="e">
        <f t="shared" si="55"/>
        <v>#VALUE!</v>
      </c>
      <c r="S1196">
        <f t="shared" si="56"/>
        <v>0</v>
      </c>
      <c r="T1196">
        <f t="shared" si="57"/>
        <v>0</v>
      </c>
      <c r="U1196">
        <f>IF(SQRT(POWER(T1196-F1196,2))+SQRT(POWER(E1196-S1196,2))=0,0,SQRT(POWER(T1196-F1196,2))+SQRT(POWER(E1196-S1196,2))+DATOS!$H$20)</f>
        <v>0</v>
      </c>
    </row>
    <row r="1197" spans="18:21">
      <c r="R1197" t="e">
        <f t="shared" si="55"/>
        <v>#VALUE!</v>
      </c>
      <c r="S1197">
        <f t="shared" si="56"/>
        <v>0</v>
      </c>
      <c r="T1197">
        <f t="shared" si="57"/>
        <v>0</v>
      </c>
      <c r="U1197">
        <f>IF(SQRT(POWER(T1197-F1197,2))+SQRT(POWER(E1197-S1197,2))=0,0,SQRT(POWER(T1197-F1197,2))+SQRT(POWER(E1197-S1197,2))+DATOS!$H$20)</f>
        <v>0</v>
      </c>
    </row>
    <row r="1198" spans="18:21">
      <c r="R1198" t="e">
        <f t="shared" si="55"/>
        <v>#VALUE!</v>
      </c>
      <c r="S1198">
        <f t="shared" si="56"/>
        <v>0</v>
      </c>
      <c r="T1198">
        <f t="shared" si="57"/>
        <v>0</v>
      </c>
      <c r="U1198">
        <f>IF(SQRT(POWER(T1198-F1198,2))+SQRT(POWER(E1198-S1198,2))=0,0,SQRT(POWER(T1198-F1198,2))+SQRT(POWER(E1198-S1198,2))+DATOS!$H$20)</f>
        <v>0</v>
      </c>
    </row>
    <row r="1199" spans="18:21">
      <c r="R1199" t="e">
        <f t="shared" si="55"/>
        <v>#VALUE!</v>
      </c>
      <c r="S1199">
        <f t="shared" si="56"/>
        <v>0</v>
      </c>
      <c r="T1199">
        <f t="shared" si="57"/>
        <v>0</v>
      </c>
      <c r="U1199">
        <f>IF(SQRT(POWER(T1199-F1199,2))+SQRT(POWER(E1199-S1199,2))=0,0,SQRT(POWER(T1199-F1199,2))+SQRT(POWER(E1199-S1199,2))+DATOS!$H$20)</f>
        <v>0</v>
      </c>
    </row>
    <row r="1200" spans="18:21">
      <c r="R1200" t="e">
        <f t="shared" si="55"/>
        <v>#VALUE!</v>
      </c>
      <c r="S1200">
        <f t="shared" si="56"/>
        <v>0</v>
      </c>
      <c r="T1200">
        <f t="shared" si="57"/>
        <v>0</v>
      </c>
      <c r="U1200">
        <f>IF(SQRT(POWER(T1200-F1200,2))+SQRT(POWER(E1200-S1200,2))=0,0,SQRT(POWER(T1200-F1200,2))+SQRT(POWER(E1200-S1200,2))+DATOS!$H$20)</f>
        <v>0</v>
      </c>
    </row>
    <row r="1201" spans="18:21">
      <c r="R1201" t="e">
        <f t="shared" si="55"/>
        <v>#VALUE!</v>
      </c>
      <c r="S1201">
        <f t="shared" si="56"/>
        <v>0</v>
      </c>
      <c r="T1201">
        <f t="shared" si="57"/>
        <v>0</v>
      </c>
      <c r="U1201">
        <f>IF(SQRT(POWER(T1201-F1201,2))+SQRT(POWER(E1201-S1201,2))=0,0,SQRT(POWER(T1201-F1201,2))+SQRT(POWER(E1201-S1201,2))+DATOS!$H$20)</f>
        <v>0</v>
      </c>
    </row>
    <row r="1202" spans="18:21">
      <c r="R1202" t="e">
        <f t="shared" si="55"/>
        <v>#VALUE!</v>
      </c>
      <c r="S1202">
        <f t="shared" si="56"/>
        <v>0</v>
      </c>
      <c r="T1202">
        <f t="shared" si="57"/>
        <v>0</v>
      </c>
      <c r="U1202">
        <f>IF(SQRT(POWER(T1202-F1202,2))+SQRT(POWER(E1202-S1202,2))=0,0,SQRT(POWER(T1202-F1202,2))+SQRT(POWER(E1202-S1202,2))+DATOS!$H$20)</f>
        <v>0</v>
      </c>
    </row>
    <row r="1203" spans="18:21">
      <c r="R1203" t="e">
        <f t="shared" si="55"/>
        <v>#VALUE!</v>
      </c>
      <c r="S1203">
        <f t="shared" si="56"/>
        <v>0</v>
      </c>
      <c r="T1203">
        <f t="shared" si="57"/>
        <v>0</v>
      </c>
      <c r="U1203">
        <f>IF(SQRT(POWER(T1203-F1203,2))+SQRT(POWER(E1203-S1203,2))=0,0,SQRT(POWER(T1203-F1203,2))+SQRT(POWER(E1203-S1203,2))+DATOS!$H$20)</f>
        <v>0</v>
      </c>
    </row>
    <row r="1204" spans="18:21">
      <c r="R1204" t="e">
        <f t="shared" si="55"/>
        <v>#VALUE!</v>
      </c>
      <c r="S1204">
        <f t="shared" si="56"/>
        <v>0</v>
      </c>
      <c r="T1204">
        <f t="shared" si="57"/>
        <v>0</v>
      </c>
      <c r="U1204">
        <f>IF(SQRT(POWER(T1204-F1204,2))+SQRT(POWER(E1204-S1204,2))=0,0,SQRT(POWER(T1204-F1204,2))+SQRT(POWER(E1204-S1204,2))+DATOS!$H$20)</f>
        <v>0</v>
      </c>
    </row>
    <row r="1205" spans="18:21">
      <c r="R1205" t="e">
        <f t="shared" si="55"/>
        <v>#VALUE!</v>
      </c>
      <c r="S1205">
        <f t="shared" si="56"/>
        <v>0</v>
      </c>
      <c r="T1205">
        <f t="shared" si="57"/>
        <v>0</v>
      </c>
      <c r="U1205">
        <f>IF(SQRT(POWER(T1205-F1205,2))+SQRT(POWER(E1205-S1205,2))=0,0,SQRT(POWER(T1205-F1205,2))+SQRT(POWER(E1205-S1205,2))+DATOS!$H$20)</f>
        <v>0</v>
      </c>
    </row>
    <row r="1206" spans="18:21">
      <c r="R1206" t="e">
        <f t="shared" si="55"/>
        <v>#VALUE!</v>
      </c>
      <c r="S1206">
        <f t="shared" si="56"/>
        <v>0</v>
      </c>
      <c r="T1206">
        <f t="shared" si="57"/>
        <v>0</v>
      </c>
      <c r="U1206">
        <f>IF(SQRT(POWER(T1206-F1206,2))+SQRT(POWER(E1206-S1206,2))=0,0,SQRT(POWER(T1206-F1206,2))+SQRT(POWER(E1206-S1206,2))+DATOS!$H$20)</f>
        <v>0</v>
      </c>
    </row>
    <row r="1207" spans="18:21">
      <c r="R1207" t="e">
        <f t="shared" si="55"/>
        <v>#VALUE!</v>
      </c>
      <c r="S1207">
        <f t="shared" si="56"/>
        <v>0</v>
      </c>
      <c r="T1207">
        <f t="shared" si="57"/>
        <v>0</v>
      </c>
      <c r="U1207">
        <f>IF(SQRT(POWER(T1207-F1207,2))+SQRT(POWER(E1207-S1207,2))=0,0,SQRT(POWER(T1207-F1207,2))+SQRT(POWER(E1207-S1207,2))+DATOS!$H$20)</f>
        <v>0</v>
      </c>
    </row>
    <row r="1208" spans="18:21">
      <c r="R1208" t="e">
        <f t="shared" si="55"/>
        <v>#VALUE!</v>
      </c>
      <c r="S1208">
        <f t="shared" si="56"/>
        <v>0</v>
      </c>
      <c r="T1208">
        <f t="shared" si="57"/>
        <v>0</v>
      </c>
      <c r="U1208">
        <f>IF(SQRT(POWER(T1208-F1208,2))+SQRT(POWER(E1208-S1208,2))=0,0,SQRT(POWER(T1208-F1208,2))+SQRT(POWER(E1208-S1208,2))+DATOS!$H$20)</f>
        <v>0</v>
      </c>
    </row>
    <row r="1209" spans="18:21">
      <c r="R1209" t="e">
        <f t="shared" si="55"/>
        <v>#VALUE!</v>
      </c>
      <c r="S1209">
        <f t="shared" si="56"/>
        <v>0</v>
      </c>
      <c r="T1209">
        <f t="shared" si="57"/>
        <v>0</v>
      </c>
      <c r="U1209">
        <f>IF(SQRT(POWER(T1209-F1209,2))+SQRT(POWER(E1209-S1209,2))=0,0,SQRT(POWER(T1209-F1209,2))+SQRT(POWER(E1209-S1209,2))+DATOS!$H$20)</f>
        <v>0</v>
      </c>
    </row>
    <row r="1210" spans="18:21">
      <c r="R1210" t="e">
        <f t="shared" si="55"/>
        <v>#VALUE!</v>
      </c>
      <c r="S1210">
        <f t="shared" si="56"/>
        <v>0</v>
      </c>
      <c r="T1210">
        <f t="shared" si="57"/>
        <v>0</v>
      </c>
      <c r="U1210">
        <f>IF(SQRT(POWER(T1210-F1210,2))+SQRT(POWER(E1210-S1210,2))=0,0,SQRT(POWER(T1210-F1210,2))+SQRT(POWER(E1210-S1210,2))+DATOS!$H$20)</f>
        <v>0</v>
      </c>
    </row>
    <row r="1211" spans="18:21">
      <c r="R1211" t="e">
        <f t="shared" si="55"/>
        <v>#VALUE!</v>
      </c>
      <c r="S1211">
        <f t="shared" si="56"/>
        <v>0</v>
      </c>
      <c r="T1211">
        <f t="shared" si="57"/>
        <v>0</v>
      </c>
      <c r="U1211">
        <f>IF(SQRT(POWER(T1211-F1211,2))+SQRT(POWER(E1211-S1211,2))=0,0,SQRT(POWER(T1211-F1211,2))+SQRT(POWER(E1211-S1211,2))+DATOS!$H$20)</f>
        <v>0</v>
      </c>
    </row>
    <row r="1212" spans="18:21">
      <c r="R1212" t="e">
        <f t="shared" si="55"/>
        <v>#VALUE!</v>
      </c>
      <c r="S1212">
        <f t="shared" si="56"/>
        <v>0</v>
      </c>
      <c r="T1212">
        <f t="shared" si="57"/>
        <v>0</v>
      </c>
      <c r="U1212">
        <f>IF(SQRT(POWER(T1212-F1212,2))+SQRT(POWER(E1212-S1212,2))=0,0,SQRT(POWER(T1212-F1212,2))+SQRT(POWER(E1212-S1212,2))+DATOS!$H$20)</f>
        <v>0</v>
      </c>
    </row>
    <row r="1213" spans="18:21">
      <c r="R1213" t="e">
        <f t="shared" ref="R1213:R1276" si="58">"TAB-"&amp;LEFT(A1213,FIND("-",A1213) -1)</f>
        <v>#VALUE!</v>
      </c>
      <c r="S1213">
        <f t="shared" ref="S1213:S1276" si="59">IFERROR(VLOOKUP(R1213,$A$2:$F$700,5,0),E1213)</f>
        <v>0</v>
      </c>
      <c r="T1213">
        <f t="shared" ref="T1213:T1276" si="60">IFERROR(VLOOKUP(R1213,$A$2:$F$700,6,0),F1213)</f>
        <v>0</v>
      </c>
      <c r="U1213">
        <f>IF(SQRT(POWER(T1213-F1213,2))+SQRT(POWER(E1213-S1213,2))=0,0,SQRT(POWER(T1213-F1213,2))+SQRT(POWER(E1213-S1213,2))+DATOS!$H$20)</f>
        <v>0</v>
      </c>
    </row>
    <row r="1214" spans="18:21">
      <c r="R1214" t="e">
        <f t="shared" si="58"/>
        <v>#VALUE!</v>
      </c>
      <c r="S1214">
        <f t="shared" si="59"/>
        <v>0</v>
      </c>
      <c r="T1214">
        <f t="shared" si="60"/>
        <v>0</v>
      </c>
      <c r="U1214">
        <f>IF(SQRT(POWER(T1214-F1214,2))+SQRT(POWER(E1214-S1214,2))=0,0,SQRT(POWER(T1214-F1214,2))+SQRT(POWER(E1214-S1214,2))+DATOS!$H$20)</f>
        <v>0</v>
      </c>
    </row>
    <row r="1215" spans="18:21">
      <c r="R1215" t="e">
        <f t="shared" si="58"/>
        <v>#VALUE!</v>
      </c>
      <c r="S1215">
        <f t="shared" si="59"/>
        <v>0</v>
      </c>
      <c r="T1215">
        <f t="shared" si="60"/>
        <v>0</v>
      </c>
      <c r="U1215">
        <f>IF(SQRT(POWER(T1215-F1215,2))+SQRT(POWER(E1215-S1215,2))=0,0,SQRT(POWER(T1215-F1215,2))+SQRT(POWER(E1215-S1215,2))+DATOS!$H$20)</f>
        <v>0</v>
      </c>
    </row>
    <row r="1216" spans="18:21">
      <c r="R1216" t="e">
        <f t="shared" si="58"/>
        <v>#VALUE!</v>
      </c>
      <c r="S1216">
        <f t="shared" si="59"/>
        <v>0</v>
      </c>
      <c r="T1216">
        <f t="shared" si="60"/>
        <v>0</v>
      </c>
      <c r="U1216">
        <f>IF(SQRT(POWER(T1216-F1216,2))+SQRT(POWER(E1216-S1216,2))=0,0,SQRT(POWER(T1216-F1216,2))+SQRT(POWER(E1216-S1216,2))+DATOS!$H$20)</f>
        <v>0</v>
      </c>
    </row>
    <row r="1217" spans="18:21">
      <c r="R1217" t="e">
        <f t="shared" si="58"/>
        <v>#VALUE!</v>
      </c>
      <c r="S1217">
        <f t="shared" si="59"/>
        <v>0</v>
      </c>
      <c r="T1217">
        <f t="shared" si="60"/>
        <v>0</v>
      </c>
      <c r="U1217">
        <f>IF(SQRT(POWER(T1217-F1217,2))+SQRT(POWER(E1217-S1217,2))=0,0,SQRT(POWER(T1217-F1217,2))+SQRT(POWER(E1217-S1217,2))+DATOS!$H$20)</f>
        <v>0</v>
      </c>
    </row>
    <row r="1218" spans="18:21">
      <c r="R1218" t="e">
        <f t="shared" si="58"/>
        <v>#VALUE!</v>
      </c>
      <c r="S1218">
        <f t="shared" si="59"/>
        <v>0</v>
      </c>
      <c r="T1218">
        <f t="shared" si="60"/>
        <v>0</v>
      </c>
      <c r="U1218">
        <f>IF(SQRT(POWER(T1218-F1218,2))+SQRT(POWER(E1218-S1218,2))=0,0,SQRT(POWER(T1218-F1218,2))+SQRT(POWER(E1218-S1218,2))+DATOS!$H$20)</f>
        <v>0</v>
      </c>
    </row>
    <row r="1219" spans="18:21">
      <c r="R1219" t="e">
        <f t="shared" si="58"/>
        <v>#VALUE!</v>
      </c>
      <c r="S1219">
        <f t="shared" si="59"/>
        <v>0</v>
      </c>
      <c r="T1219">
        <f t="shared" si="60"/>
        <v>0</v>
      </c>
      <c r="U1219">
        <f>IF(SQRT(POWER(T1219-F1219,2))+SQRT(POWER(E1219-S1219,2))=0,0,SQRT(POWER(T1219-F1219,2))+SQRT(POWER(E1219-S1219,2))+DATOS!$H$20)</f>
        <v>0</v>
      </c>
    </row>
    <row r="1220" spans="18:21">
      <c r="R1220" t="e">
        <f t="shared" si="58"/>
        <v>#VALUE!</v>
      </c>
      <c r="S1220">
        <f t="shared" si="59"/>
        <v>0</v>
      </c>
      <c r="T1220">
        <f t="shared" si="60"/>
        <v>0</v>
      </c>
      <c r="U1220">
        <f>IF(SQRT(POWER(T1220-F1220,2))+SQRT(POWER(E1220-S1220,2))=0,0,SQRT(POWER(T1220-F1220,2))+SQRT(POWER(E1220-S1220,2))+DATOS!$H$20)</f>
        <v>0</v>
      </c>
    </row>
    <row r="1221" spans="18:21">
      <c r="R1221" t="e">
        <f t="shared" si="58"/>
        <v>#VALUE!</v>
      </c>
      <c r="S1221">
        <f t="shared" si="59"/>
        <v>0</v>
      </c>
      <c r="T1221">
        <f t="shared" si="60"/>
        <v>0</v>
      </c>
      <c r="U1221">
        <f>IF(SQRT(POWER(T1221-F1221,2))+SQRT(POWER(E1221-S1221,2))=0,0,SQRT(POWER(T1221-F1221,2))+SQRT(POWER(E1221-S1221,2))+DATOS!$H$20)</f>
        <v>0</v>
      </c>
    </row>
    <row r="1222" spans="18:21">
      <c r="R1222" t="e">
        <f t="shared" si="58"/>
        <v>#VALUE!</v>
      </c>
      <c r="S1222">
        <f t="shared" si="59"/>
        <v>0</v>
      </c>
      <c r="T1222">
        <f t="shared" si="60"/>
        <v>0</v>
      </c>
      <c r="U1222">
        <f>IF(SQRT(POWER(T1222-F1222,2))+SQRT(POWER(E1222-S1222,2))=0,0,SQRT(POWER(T1222-F1222,2))+SQRT(POWER(E1222-S1222,2))+DATOS!$H$20)</f>
        <v>0</v>
      </c>
    </row>
    <row r="1223" spans="18:21">
      <c r="R1223" t="e">
        <f t="shared" si="58"/>
        <v>#VALUE!</v>
      </c>
      <c r="S1223">
        <f t="shared" si="59"/>
        <v>0</v>
      </c>
      <c r="T1223">
        <f t="shared" si="60"/>
        <v>0</v>
      </c>
      <c r="U1223">
        <f>IF(SQRT(POWER(T1223-F1223,2))+SQRT(POWER(E1223-S1223,2))=0,0,SQRT(POWER(T1223-F1223,2))+SQRT(POWER(E1223-S1223,2))+DATOS!$H$20)</f>
        <v>0</v>
      </c>
    </row>
    <row r="1224" spans="18:21">
      <c r="R1224" t="e">
        <f t="shared" si="58"/>
        <v>#VALUE!</v>
      </c>
      <c r="S1224">
        <f t="shared" si="59"/>
        <v>0</v>
      </c>
      <c r="T1224">
        <f t="shared" si="60"/>
        <v>0</v>
      </c>
      <c r="U1224">
        <f>IF(SQRT(POWER(T1224-F1224,2))+SQRT(POWER(E1224-S1224,2))=0,0,SQRT(POWER(T1224-F1224,2))+SQRT(POWER(E1224-S1224,2))+DATOS!$H$20)</f>
        <v>0</v>
      </c>
    </row>
    <row r="1225" spans="18:21">
      <c r="R1225" t="e">
        <f t="shared" si="58"/>
        <v>#VALUE!</v>
      </c>
      <c r="S1225">
        <f t="shared" si="59"/>
        <v>0</v>
      </c>
      <c r="T1225">
        <f t="shared" si="60"/>
        <v>0</v>
      </c>
      <c r="U1225">
        <f>IF(SQRT(POWER(T1225-F1225,2))+SQRT(POWER(E1225-S1225,2))=0,0,SQRT(POWER(T1225-F1225,2))+SQRT(POWER(E1225-S1225,2))+DATOS!$H$20)</f>
        <v>0</v>
      </c>
    </row>
    <row r="1226" spans="18:21">
      <c r="R1226" t="e">
        <f t="shared" si="58"/>
        <v>#VALUE!</v>
      </c>
      <c r="S1226">
        <f t="shared" si="59"/>
        <v>0</v>
      </c>
      <c r="T1226">
        <f t="shared" si="60"/>
        <v>0</v>
      </c>
      <c r="U1226">
        <f>IF(SQRT(POWER(T1226-F1226,2))+SQRT(POWER(E1226-S1226,2))=0,0,SQRT(POWER(T1226-F1226,2))+SQRT(POWER(E1226-S1226,2))+DATOS!$H$20)</f>
        <v>0</v>
      </c>
    </row>
    <row r="1227" spans="18:21">
      <c r="R1227" t="e">
        <f t="shared" si="58"/>
        <v>#VALUE!</v>
      </c>
      <c r="S1227">
        <f t="shared" si="59"/>
        <v>0</v>
      </c>
      <c r="T1227">
        <f t="shared" si="60"/>
        <v>0</v>
      </c>
      <c r="U1227">
        <f>IF(SQRT(POWER(T1227-F1227,2))+SQRT(POWER(E1227-S1227,2))=0,0,SQRT(POWER(T1227-F1227,2))+SQRT(POWER(E1227-S1227,2))+DATOS!$H$20)</f>
        <v>0</v>
      </c>
    </row>
    <row r="1228" spans="18:21">
      <c r="R1228" t="e">
        <f t="shared" si="58"/>
        <v>#VALUE!</v>
      </c>
      <c r="S1228">
        <f t="shared" si="59"/>
        <v>0</v>
      </c>
      <c r="T1228">
        <f t="shared" si="60"/>
        <v>0</v>
      </c>
      <c r="U1228">
        <f>IF(SQRT(POWER(T1228-F1228,2))+SQRT(POWER(E1228-S1228,2))=0,0,SQRT(POWER(T1228-F1228,2))+SQRT(POWER(E1228-S1228,2))+DATOS!$H$20)</f>
        <v>0</v>
      </c>
    </row>
    <row r="1229" spans="18:21">
      <c r="R1229" t="e">
        <f t="shared" si="58"/>
        <v>#VALUE!</v>
      </c>
      <c r="S1229">
        <f t="shared" si="59"/>
        <v>0</v>
      </c>
      <c r="T1229">
        <f t="shared" si="60"/>
        <v>0</v>
      </c>
      <c r="U1229">
        <f>IF(SQRT(POWER(T1229-F1229,2))+SQRT(POWER(E1229-S1229,2))=0,0,SQRT(POWER(T1229-F1229,2))+SQRT(POWER(E1229-S1229,2))+DATOS!$H$20)</f>
        <v>0</v>
      </c>
    </row>
    <row r="1230" spans="18:21">
      <c r="R1230" t="e">
        <f t="shared" si="58"/>
        <v>#VALUE!</v>
      </c>
      <c r="S1230">
        <f t="shared" si="59"/>
        <v>0</v>
      </c>
      <c r="T1230">
        <f t="shared" si="60"/>
        <v>0</v>
      </c>
      <c r="U1230">
        <f>IF(SQRT(POWER(T1230-F1230,2))+SQRT(POWER(E1230-S1230,2))=0,0,SQRT(POWER(T1230-F1230,2))+SQRT(POWER(E1230-S1230,2))+DATOS!$H$20)</f>
        <v>0</v>
      </c>
    </row>
    <row r="1231" spans="18:21">
      <c r="R1231" t="e">
        <f t="shared" si="58"/>
        <v>#VALUE!</v>
      </c>
      <c r="S1231">
        <f t="shared" si="59"/>
        <v>0</v>
      </c>
      <c r="T1231">
        <f t="shared" si="60"/>
        <v>0</v>
      </c>
      <c r="U1231">
        <f>IF(SQRT(POWER(T1231-F1231,2))+SQRT(POWER(E1231-S1231,2))=0,0,SQRT(POWER(T1231-F1231,2))+SQRT(POWER(E1231-S1231,2))+DATOS!$H$20)</f>
        <v>0</v>
      </c>
    </row>
    <row r="1232" spans="18:21">
      <c r="R1232" t="e">
        <f t="shared" si="58"/>
        <v>#VALUE!</v>
      </c>
      <c r="S1232">
        <f t="shared" si="59"/>
        <v>0</v>
      </c>
      <c r="T1232">
        <f t="shared" si="60"/>
        <v>0</v>
      </c>
      <c r="U1232">
        <f>IF(SQRT(POWER(T1232-F1232,2))+SQRT(POWER(E1232-S1232,2))=0,0,SQRT(POWER(T1232-F1232,2))+SQRT(POWER(E1232-S1232,2))+DATOS!$H$20)</f>
        <v>0</v>
      </c>
    </row>
    <row r="1233" spans="18:21">
      <c r="R1233" t="e">
        <f t="shared" si="58"/>
        <v>#VALUE!</v>
      </c>
      <c r="S1233">
        <f t="shared" si="59"/>
        <v>0</v>
      </c>
      <c r="T1233">
        <f t="shared" si="60"/>
        <v>0</v>
      </c>
      <c r="U1233">
        <f>IF(SQRT(POWER(T1233-F1233,2))+SQRT(POWER(E1233-S1233,2))=0,0,SQRT(POWER(T1233-F1233,2))+SQRT(POWER(E1233-S1233,2))+DATOS!$H$20)</f>
        <v>0</v>
      </c>
    </row>
    <row r="1234" spans="18:21">
      <c r="R1234" t="e">
        <f t="shared" si="58"/>
        <v>#VALUE!</v>
      </c>
      <c r="S1234">
        <f t="shared" si="59"/>
        <v>0</v>
      </c>
      <c r="T1234">
        <f t="shared" si="60"/>
        <v>0</v>
      </c>
      <c r="U1234">
        <f>IF(SQRT(POWER(T1234-F1234,2))+SQRT(POWER(E1234-S1234,2))=0,0,SQRT(POWER(T1234-F1234,2))+SQRT(POWER(E1234-S1234,2))+DATOS!$H$20)</f>
        <v>0</v>
      </c>
    </row>
    <row r="1235" spans="18:21">
      <c r="R1235" t="e">
        <f t="shared" si="58"/>
        <v>#VALUE!</v>
      </c>
      <c r="S1235">
        <f t="shared" si="59"/>
        <v>0</v>
      </c>
      <c r="T1235">
        <f t="shared" si="60"/>
        <v>0</v>
      </c>
      <c r="U1235">
        <f>IF(SQRT(POWER(T1235-F1235,2))+SQRT(POWER(E1235-S1235,2))=0,0,SQRT(POWER(T1235-F1235,2))+SQRT(POWER(E1235-S1235,2))+DATOS!$H$20)</f>
        <v>0</v>
      </c>
    </row>
    <row r="1236" spans="18:21">
      <c r="R1236" t="e">
        <f t="shared" si="58"/>
        <v>#VALUE!</v>
      </c>
      <c r="S1236">
        <f t="shared" si="59"/>
        <v>0</v>
      </c>
      <c r="T1236">
        <f t="shared" si="60"/>
        <v>0</v>
      </c>
      <c r="U1236">
        <f>IF(SQRT(POWER(T1236-F1236,2))+SQRT(POWER(E1236-S1236,2))=0,0,SQRT(POWER(T1236-F1236,2))+SQRT(POWER(E1236-S1236,2))+DATOS!$H$20)</f>
        <v>0</v>
      </c>
    </row>
    <row r="1237" spans="18:21">
      <c r="R1237" t="e">
        <f t="shared" si="58"/>
        <v>#VALUE!</v>
      </c>
      <c r="S1237">
        <f t="shared" si="59"/>
        <v>0</v>
      </c>
      <c r="T1237">
        <f t="shared" si="60"/>
        <v>0</v>
      </c>
      <c r="U1237">
        <f>IF(SQRT(POWER(T1237-F1237,2))+SQRT(POWER(E1237-S1237,2))=0,0,SQRT(POWER(T1237-F1237,2))+SQRT(POWER(E1237-S1237,2))+DATOS!$H$20)</f>
        <v>0</v>
      </c>
    </row>
    <row r="1238" spans="18:21">
      <c r="R1238" t="e">
        <f t="shared" si="58"/>
        <v>#VALUE!</v>
      </c>
      <c r="S1238">
        <f t="shared" si="59"/>
        <v>0</v>
      </c>
      <c r="T1238">
        <f t="shared" si="60"/>
        <v>0</v>
      </c>
      <c r="U1238">
        <f>IF(SQRT(POWER(T1238-F1238,2))+SQRT(POWER(E1238-S1238,2))=0,0,SQRT(POWER(T1238-F1238,2))+SQRT(POWER(E1238-S1238,2))+DATOS!$H$20)</f>
        <v>0</v>
      </c>
    </row>
    <row r="1239" spans="18:21">
      <c r="R1239" t="e">
        <f t="shared" si="58"/>
        <v>#VALUE!</v>
      </c>
      <c r="S1239">
        <f t="shared" si="59"/>
        <v>0</v>
      </c>
      <c r="T1239">
        <f t="shared" si="60"/>
        <v>0</v>
      </c>
      <c r="U1239">
        <f>IF(SQRT(POWER(T1239-F1239,2))+SQRT(POWER(E1239-S1239,2))=0,0,SQRT(POWER(T1239-F1239,2))+SQRT(POWER(E1239-S1239,2))+DATOS!$H$20)</f>
        <v>0</v>
      </c>
    </row>
    <row r="1240" spans="18:21">
      <c r="R1240" t="e">
        <f t="shared" si="58"/>
        <v>#VALUE!</v>
      </c>
      <c r="S1240">
        <f t="shared" si="59"/>
        <v>0</v>
      </c>
      <c r="T1240">
        <f t="shared" si="60"/>
        <v>0</v>
      </c>
      <c r="U1240">
        <f>IF(SQRT(POWER(T1240-F1240,2))+SQRT(POWER(E1240-S1240,2))=0,0,SQRT(POWER(T1240-F1240,2))+SQRT(POWER(E1240-S1240,2))+DATOS!$H$20)</f>
        <v>0</v>
      </c>
    </row>
    <row r="1241" spans="18:21">
      <c r="R1241" t="e">
        <f t="shared" si="58"/>
        <v>#VALUE!</v>
      </c>
      <c r="S1241">
        <f t="shared" si="59"/>
        <v>0</v>
      </c>
      <c r="T1241">
        <f t="shared" si="60"/>
        <v>0</v>
      </c>
      <c r="U1241">
        <f>IF(SQRT(POWER(T1241-F1241,2))+SQRT(POWER(E1241-S1241,2))=0,0,SQRT(POWER(T1241-F1241,2))+SQRT(POWER(E1241-S1241,2))+DATOS!$H$20)</f>
        <v>0</v>
      </c>
    </row>
    <row r="1242" spans="18:21">
      <c r="R1242" t="e">
        <f t="shared" si="58"/>
        <v>#VALUE!</v>
      </c>
      <c r="S1242">
        <f t="shared" si="59"/>
        <v>0</v>
      </c>
      <c r="T1242">
        <f t="shared" si="60"/>
        <v>0</v>
      </c>
      <c r="U1242">
        <f>IF(SQRT(POWER(T1242-F1242,2))+SQRT(POWER(E1242-S1242,2))=0,0,SQRT(POWER(T1242-F1242,2))+SQRT(POWER(E1242-S1242,2))+DATOS!$H$20)</f>
        <v>0</v>
      </c>
    </row>
    <row r="1243" spans="18:21">
      <c r="R1243" t="e">
        <f t="shared" si="58"/>
        <v>#VALUE!</v>
      </c>
      <c r="S1243">
        <f t="shared" si="59"/>
        <v>0</v>
      </c>
      <c r="T1243">
        <f t="shared" si="60"/>
        <v>0</v>
      </c>
      <c r="U1243">
        <f>IF(SQRT(POWER(T1243-F1243,2))+SQRT(POWER(E1243-S1243,2))=0,0,SQRT(POWER(T1243-F1243,2))+SQRT(POWER(E1243-S1243,2))+DATOS!$H$20)</f>
        <v>0</v>
      </c>
    </row>
    <row r="1244" spans="18:21">
      <c r="R1244" t="e">
        <f t="shared" si="58"/>
        <v>#VALUE!</v>
      </c>
      <c r="S1244">
        <f t="shared" si="59"/>
        <v>0</v>
      </c>
      <c r="T1244">
        <f t="shared" si="60"/>
        <v>0</v>
      </c>
      <c r="U1244">
        <f>IF(SQRT(POWER(T1244-F1244,2))+SQRT(POWER(E1244-S1244,2))=0,0,SQRT(POWER(T1244-F1244,2))+SQRT(POWER(E1244-S1244,2))+DATOS!$H$20)</f>
        <v>0</v>
      </c>
    </row>
    <row r="1245" spans="18:21">
      <c r="R1245" t="e">
        <f t="shared" si="58"/>
        <v>#VALUE!</v>
      </c>
      <c r="S1245">
        <f t="shared" si="59"/>
        <v>0</v>
      </c>
      <c r="T1245">
        <f t="shared" si="60"/>
        <v>0</v>
      </c>
      <c r="U1245">
        <f>IF(SQRT(POWER(T1245-F1245,2))+SQRT(POWER(E1245-S1245,2))=0,0,SQRT(POWER(T1245-F1245,2))+SQRT(POWER(E1245-S1245,2))+DATOS!$H$20)</f>
        <v>0</v>
      </c>
    </row>
    <row r="1246" spans="18:21">
      <c r="R1246" t="e">
        <f t="shared" si="58"/>
        <v>#VALUE!</v>
      </c>
      <c r="S1246">
        <f t="shared" si="59"/>
        <v>0</v>
      </c>
      <c r="T1246">
        <f t="shared" si="60"/>
        <v>0</v>
      </c>
      <c r="U1246">
        <f>IF(SQRT(POWER(T1246-F1246,2))+SQRT(POWER(E1246-S1246,2))=0,0,SQRT(POWER(T1246-F1246,2))+SQRT(POWER(E1246-S1246,2))+DATOS!$H$20)</f>
        <v>0</v>
      </c>
    </row>
    <row r="1247" spans="18:21">
      <c r="R1247" t="e">
        <f t="shared" si="58"/>
        <v>#VALUE!</v>
      </c>
      <c r="S1247">
        <f t="shared" si="59"/>
        <v>0</v>
      </c>
      <c r="T1247">
        <f t="shared" si="60"/>
        <v>0</v>
      </c>
      <c r="U1247">
        <f>IF(SQRT(POWER(T1247-F1247,2))+SQRT(POWER(E1247-S1247,2))=0,0,SQRT(POWER(T1247-F1247,2))+SQRT(POWER(E1247-S1247,2))+DATOS!$H$20)</f>
        <v>0</v>
      </c>
    </row>
    <row r="1248" spans="18:21">
      <c r="R1248" t="e">
        <f t="shared" si="58"/>
        <v>#VALUE!</v>
      </c>
      <c r="S1248">
        <f t="shared" si="59"/>
        <v>0</v>
      </c>
      <c r="T1248">
        <f t="shared" si="60"/>
        <v>0</v>
      </c>
      <c r="U1248">
        <f>IF(SQRT(POWER(T1248-F1248,2))+SQRT(POWER(E1248-S1248,2))=0,0,SQRT(POWER(T1248-F1248,2))+SQRT(POWER(E1248-S1248,2))+DATOS!$H$20)</f>
        <v>0</v>
      </c>
    </row>
    <row r="1249" spans="18:21">
      <c r="R1249" t="e">
        <f t="shared" si="58"/>
        <v>#VALUE!</v>
      </c>
      <c r="S1249">
        <f t="shared" si="59"/>
        <v>0</v>
      </c>
      <c r="T1249">
        <f t="shared" si="60"/>
        <v>0</v>
      </c>
      <c r="U1249">
        <f>IF(SQRT(POWER(T1249-F1249,2))+SQRT(POWER(E1249-S1249,2))=0,0,SQRT(POWER(T1249-F1249,2))+SQRT(POWER(E1249-S1249,2))+DATOS!$H$20)</f>
        <v>0</v>
      </c>
    </row>
    <row r="1250" spans="18:21">
      <c r="R1250" t="e">
        <f t="shared" si="58"/>
        <v>#VALUE!</v>
      </c>
      <c r="S1250">
        <f t="shared" si="59"/>
        <v>0</v>
      </c>
      <c r="T1250">
        <f t="shared" si="60"/>
        <v>0</v>
      </c>
      <c r="U1250">
        <f>IF(SQRT(POWER(T1250-F1250,2))+SQRT(POWER(E1250-S1250,2))=0,0,SQRT(POWER(T1250-F1250,2))+SQRT(POWER(E1250-S1250,2))+DATOS!$H$20)</f>
        <v>0</v>
      </c>
    </row>
    <row r="1251" spans="18:21">
      <c r="R1251" t="e">
        <f t="shared" si="58"/>
        <v>#VALUE!</v>
      </c>
      <c r="S1251">
        <f t="shared" si="59"/>
        <v>0</v>
      </c>
      <c r="T1251">
        <f t="shared" si="60"/>
        <v>0</v>
      </c>
      <c r="U1251">
        <f>IF(SQRT(POWER(T1251-F1251,2))+SQRT(POWER(E1251-S1251,2))=0,0,SQRT(POWER(T1251-F1251,2))+SQRT(POWER(E1251-S1251,2))+DATOS!$H$20)</f>
        <v>0</v>
      </c>
    </row>
    <row r="1252" spans="18:21">
      <c r="R1252" t="e">
        <f t="shared" si="58"/>
        <v>#VALUE!</v>
      </c>
      <c r="S1252">
        <f t="shared" si="59"/>
        <v>0</v>
      </c>
      <c r="T1252">
        <f t="shared" si="60"/>
        <v>0</v>
      </c>
      <c r="U1252">
        <f>IF(SQRT(POWER(T1252-F1252,2))+SQRT(POWER(E1252-S1252,2))=0,0,SQRT(POWER(T1252-F1252,2))+SQRT(POWER(E1252-S1252,2))+DATOS!$H$20)</f>
        <v>0</v>
      </c>
    </row>
    <row r="1253" spans="18:21">
      <c r="R1253" t="e">
        <f t="shared" si="58"/>
        <v>#VALUE!</v>
      </c>
      <c r="S1253">
        <f t="shared" si="59"/>
        <v>0</v>
      </c>
      <c r="T1253">
        <f t="shared" si="60"/>
        <v>0</v>
      </c>
      <c r="U1253">
        <f>IF(SQRT(POWER(T1253-F1253,2))+SQRT(POWER(E1253-S1253,2))=0,0,SQRT(POWER(T1253-F1253,2))+SQRT(POWER(E1253-S1253,2))+DATOS!$H$20)</f>
        <v>0</v>
      </c>
    </row>
    <row r="1254" spans="18:21">
      <c r="R1254" t="e">
        <f t="shared" si="58"/>
        <v>#VALUE!</v>
      </c>
      <c r="S1254">
        <f t="shared" si="59"/>
        <v>0</v>
      </c>
      <c r="T1254">
        <f t="shared" si="60"/>
        <v>0</v>
      </c>
      <c r="U1254">
        <f>IF(SQRT(POWER(T1254-F1254,2))+SQRT(POWER(E1254-S1254,2))=0,0,SQRT(POWER(T1254-F1254,2))+SQRT(POWER(E1254-S1254,2))+DATOS!$H$20)</f>
        <v>0</v>
      </c>
    </row>
    <row r="1255" spans="18:21">
      <c r="R1255" t="e">
        <f t="shared" si="58"/>
        <v>#VALUE!</v>
      </c>
      <c r="S1255">
        <f t="shared" si="59"/>
        <v>0</v>
      </c>
      <c r="T1255">
        <f t="shared" si="60"/>
        <v>0</v>
      </c>
      <c r="U1255">
        <f>IF(SQRT(POWER(T1255-F1255,2))+SQRT(POWER(E1255-S1255,2))=0,0,SQRT(POWER(T1255-F1255,2))+SQRT(POWER(E1255-S1255,2))+DATOS!$H$20)</f>
        <v>0</v>
      </c>
    </row>
    <row r="1256" spans="18:21">
      <c r="R1256" t="e">
        <f t="shared" si="58"/>
        <v>#VALUE!</v>
      </c>
      <c r="S1256">
        <f t="shared" si="59"/>
        <v>0</v>
      </c>
      <c r="T1256">
        <f t="shared" si="60"/>
        <v>0</v>
      </c>
      <c r="U1256">
        <f>IF(SQRT(POWER(T1256-F1256,2))+SQRT(POWER(E1256-S1256,2))=0,0,SQRT(POWER(T1256-F1256,2))+SQRT(POWER(E1256-S1256,2))+DATOS!$H$20)</f>
        <v>0</v>
      </c>
    </row>
    <row r="1257" spans="18:21">
      <c r="R1257" t="e">
        <f t="shared" si="58"/>
        <v>#VALUE!</v>
      </c>
      <c r="S1257">
        <f t="shared" si="59"/>
        <v>0</v>
      </c>
      <c r="T1257">
        <f t="shared" si="60"/>
        <v>0</v>
      </c>
      <c r="U1257">
        <f>IF(SQRT(POWER(T1257-F1257,2))+SQRT(POWER(E1257-S1257,2))=0,0,SQRT(POWER(T1257-F1257,2))+SQRT(POWER(E1257-S1257,2))+DATOS!$H$20)</f>
        <v>0</v>
      </c>
    </row>
    <row r="1258" spans="18:21">
      <c r="R1258" t="e">
        <f t="shared" si="58"/>
        <v>#VALUE!</v>
      </c>
      <c r="S1258">
        <f t="shared" si="59"/>
        <v>0</v>
      </c>
      <c r="T1258">
        <f t="shared" si="60"/>
        <v>0</v>
      </c>
      <c r="U1258">
        <f>IF(SQRT(POWER(T1258-F1258,2))+SQRT(POWER(E1258-S1258,2))=0,0,SQRT(POWER(T1258-F1258,2))+SQRT(POWER(E1258-S1258,2))+DATOS!$H$20)</f>
        <v>0</v>
      </c>
    </row>
    <row r="1259" spans="18:21">
      <c r="R1259" t="e">
        <f t="shared" si="58"/>
        <v>#VALUE!</v>
      </c>
      <c r="S1259">
        <f t="shared" si="59"/>
        <v>0</v>
      </c>
      <c r="T1259">
        <f t="shared" si="60"/>
        <v>0</v>
      </c>
      <c r="U1259">
        <f>IF(SQRT(POWER(T1259-F1259,2))+SQRT(POWER(E1259-S1259,2))=0,0,SQRT(POWER(T1259-F1259,2))+SQRT(POWER(E1259-S1259,2))+DATOS!$H$20)</f>
        <v>0</v>
      </c>
    </row>
    <row r="1260" spans="18:21">
      <c r="R1260" t="e">
        <f t="shared" si="58"/>
        <v>#VALUE!</v>
      </c>
      <c r="S1260">
        <f t="shared" si="59"/>
        <v>0</v>
      </c>
      <c r="T1260">
        <f t="shared" si="60"/>
        <v>0</v>
      </c>
      <c r="U1260">
        <f>IF(SQRT(POWER(T1260-F1260,2))+SQRT(POWER(E1260-S1260,2))=0,0,SQRT(POWER(T1260-F1260,2))+SQRT(POWER(E1260-S1260,2))+DATOS!$H$20)</f>
        <v>0</v>
      </c>
    </row>
    <row r="1261" spans="18:21">
      <c r="R1261" t="e">
        <f t="shared" si="58"/>
        <v>#VALUE!</v>
      </c>
      <c r="S1261">
        <f t="shared" si="59"/>
        <v>0</v>
      </c>
      <c r="T1261">
        <f t="shared" si="60"/>
        <v>0</v>
      </c>
      <c r="U1261">
        <f>IF(SQRT(POWER(T1261-F1261,2))+SQRT(POWER(E1261-S1261,2))=0,0,SQRT(POWER(T1261-F1261,2))+SQRT(POWER(E1261-S1261,2))+DATOS!$H$20)</f>
        <v>0</v>
      </c>
    </row>
    <row r="1262" spans="18:21">
      <c r="R1262" t="e">
        <f t="shared" si="58"/>
        <v>#VALUE!</v>
      </c>
      <c r="S1262">
        <f t="shared" si="59"/>
        <v>0</v>
      </c>
      <c r="T1262">
        <f t="shared" si="60"/>
        <v>0</v>
      </c>
      <c r="U1262">
        <f>IF(SQRT(POWER(T1262-F1262,2))+SQRT(POWER(E1262-S1262,2))=0,0,SQRT(POWER(T1262-F1262,2))+SQRT(POWER(E1262-S1262,2))+DATOS!$H$20)</f>
        <v>0</v>
      </c>
    </row>
    <row r="1263" spans="18:21">
      <c r="R1263" t="e">
        <f t="shared" si="58"/>
        <v>#VALUE!</v>
      </c>
      <c r="S1263">
        <f t="shared" si="59"/>
        <v>0</v>
      </c>
      <c r="T1263">
        <f t="shared" si="60"/>
        <v>0</v>
      </c>
      <c r="U1263">
        <f>IF(SQRT(POWER(T1263-F1263,2))+SQRT(POWER(E1263-S1263,2))=0,0,SQRT(POWER(T1263-F1263,2))+SQRT(POWER(E1263-S1263,2))+DATOS!$H$20)</f>
        <v>0</v>
      </c>
    </row>
    <row r="1264" spans="18:21">
      <c r="R1264" t="e">
        <f t="shared" si="58"/>
        <v>#VALUE!</v>
      </c>
      <c r="S1264">
        <f t="shared" si="59"/>
        <v>0</v>
      </c>
      <c r="T1264">
        <f t="shared" si="60"/>
        <v>0</v>
      </c>
      <c r="U1264">
        <f>IF(SQRT(POWER(T1264-F1264,2))+SQRT(POWER(E1264-S1264,2))=0,0,SQRT(POWER(T1264-F1264,2))+SQRT(POWER(E1264-S1264,2))+DATOS!$H$20)</f>
        <v>0</v>
      </c>
    </row>
    <row r="1265" spans="18:21">
      <c r="R1265" t="e">
        <f t="shared" si="58"/>
        <v>#VALUE!</v>
      </c>
      <c r="S1265">
        <f t="shared" si="59"/>
        <v>0</v>
      </c>
      <c r="T1265">
        <f t="shared" si="60"/>
        <v>0</v>
      </c>
      <c r="U1265">
        <f>IF(SQRT(POWER(T1265-F1265,2))+SQRT(POWER(E1265-S1265,2))=0,0,SQRT(POWER(T1265-F1265,2))+SQRT(POWER(E1265-S1265,2))+DATOS!$H$20)</f>
        <v>0</v>
      </c>
    </row>
    <row r="1266" spans="18:21">
      <c r="R1266" t="e">
        <f t="shared" si="58"/>
        <v>#VALUE!</v>
      </c>
      <c r="S1266">
        <f t="shared" si="59"/>
        <v>0</v>
      </c>
      <c r="T1266">
        <f t="shared" si="60"/>
        <v>0</v>
      </c>
      <c r="U1266">
        <f>IF(SQRT(POWER(T1266-F1266,2))+SQRT(POWER(E1266-S1266,2))=0,0,SQRT(POWER(T1266-F1266,2))+SQRT(POWER(E1266-S1266,2))+DATOS!$H$20)</f>
        <v>0</v>
      </c>
    </row>
    <row r="1267" spans="18:21">
      <c r="R1267" t="e">
        <f t="shared" si="58"/>
        <v>#VALUE!</v>
      </c>
      <c r="S1267">
        <f t="shared" si="59"/>
        <v>0</v>
      </c>
      <c r="T1267">
        <f t="shared" si="60"/>
        <v>0</v>
      </c>
      <c r="U1267">
        <f>IF(SQRT(POWER(T1267-F1267,2))+SQRT(POWER(E1267-S1267,2))=0,0,SQRT(POWER(T1267-F1267,2))+SQRT(POWER(E1267-S1267,2))+DATOS!$H$20)</f>
        <v>0</v>
      </c>
    </row>
    <row r="1268" spans="18:21">
      <c r="R1268" t="e">
        <f t="shared" si="58"/>
        <v>#VALUE!</v>
      </c>
      <c r="S1268">
        <f t="shared" si="59"/>
        <v>0</v>
      </c>
      <c r="T1268">
        <f t="shared" si="60"/>
        <v>0</v>
      </c>
      <c r="U1268">
        <f>IF(SQRT(POWER(T1268-F1268,2))+SQRT(POWER(E1268-S1268,2))=0,0,SQRT(POWER(T1268-F1268,2))+SQRT(POWER(E1268-S1268,2))+DATOS!$H$20)</f>
        <v>0</v>
      </c>
    </row>
    <row r="1269" spans="18:21">
      <c r="R1269" t="e">
        <f t="shared" si="58"/>
        <v>#VALUE!</v>
      </c>
      <c r="S1269">
        <f t="shared" si="59"/>
        <v>0</v>
      </c>
      <c r="T1269">
        <f t="shared" si="60"/>
        <v>0</v>
      </c>
      <c r="U1269">
        <f>IF(SQRT(POWER(T1269-F1269,2))+SQRT(POWER(E1269-S1269,2))=0,0,SQRT(POWER(T1269-F1269,2))+SQRT(POWER(E1269-S1269,2))+DATOS!$H$20)</f>
        <v>0</v>
      </c>
    </row>
    <row r="1270" spans="18:21">
      <c r="R1270" t="e">
        <f t="shared" si="58"/>
        <v>#VALUE!</v>
      </c>
      <c r="S1270">
        <f t="shared" si="59"/>
        <v>0</v>
      </c>
      <c r="T1270">
        <f t="shared" si="60"/>
        <v>0</v>
      </c>
      <c r="U1270">
        <f>IF(SQRT(POWER(T1270-F1270,2))+SQRT(POWER(E1270-S1270,2))=0,0,SQRT(POWER(T1270-F1270,2))+SQRT(POWER(E1270-S1270,2))+DATOS!$H$20)</f>
        <v>0</v>
      </c>
    </row>
    <row r="1271" spans="18:21">
      <c r="R1271" t="e">
        <f t="shared" si="58"/>
        <v>#VALUE!</v>
      </c>
      <c r="S1271">
        <f t="shared" si="59"/>
        <v>0</v>
      </c>
      <c r="T1271">
        <f t="shared" si="60"/>
        <v>0</v>
      </c>
      <c r="U1271">
        <f>IF(SQRT(POWER(T1271-F1271,2))+SQRT(POWER(E1271-S1271,2))=0,0,SQRT(POWER(T1271-F1271,2))+SQRT(POWER(E1271-S1271,2))+DATOS!$H$20)</f>
        <v>0</v>
      </c>
    </row>
    <row r="1272" spans="18:21">
      <c r="R1272" t="e">
        <f t="shared" si="58"/>
        <v>#VALUE!</v>
      </c>
      <c r="S1272">
        <f t="shared" si="59"/>
        <v>0</v>
      </c>
      <c r="T1272">
        <f t="shared" si="60"/>
        <v>0</v>
      </c>
      <c r="U1272">
        <f>IF(SQRT(POWER(T1272-F1272,2))+SQRT(POWER(E1272-S1272,2))=0,0,SQRT(POWER(T1272-F1272,2))+SQRT(POWER(E1272-S1272,2))+DATOS!$H$20)</f>
        <v>0</v>
      </c>
    </row>
    <row r="1273" spans="18:21">
      <c r="R1273" t="e">
        <f t="shared" si="58"/>
        <v>#VALUE!</v>
      </c>
      <c r="S1273">
        <f t="shared" si="59"/>
        <v>0</v>
      </c>
      <c r="T1273">
        <f t="shared" si="60"/>
        <v>0</v>
      </c>
      <c r="U1273">
        <f>IF(SQRT(POWER(T1273-F1273,2))+SQRT(POWER(E1273-S1273,2))=0,0,SQRT(POWER(T1273-F1273,2))+SQRT(POWER(E1273-S1273,2))+DATOS!$H$20)</f>
        <v>0</v>
      </c>
    </row>
    <row r="1274" spans="18:21">
      <c r="R1274" t="e">
        <f t="shared" si="58"/>
        <v>#VALUE!</v>
      </c>
      <c r="S1274">
        <f t="shared" si="59"/>
        <v>0</v>
      </c>
      <c r="T1274">
        <f t="shared" si="60"/>
        <v>0</v>
      </c>
      <c r="U1274">
        <f>IF(SQRT(POWER(T1274-F1274,2))+SQRT(POWER(E1274-S1274,2))=0,0,SQRT(POWER(T1274-F1274,2))+SQRT(POWER(E1274-S1274,2))+DATOS!$H$20)</f>
        <v>0</v>
      </c>
    </row>
    <row r="1275" spans="18:21">
      <c r="R1275" t="e">
        <f t="shared" si="58"/>
        <v>#VALUE!</v>
      </c>
      <c r="S1275">
        <f t="shared" si="59"/>
        <v>0</v>
      </c>
      <c r="T1275">
        <f t="shared" si="60"/>
        <v>0</v>
      </c>
      <c r="U1275">
        <f>IF(SQRT(POWER(T1275-F1275,2))+SQRT(POWER(E1275-S1275,2))=0,0,SQRT(POWER(T1275-F1275,2))+SQRT(POWER(E1275-S1275,2))+DATOS!$H$20)</f>
        <v>0</v>
      </c>
    </row>
    <row r="1276" spans="18:21">
      <c r="R1276" t="e">
        <f t="shared" si="58"/>
        <v>#VALUE!</v>
      </c>
      <c r="S1276">
        <f t="shared" si="59"/>
        <v>0</v>
      </c>
      <c r="T1276">
        <f t="shared" si="60"/>
        <v>0</v>
      </c>
      <c r="U1276">
        <f>IF(SQRT(POWER(T1276-F1276,2))+SQRT(POWER(E1276-S1276,2))=0,0,SQRT(POWER(T1276-F1276,2))+SQRT(POWER(E1276-S1276,2))+DATOS!$H$20)</f>
        <v>0</v>
      </c>
    </row>
    <row r="1277" spans="18:21">
      <c r="R1277" t="e">
        <f t="shared" ref="R1277:R1340" si="61">"TAB-"&amp;LEFT(A1277,FIND("-",A1277) -1)</f>
        <v>#VALUE!</v>
      </c>
      <c r="S1277">
        <f t="shared" ref="S1277:S1340" si="62">IFERROR(VLOOKUP(R1277,$A$2:$F$700,5,0),E1277)</f>
        <v>0</v>
      </c>
      <c r="T1277">
        <f t="shared" ref="T1277:T1340" si="63">IFERROR(VLOOKUP(R1277,$A$2:$F$700,6,0),F1277)</f>
        <v>0</v>
      </c>
      <c r="U1277">
        <f>IF(SQRT(POWER(T1277-F1277,2))+SQRT(POWER(E1277-S1277,2))=0,0,SQRT(POWER(T1277-F1277,2))+SQRT(POWER(E1277-S1277,2))+DATOS!$H$20)</f>
        <v>0</v>
      </c>
    </row>
    <row r="1278" spans="18:21">
      <c r="R1278" t="e">
        <f t="shared" si="61"/>
        <v>#VALUE!</v>
      </c>
      <c r="S1278">
        <f t="shared" si="62"/>
        <v>0</v>
      </c>
      <c r="T1278">
        <f t="shared" si="63"/>
        <v>0</v>
      </c>
      <c r="U1278">
        <f>IF(SQRT(POWER(T1278-F1278,2))+SQRT(POWER(E1278-S1278,2))=0,0,SQRT(POWER(T1278-F1278,2))+SQRT(POWER(E1278-S1278,2))+DATOS!$H$20)</f>
        <v>0</v>
      </c>
    </row>
    <row r="1279" spans="18:21">
      <c r="R1279" t="e">
        <f t="shared" si="61"/>
        <v>#VALUE!</v>
      </c>
      <c r="S1279">
        <f t="shared" si="62"/>
        <v>0</v>
      </c>
      <c r="T1279">
        <f t="shared" si="63"/>
        <v>0</v>
      </c>
      <c r="U1279">
        <f>IF(SQRT(POWER(T1279-F1279,2))+SQRT(POWER(E1279-S1279,2))=0,0,SQRT(POWER(T1279-F1279,2))+SQRT(POWER(E1279-S1279,2))+DATOS!$H$20)</f>
        <v>0</v>
      </c>
    </row>
    <row r="1280" spans="18:21">
      <c r="R1280" t="e">
        <f t="shared" si="61"/>
        <v>#VALUE!</v>
      </c>
      <c r="S1280">
        <f t="shared" si="62"/>
        <v>0</v>
      </c>
      <c r="T1280">
        <f t="shared" si="63"/>
        <v>0</v>
      </c>
      <c r="U1280">
        <f>IF(SQRT(POWER(T1280-F1280,2))+SQRT(POWER(E1280-S1280,2))=0,0,SQRT(POWER(T1280-F1280,2))+SQRT(POWER(E1280-S1280,2))+DATOS!$H$20)</f>
        <v>0</v>
      </c>
    </row>
    <row r="1281" spans="18:21">
      <c r="R1281" t="e">
        <f t="shared" si="61"/>
        <v>#VALUE!</v>
      </c>
      <c r="S1281">
        <f t="shared" si="62"/>
        <v>0</v>
      </c>
      <c r="T1281">
        <f t="shared" si="63"/>
        <v>0</v>
      </c>
      <c r="U1281">
        <f>IF(SQRT(POWER(T1281-F1281,2))+SQRT(POWER(E1281-S1281,2))=0,0,SQRT(POWER(T1281-F1281,2))+SQRT(POWER(E1281-S1281,2))+DATOS!$H$20)</f>
        <v>0</v>
      </c>
    </row>
    <row r="1282" spans="18:21">
      <c r="R1282" t="e">
        <f t="shared" si="61"/>
        <v>#VALUE!</v>
      </c>
      <c r="S1282">
        <f t="shared" si="62"/>
        <v>0</v>
      </c>
      <c r="T1282">
        <f t="shared" si="63"/>
        <v>0</v>
      </c>
      <c r="U1282">
        <f>IF(SQRT(POWER(T1282-F1282,2))+SQRT(POWER(E1282-S1282,2))=0,0,SQRT(POWER(T1282-F1282,2))+SQRT(POWER(E1282-S1282,2))+DATOS!$H$20)</f>
        <v>0</v>
      </c>
    </row>
    <row r="1283" spans="18:21">
      <c r="R1283" t="e">
        <f t="shared" si="61"/>
        <v>#VALUE!</v>
      </c>
      <c r="S1283">
        <f t="shared" si="62"/>
        <v>0</v>
      </c>
      <c r="T1283">
        <f t="shared" si="63"/>
        <v>0</v>
      </c>
      <c r="U1283">
        <f>IF(SQRT(POWER(T1283-F1283,2))+SQRT(POWER(E1283-S1283,2))=0,0,SQRT(POWER(T1283-F1283,2))+SQRT(POWER(E1283-S1283,2))+DATOS!$H$20)</f>
        <v>0</v>
      </c>
    </row>
    <row r="1284" spans="18:21">
      <c r="R1284" t="e">
        <f t="shared" si="61"/>
        <v>#VALUE!</v>
      </c>
      <c r="S1284">
        <f t="shared" si="62"/>
        <v>0</v>
      </c>
      <c r="T1284">
        <f t="shared" si="63"/>
        <v>0</v>
      </c>
      <c r="U1284">
        <f>IF(SQRT(POWER(T1284-F1284,2))+SQRT(POWER(E1284-S1284,2))=0,0,SQRT(POWER(T1284-F1284,2))+SQRT(POWER(E1284-S1284,2))+DATOS!$H$20)</f>
        <v>0</v>
      </c>
    </row>
    <row r="1285" spans="18:21">
      <c r="R1285" t="e">
        <f t="shared" si="61"/>
        <v>#VALUE!</v>
      </c>
      <c r="S1285">
        <f t="shared" si="62"/>
        <v>0</v>
      </c>
      <c r="T1285">
        <f t="shared" si="63"/>
        <v>0</v>
      </c>
      <c r="U1285">
        <f>IF(SQRT(POWER(T1285-F1285,2))+SQRT(POWER(E1285-S1285,2))=0,0,SQRT(POWER(T1285-F1285,2))+SQRT(POWER(E1285-S1285,2))+DATOS!$H$20)</f>
        <v>0</v>
      </c>
    </row>
    <row r="1286" spans="18:21">
      <c r="R1286" t="e">
        <f t="shared" si="61"/>
        <v>#VALUE!</v>
      </c>
      <c r="S1286">
        <f t="shared" si="62"/>
        <v>0</v>
      </c>
      <c r="T1286">
        <f t="shared" si="63"/>
        <v>0</v>
      </c>
      <c r="U1286">
        <f>IF(SQRT(POWER(T1286-F1286,2))+SQRT(POWER(E1286-S1286,2))=0,0,SQRT(POWER(T1286-F1286,2))+SQRT(POWER(E1286-S1286,2))+DATOS!$H$20)</f>
        <v>0</v>
      </c>
    </row>
    <row r="1287" spans="18:21">
      <c r="R1287" t="e">
        <f t="shared" si="61"/>
        <v>#VALUE!</v>
      </c>
      <c r="S1287">
        <f t="shared" si="62"/>
        <v>0</v>
      </c>
      <c r="T1287">
        <f t="shared" si="63"/>
        <v>0</v>
      </c>
      <c r="U1287">
        <f>IF(SQRT(POWER(T1287-F1287,2))+SQRT(POWER(E1287-S1287,2))=0,0,SQRT(POWER(T1287-F1287,2))+SQRT(POWER(E1287-S1287,2))+DATOS!$H$20)</f>
        <v>0</v>
      </c>
    </row>
    <row r="1288" spans="18:21">
      <c r="R1288" t="e">
        <f t="shared" si="61"/>
        <v>#VALUE!</v>
      </c>
      <c r="S1288">
        <f t="shared" si="62"/>
        <v>0</v>
      </c>
      <c r="T1288">
        <f t="shared" si="63"/>
        <v>0</v>
      </c>
      <c r="U1288">
        <f>IF(SQRT(POWER(T1288-F1288,2))+SQRT(POWER(E1288-S1288,2))=0,0,SQRT(POWER(T1288-F1288,2))+SQRT(POWER(E1288-S1288,2))+DATOS!$H$20)</f>
        <v>0</v>
      </c>
    </row>
    <row r="1289" spans="18:21">
      <c r="R1289" t="e">
        <f t="shared" si="61"/>
        <v>#VALUE!</v>
      </c>
      <c r="S1289">
        <f t="shared" si="62"/>
        <v>0</v>
      </c>
      <c r="T1289">
        <f t="shared" si="63"/>
        <v>0</v>
      </c>
      <c r="U1289">
        <f>IF(SQRT(POWER(T1289-F1289,2))+SQRT(POWER(E1289-S1289,2))=0,0,SQRT(POWER(T1289-F1289,2))+SQRT(POWER(E1289-S1289,2))+DATOS!$H$20)</f>
        <v>0</v>
      </c>
    </row>
    <row r="1290" spans="18:21">
      <c r="R1290" t="e">
        <f t="shared" si="61"/>
        <v>#VALUE!</v>
      </c>
      <c r="S1290">
        <f t="shared" si="62"/>
        <v>0</v>
      </c>
      <c r="T1290">
        <f t="shared" si="63"/>
        <v>0</v>
      </c>
      <c r="U1290">
        <f>IF(SQRT(POWER(T1290-F1290,2))+SQRT(POWER(E1290-S1290,2))=0,0,SQRT(POWER(T1290-F1290,2))+SQRT(POWER(E1290-S1290,2))+DATOS!$H$20)</f>
        <v>0</v>
      </c>
    </row>
    <row r="1291" spans="18:21">
      <c r="R1291" t="e">
        <f t="shared" si="61"/>
        <v>#VALUE!</v>
      </c>
      <c r="S1291">
        <f t="shared" si="62"/>
        <v>0</v>
      </c>
      <c r="T1291">
        <f t="shared" si="63"/>
        <v>0</v>
      </c>
      <c r="U1291">
        <f>IF(SQRT(POWER(T1291-F1291,2))+SQRT(POWER(E1291-S1291,2))=0,0,SQRT(POWER(T1291-F1291,2))+SQRT(POWER(E1291-S1291,2))+DATOS!$H$20)</f>
        <v>0</v>
      </c>
    </row>
    <row r="1292" spans="18:21">
      <c r="R1292" t="e">
        <f t="shared" si="61"/>
        <v>#VALUE!</v>
      </c>
      <c r="S1292">
        <f t="shared" si="62"/>
        <v>0</v>
      </c>
      <c r="T1292">
        <f t="shared" si="63"/>
        <v>0</v>
      </c>
      <c r="U1292">
        <f>IF(SQRT(POWER(T1292-F1292,2))+SQRT(POWER(E1292-S1292,2))=0,0,SQRT(POWER(T1292-F1292,2))+SQRT(POWER(E1292-S1292,2))+DATOS!$H$20)</f>
        <v>0</v>
      </c>
    </row>
    <row r="1293" spans="18:21">
      <c r="R1293" t="e">
        <f t="shared" si="61"/>
        <v>#VALUE!</v>
      </c>
      <c r="S1293">
        <f t="shared" si="62"/>
        <v>0</v>
      </c>
      <c r="T1293">
        <f t="shared" si="63"/>
        <v>0</v>
      </c>
      <c r="U1293">
        <f>IF(SQRT(POWER(T1293-F1293,2))+SQRT(POWER(E1293-S1293,2))=0,0,SQRT(POWER(T1293-F1293,2))+SQRT(POWER(E1293-S1293,2))+DATOS!$H$20)</f>
        <v>0</v>
      </c>
    </row>
    <row r="1294" spans="18:21">
      <c r="R1294" t="e">
        <f t="shared" si="61"/>
        <v>#VALUE!</v>
      </c>
      <c r="S1294">
        <f t="shared" si="62"/>
        <v>0</v>
      </c>
      <c r="T1294">
        <f t="shared" si="63"/>
        <v>0</v>
      </c>
      <c r="U1294">
        <f>IF(SQRT(POWER(T1294-F1294,2))+SQRT(POWER(E1294-S1294,2))=0,0,SQRT(POWER(T1294-F1294,2))+SQRT(POWER(E1294-S1294,2))+DATOS!$H$20)</f>
        <v>0</v>
      </c>
    </row>
    <row r="1295" spans="18:21">
      <c r="R1295" t="e">
        <f t="shared" si="61"/>
        <v>#VALUE!</v>
      </c>
      <c r="S1295">
        <f t="shared" si="62"/>
        <v>0</v>
      </c>
      <c r="T1295">
        <f t="shared" si="63"/>
        <v>0</v>
      </c>
      <c r="U1295">
        <f>IF(SQRT(POWER(T1295-F1295,2))+SQRT(POWER(E1295-S1295,2))=0,0,SQRT(POWER(T1295-F1295,2))+SQRT(POWER(E1295-S1295,2))+DATOS!$H$20)</f>
        <v>0</v>
      </c>
    </row>
    <row r="1296" spans="18:21">
      <c r="R1296" t="e">
        <f t="shared" si="61"/>
        <v>#VALUE!</v>
      </c>
      <c r="S1296">
        <f t="shared" si="62"/>
        <v>0</v>
      </c>
      <c r="T1296">
        <f t="shared" si="63"/>
        <v>0</v>
      </c>
      <c r="U1296">
        <f>IF(SQRT(POWER(T1296-F1296,2))+SQRT(POWER(E1296-S1296,2))=0,0,SQRT(POWER(T1296-F1296,2))+SQRT(POWER(E1296-S1296,2))+DATOS!$H$20)</f>
        <v>0</v>
      </c>
    </row>
    <row r="1297" spans="18:21">
      <c r="R1297" t="e">
        <f t="shared" si="61"/>
        <v>#VALUE!</v>
      </c>
      <c r="S1297">
        <f t="shared" si="62"/>
        <v>0</v>
      </c>
      <c r="T1297">
        <f t="shared" si="63"/>
        <v>0</v>
      </c>
      <c r="U1297">
        <f>IF(SQRT(POWER(T1297-F1297,2))+SQRT(POWER(E1297-S1297,2))=0,0,SQRT(POWER(T1297-F1297,2))+SQRT(POWER(E1297-S1297,2))+DATOS!$H$20)</f>
        <v>0</v>
      </c>
    </row>
    <row r="1298" spans="18:21">
      <c r="R1298" t="e">
        <f t="shared" si="61"/>
        <v>#VALUE!</v>
      </c>
      <c r="S1298">
        <f t="shared" si="62"/>
        <v>0</v>
      </c>
      <c r="T1298">
        <f t="shared" si="63"/>
        <v>0</v>
      </c>
      <c r="U1298">
        <f>IF(SQRT(POWER(T1298-F1298,2))+SQRT(POWER(E1298-S1298,2))=0,0,SQRT(POWER(T1298-F1298,2))+SQRT(POWER(E1298-S1298,2))+DATOS!$H$20)</f>
        <v>0</v>
      </c>
    </row>
    <row r="1299" spans="18:21">
      <c r="R1299" t="e">
        <f t="shared" si="61"/>
        <v>#VALUE!</v>
      </c>
      <c r="S1299">
        <f t="shared" si="62"/>
        <v>0</v>
      </c>
      <c r="T1299">
        <f t="shared" si="63"/>
        <v>0</v>
      </c>
      <c r="U1299">
        <f>IF(SQRT(POWER(T1299-F1299,2))+SQRT(POWER(E1299-S1299,2))=0,0,SQRT(POWER(T1299-F1299,2))+SQRT(POWER(E1299-S1299,2))+DATOS!$H$20)</f>
        <v>0</v>
      </c>
    </row>
    <row r="1300" spans="18:21">
      <c r="R1300" t="e">
        <f t="shared" si="61"/>
        <v>#VALUE!</v>
      </c>
      <c r="S1300">
        <f t="shared" si="62"/>
        <v>0</v>
      </c>
      <c r="T1300">
        <f t="shared" si="63"/>
        <v>0</v>
      </c>
      <c r="U1300">
        <f>IF(SQRT(POWER(T1300-F1300,2))+SQRT(POWER(E1300-S1300,2))=0,0,SQRT(POWER(T1300-F1300,2))+SQRT(POWER(E1300-S1300,2))+DATOS!$H$20)</f>
        <v>0</v>
      </c>
    </row>
    <row r="1301" spans="18:21">
      <c r="R1301" t="e">
        <f t="shared" si="61"/>
        <v>#VALUE!</v>
      </c>
      <c r="S1301">
        <f t="shared" si="62"/>
        <v>0</v>
      </c>
      <c r="T1301">
        <f t="shared" si="63"/>
        <v>0</v>
      </c>
      <c r="U1301">
        <f>IF(SQRT(POWER(T1301-F1301,2))+SQRT(POWER(E1301-S1301,2))=0,0,SQRT(POWER(T1301-F1301,2))+SQRT(POWER(E1301-S1301,2))+DATOS!$H$20)</f>
        <v>0</v>
      </c>
    </row>
    <row r="1302" spans="18:21">
      <c r="R1302" t="e">
        <f t="shared" si="61"/>
        <v>#VALUE!</v>
      </c>
      <c r="S1302">
        <f t="shared" si="62"/>
        <v>0</v>
      </c>
      <c r="T1302">
        <f t="shared" si="63"/>
        <v>0</v>
      </c>
      <c r="U1302">
        <f>IF(SQRT(POWER(T1302-F1302,2))+SQRT(POWER(E1302-S1302,2))=0,0,SQRT(POWER(T1302-F1302,2))+SQRT(POWER(E1302-S1302,2))+DATOS!$H$20)</f>
        <v>0</v>
      </c>
    </row>
    <row r="1303" spans="18:21">
      <c r="R1303" t="e">
        <f t="shared" si="61"/>
        <v>#VALUE!</v>
      </c>
      <c r="S1303">
        <f t="shared" si="62"/>
        <v>0</v>
      </c>
      <c r="T1303">
        <f t="shared" si="63"/>
        <v>0</v>
      </c>
      <c r="U1303">
        <f>IF(SQRT(POWER(T1303-F1303,2))+SQRT(POWER(E1303-S1303,2))=0,0,SQRT(POWER(T1303-F1303,2))+SQRT(POWER(E1303-S1303,2))+DATOS!$H$20)</f>
        <v>0</v>
      </c>
    </row>
    <row r="1304" spans="18:21">
      <c r="R1304" t="e">
        <f t="shared" si="61"/>
        <v>#VALUE!</v>
      </c>
      <c r="S1304">
        <f t="shared" si="62"/>
        <v>0</v>
      </c>
      <c r="T1304">
        <f t="shared" si="63"/>
        <v>0</v>
      </c>
      <c r="U1304">
        <f>IF(SQRT(POWER(T1304-F1304,2))+SQRT(POWER(E1304-S1304,2))=0,0,SQRT(POWER(T1304-F1304,2))+SQRT(POWER(E1304-S1304,2))+DATOS!$H$20)</f>
        <v>0</v>
      </c>
    </row>
    <row r="1305" spans="18:21">
      <c r="R1305" t="e">
        <f t="shared" si="61"/>
        <v>#VALUE!</v>
      </c>
      <c r="S1305">
        <f t="shared" si="62"/>
        <v>0</v>
      </c>
      <c r="T1305">
        <f t="shared" si="63"/>
        <v>0</v>
      </c>
      <c r="U1305">
        <f>IF(SQRT(POWER(T1305-F1305,2))+SQRT(POWER(E1305-S1305,2))=0,0,SQRT(POWER(T1305-F1305,2))+SQRT(POWER(E1305-S1305,2))+DATOS!$H$20)</f>
        <v>0</v>
      </c>
    </row>
    <row r="1306" spans="18:21">
      <c r="R1306" t="e">
        <f t="shared" si="61"/>
        <v>#VALUE!</v>
      </c>
      <c r="S1306">
        <f t="shared" si="62"/>
        <v>0</v>
      </c>
      <c r="T1306">
        <f t="shared" si="63"/>
        <v>0</v>
      </c>
      <c r="U1306">
        <f>IF(SQRT(POWER(T1306-F1306,2))+SQRT(POWER(E1306-S1306,2))=0,0,SQRT(POWER(T1306-F1306,2))+SQRT(POWER(E1306-S1306,2))+DATOS!$H$20)</f>
        <v>0</v>
      </c>
    </row>
    <row r="1307" spans="18:21">
      <c r="R1307" t="e">
        <f t="shared" si="61"/>
        <v>#VALUE!</v>
      </c>
      <c r="S1307">
        <f t="shared" si="62"/>
        <v>0</v>
      </c>
      <c r="T1307">
        <f t="shared" si="63"/>
        <v>0</v>
      </c>
      <c r="U1307">
        <f>IF(SQRT(POWER(T1307-F1307,2))+SQRT(POWER(E1307-S1307,2))=0,0,SQRT(POWER(T1307-F1307,2))+SQRT(POWER(E1307-S1307,2))+DATOS!$H$20)</f>
        <v>0</v>
      </c>
    </row>
    <row r="1308" spans="18:21">
      <c r="R1308" t="e">
        <f t="shared" si="61"/>
        <v>#VALUE!</v>
      </c>
      <c r="S1308">
        <f t="shared" si="62"/>
        <v>0</v>
      </c>
      <c r="T1308">
        <f t="shared" si="63"/>
        <v>0</v>
      </c>
      <c r="U1308">
        <f>IF(SQRT(POWER(T1308-F1308,2))+SQRT(POWER(E1308-S1308,2))=0,0,SQRT(POWER(T1308-F1308,2))+SQRT(POWER(E1308-S1308,2))+DATOS!$H$20)</f>
        <v>0</v>
      </c>
    </row>
    <row r="1309" spans="18:21">
      <c r="R1309" t="e">
        <f t="shared" si="61"/>
        <v>#VALUE!</v>
      </c>
      <c r="S1309">
        <f t="shared" si="62"/>
        <v>0</v>
      </c>
      <c r="T1309">
        <f t="shared" si="63"/>
        <v>0</v>
      </c>
      <c r="U1309">
        <f>IF(SQRT(POWER(T1309-F1309,2))+SQRT(POWER(E1309-S1309,2))=0,0,SQRT(POWER(T1309-F1309,2))+SQRT(POWER(E1309-S1309,2))+DATOS!$H$20)</f>
        <v>0</v>
      </c>
    </row>
    <row r="1310" spans="18:21">
      <c r="R1310" t="e">
        <f t="shared" si="61"/>
        <v>#VALUE!</v>
      </c>
      <c r="S1310">
        <f t="shared" si="62"/>
        <v>0</v>
      </c>
      <c r="T1310">
        <f t="shared" si="63"/>
        <v>0</v>
      </c>
      <c r="U1310">
        <f>IF(SQRT(POWER(T1310-F1310,2))+SQRT(POWER(E1310-S1310,2))=0,0,SQRT(POWER(T1310-F1310,2))+SQRT(POWER(E1310-S1310,2))+DATOS!$H$20)</f>
        <v>0</v>
      </c>
    </row>
    <row r="1311" spans="18:21">
      <c r="R1311" t="e">
        <f t="shared" si="61"/>
        <v>#VALUE!</v>
      </c>
      <c r="S1311">
        <f t="shared" si="62"/>
        <v>0</v>
      </c>
      <c r="T1311">
        <f t="shared" si="63"/>
        <v>0</v>
      </c>
      <c r="U1311">
        <f>IF(SQRT(POWER(T1311-F1311,2))+SQRT(POWER(E1311-S1311,2))=0,0,SQRT(POWER(T1311-F1311,2))+SQRT(POWER(E1311-S1311,2))+DATOS!$H$20)</f>
        <v>0</v>
      </c>
    </row>
    <row r="1312" spans="18:21">
      <c r="R1312" t="e">
        <f t="shared" si="61"/>
        <v>#VALUE!</v>
      </c>
      <c r="S1312">
        <f t="shared" si="62"/>
        <v>0</v>
      </c>
      <c r="T1312">
        <f t="shared" si="63"/>
        <v>0</v>
      </c>
      <c r="U1312">
        <f>IF(SQRT(POWER(T1312-F1312,2))+SQRT(POWER(E1312-S1312,2))=0,0,SQRT(POWER(T1312-F1312,2))+SQRT(POWER(E1312-S1312,2))+DATOS!$H$20)</f>
        <v>0</v>
      </c>
    </row>
    <row r="1313" spans="18:21">
      <c r="R1313" t="e">
        <f t="shared" si="61"/>
        <v>#VALUE!</v>
      </c>
      <c r="S1313">
        <f t="shared" si="62"/>
        <v>0</v>
      </c>
      <c r="T1313">
        <f t="shared" si="63"/>
        <v>0</v>
      </c>
      <c r="U1313">
        <f>IF(SQRT(POWER(T1313-F1313,2))+SQRT(POWER(E1313-S1313,2))=0,0,SQRT(POWER(T1313-F1313,2))+SQRT(POWER(E1313-S1313,2))+DATOS!$H$20)</f>
        <v>0</v>
      </c>
    </row>
    <row r="1314" spans="18:21">
      <c r="R1314" t="e">
        <f t="shared" si="61"/>
        <v>#VALUE!</v>
      </c>
      <c r="S1314">
        <f t="shared" si="62"/>
        <v>0</v>
      </c>
      <c r="T1314">
        <f t="shared" si="63"/>
        <v>0</v>
      </c>
      <c r="U1314">
        <f>IF(SQRT(POWER(T1314-F1314,2))+SQRT(POWER(E1314-S1314,2))=0,0,SQRT(POWER(T1314-F1314,2))+SQRT(POWER(E1314-S1314,2))+DATOS!$H$20)</f>
        <v>0</v>
      </c>
    </row>
    <row r="1315" spans="18:21">
      <c r="R1315" t="e">
        <f t="shared" si="61"/>
        <v>#VALUE!</v>
      </c>
      <c r="S1315">
        <f t="shared" si="62"/>
        <v>0</v>
      </c>
      <c r="T1315">
        <f t="shared" si="63"/>
        <v>0</v>
      </c>
      <c r="U1315">
        <f>IF(SQRT(POWER(T1315-F1315,2))+SQRT(POWER(E1315-S1315,2))=0,0,SQRT(POWER(T1315-F1315,2))+SQRT(POWER(E1315-S1315,2))+DATOS!$H$20)</f>
        <v>0</v>
      </c>
    </row>
    <row r="1316" spans="18:21">
      <c r="R1316" t="e">
        <f t="shared" si="61"/>
        <v>#VALUE!</v>
      </c>
      <c r="S1316">
        <f t="shared" si="62"/>
        <v>0</v>
      </c>
      <c r="T1316">
        <f t="shared" si="63"/>
        <v>0</v>
      </c>
      <c r="U1316">
        <f>IF(SQRT(POWER(T1316-F1316,2))+SQRT(POWER(E1316-S1316,2))=0,0,SQRT(POWER(T1316-F1316,2))+SQRT(POWER(E1316-S1316,2))+DATOS!$H$20)</f>
        <v>0</v>
      </c>
    </row>
    <row r="1317" spans="18:21">
      <c r="R1317" t="e">
        <f t="shared" si="61"/>
        <v>#VALUE!</v>
      </c>
      <c r="S1317">
        <f t="shared" si="62"/>
        <v>0</v>
      </c>
      <c r="T1317">
        <f t="shared" si="63"/>
        <v>0</v>
      </c>
      <c r="U1317">
        <f>IF(SQRT(POWER(T1317-F1317,2))+SQRT(POWER(E1317-S1317,2))=0,0,SQRT(POWER(T1317-F1317,2))+SQRT(POWER(E1317-S1317,2))+DATOS!$H$20)</f>
        <v>0</v>
      </c>
    </row>
    <row r="1318" spans="18:21">
      <c r="R1318" t="e">
        <f t="shared" si="61"/>
        <v>#VALUE!</v>
      </c>
      <c r="S1318">
        <f t="shared" si="62"/>
        <v>0</v>
      </c>
      <c r="T1318">
        <f t="shared" si="63"/>
        <v>0</v>
      </c>
      <c r="U1318">
        <f>IF(SQRT(POWER(T1318-F1318,2))+SQRT(POWER(E1318-S1318,2))=0,0,SQRT(POWER(T1318-F1318,2))+SQRT(POWER(E1318-S1318,2))+DATOS!$H$20)</f>
        <v>0</v>
      </c>
    </row>
    <row r="1319" spans="18:21">
      <c r="R1319" t="e">
        <f t="shared" si="61"/>
        <v>#VALUE!</v>
      </c>
      <c r="S1319">
        <f t="shared" si="62"/>
        <v>0</v>
      </c>
      <c r="T1319">
        <f t="shared" si="63"/>
        <v>0</v>
      </c>
      <c r="U1319">
        <f>IF(SQRT(POWER(T1319-F1319,2))+SQRT(POWER(E1319-S1319,2))=0,0,SQRT(POWER(T1319-F1319,2))+SQRT(POWER(E1319-S1319,2))+DATOS!$H$20)</f>
        <v>0</v>
      </c>
    </row>
    <row r="1320" spans="18:21">
      <c r="R1320" t="e">
        <f t="shared" si="61"/>
        <v>#VALUE!</v>
      </c>
      <c r="S1320">
        <f t="shared" si="62"/>
        <v>0</v>
      </c>
      <c r="T1320">
        <f t="shared" si="63"/>
        <v>0</v>
      </c>
      <c r="U1320">
        <f>IF(SQRT(POWER(T1320-F1320,2))+SQRT(POWER(E1320-S1320,2))=0,0,SQRT(POWER(T1320-F1320,2))+SQRT(POWER(E1320-S1320,2))+DATOS!$H$20)</f>
        <v>0</v>
      </c>
    </row>
    <row r="1321" spans="18:21">
      <c r="R1321" t="e">
        <f t="shared" si="61"/>
        <v>#VALUE!</v>
      </c>
      <c r="S1321">
        <f t="shared" si="62"/>
        <v>0</v>
      </c>
      <c r="T1321">
        <f t="shared" si="63"/>
        <v>0</v>
      </c>
      <c r="U1321">
        <f>IF(SQRT(POWER(T1321-F1321,2))+SQRT(POWER(E1321-S1321,2))=0,0,SQRT(POWER(T1321-F1321,2))+SQRT(POWER(E1321-S1321,2))+DATOS!$H$20)</f>
        <v>0</v>
      </c>
    </row>
    <row r="1322" spans="18:21">
      <c r="R1322" t="e">
        <f t="shared" si="61"/>
        <v>#VALUE!</v>
      </c>
      <c r="S1322">
        <f t="shared" si="62"/>
        <v>0</v>
      </c>
      <c r="T1322">
        <f t="shared" si="63"/>
        <v>0</v>
      </c>
      <c r="U1322">
        <f>IF(SQRT(POWER(T1322-F1322,2))+SQRT(POWER(E1322-S1322,2))=0,0,SQRT(POWER(T1322-F1322,2))+SQRT(POWER(E1322-S1322,2))+DATOS!$H$20)</f>
        <v>0</v>
      </c>
    </row>
    <row r="1323" spans="18:21">
      <c r="R1323" t="e">
        <f t="shared" si="61"/>
        <v>#VALUE!</v>
      </c>
      <c r="S1323">
        <f t="shared" si="62"/>
        <v>0</v>
      </c>
      <c r="T1323">
        <f t="shared" si="63"/>
        <v>0</v>
      </c>
      <c r="U1323">
        <f>IF(SQRT(POWER(T1323-F1323,2))+SQRT(POWER(E1323-S1323,2))=0,0,SQRT(POWER(T1323-F1323,2))+SQRT(POWER(E1323-S1323,2))+DATOS!$H$20)</f>
        <v>0</v>
      </c>
    </row>
    <row r="1324" spans="18:21">
      <c r="R1324" t="e">
        <f t="shared" si="61"/>
        <v>#VALUE!</v>
      </c>
      <c r="S1324">
        <f t="shared" si="62"/>
        <v>0</v>
      </c>
      <c r="T1324">
        <f t="shared" si="63"/>
        <v>0</v>
      </c>
      <c r="U1324">
        <f>IF(SQRT(POWER(T1324-F1324,2))+SQRT(POWER(E1324-S1324,2))=0,0,SQRT(POWER(T1324-F1324,2))+SQRT(POWER(E1324-S1324,2))+DATOS!$H$20)</f>
        <v>0</v>
      </c>
    </row>
    <row r="1325" spans="18:21">
      <c r="R1325" t="e">
        <f t="shared" si="61"/>
        <v>#VALUE!</v>
      </c>
      <c r="S1325">
        <f t="shared" si="62"/>
        <v>0</v>
      </c>
      <c r="T1325">
        <f t="shared" si="63"/>
        <v>0</v>
      </c>
      <c r="U1325">
        <f>IF(SQRT(POWER(T1325-F1325,2))+SQRT(POWER(E1325-S1325,2))=0,0,SQRT(POWER(T1325-F1325,2))+SQRT(POWER(E1325-S1325,2))+DATOS!$H$20)</f>
        <v>0</v>
      </c>
    </row>
    <row r="1326" spans="18:21">
      <c r="R1326" t="e">
        <f t="shared" si="61"/>
        <v>#VALUE!</v>
      </c>
      <c r="S1326">
        <f t="shared" si="62"/>
        <v>0</v>
      </c>
      <c r="T1326">
        <f t="shared" si="63"/>
        <v>0</v>
      </c>
      <c r="U1326">
        <f>IF(SQRT(POWER(T1326-F1326,2))+SQRT(POWER(E1326-S1326,2))=0,0,SQRT(POWER(T1326-F1326,2))+SQRT(POWER(E1326-S1326,2))+DATOS!$H$20)</f>
        <v>0</v>
      </c>
    </row>
    <row r="1327" spans="18:21">
      <c r="R1327" t="e">
        <f t="shared" si="61"/>
        <v>#VALUE!</v>
      </c>
      <c r="S1327">
        <f t="shared" si="62"/>
        <v>0</v>
      </c>
      <c r="T1327">
        <f t="shared" si="63"/>
        <v>0</v>
      </c>
      <c r="U1327">
        <f>IF(SQRT(POWER(T1327-F1327,2))+SQRT(POWER(E1327-S1327,2))=0,0,SQRT(POWER(T1327-F1327,2))+SQRT(POWER(E1327-S1327,2))+DATOS!$H$20)</f>
        <v>0</v>
      </c>
    </row>
    <row r="1328" spans="18:21">
      <c r="R1328" t="e">
        <f t="shared" si="61"/>
        <v>#VALUE!</v>
      </c>
      <c r="S1328">
        <f t="shared" si="62"/>
        <v>0</v>
      </c>
      <c r="T1328">
        <f t="shared" si="63"/>
        <v>0</v>
      </c>
      <c r="U1328">
        <f>IF(SQRT(POWER(T1328-F1328,2))+SQRT(POWER(E1328-S1328,2))=0,0,SQRT(POWER(T1328-F1328,2))+SQRT(POWER(E1328-S1328,2))+DATOS!$H$20)</f>
        <v>0</v>
      </c>
    </row>
    <row r="1329" spans="18:21">
      <c r="R1329" t="e">
        <f t="shared" si="61"/>
        <v>#VALUE!</v>
      </c>
      <c r="S1329">
        <f t="shared" si="62"/>
        <v>0</v>
      </c>
      <c r="T1329">
        <f t="shared" si="63"/>
        <v>0</v>
      </c>
      <c r="U1329">
        <f>IF(SQRT(POWER(T1329-F1329,2))+SQRT(POWER(E1329-S1329,2))=0,0,SQRT(POWER(T1329-F1329,2))+SQRT(POWER(E1329-S1329,2))+DATOS!$H$20)</f>
        <v>0</v>
      </c>
    </row>
    <row r="1330" spans="18:21">
      <c r="R1330" t="e">
        <f t="shared" si="61"/>
        <v>#VALUE!</v>
      </c>
      <c r="S1330">
        <f t="shared" si="62"/>
        <v>0</v>
      </c>
      <c r="T1330">
        <f t="shared" si="63"/>
        <v>0</v>
      </c>
      <c r="U1330">
        <f>IF(SQRT(POWER(T1330-F1330,2))+SQRT(POWER(E1330-S1330,2))=0,0,SQRT(POWER(T1330-F1330,2))+SQRT(POWER(E1330-S1330,2))+DATOS!$H$20)</f>
        <v>0</v>
      </c>
    </row>
    <row r="1331" spans="18:21">
      <c r="R1331" t="e">
        <f t="shared" si="61"/>
        <v>#VALUE!</v>
      </c>
      <c r="S1331">
        <f t="shared" si="62"/>
        <v>0</v>
      </c>
      <c r="T1331">
        <f t="shared" si="63"/>
        <v>0</v>
      </c>
      <c r="U1331">
        <f>IF(SQRT(POWER(T1331-F1331,2))+SQRT(POWER(E1331-S1331,2))=0,0,SQRT(POWER(T1331-F1331,2))+SQRT(POWER(E1331-S1331,2))+DATOS!$H$20)</f>
        <v>0</v>
      </c>
    </row>
    <row r="1332" spans="18:21">
      <c r="R1332" t="e">
        <f t="shared" si="61"/>
        <v>#VALUE!</v>
      </c>
      <c r="S1332">
        <f t="shared" si="62"/>
        <v>0</v>
      </c>
      <c r="T1332">
        <f t="shared" si="63"/>
        <v>0</v>
      </c>
      <c r="U1332">
        <f>IF(SQRT(POWER(T1332-F1332,2))+SQRT(POWER(E1332-S1332,2))=0,0,SQRT(POWER(T1332-F1332,2))+SQRT(POWER(E1332-S1332,2))+DATOS!$H$20)</f>
        <v>0</v>
      </c>
    </row>
    <row r="1333" spans="18:21">
      <c r="R1333" t="e">
        <f t="shared" si="61"/>
        <v>#VALUE!</v>
      </c>
      <c r="S1333">
        <f t="shared" si="62"/>
        <v>0</v>
      </c>
      <c r="T1333">
        <f t="shared" si="63"/>
        <v>0</v>
      </c>
      <c r="U1333">
        <f>IF(SQRT(POWER(T1333-F1333,2))+SQRT(POWER(E1333-S1333,2))=0,0,SQRT(POWER(T1333-F1333,2))+SQRT(POWER(E1333-S1333,2))+DATOS!$H$20)</f>
        <v>0</v>
      </c>
    </row>
    <row r="1334" spans="18:21">
      <c r="R1334" t="e">
        <f t="shared" si="61"/>
        <v>#VALUE!</v>
      </c>
      <c r="S1334">
        <f t="shared" si="62"/>
        <v>0</v>
      </c>
      <c r="T1334">
        <f t="shared" si="63"/>
        <v>0</v>
      </c>
      <c r="U1334">
        <f>IF(SQRT(POWER(T1334-F1334,2))+SQRT(POWER(E1334-S1334,2))=0,0,SQRT(POWER(T1334-F1334,2))+SQRT(POWER(E1334-S1334,2))+DATOS!$H$20)</f>
        <v>0</v>
      </c>
    </row>
    <row r="1335" spans="18:21">
      <c r="R1335" t="e">
        <f t="shared" si="61"/>
        <v>#VALUE!</v>
      </c>
      <c r="S1335">
        <f t="shared" si="62"/>
        <v>0</v>
      </c>
      <c r="T1335">
        <f t="shared" si="63"/>
        <v>0</v>
      </c>
      <c r="U1335">
        <f>IF(SQRT(POWER(T1335-F1335,2))+SQRT(POWER(E1335-S1335,2))=0,0,SQRT(POWER(T1335-F1335,2))+SQRT(POWER(E1335-S1335,2))+DATOS!$H$20)</f>
        <v>0</v>
      </c>
    </row>
    <row r="1336" spans="18:21">
      <c r="R1336" t="e">
        <f t="shared" si="61"/>
        <v>#VALUE!</v>
      </c>
      <c r="S1336">
        <f t="shared" si="62"/>
        <v>0</v>
      </c>
      <c r="T1336">
        <f t="shared" si="63"/>
        <v>0</v>
      </c>
      <c r="U1336">
        <f>IF(SQRT(POWER(T1336-F1336,2))+SQRT(POWER(E1336-S1336,2))=0,0,SQRT(POWER(T1336-F1336,2))+SQRT(POWER(E1336-S1336,2))+DATOS!$H$20)</f>
        <v>0</v>
      </c>
    </row>
    <row r="1337" spans="18:21">
      <c r="R1337" t="e">
        <f t="shared" si="61"/>
        <v>#VALUE!</v>
      </c>
      <c r="S1337">
        <f t="shared" si="62"/>
        <v>0</v>
      </c>
      <c r="T1337">
        <f t="shared" si="63"/>
        <v>0</v>
      </c>
      <c r="U1337">
        <f>IF(SQRT(POWER(T1337-F1337,2))+SQRT(POWER(E1337-S1337,2))=0,0,SQRT(POWER(T1337-F1337,2))+SQRT(POWER(E1337-S1337,2))+DATOS!$H$20)</f>
        <v>0</v>
      </c>
    </row>
    <row r="1338" spans="18:21">
      <c r="R1338" t="e">
        <f t="shared" si="61"/>
        <v>#VALUE!</v>
      </c>
      <c r="S1338">
        <f t="shared" si="62"/>
        <v>0</v>
      </c>
      <c r="T1338">
        <f t="shared" si="63"/>
        <v>0</v>
      </c>
      <c r="U1338">
        <f>IF(SQRT(POWER(T1338-F1338,2))+SQRT(POWER(E1338-S1338,2))=0,0,SQRT(POWER(T1338-F1338,2))+SQRT(POWER(E1338-S1338,2))+DATOS!$H$20)</f>
        <v>0</v>
      </c>
    </row>
    <row r="1339" spans="18:21">
      <c r="R1339" t="e">
        <f t="shared" si="61"/>
        <v>#VALUE!</v>
      </c>
      <c r="S1339">
        <f t="shared" si="62"/>
        <v>0</v>
      </c>
      <c r="T1339">
        <f t="shared" si="63"/>
        <v>0</v>
      </c>
      <c r="U1339">
        <f>IF(SQRT(POWER(T1339-F1339,2))+SQRT(POWER(E1339-S1339,2))=0,0,SQRT(POWER(T1339-F1339,2))+SQRT(POWER(E1339-S1339,2))+DATOS!$H$20)</f>
        <v>0</v>
      </c>
    </row>
    <row r="1340" spans="18:21">
      <c r="R1340" t="e">
        <f t="shared" si="61"/>
        <v>#VALUE!</v>
      </c>
      <c r="S1340">
        <f t="shared" si="62"/>
        <v>0</v>
      </c>
      <c r="T1340">
        <f t="shared" si="63"/>
        <v>0</v>
      </c>
      <c r="U1340">
        <f>IF(SQRT(POWER(T1340-F1340,2))+SQRT(POWER(E1340-S1340,2))=0,0,SQRT(POWER(T1340-F1340,2))+SQRT(POWER(E1340-S1340,2))+DATOS!$H$20)</f>
        <v>0</v>
      </c>
    </row>
    <row r="1341" spans="18:21">
      <c r="R1341" t="e">
        <f t="shared" ref="R1341:R1404" si="64">"TAB-"&amp;LEFT(A1341,FIND("-",A1341) -1)</f>
        <v>#VALUE!</v>
      </c>
      <c r="S1341">
        <f t="shared" ref="S1341:S1404" si="65">IFERROR(VLOOKUP(R1341,$A$2:$F$700,5,0),E1341)</f>
        <v>0</v>
      </c>
      <c r="T1341">
        <f t="shared" ref="T1341:T1404" si="66">IFERROR(VLOOKUP(R1341,$A$2:$F$700,6,0),F1341)</f>
        <v>0</v>
      </c>
      <c r="U1341">
        <f>IF(SQRT(POWER(T1341-F1341,2))+SQRT(POWER(E1341-S1341,2))=0,0,SQRT(POWER(T1341-F1341,2))+SQRT(POWER(E1341-S1341,2))+DATOS!$H$20)</f>
        <v>0</v>
      </c>
    </row>
    <row r="1342" spans="18:21">
      <c r="R1342" t="e">
        <f t="shared" si="64"/>
        <v>#VALUE!</v>
      </c>
      <c r="S1342">
        <f t="shared" si="65"/>
        <v>0</v>
      </c>
      <c r="T1342">
        <f t="shared" si="66"/>
        <v>0</v>
      </c>
      <c r="U1342">
        <f>IF(SQRT(POWER(T1342-F1342,2))+SQRT(POWER(E1342-S1342,2))=0,0,SQRT(POWER(T1342-F1342,2))+SQRT(POWER(E1342-S1342,2))+DATOS!$H$20)</f>
        <v>0</v>
      </c>
    </row>
    <row r="1343" spans="18:21">
      <c r="R1343" t="e">
        <f t="shared" si="64"/>
        <v>#VALUE!</v>
      </c>
      <c r="S1343">
        <f t="shared" si="65"/>
        <v>0</v>
      </c>
      <c r="T1343">
        <f t="shared" si="66"/>
        <v>0</v>
      </c>
      <c r="U1343">
        <f>IF(SQRT(POWER(T1343-F1343,2))+SQRT(POWER(E1343-S1343,2))=0,0,SQRT(POWER(T1343-F1343,2))+SQRT(POWER(E1343-S1343,2))+DATOS!$H$20)</f>
        <v>0</v>
      </c>
    </row>
    <row r="1344" spans="18:21">
      <c r="R1344" t="e">
        <f t="shared" si="64"/>
        <v>#VALUE!</v>
      </c>
      <c r="S1344">
        <f t="shared" si="65"/>
        <v>0</v>
      </c>
      <c r="T1344">
        <f t="shared" si="66"/>
        <v>0</v>
      </c>
      <c r="U1344">
        <f>IF(SQRT(POWER(T1344-F1344,2))+SQRT(POWER(E1344-S1344,2))=0,0,SQRT(POWER(T1344-F1344,2))+SQRT(POWER(E1344-S1344,2))+DATOS!$H$20)</f>
        <v>0</v>
      </c>
    </row>
    <row r="1345" spans="18:21">
      <c r="R1345" t="e">
        <f t="shared" si="64"/>
        <v>#VALUE!</v>
      </c>
      <c r="S1345">
        <f t="shared" si="65"/>
        <v>0</v>
      </c>
      <c r="T1345">
        <f t="shared" si="66"/>
        <v>0</v>
      </c>
      <c r="U1345">
        <f>IF(SQRT(POWER(T1345-F1345,2))+SQRT(POWER(E1345-S1345,2))=0,0,SQRT(POWER(T1345-F1345,2))+SQRT(POWER(E1345-S1345,2))+DATOS!$H$20)</f>
        <v>0</v>
      </c>
    </row>
    <row r="1346" spans="18:21">
      <c r="R1346" t="e">
        <f t="shared" si="64"/>
        <v>#VALUE!</v>
      </c>
      <c r="S1346">
        <f t="shared" si="65"/>
        <v>0</v>
      </c>
      <c r="T1346">
        <f t="shared" si="66"/>
        <v>0</v>
      </c>
      <c r="U1346">
        <f>IF(SQRT(POWER(T1346-F1346,2))+SQRT(POWER(E1346-S1346,2))=0,0,SQRT(POWER(T1346-F1346,2))+SQRT(POWER(E1346-S1346,2))+DATOS!$H$20)</f>
        <v>0</v>
      </c>
    </row>
    <row r="1347" spans="18:21">
      <c r="R1347" t="e">
        <f t="shared" si="64"/>
        <v>#VALUE!</v>
      </c>
      <c r="S1347">
        <f t="shared" si="65"/>
        <v>0</v>
      </c>
      <c r="T1347">
        <f t="shared" si="66"/>
        <v>0</v>
      </c>
      <c r="U1347">
        <f>IF(SQRT(POWER(T1347-F1347,2))+SQRT(POWER(E1347-S1347,2))=0,0,SQRT(POWER(T1347-F1347,2))+SQRT(POWER(E1347-S1347,2))+DATOS!$H$20)</f>
        <v>0</v>
      </c>
    </row>
    <row r="1348" spans="18:21">
      <c r="R1348" t="e">
        <f t="shared" si="64"/>
        <v>#VALUE!</v>
      </c>
      <c r="S1348">
        <f t="shared" si="65"/>
        <v>0</v>
      </c>
      <c r="T1348">
        <f t="shared" si="66"/>
        <v>0</v>
      </c>
      <c r="U1348">
        <f>IF(SQRT(POWER(T1348-F1348,2))+SQRT(POWER(E1348-S1348,2))=0,0,SQRT(POWER(T1348-F1348,2))+SQRT(POWER(E1348-S1348,2))+DATOS!$H$20)</f>
        <v>0</v>
      </c>
    </row>
    <row r="1349" spans="18:21">
      <c r="R1349" t="e">
        <f t="shared" si="64"/>
        <v>#VALUE!</v>
      </c>
      <c r="S1349">
        <f t="shared" si="65"/>
        <v>0</v>
      </c>
      <c r="T1349">
        <f t="shared" si="66"/>
        <v>0</v>
      </c>
      <c r="U1349">
        <f>IF(SQRT(POWER(T1349-F1349,2))+SQRT(POWER(E1349-S1349,2))=0,0,SQRT(POWER(T1349-F1349,2))+SQRT(POWER(E1349-S1349,2))+DATOS!$H$20)</f>
        <v>0</v>
      </c>
    </row>
    <row r="1350" spans="18:21">
      <c r="R1350" t="e">
        <f t="shared" si="64"/>
        <v>#VALUE!</v>
      </c>
      <c r="S1350">
        <f t="shared" si="65"/>
        <v>0</v>
      </c>
      <c r="T1350">
        <f t="shared" si="66"/>
        <v>0</v>
      </c>
      <c r="U1350">
        <f>IF(SQRT(POWER(T1350-F1350,2))+SQRT(POWER(E1350-S1350,2))=0,0,SQRT(POWER(T1350-F1350,2))+SQRT(POWER(E1350-S1350,2))+DATOS!$H$20)</f>
        <v>0</v>
      </c>
    </row>
    <row r="1351" spans="18:21">
      <c r="R1351" t="e">
        <f t="shared" si="64"/>
        <v>#VALUE!</v>
      </c>
      <c r="S1351">
        <f t="shared" si="65"/>
        <v>0</v>
      </c>
      <c r="T1351">
        <f t="shared" si="66"/>
        <v>0</v>
      </c>
      <c r="U1351">
        <f>IF(SQRT(POWER(T1351-F1351,2))+SQRT(POWER(E1351-S1351,2))=0,0,SQRT(POWER(T1351-F1351,2))+SQRT(POWER(E1351-S1351,2))+DATOS!$H$20)</f>
        <v>0</v>
      </c>
    </row>
    <row r="1352" spans="18:21">
      <c r="R1352" t="e">
        <f t="shared" si="64"/>
        <v>#VALUE!</v>
      </c>
      <c r="S1352">
        <f t="shared" si="65"/>
        <v>0</v>
      </c>
      <c r="T1352">
        <f t="shared" si="66"/>
        <v>0</v>
      </c>
      <c r="U1352">
        <f>IF(SQRT(POWER(T1352-F1352,2))+SQRT(POWER(E1352-S1352,2))=0,0,SQRT(POWER(T1352-F1352,2))+SQRT(POWER(E1352-S1352,2))+DATOS!$H$20)</f>
        <v>0</v>
      </c>
    </row>
    <row r="1353" spans="18:21">
      <c r="R1353" t="e">
        <f t="shared" si="64"/>
        <v>#VALUE!</v>
      </c>
      <c r="S1353">
        <f t="shared" si="65"/>
        <v>0</v>
      </c>
      <c r="T1353">
        <f t="shared" si="66"/>
        <v>0</v>
      </c>
      <c r="U1353">
        <f>IF(SQRT(POWER(T1353-F1353,2))+SQRT(POWER(E1353-S1353,2))=0,0,SQRT(POWER(T1353-F1353,2))+SQRT(POWER(E1353-S1353,2))+DATOS!$H$20)</f>
        <v>0</v>
      </c>
    </row>
    <row r="1354" spans="18:21">
      <c r="R1354" t="e">
        <f t="shared" si="64"/>
        <v>#VALUE!</v>
      </c>
      <c r="S1354">
        <f t="shared" si="65"/>
        <v>0</v>
      </c>
      <c r="T1354">
        <f t="shared" si="66"/>
        <v>0</v>
      </c>
      <c r="U1354">
        <f>IF(SQRT(POWER(T1354-F1354,2))+SQRT(POWER(E1354-S1354,2))=0,0,SQRT(POWER(T1354-F1354,2))+SQRT(POWER(E1354-S1354,2))+DATOS!$H$20)</f>
        <v>0</v>
      </c>
    </row>
    <row r="1355" spans="18:21">
      <c r="R1355" t="e">
        <f t="shared" si="64"/>
        <v>#VALUE!</v>
      </c>
      <c r="S1355">
        <f t="shared" si="65"/>
        <v>0</v>
      </c>
      <c r="T1355">
        <f t="shared" si="66"/>
        <v>0</v>
      </c>
      <c r="U1355">
        <f>IF(SQRT(POWER(T1355-F1355,2))+SQRT(POWER(E1355-S1355,2))=0,0,SQRT(POWER(T1355-F1355,2))+SQRT(POWER(E1355-S1355,2))+DATOS!$H$20)</f>
        <v>0</v>
      </c>
    </row>
    <row r="1356" spans="18:21">
      <c r="R1356" t="e">
        <f t="shared" si="64"/>
        <v>#VALUE!</v>
      </c>
      <c r="S1356">
        <f t="shared" si="65"/>
        <v>0</v>
      </c>
      <c r="T1356">
        <f t="shared" si="66"/>
        <v>0</v>
      </c>
      <c r="U1356">
        <f>IF(SQRT(POWER(T1356-F1356,2))+SQRT(POWER(E1356-S1356,2))=0,0,SQRT(POWER(T1356-F1356,2))+SQRT(POWER(E1356-S1356,2))+DATOS!$H$20)</f>
        <v>0</v>
      </c>
    </row>
    <row r="1357" spans="18:21">
      <c r="R1357" t="e">
        <f t="shared" si="64"/>
        <v>#VALUE!</v>
      </c>
      <c r="S1357">
        <f t="shared" si="65"/>
        <v>0</v>
      </c>
      <c r="T1357">
        <f t="shared" si="66"/>
        <v>0</v>
      </c>
      <c r="U1357">
        <f>IF(SQRT(POWER(T1357-F1357,2))+SQRT(POWER(E1357-S1357,2))=0,0,SQRT(POWER(T1357-F1357,2))+SQRT(POWER(E1357-S1357,2))+DATOS!$H$20)</f>
        <v>0</v>
      </c>
    </row>
    <row r="1358" spans="18:21">
      <c r="R1358" t="e">
        <f t="shared" si="64"/>
        <v>#VALUE!</v>
      </c>
      <c r="S1358">
        <f t="shared" si="65"/>
        <v>0</v>
      </c>
      <c r="T1358">
        <f t="shared" si="66"/>
        <v>0</v>
      </c>
      <c r="U1358">
        <f>IF(SQRT(POWER(T1358-F1358,2))+SQRT(POWER(E1358-S1358,2))=0,0,SQRT(POWER(T1358-F1358,2))+SQRT(POWER(E1358-S1358,2))+DATOS!$H$20)</f>
        <v>0</v>
      </c>
    </row>
    <row r="1359" spans="18:21">
      <c r="R1359" t="e">
        <f t="shared" si="64"/>
        <v>#VALUE!</v>
      </c>
      <c r="S1359">
        <f t="shared" si="65"/>
        <v>0</v>
      </c>
      <c r="T1359">
        <f t="shared" si="66"/>
        <v>0</v>
      </c>
      <c r="U1359">
        <f>IF(SQRT(POWER(T1359-F1359,2))+SQRT(POWER(E1359-S1359,2))=0,0,SQRT(POWER(T1359-F1359,2))+SQRT(POWER(E1359-S1359,2))+DATOS!$H$20)</f>
        <v>0</v>
      </c>
    </row>
    <row r="1360" spans="18:21">
      <c r="R1360" t="e">
        <f t="shared" si="64"/>
        <v>#VALUE!</v>
      </c>
      <c r="S1360">
        <f t="shared" si="65"/>
        <v>0</v>
      </c>
      <c r="T1360">
        <f t="shared" si="66"/>
        <v>0</v>
      </c>
      <c r="U1360">
        <f>IF(SQRT(POWER(T1360-F1360,2))+SQRT(POWER(E1360-S1360,2))=0,0,SQRT(POWER(T1360-F1360,2))+SQRT(POWER(E1360-S1360,2))+DATOS!$H$20)</f>
        <v>0</v>
      </c>
    </row>
    <row r="1361" spans="18:21">
      <c r="R1361" t="e">
        <f t="shared" si="64"/>
        <v>#VALUE!</v>
      </c>
      <c r="S1361">
        <f t="shared" si="65"/>
        <v>0</v>
      </c>
      <c r="T1361">
        <f t="shared" si="66"/>
        <v>0</v>
      </c>
      <c r="U1361">
        <f>IF(SQRT(POWER(T1361-F1361,2))+SQRT(POWER(E1361-S1361,2))=0,0,SQRT(POWER(T1361-F1361,2))+SQRT(POWER(E1361-S1361,2))+DATOS!$H$20)</f>
        <v>0</v>
      </c>
    </row>
    <row r="1362" spans="18:21">
      <c r="R1362" t="e">
        <f t="shared" si="64"/>
        <v>#VALUE!</v>
      </c>
      <c r="S1362">
        <f t="shared" si="65"/>
        <v>0</v>
      </c>
      <c r="T1362">
        <f t="shared" si="66"/>
        <v>0</v>
      </c>
      <c r="U1362">
        <f>IF(SQRT(POWER(T1362-F1362,2))+SQRT(POWER(E1362-S1362,2))=0,0,SQRT(POWER(T1362-F1362,2))+SQRT(POWER(E1362-S1362,2))+DATOS!$H$20)</f>
        <v>0</v>
      </c>
    </row>
    <row r="1363" spans="18:21">
      <c r="R1363" t="e">
        <f t="shared" si="64"/>
        <v>#VALUE!</v>
      </c>
      <c r="S1363">
        <f t="shared" si="65"/>
        <v>0</v>
      </c>
      <c r="T1363">
        <f t="shared" si="66"/>
        <v>0</v>
      </c>
      <c r="U1363">
        <f>IF(SQRT(POWER(T1363-F1363,2))+SQRT(POWER(E1363-S1363,2))=0,0,SQRT(POWER(T1363-F1363,2))+SQRT(POWER(E1363-S1363,2))+DATOS!$H$20)</f>
        <v>0</v>
      </c>
    </row>
    <row r="1364" spans="18:21">
      <c r="R1364" t="e">
        <f t="shared" si="64"/>
        <v>#VALUE!</v>
      </c>
      <c r="S1364">
        <f t="shared" si="65"/>
        <v>0</v>
      </c>
      <c r="T1364">
        <f t="shared" si="66"/>
        <v>0</v>
      </c>
      <c r="U1364">
        <f>IF(SQRT(POWER(T1364-F1364,2))+SQRT(POWER(E1364-S1364,2))=0,0,SQRT(POWER(T1364-F1364,2))+SQRT(POWER(E1364-S1364,2))+DATOS!$H$20)</f>
        <v>0</v>
      </c>
    </row>
    <row r="1365" spans="18:21">
      <c r="R1365" t="e">
        <f t="shared" si="64"/>
        <v>#VALUE!</v>
      </c>
      <c r="S1365">
        <f t="shared" si="65"/>
        <v>0</v>
      </c>
      <c r="T1365">
        <f t="shared" si="66"/>
        <v>0</v>
      </c>
      <c r="U1365">
        <f>IF(SQRT(POWER(T1365-F1365,2))+SQRT(POWER(E1365-S1365,2))=0,0,SQRT(POWER(T1365-F1365,2))+SQRT(POWER(E1365-S1365,2))+DATOS!$H$20)</f>
        <v>0</v>
      </c>
    </row>
    <row r="1366" spans="18:21">
      <c r="R1366" t="e">
        <f t="shared" si="64"/>
        <v>#VALUE!</v>
      </c>
      <c r="S1366">
        <f t="shared" si="65"/>
        <v>0</v>
      </c>
      <c r="T1366">
        <f t="shared" si="66"/>
        <v>0</v>
      </c>
      <c r="U1366">
        <f>IF(SQRT(POWER(T1366-F1366,2))+SQRT(POWER(E1366-S1366,2))=0,0,SQRT(POWER(T1366-F1366,2))+SQRT(POWER(E1366-S1366,2))+DATOS!$H$20)</f>
        <v>0</v>
      </c>
    </row>
    <row r="1367" spans="18:21">
      <c r="R1367" t="e">
        <f t="shared" si="64"/>
        <v>#VALUE!</v>
      </c>
      <c r="S1367">
        <f t="shared" si="65"/>
        <v>0</v>
      </c>
      <c r="T1367">
        <f t="shared" si="66"/>
        <v>0</v>
      </c>
      <c r="U1367">
        <f>IF(SQRT(POWER(T1367-F1367,2))+SQRT(POWER(E1367-S1367,2))=0,0,SQRT(POWER(T1367-F1367,2))+SQRT(POWER(E1367-S1367,2))+DATOS!$H$20)</f>
        <v>0</v>
      </c>
    </row>
    <row r="1368" spans="18:21">
      <c r="R1368" t="e">
        <f t="shared" si="64"/>
        <v>#VALUE!</v>
      </c>
      <c r="S1368">
        <f t="shared" si="65"/>
        <v>0</v>
      </c>
      <c r="T1368">
        <f t="shared" si="66"/>
        <v>0</v>
      </c>
      <c r="U1368">
        <f>IF(SQRT(POWER(T1368-F1368,2))+SQRT(POWER(E1368-S1368,2))=0,0,SQRT(POWER(T1368-F1368,2))+SQRT(POWER(E1368-S1368,2))+DATOS!$H$20)</f>
        <v>0</v>
      </c>
    </row>
    <row r="1369" spans="18:21">
      <c r="R1369" t="e">
        <f t="shared" si="64"/>
        <v>#VALUE!</v>
      </c>
      <c r="S1369">
        <f t="shared" si="65"/>
        <v>0</v>
      </c>
      <c r="T1369">
        <f t="shared" si="66"/>
        <v>0</v>
      </c>
      <c r="U1369">
        <f>IF(SQRT(POWER(T1369-F1369,2))+SQRT(POWER(E1369-S1369,2))=0,0,SQRT(POWER(T1369-F1369,2))+SQRT(POWER(E1369-S1369,2))+DATOS!$H$20)</f>
        <v>0</v>
      </c>
    </row>
    <row r="1370" spans="18:21">
      <c r="R1370" t="e">
        <f t="shared" si="64"/>
        <v>#VALUE!</v>
      </c>
      <c r="S1370">
        <f t="shared" si="65"/>
        <v>0</v>
      </c>
      <c r="T1370">
        <f t="shared" si="66"/>
        <v>0</v>
      </c>
      <c r="U1370">
        <f>IF(SQRT(POWER(T1370-F1370,2))+SQRT(POWER(E1370-S1370,2))=0,0,SQRT(POWER(T1370-F1370,2))+SQRT(POWER(E1370-S1370,2))+DATOS!$H$20)</f>
        <v>0</v>
      </c>
    </row>
    <row r="1371" spans="18:21">
      <c r="R1371" t="e">
        <f t="shared" si="64"/>
        <v>#VALUE!</v>
      </c>
      <c r="S1371">
        <f t="shared" si="65"/>
        <v>0</v>
      </c>
      <c r="T1371">
        <f t="shared" si="66"/>
        <v>0</v>
      </c>
      <c r="U1371">
        <f>IF(SQRT(POWER(T1371-F1371,2))+SQRT(POWER(E1371-S1371,2))=0,0,SQRT(POWER(T1371-F1371,2))+SQRT(POWER(E1371-S1371,2))+DATOS!$H$20)</f>
        <v>0</v>
      </c>
    </row>
    <row r="1372" spans="18:21">
      <c r="R1372" t="e">
        <f t="shared" si="64"/>
        <v>#VALUE!</v>
      </c>
      <c r="S1372">
        <f t="shared" si="65"/>
        <v>0</v>
      </c>
      <c r="T1372">
        <f t="shared" si="66"/>
        <v>0</v>
      </c>
      <c r="U1372">
        <f>IF(SQRT(POWER(T1372-F1372,2))+SQRT(POWER(E1372-S1372,2))=0,0,SQRT(POWER(T1372-F1372,2))+SQRT(POWER(E1372-S1372,2))+DATOS!$H$20)</f>
        <v>0</v>
      </c>
    </row>
    <row r="1373" spans="18:21">
      <c r="R1373" t="e">
        <f t="shared" si="64"/>
        <v>#VALUE!</v>
      </c>
      <c r="S1373">
        <f t="shared" si="65"/>
        <v>0</v>
      </c>
      <c r="T1373">
        <f t="shared" si="66"/>
        <v>0</v>
      </c>
      <c r="U1373">
        <f>IF(SQRT(POWER(T1373-F1373,2))+SQRT(POWER(E1373-S1373,2))=0,0,SQRT(POWER(T1373-F1373,2))+SQRT(POWER(E1373-S1373,2))+DATOS!$H$20)</f>
        <v>0</v>
      </c>
    </row>
    <row r="1374" spans="18:21">
      <c r="R1374" t="e">
        <f t="shared" si="64"/>
        <v>#VALUE!</v>
      </c>
      <c r="S1374">
        <f t="shared" si="65"/>
        <v>0</v>
      </c>
      <c r="T1374">
        <f t="shared" si="66"/>
        <v>0</v>
      </c>
      <c r="U1374">
        <f>IF(SQRT(POWER(T1374-F1374,2))+SQRT(POWER(E1374-S1374,2))=0,0,SQRT(POWER(T1374-F1374,2))+SQRT(POWER(E1374-S1374,2))+DATOS!$H$20)</f>
        <v>0</v>
      </c>
    </row>
    <row r="1375" spans="18:21">
      <c r="R1375" t="e">
        <f t="shared" si="64"/>
        <v>#VALUE!</v>
      </c>
      <c r="S1375">
        <f t="shared" si="65"/>
        <v>0</v>
      </c>
      <c r="T1375">
        <f t="shared" si="66"/>
        <v>0</v>
      </c>
      <c r="U1375">
        <f>IF(SQRT(POWER(T1375-F1375,2))+SQRT(POWER(E1375-S1375,2))=0,0,SQRT(POWER(T1375-F1375,2))+SQRT(POWER(E1375-S1375,2))+DATOS!$H$20)</f>
        <v>0</v>
      </c>
    </row>
    <row r="1376" spans="18:21">
      <c r="R1376" t="e">
        <f t="shared" si="64"/>
        <v>#VALUE!</v>
      </c>
      <c r="S1376">
        <f t="shared" si="65"/>
        <v>0</v>
      </c>
      <c r="T1376">
        <f t="shared" si="66"/>
        <v>0</v>
      </c>
      <c r="U1376">
        <f>IF(SQRT(POWER(T1376-F1376,2))+SQRT(POWER(E1376-S1376,2))=0,0,SQRT(POWER(T1376-F1376,2))+SQRT(POWER(E1376-S1376,2))+DATOS!$H$20)</f>
        <v>0</v>
      </c>
    </row>
    <row r="1377" spans="18:21">
      <c r="R1377" t="e">
        <f t="shared" si="64"/>
        <v>#VALUE!</v>
      </c>
      <c r="S1377">
        <f t="shared" si="65"/>
        <v>0</v>
      </c>
      <c r="T1377">
        <f t="shared" si="66"/>
        <v>0</v>
      </c>
      <c r="U1377">
        <f>IF(SQRT(POWER(T1377-F1377,2))+SQRT(POWER(E1377-S1377,2))=0,0,SQRT(POWER(T1377-F1377,2))+SQRT(POWER(E1377-S1377,2))+DATOS!$H$20)</f>
        <v>0</v>
      </c>
    </row>
    <row r="1378" spans="18:21">
      <c r="R1378" t="e">
        <f t="shared" si="64"/>
        <v>#VALUE!</v>
      </c>
      <c r="S1378">
        <f t="shared" si="65"/>
        <v>0</v>
      </c>
      <c r="T1378">
        <f t="shared" si="66"/>
        <v>0</v>
      </c>
      <c r="U1378">
        <f>IF(SQRT(POWER(T1378-F1378,2))+SQRT(POWER(E1378-S1378,2))=0,0,SQRT(POWER(T1378-F1378,2))+SQRT(POWER(E1378-S1378,2))+DATOS!$H$20)</f>
        <v>0</v>
      </c>
    </row>
    <row r="1379" spans="18:21">
      <c r="R1379" t="e">
        <f t="shared" si="64"/>
        <v>#VALUE!</v>
      </c>
      <c r="S1379">
        <f t="shared" si="65"/>
        <v>0</v>
      </c>
      <c r="T1379">
        <f t="shared" si="66"/>
        <v>0</v>
      </c>
      <c r="U1379">
        <f>IF(SQRT(POWER(T1379-F1379,2))+SQRT(POWER(E1379-S1379,2))=0,0,SQRT(POWER(T1379-F1379,2))+SQRT(POWER(E1379-S1379,2))+DATOS!$H$20)</f>
        <v>0</v>
      </c>
    </row>
    <row r="1380" spans="18:21">
      <c r="R1380" t="e">
        <f t="shared" si="64"/>
        <v>#VALUE!</v>
      </c>
      <c r="S1380">
        <f t="shared" si="65"/>
        <v>0</v>
      </c>
      <c r="T1380">
        <f t="shared" si="66"/>
        <v>0</v>
      </c>
      <c r="U1380">
        <f>IF(SQRT(POWER(T1380-F1380,2))+SQRT(POWER(E1380-S1380,2))=0,0,SQRT(POWER(T1380-F1380,2))+SQRT(POWER(E1380-S1380,2))+DATOS!$H$20)</f>
        <v>0</v>
      </c>
    </row>
    <row r="1381" spans="18:21">
      <c r="R1381" t="e">
        <f t="shared" si="64"/>
        <v>#VALUE!</v>
      </c>
      <c r="S1381">
        <f t="shared" si="65"/>
        <v>0</v>
      </c>
      <c r="T1381">
        <f t="shared" si="66"/>
        <v>0</v>
      </c>
      <c r="U1381">
        <f>IF(SQRT(POWER(T1381-F1381,2))+SQRT(POWER(E1381-S1381,2))=0,0,SQRT(POWER(T1381-F1381,2))+SQRT(POWER(E1381-S1381,2))+DATOS!$H$20)</f>
        <v>0</v>
      </c>
    </row>
    <row r="1382" spans="18:21">
      <c r="R1382" t="e">
        <f t="shared" si="64"/>
        <v>#VALUE!</v>
      </c>
      <c r="S1382">
        <f t="shared" si="65"/>
        <v>0</v>
      </c>
      <c r="T1382">
        <f t="shared" si="66"/>
        <v>0</v>
      </c>
      <c r="U1382">
        <f>IF(SQRT(POWER(T1382-F1382,2))+SQRT(POWER(E1382-S1382,2))=0,0,SQRT(POWER(T1382-F1382,2))+SQRT(POWER(E1382-S1382,2))+DATOS!$H$20)</f>
        <v>0</v>
      </c>
    </row>
    <row r="1383" spans="18:21">
      <c r="R1383" t="e">
        <f t="shared" si="64"/>
        <v>#VALUE!</v>
      </c>
      <c r="S1383">
        <f t="shared" si="65"/>
        <v>0</v>
      </c>
      <c r="T1383">
        <f t="shared" si="66"/>
        <v>0</v>
      </c>
      <c r="U1383">
        <f>IF(SQRT(POWER(T1383-F1383,2))+SQRT(POWER(E1383-S1383,2))=0,0,SQRT(POWER(T1383-F1383,2))+SQRT(POWER(E1383-S1383,2))+DATOS!$H$20)</f>
        <v>0</v>
      </c>
    </row>
    <row r="1384" spans="18:21">
      <c r="R1384" t="e">
        <f t="shared" si="64"/>
        <v>#VALUE!</v>
      </c>
      <c r="S1384">
        <f t="shared" si="65"/>
        <v>0</v>
      </c>
      <c r="T1384">
        <f t="shared" si="66"/>
        <v>0</v>
      </c>
      <c r="U1384">
        <f>IF(SQRT(POWER(T1384-F1384,2))+SQRT(POWER(E1384-S1384,2))=0,0,SQRT(POWER(T1384-F1384,2))+SQRT(POWER(E1384-S1384,2))+DATOS!$H$20)</f>
        <v>0</v>
      </c>
    </row>
    <row r="1385" spans="18:21">
      <c r="R1385" t="e">
        <f t="shared" si="64"/>
        <v>#VALUE!</v>
      </c>
      <c r="S1385">
        <f t="shared" si="65"/>
        <v>0</v>
      </c>
      <c r="T1385">
        <f t="shared" si="66"/>
        <v>0</v>
      </c>
      <c r="U1385">
        <f>IF(SQRT(POWER(T1385-F1385,2))+SQRT(POWER(E1385-S1385,2))=0,0,SQRT(POWER(T1385-F1385,2))+SQRT(POWER(E1385-S1385,2))+DATOS!$H$20)</f>
        <v>0</v>
      </c>
    </row>
    <row r="1386" spans="18:21">
      <c r="R1386" t="e">
        <f t="shared" si="64"/>
        <v>#VALUE!</v>
      </c>
      <c r="S1386">
        <f t="shared" si="65"/>
        <v>0</v>
      </c>
      <c r="T1386">
        <f t="shared" si="66"/>
        <v>0</v>
      </c>
      <c r="U1386">
        <f>IF(SQRT(POWER(T1386-F1386,2))+SQRT(POWER(E1386-S1386,2))=0,0,SQRT(POWER(T1386-F1386,2))+SQRT(POWER(E1386-S1386,2))+DATOS!$H$20)</f>
        <v>0</v>
      </c>
    </row>
    <row r="1387" spans="18:21">
      <c r="R1387" t="e">
        <f t="shared" si="64"/>
        <v>#VALUE!</v>
      </c>
      <c r="S1387">
        <f t="shared" si="65"/>
        <v>0</v>
      </c>
      <c r="T1387">
        <f t="shared" si="66"/>
        <v>0</v>
      </c>
      <c r="U1387">
        <f>IF(SQRT(POWER(T1387-F1387,2))+SQRT(POWER(E1387-S1387,2))=0,0,SQRT(POWER(T1387-F1387,2))+SQRT(POWER(E1387-S1387,2))+DATOS!$H$20)</f>
        <v>0</v>
      </c>
    </row>
    <row r="1388" spans="18:21">
      <c r="R1388" t="e">
        <f t="shared" si="64"/>
        <v>#VALUE!</v>
      </c>
      <c r="S1388">
        <f t="shared" si="65"/>
        <v>0</v>
      </c>
      <c r="T1388">
        <f t="shared" si="66"/>
        <v>0</v>
      </c>
      <c r="U1388">
        <f>IF(SQRT(POWER(T1388-F1388,2))+SQRT(POWER(E1388-S1388,2))=0,0,SQRT(POWER(T1388-F1388,2))+SQRT(POWER(E1388-S1388,2))+DATOS!$H$20)</f>
        <v>0</v>
      </c>
    </row>
    <row r="1389" spans="18:21">
      <c r="R1389" t="e">
        <f t="shared" si="64"/>
        <v>#VALUE!</v>
      </c>
      <c r="S1389">
        <f t="shared" si="65"/>
        <v>0</v>
      </c>
      <c r="T1389">
        <f t="shared" si="66"/>
        <v>0</v>
      </c>
      <c r="U1389">
        <f>IF(SQRT(POWER(T1389-F1389,2))+SQRT(POWER(E1389-S1389,2))=0,0,SQRT(POWER(T1389-F1389,2))+SQRT(POWER(E1389-S1389,2))+DATOS!$H$20)</f>
        <v>0</v>
      </c>
    </row>
    <row r="1390" spans="18:21">
      <c r="R1390" t="e">
        <f t="shared" si="64"/>
        <v>#VALUE!</v>
      </c>
      <c r="S1390">
        <f t="shared" si="65"/>
        <v>0</v>
      </c>
      <c r="T1390">
        <f t="shared" si="66"/>
        <v>0</v>
      </c>
      <c r="U1390">
        <f>IF(SQRT(POWER(T1390-F1390,2))+SQRT(POWER(E1390-S1390,2))=0,0,SQRT(POWER(T1390-F1390,2))+SQRT(POWER(E1390-S1390,2))+DATOS!$H$20)</f>
        <v>0</v>
      </c>
    </row>
    <row r="1391" spans="18:21">
      <c r="R1391" t="e">
        <f t="shared" si="64"/>
        <v>#VALUE!</v>
      </c>
      <c r="S1391">
        <f t="shared" si="65"/>
        <v>0</v>
      </c>
      <c r="T1391">
        <f t="shared" si="66"/>
        <v>0</v>
      </c>
      <c r="U1391">
        <f>IF(SQRT(POWER(T1391-F1391,2))+SQRT(POWER(E1391-S1391,2))=0,0,SQRT(POWER(T1391-F1391,2))+SQRT(POWER(E1391-S1391,2))+DATOS!$H$20)</f>
        <v>0</v>
      </c>
    </row>
    <row r="1392" spans="18:21">
      <c r="R1392" t="e">
        <f t="shared" si="64"/>
        <v>#VALUE!</v>
      </c>
      <c r="S1392">
        <f t="shared" si="65"/>
        <v>0</v>
      </c>
      <c r="T1392">
        <f t="shared" si="66"/>
        <v>0</v>
      </c>
      <c r="U1392">
        <f>IF(SQRT(POWER(T1392-F1392,2))+SQRT(POWER(E1392-S1392,2))=0,0,SQRT(POWER(T1392-F1392,2))+SQRT(POWER(E1392-S1392,2))+DATOS!$H$20)</f>
        <v>0</v>
      </c>
    </row>
    <row r="1393" spans="18:21">
      <c r="R1393" t="e">
        <f t="shared" si="64"/>
        <v>#VALUE!</v>
      </c>
      <c r="S1393">
        <f t="shared" si="65"/>
        <v>0</v>
      </c>
      <c r="T1393">
        <f t="shared" si="66"/>
        <v>0</v>
      </c>
      <c r="U1393">
        <f>IF(SQRT(POWER(T1393-F1393,2))+SQRT(POWER(E1393-S1393,2))=0,0,SQRT(POWER(T1393-F1393,2))+SQRT(POWER(E1393-S1393,2))+DATOS!$H$20)</f>
        <v>0</v>
      </c>
    </row>
    <row r="1394" spans="18:21">
      <c r="R1394" t="e">
        <f t="shared" si="64"/>
        <v>#VALUE!</v>
      </c>
      <c r="S1394">
        <f t="shared" si="65"/>
        <v>0</v>
      </c>
      <c r="T1394">
        <f t="shared" si="66"/>
        <v>0</v>
      </c>
      <c r="U1394">
        <f>IF(SQRT(POWER(T1394-F1394,2))+SQRT(POWER(E1394-S1394,2))=0,0,SQRT(POWER(T1394-F1394,2))+SQRT(POWER(E1394-S1394,2))+DATOS!$H$20)</f>
        <v>0</v>
      </c>
    </row>
    <row r="1395" spans="18:21">
      <c r="R1395" t="e">
        <f t="shared" si="64"/>
        <v>#VALUE!</v>
      </c>
      <c r="S1395">
        <f t="shared" si="65"/>
        <v>0</v>
      </c>
      <c r="T1395">
        <f t="shared" si="66"/>
        <v>0</v>
      </c>
      <c r="U1395">
        <f>IF(SQRT(POWER(T1395-F1395,2))+SQRT(POWER(E1395-S1395,2))=0,0,SQRT(POWER(T1395-F1395,2))+SQRT(POWER(E1395-S1395,2))+DATOS!$H$20)</f>
        <v>0</v>
      </c>
    </row>
    <row r="1396" spans="18:21">
      <c r="R1396" t="e">
        <f t="shared" si="64"/>
        <v>#VALUE!</v>
      </c>
      <c r="S1396">
        <f t="shared" si="65"/>
        <v>0</v>
      </c>
      <c r="T1396">
        <f t="shared" si="66"/>
        <v>0</v>
      </c>
      <c r="U1396">
        <f>IF(SQRT(POWER(T1396-F1396,2))+SQRT(POWER(E1396-S1396,2))=0,0,SQRT(POWER(T1396-F1396,2))+SQRT(POWER(E1396-S1396,2))+DATOS!$H$20)</f>
        <v>0</v>
      </c>
    </row>
    <row r="1397" spans="18:21">
      <c r="R1397" t="e">
        <f t="shared" si="64"/>
        <v>#VALUE!</v>
      </c>
      <c r="S1397">
        <f t="shared" si="65"/>
        <v>0</v>
      </c>
      <c r="T1397">
        <f t="shared" si="66"/>
        <v>0</v>
      </c>
      <c r="U1397">
        <f>IF(SQRT(POWER(T1397-F1397,2))+SQRT(POWER(E1397-S1397,2))=0,0,SQRT(POWER(T1397-F1397,2))+SQRT(POWER(E1397-S1397,2))+DATOS!$H$20)</f>
        <v>0</v>
      </c>
    </row>
    <row r="1398" spans="18:21">
      <c r="R1398" t="e">
        <f t="shared" si="64"/>
        <v>#VALUE!</v>
      </c>
      <c r="S1398">
        <f t="shared" si="65"/>
        <v>0</v>
      </c>
      <c r="T1398">
        <f t="shared" si="66"/>
        <v>0</v>
      </c>
      <c r="U1398">
        <f>IF(SQRT(POWER(T1398-F1398,2))+SQRT(POWER(E1398-S1398,2))=0,0,SQRT(POWER(T1398-F1398,2))+SQRT(POWER(E1398-S1398,2))+DATOS!$H$20)</f>
        <v>0</v>
      </c>
    </row>
    <row r="1399" spans="18:21">
      <c r="R1399" t="e">
        <f t="shared" si="64"/>
        <v>#VALUE!</v>
      </c>
      <c r="S1399">
        <f t="shared" si="65"/>
        <v>0</v>
      </c>
      <c r="T1399">
        <f t="shared" si="66"/>
        <v>0</v>
      </c>
      <c r="U1399">
        <f>IF(SQRT(POWER(T1399-F1399,2))+SQRT(POWER(E1399-S1399,2))=0,0,SQRT(POWER(T1399-F1399,2))+SQRT(POWER(E1399-S1399,2))+DATOS!$H$20)</f>
        <v>0</v>
      </c>
    </row>
    <row r="1400" spans="18:21">
      <c r="R1400" t="e">
        <f t="shared" si="64"/>
        <v>#VALUE!</v>
      </c>
      <c r="S1400">
        <f t="shared" si="65"/>
        <v>0</v>
      </c>
      <c r="T1400">
        <f t="shared" si="66"/>
        <v>0</v>
      </c>
      <c r="U1400">
        <f>IF(SQRT(POWER(T1400-F1400,2))+SQRT(POWER(E1400-S1400,2))=0,0,SQRT(POWER(T1400-F1400,2))+SQRT(POWER(E1400-S1400,2))+DATOS!$H$20)</f>
        <v>0</v>
      </c>
    </row>
    <row r="1401" spans="18:21">
      <c r="R1401" t="e">
        <f t="shared" si="64"/>
        <v>#VALUE!</v>
      </c>
      <c r="S1401">
        <f t="shared" si="65"/>
        <v>0</v>
      </c>
      <c r="T1401">
        <f t="shared" si="66"/>
        <v>0</v>
      </c>
      <c r="U1401">
        <f>IF(SQRT(POWER(T1401-F1401,2))+SQRT(POWER(E1401-S1401,2))=0,0,SQRT(POWER(T1401-F1401,2))+SQRT(POWER(E1401-S1401,2))+DATOS!$H$20)</f>
        <v>0</v>
      </c>
    </row>
    <row r="1402" spans="18:21">
      <c r="R1402" t="e">
        <f t="shared" si="64"/>
        <v>#VALUE!</v>
      </c>
      <c r="S1402">
        <f t="shared" si="65"/>
        <v>0</v>
      </c>
      <c r="T1402">
        <f t="shared" si="66"/>
        <v>0</v>
      </c>
      <c r="U1402">
        <f>IF(SQRT(POWER(T1402-F1402,2))+SQRT(POWER(E1402-S1402,2))=0,0,SQRT(POWER(T1402-F1402,2))+SQRT(POWER(E1402-S1402,2))+DATOS!$H$20)</f>
        <v>0</v>
      </c>
    </row>
    <row r="1403" spans="18:21">
      <c r="R1403" t="e">
        <f t="shared" si="64"/>
        <v>#VALUE!</v>
      </c>
      <c r="S1403">
        <f t="shared" si="65"/>
        <v>0</v>
      </c>
      <c r="T1403">
        <f t="shared" si="66"/>
        <v>0</v>
      </c>
      <c r="U1403">
        <f>IF(SQRT(POWER(T1403-F1403,2))+SQRT(POWER(E1403-S1403,2))=0,0,SQRT(POWER(T1403-F1403,2))+SQRT(POWER(E1403-S1403,2))+DATOS!$H$20)</f>
        <v>0</v>
      </c>
    </row>
    <row r="1404" spans="18:21">
      <c r="R1404" t="e">
        <f t="shared" si="64"/>
        <v>#VALUE!</v>
      </c>
      <c r="S1404">
        <f t="shared" si="65"/>
        <v>0</v>
      </c>
      <c r="T1404">
        <f t="shared" si="66"/>
        <v>0</v>
      </c>
      <c r="U1404">
        <f>IF(SQRT(POWER(T1404-F1404,2))+SQRT(POWER(E1404-S1404,2))=0,0,SQRT(POWER(T1404-F1404,2))+SQRT(POWER(E1404-S1404,2))+DATOS!$H$20)</f>
        <v>0</v>
      </c>
    </row>
    <row r="1405" spans="18:21">
      <c r="R1405" t="e">
        <f t="shared" ref="R1405:R1468" si="67">"TAB-"&amp;LEFT(A1405,FIND("-",A1405) -1)</f>
        <v>#VALUE!</v>
      </c>
      <c r="S1405">
        <f t="shared" ref="S1405:S1468" si="68">IFERROR(VLOOKUP(R1405,$A$2:$F$700,5,0),E1405)</f>
        <v>0</v>
      </c>
      <c r="T1405">
        <f t="shared" ref="T1405:T1468" si="69">IFERROR(VLOOKUP(R1405,$A$2:$F$700,6,0),F1405)</f>
        <v>0</v>
      </c>
      <c r="U1405">
        <f>IF(SQRT(POWER(T1405-F1405,2))+SQRT(POWER(E1405-S1405,2))=0,0,SQRT(POWER(T1405-F1405,2))+SQRT(POWER(E1405-S1405,2))+DATOS!$H$20)</f>
        <v>0</v>
      </c>
    </row>
    <row r="1406" spans="18:21">
      <c r="R1406" t="e">
        <f t="shared" si="67"/>
        <v>#VALUE!</v>
      </c>
      <c r="S1406">
        <f t="shared" si="68"/>
        <v>0</v>
      </c>
      <c r="T1406">
        <f t="shared" si="69"/>
        <v>0</v>
      </c>
      <c r="U1406">
        <f>IF(SQRT(POWER(T1406-F1406,2))+SQRT(POWER(E1406-S1406,2))=0,0,SQRT(POWER(T1406-F1406,2))+SQRT(POWER(E1406-S1406,2))+DATOS!$H$20)</f>
        <v>0</v>
      </c>
    </row>
    <row r="1407" spans="18:21">
      <c r="R1407" t="e">
        <f t="shared" si="67"/>
        <v>#VALUE!</v>
      </c>
      <c r="S1407">
        <f t="shared" si="68"/>
        <v>0</v>
      </c>
      <c r="T1407">
        <f t="shared" si="69"/>
        <v>0</v>
      </c>
      <c r="U1407">
        <f>IF(SQRT(POWER(T1407-F1407,2))+SQRT(POWER(E1407-S1407,2))=0,0,SQRT(POWER(T1407-F1407,2))+SQRT(POWER(E1407-S1407,2))+DATOS!$H$20)</f>
        <v>0</v>
      </c>
    </row>
    <row r="1408" spans="18:21">
      <c r="R1408" t="e">
        <f t="shared" si="67"/>
        <v>#VALUE!</v>
      </c>
      <c r="S1408">
        <f t="shared" si="68"/>
        <v>0</v>
      </c>
      <c r="T1408">
        <f t="shared" si="69"/>
        <v>0</v>
      </c>
      <c r="U1408">
        <f>IF(SQRT(POWER(T1408-F1408,2))+SQRT(POWER(E1408-S1408,2))=0,0,SQRT(POWER(T1408-F1408,2))+SQRT(POWER(E1408-S1408,2))+DATOS!$H$20)</f>
        <v>0</v>
      </c>
    </row>
    <row r="1409" spans="18:21">
      <c r="R1409" t="e">
        <f t="shared" si="67"/>
        <v>#VALUE!</v>
      </c>
      <c r="S1409">
        <f t="shared" si="68"/>
        <v>0</v>
      </c>
      <c r="T1409">
        <f t="shared" si="69"/>
        <v>0</v>
      </c>
      <c r="U1409">
        <f>IF(SQRT(POWER(T1409-F1409,2))+SQRT(POWER(E1409-S1409,2))=0,0,SQRT(POWER(T1409-F1409,2))+SQRT(POWER(E1409-S1409,2))+DATOS!$H$20)</f>
        <v>0</v>
      </c>
    </row>
    <row r="1410" spans="18:21">
      <c r="R1410" t="e">
        <f t="shared" si="67"/>
        <v>#VALUE!</v>
      </c>
      <c r="S1410">
        <f t="shared" si="68"/>
        <v>0</v>
      </c>
      <c r="T1410">
        <f t="shared" si="69"/>
        <v>0</v>
      </c>
      <c r="U1410">
        <f>IF(SQRT(POWER(T1410-F1410,2))+SQRT(POWER(E1410-S1410,2))=0,0,SQRT(POWER(T1410-F1410,2))+SQRT(POWER(E1410-S1410,2))+DATOS!$H$20)</f>
        <v>0</v>
      </c>
    </row>
    <row r="1411" spans="18:21">
      <c r="R1411" t="e">
        <f t="shared" si="67"/>
        <v>#VALUE!</v>
      </c>
      <c r="S1411">
        <f t="shared" si="68"/>
        <v>0</v>
      </c>
      <c r="T1411">
        <f t="shared" si="69"/>
        <v>0</v>
      </c>
      <c r="U1411">
        <f>IF(SQRT(POWER(T1411-F1411,2))+SQRT(POWER(E1411-S1411,2))=0,0,SQRT(POWER(T1411-F1411,2))+SQRT(POWER(E1411-S1411,2))+DATOS!$H$20)</f>
        <v>0</v>
      </c>
    </row>
    <row r="1412" spans="18:21">
      <c r="R1412" t="e">
        <f t="shared" si="67"/>
        <v>#VALUE!</v>
      </c>
      <c r="S1412">
        <f t="shared" si="68"/>
        <v>0</v>
      </c>
      <c r="T1412">
        <f t="shared" si="69"/>
        <v>0</v>
      </c>
      <c r="U1412">
        <f>IF(SQRT(POWER(T1412-F1412,2))+SQRT(POWER(E1412-S1412,2))=0,0,SQRT(POWER(T1412-F1412,2))+SQRT(POWER(E1412-S1412,2))+DATOS!$H$20)</f>
        <v>0</v>
      </c>
    </row>
    <row r="1413" spans="18:21">
      <c r="R1413" t="e">
        <f t="shared" si="67"/>
        <v>#VALUE!</v>
      </c>
      <c r="S1413">
        <f t="shared" si="68"/>
        <v>0</v>
      </c>
      <c r="T1413">
        <f t="shared" si="69"/>
        <v>0</v>
      </c>
      <c r="U1413">
        <f>IF(SQRT(POWER(T1413-F1413,2))+SQRT(POWER(E1413-S1413,2))=0,0,SQRT(POWER(T1413-F1413,2))+SQRT(POWER(E1413-S1413,2))+DATOS!$H$20)</f>
        <v>0</v>
      </c>
    </row>
    <row r="1414" spans="18:21">
      <c r="R1414" t="e">
        <f t="shared" si="67"/>
        <v>#VALUE!</v>
      </c>
      <c r="S1414">
        <f t="shared" si="68"/>
        <v>0</v>
      </c>
      <c r="T1414">
        <f t="shared" si="69"/>
        <v>0</v>
      </c>
      <c r="U1414">
        <f>IF(SQRT(POWER(T1414-F1414,2))+SQRT(POWER(E1414-S1414,2))=0,0,SQRT(POWER(T1414-F1414,2))+SQRT(POWER(E1414-S1414,2))+DATOS!$H$20)</f>
        <v>0</v>
      </c>
    </row>
    <row r="1415" spans="18:21">
      <c r="R1415" t="e">
        <f t="shared" si="67"/>
        <v>#VALUE!</v>
      </c>
      <c r="S1415">
        <f t="shared" si="68"/>
        <v>0</v>
      </c>
      <c r="T1415">
        <f t="shared" si="69"/>
        <v>0</v>
      </c>
      <c r="U1415">
        <f>IF(SQRT(POWER(T1415-F1415,2))+SQRT(POWER(E1415-S1415,2))=0,0,SQRT(POWER(T1415-F1415,2))+SQRT(POWER(E1415-S1415,2))+DATOS!$H$20)</f>
        <v>0</v>
      </c>
    </row>
    <row r="1416" spans="18:21">
      <c r="R1416" t="e">
        <f t="shared" si="67"/>
        <v>#VALUE!</v>
      </c>
      <c r="S1416">
        <f t="shared" si="68"/>
        <v>0</v>
      </c>
      <c r="T1416">
        <f t="shared" si="69"/>
        <v>0</v>
      </c>
      <c r="U1416">
        <f>IF(SQRT(POWER(T1416-F1416,2))+SQRT(POWER(E1416-S1416,2))=0,0,SQRT(POWER(T1416-F1416,2))+SQRT(POWER(E1416-S1416,2))+DATOS!$H$20)</f>
        <v>0</v>
      </c>
    </row>
    <row r="1417" spans="18:21">
      <c r="R1417" t="e">
        <f t="shared" si="67"/>
        <v>#VALUE!</v>
      </c>
      <c r="S1417">
        <f t="shared" si="68"/>
        <v>0</v>
      </c>
      <c r="T1417">
        <f t="shared" si="69"/>
        <v>0</v>
      </c>
      <c r="U1417">
        <f>IF(SQRT(POWER(T1417-F1417,2))+SQRT(POWER(E1417-S1417,2))=0,0,SQRT(POWER(T1417-F1417,2))+SQRT(POWER(E1417-S1417,2))+DATOS!$H$20)</f>
        <v>0</v>
      </c>
    </row>
    <row r="1418" spans="18:21">
      <c r="R1418" t="e">
        <f t="shared" si="67"/>
        <v>#VALUE!</v>
      </c>
      <c r="S1418">
        <f t="shared" si="68"/>
        <v>0</v>
      </c>
      <c r="T1418">
        <f t="shared" si="69"/>
        <v>0</v>
      </c>
      <c r="U1418">
        <f>IF(SQRT(POWER(T1418-F1418,2))+SQRT(POWER(E1418-S1418,2))=0,0,SQRT(POWER(T1418-F1418,2))+SQRT(POWER(E1418-S1418,2))+DATOS!$H$20)</f>
        <v>0</v>
      </c>
    </row>
    <row r="1419" spans="18:21">
      <c r="R1419" t="e">
        <f t="shared" si="67"/>
        <v>#VALUE!</v>
      </c>
      <c r="S1419">
        <f t="shared" si="68"/>
        <v>0</v>
      </c>
      <c r="T1419">
        <f t="shared" si="69"/>
        <v>0</v>
      </c>
      <c r="U1419">
        <f>IF(SQRT(POWER(T1419-F1419,2))+SQRT(POWER(E1419-S1419,2))=0,0,SQRT(POWER(T1419-F1419,2))+SQRT(POWER(E1419-S1419,2))+DATOS!$H$20)</f>
        <v>0</v>
      </c>
    </row>
    <row r="1420" spans="18:21">
      <c r="R1420" t="e">
        <f t="shared" si="67"/>
        <v>#VALUE!</v>
      </c>
      <c r="S1420">
        <f t="shared" si="68"/>
        <v>0</v>
      </c>
      <c r="T1420">
        <f t="shared" si="69"/>
        <v>0</v>
      </c>
      <c r="U1420">
        <f>IF(SQRT(POWER(T1420-F1420,2))+SQRT(POWER(E1420-S1420,2))=0,0,SQRT(POWER(T1420-F1420,2))+SQRT(POWER(E1420-S1420,2))+DATOS!$H$20)</f>
        <v>0</v>
      </c>
    </row>
    <row r="1421" spans="18:21">
      <c r="R1421" t="e">
        <f t="shared" si="67"/>
        <v>#VALUE!</v>
      </c>
      <c r="S1421">
        <f t="shared" si="68"/>
        <v>0</v>
      </c>
      <c r="T1421">
        <f t="shared" si="69"/>
        <v>0</v>
      </c>
      <c r="U1421">
        <f>IF(SQRT(POWER(T1421-F1421,2))+SQRT(POWER(E1421-S1421,2))=0,0,SQRT(POWER(T1421-F1421,2))+SQRT(POWER(E1421-S1421,2))+DATOS!$H$20)</f>
        <v>0</v>
      </c>
    </row>
    <row r="1422" spans="18:21">
      <c r="R1422" t="e">
        <f t="shared" si="67"/>
        <v>#VALUE!</v>
      </c>
      <c r="S1422">
        <f t="shared" si="68"/>
        <v>0</v>
      </c>
      <c r="T1422">
        <f t="shared" si="69"/>
        <v>0</v>
      </c>
      <c r="U1422">
        <f>IF(SQRT(POWER(T1422-F1422,2))+SQRT(POWER(E1422-S1422,2))=0,0,SQRT(POWER(T1422-F1422,2))+SQRT(POWER(E1422-S1422,2))+DATOS!$H$20)</f>
        <v>0</v>
      </c>
    </row>
    <row r="1423" spans="18:21">
      <c r="R1423" t="e">
        <f t="shared" si="67"/>
        <v>#VALUE!</v>
      </c>
      <c r="S1423">
        <f t="shared" si="68"/>
        <v>0</v>
      </c>
      <c r="T1423">
        <f t="shared" si="69"/>
        <v>0</v>
      </c>
      <c r="U1423">
        <f>IF(SQRT(POWER(T1423-F1423,2))+SQRT(POWER(E1423-S1423,2))=0,0,SQRT(POWER(T1423-F1423,2))+SQRT(POWER(E1423-S1423,2))+DATOS!$H$20)</f>
        <v>0</v>
      </c>
    </row>
    <row r="1424" spans="18:21">
      <c r="R1424" t="e">
        <f t="shared" si="67"/>
        <v>#VALUE!</v>
      </c>
      <c r="S1424">
        <f t="shared" si="68"/>
        <v>0</v>
      </c>
      <c r="T1424">
        <f t="shared" si="69"/>
        <v>0</v>
      </c>
      <c r="U1424">
        <f>IF(SQRT(POWER(T1424-F1424,2))+SQRT(POWER(E1424-S1424,2))=0,0,SQRT(POWER(T1424-F1424,2))+SQRT(POWER(E1424-S1424,2))+DATOS!$H$20)</f>
        <v>0</v>
      </c>
    </row>
    <row r="1425" spans="18:21">
      <c r="R1425" t="e">
        <f t="shared" si="67"/>
        <v>#VALUE!</v>
      </c>
      <c r="S1425">
        <f t="shared" si="68"/>
        <v>0</v>
      </c>
      <c r="T1425">
        <f t="shared" si="69"/>
        <v>0</v>
      </c>
      <c r="U1425">
        <f>IF(SQRT(POWER(T1425-F1425,2))+SQRT(POWER(E1425-S1425,2))=0,0,SQRT(POWER(T1425-F1425,2))+SQRT(POWER(E1425-S1425,2))+DATOS!$H$20)</f>
        <v>0</v>
      </c>
    </row>
    <row r="1426" spans="18:21">
      <c r="R1426" t="e">
        <f t="shared" si="67"/>
        <v>#VALUE!</v>
      </c>
      <c r="S1426">
        <f t="shared" si="68"/>
        <v>0</v>
      </c>
      <c r="T1426">
        <f t="shared" si="69"/>
        <v>0</v>
      </c>
      <c r="U1426">
        <f>IF(SQRT(POWER(T1426-F1426,2))+SQRT(POWER(E1426-S1426,2))=0,0,SQRT(POWER(T1426-F1426,2))+SQRT(POWER(E1426-S1426,2))+DATOS!$H$20)</f>
        <v>0</v>
      </c>
    </row>
    <row r="1427" spans="18:21">
      <c r="R1427" t="e">
        <f t="shared" si="67"/>
        <v>#VALUE!</v>
      </c>
      <c r="S1427">
        <f t="shared" si="68"/>
        <v>0</v>
      </c>
      <c r="T1427">
        <f t="shared" si="69"/>
        <v>0</v>
      </c>
      <c r="U1427">
        <f>IF(SQRT(POWER(T1427-F1427,2))+SQRT(POWER(E1427-S1427,2))=0,0,SQRT(POWER(T1427-F1427,2))+SQRT(POWER(E1427-S1427,2))+DATOS!$H$20)</f>
        <v>0</v>
      </c>
    </row>
    <row r="1428" spans="18:21">
      <c r="R1428" t="e">
        <f t="shared" si="67"/>
        <v>#VALUE!</v>
      </c>
      <c r="S1428">
        <f t="shared" si="68"/>
        <v>0</v>
      </c>
      <c r="T1428">
        <f t="shared" si="69"/>
        <v>0</v>
      </c>
      <c r="U1428">
        <f>IF(SQRT(POWER(T1428-F1428,2))+SQRT(POWER(E1428-S1428,2))=0,0,SQRT(POWER(T1428-F1428,2))+SQRT(POWER(E1428-S1428,2))+DATOS!$H$20)</f>
        <v>0</v>
      </c>
    </row>
    <row r="1429" spans="18:21">
      <c r="R1429" t="e">
        <f t="shared" si="67"/>
        <v>#VALUE!</v>
      </c>
      <c r="S1429">
        <f t="shared" si="68"/>
        <v>0</v>
      </c>
      <c r="T1429">
        <f t="shared" si="69"/>
        <v>0</v>
      </c>
      <c r="U1429">
        <f>IF(SQRT(POWER(T1429-F1429,2))+SQRT(POWER(E1429-S1429,2))=0,0,SQRT(POWER(T1429-F1429,2))+SQRT(POWER(E1429-S1429,2))+DATOS!$H$20)</f>
        <v>0</v>
      </c>
    </row>
    <row r="1430" spans="18:21">
      <c r="R1430" t="e">
        <f t="shared" si="67"/>
        <v>#VALUE!</v>
      </c>
      <c r="S1430">
        <f t="shared" si="68"/>
        <v>0</v>
      </c>
      <c r="T1430">
        <f t="shared" si="69"/>
        <v>0</v>
      </c>
      <c r="U1430">
        <f>IF(SQRT(POWER(T1430-F1430,2))+SQRT(POWER(E1430-S1430,2))=0,0,SQRT(POWER(T1430-F1430,2))+SQRT(POWER(E1430-S1430,2))+DATOS!$H$20)</f>
        <v>0</v>
      </c>
    </row>
    <row r="1431" spans="18:21">
      <c r="R1431" t="e">
        <f t="shared" si="67"/>
        <v>#VALUE!</v>
      </c>
      <c r="S1431">
        <f t="shared" si="68"/>
        <v>0</v>
      </c>
      <c r="T1431">
        <f t="shared" si="69"/>
        <v>0</v>
      </c>
      <c r="U1431">
        <f>IF(SQRT(POWER(T1431-F1431,2))+SQRT(POWER(E1431-S1431,2))=0,0,SQRT(POWER(T1431-F1431,2))+SQRT(POWER(E1431-S1431,2))+DATOS!$H$20)</f>
        <v>0</v>
      </c>
    </row>
    <row r="1432" spans="18:21">
      <c r="R1432" t="e">
        <f t="shared" si="67"/>
        <v>#VALUE!</v>
      </c>
      <c r="S1432">
        <f t="shared" si="68"/>
        <v>0</v>
      </c>
      <c r="T1432">
        <f t="shared" si="69"/>
        <v>0</v>
      </c>
      <c r="U1432">
        <f>IF(SQRT(POWER(T1432-F1432,2))+SQRT(POWER(E1432-S1432,2))=0,0,SQRT(POWER(T1432-F1432,2))+SQRT(POWER(E1432-S1432,2))+DATOS!$H$20)</f>
        <v>0</v>
      </c>
    </row>
    <row r="1433" spans="18:21">
      <c r="R1433" t="e">
        <f t="shared" si="67"/>
        <v>#VALUE!</v>
      </c>
      <c r="S1433">
        <f t="shared" si="68"/>
        <v>0</v>
      </c>
      <c r="T1433">
        <f t="shared" si="69"/>
        <v>0</v>
      </c>
      <c r="U1433">
        <f>IF(SQRT(POWER(T1433-F1433,2))+SQRT(POWER(E1433-S1433,2))=0,0,SQRT(POWER(T1433-F1433,2))+SQRT(POWER(E1433-S1433,2))+DATOS!$H$20)</f>
        <v>0</v>
      </c>
    </row>
    <row r="1434" spans="18:21">
      <c r="R1434" t="e">
        <f t="shared" si="67"/>
        <v>#VALUE!</v>
      </c>
      <c r="S1434">
        <f t="shared" si="68"/>
        <v>0</v>
      </c>
      <c r="T1434">
        <f t="shared" si="69"/>
        <v>0</v>
      </c>
      <c r="U1434">
        <f>IF(SQRT(POWER(T1434-F1434,2))+SQRT(POWER(E1434-S1434,2))=0,0,SQRT(POWER(T1434-F1434,2))+SQRT(POWER(E1434-S1434,2))+DATOS!$H$20)</f>
        <v>0</v>
      </c>
    </row>
    <row r="1435" spans="18:21">
      <c r="R1435" t="e">
        <f t="shared" si="67"/>
        <v>#VALUE!</v>
      </c>
      <c r="S1435">
        <f t="shared" si="68"/>
        <v>0</v>
      </c>
      <c r="T1435">
        <f t="shared" si="69"/>
        <v>0</v>
      </c>
      <c r="U1435">
        <f>IF(SQRT(POWER(T1435-F1435,2))+SQRT(POWER(E1435-S1435,2))=0,0,SQRT(POWER(T1435-F1435,2))+SQRT(POWER(E1435-S1435,2))+DATOS!$H$20)</f>
        <v>0</v>
      </c>
    </row>
    <row r="1436" spans="18:21">
      <c r="R1436" t="e">
        <f t="shared" si="67"/>
        <v>#VALUE!</v>
      </c>
      <c r="S1436">
        <f t="shared" si="68"/>
        <v>0</v>
      </c>
      <c r="T1436">
        <f t="shared" si="69"/>
        <v>0</v>
      </c>
      <c r="U1436">
        <f>IF(SQRT(POWER(T1436-F1436,2))+SQRT(POWER(E1436-S1436,2))=0,0,SQRT(POWER(T1436-F1436,2))+SQRT(POWER(E1436-S1436,2))+DATOS!$H$20)</f>
        <v>0</v>
      </c>
    </row>
    <row r="1437" spans="18:21">
      <c r="R1437" t="e">
        <f t="shared" si="67"/>
        <v>#VALUE!</v>
      </c>
      <c r="S1437">
        <f t="shared" si="68"/>
        <v>0</v>
      </c>
      <c r="T1437">
        <f t="shared" si="69"/>
        <v>0</v>
      </c>
      <c r="U1437">
        <f>IF(SQRT(POWER(T1437-F1437,2))+SQRT(POWER(E1437-S1437,2))=0,0,SQRT(POWER(T1437-F1437,2))+SQRT(POWER(E1437-S1437,2))+DATOS!$H$20)</f>
        <v>0</v>
      </c>
    </row>
    <row r="1438" spans="18:21">
      <c r="R1438" t="e">
        <f t="shared" si="67"/>
        <v>#VALUE!</v>
      </c>
      <c r="S1438">
        <f t="shared" si="68"/>
        <v>0</v>
      </c>
      <c r="T1438">
        <f t="shared" si="69"/>
        <v>0</v>
      </c>
      <c r="U1438">
        <f>IF(SQRT(POWER(T1438-F1438,2))+SQRT(POWER(E1438-S1438,2))=0,0,SQRT(POWER(T1438-F1438,2))+SQRT(POWER(E1438-S1438,2))+DATOS!$H$20)</f>
        <v>0</v>
      </c>
    </row>
    <row r="1439" spans="18:21">
      <c r="R1439" t="e">
        <f t="shared" si="67"/>
        <v>#VALUE!</v>
      </c>
      <c r="S1439">
        <f t="shared" si="68"/>
        <v>0</v>
      </c>
      <c r="T1439">
        <f t="shared" si="69"/>
        <v>0</v>
      </c>
      <c r="U1439">
        <f>IF(SQRT(POWER(T1439-F1439,2))+SQRT(POWER(E1439-S1439,2))=0,0,SQRT(POWER(T1439-F1439,2))+SQRT(POWER(E1439-S1439,2))+DATOS!$H$20)</f>
        <v>0</v>
      </c>
    </row>
    <row r="1440" spans="18:21">
      <c r="R1440" t="e">
        <f t="shared" si="67"/>
        <v>#VALUE!</v>
      </c>
      <c r="S1440">
        <f t="shared" si="68"/>
        <v>0</v>
      </c>
      <c r="T1440">
        <f t="shared" si="69"/>
        <v>0</v>
      </c>
      <c r="U1440">
        <f>IF(SQRT(POWER(T1440-F1440,2))+SQRT(POWER(E1440-S1440,2))=0,0,SQRT(POWER(T1440-F1440,2))+SQRT(POWER(E1440-S1440,2))+DATOS!$H$20)</f>
        <v>0</v>
      </c>
    </row>
    <row r="1441" spans="18:21">
      <c r="R1441" t="e">
        <f t="shared" si="67"/>
        <v>#VALUE!</v>
      </c>
      <c r="S1441">
        <f t="shared" si="68"/>
        <v>0</v>
      </c>
      <c r="T1441">
        <f t="shared" si="69"/>
        <v>0</v>
      </c>
      <c r="U1441">
        <f>IF(SQRT(POWER(T1441-F1441,2))+SQRT(POWER(E1441-S1441,2))=0,0,SQRT(POWER(T1441-F1441,2))+SQRT(POWER(E1441-S1441,2))+DATOS!$H$20)</f>
        <v>0</v>
      </c>
    </row>
    <row r="1442" spans="18:21">
      <c r="R1442" t="e">
        <f t="shared" si="67"/>
        <v>#VALUE!</v>
      </c>
      <c r="S1442">
        <f t="shared" si="68"/>
        <v>0</v>
      </c>
      <c r="T1442">
        <f t="shared" si="69"/>
        <v>0</v>
      </c>
      <c r="U1442">
        <f>IF(SQRT(POWER(T1442-F1442,2))+SQRT(POWER(E1442-S1442,2))=0,0,SQRT(POWER(T1442-F1442,2))+SQRT(POWER(E1442-S1442,2))+DATOS!$H$20)</f>
        <v>0</v>
      </c>
    </row>
    <row r="1443" spans="18:21">
      <c r="R1443" t="e">
        <f t="shared" si="67"/>
        <v>#VALUE!</v>
      </c>
      <c r="S1443">
        <f t="shared" si="68"/>
        <v>0</v>
      </c>
      <c r="T1443">
        <f t="shared" si="69"/>
        <v>0</v>
      </c>
      <c r="U1443">
        <f>IF(SQRT(POWER(T1443-F1443,2))+SQRT(POWER(E1443-S1443,2))=0,0,SQRT(POWER(T1443-F1443,2))+SQRT(POWER(E1443-S1443,2))+DATOS!$H$20)</f>
        <v>0</v>
      </c>
    </row>
    <row r="1444" spans="18:21">
      <c r="R1444" t="e">
        <f t="shared" si="67"/>
        <v>#VALUE!</v>
      </c>
      <c r="S1444">
        <f t="shared" si="68"/>
        <v>0</v>
      </c>
      <c r="T1444">
        <f t="shared" si="69"/>
        <v>0</v>
      </c>
      <c r="U1444">
        <f>IF(SQRT(POWER(T1444-F1444,2))+SQRT(POWER(E1444-S1444,2))=0,0,SQRT(POWER(T1444-F1444,2))+SQRT(POWER(E1444-S1444,2))+DATOS!$H$20)</f>
        <v>0</v>
      </c>
    </row>
    <row r="1445" spans="18:21">
      <c r="R1445" t="e">
        <f t="shared" si="67"/>
        <v>#VALUE!</v>
      </c>
      <c r="S1445">
        <f t="shared" si="68"/>
        <v>0</v>
      </c>
      <c r="T1445">
        <f t="shared" si="69"/>
        <v>0</v>
      </c>
      <c r="U1445">
        <f>IF(SQRT(POWER(T1445-F1445,2))+SQRT(POWER(E1445-S1445,2))=0,0,SQRT(POWER(T1445-F1445,2))+SQRT(POWER(E1445-S1445,2))+DATOS!$H$20)</f>
        <v>0</v>
      </c>
    </row>
    <row r="1446" spans="18:21">
      <c r="R1446" t="e">
        <f t="shared" si="67"/>
        <v>#VALUE!</v>
      </c>
      <c r="S1446">
        <f t="shared" si="68"/>
        <v>0</v>
      </c>
      <c r="T1446">
        <f t="shared" si="69"/>
        <v>0</v>
      </c>
      <c r="U1446">
        <f>IF(SQRT(POWER(T1446-F1446,2))+SQRT(POWER(E1446-S1446,2))=0,0,SQRT(POWER(T1446-F1446,2))+SQRT(POWER(E1446-S1446,2))+DATOS!$H$20)</f>
        <v>0</v>
      </c>
    </row>
    <row r="1447" spans="18:21">
      <c r="R1447" t="e">
        <f t="shared" si="67"/>
        <v>#VALUE!</v>
      </c>
      <c r="S1447">
        <f t="shared" si="68"/>
        <v>0</v>
      </c>
      <c r="T1447">
        <f t="shared" si="69"/>
        <v>0</v>
      </c>
      <c r="U1447">
        <f>IF(SQRT(POWER(T1447-F1447,2))+SQRT(POWER(E1447-S1447,2))=0,0,SQRT(POWER(T1447-F1447,2))+SQRT(POWER(E1447-S1447,2))+DATOS!$H$20)</f>
        <v>0</v>
      </c>
    </row>
    <row r="1448" spans="18:21">
      <c r="R1448" t="e">
        <f t="shared" si="67"/>
        <v>#VALUE!</v>
      </c>
      <c r="S1448">
        <f t="shared" si="68"/>
        <v>0</v>
      </c>
      <c r="T1448">
        <f t="shared" si="69"/>
        <v>0</v>
      </c>
      <c r="U1448">
        <f>IF(SQRT(POWER(T1448-F1448,2))+SQRT(POWER(E1448-S1448,2))=0,0,SQRT(POWER(T1448-F1448,2))+SQRT(POWER(E1448-S1448,2))+DATOS!$H$20)</f>
        <v>0</v>
      </c>
    </row>
    <row r="1449" spans="18:21">
      <c r="R1449" t="e">
        <f t="shared" si="67"/>
        <v>#VALUE!</v>
      </c>
      <c r="S1449">
        <f t="shared" si="68"/>
        <v>0</v>
      </c>
      <c r="T1449">
        <f t="shared" si="69"/>
        <v>0</v>
      </c>
      <c r="U1449">
        <f>IF(SQRT(POWER(T1449-F1449,2))+SQRT(POWER(E1449-S1449,2))=0,0,SQRT(POWER(T1449-F1449,2))+SQRT(POWER(E1449-S1449,2))+DATOS!$H$20)</f>
        <v>0</v>
      </c>
    </row>
    <row r="1450" spans="18:21">
      <c r="R1450" t="e">
        <f t="shared" si="67"/>
        <v>#VALUE!</v>
      </c>
      <c r="S1450">
        <f t="shared" si="68"/>
        <v>0</v>
      </c>
      <c r="T1450">
        <f t="shared" si="69"/>
        <v>0</v>
      </c>
      <c r="U1450">
        <f>IF(SQRT(POWER(T1450-F1450,2))+SQRT(POWER(E1450-S1450,2))=0,0,SQRT(POWER(T1450-F1450,2))+SQRT(POWER(E1450-S1450,2))+DATOS!$H$20)</f>
        <v>0</v>
      </c>
    </row>
    <row r="1451" spans="18:21">
      <c r="R1451" t="e">
        <f t="shared" si="67"/>
        <v>#VALUE!</v>
      </c>
      <c r="S1451">
        <f t="shared" si="68"/>
        <v>0</v>
      </c>
      <c r="T1451">
        <f t="shared" si="69"/>
        <v>0</v>
      </c>
      <c r="U1451">
        <f>IF(SQRT(POWER(T1451-F1451,2))+SQRT(POWER(E1451-S1451,2))=0,0,SQRT(POWER(T1451-F1451,2))+SQRT(POWER(E1451-S1451,2))+DATOS!$H$20)</f>
        <v>0</v>
      </c>
    </row>
    <row r="1452" spans="18:21">
      <c r="R1452" t="e">
        <f t="shared" si="67"/>
        <v>#VALUE!</v>
      </c>
      <c r="S1452">
        <f t="shared" si="68"/>
        <v>0</v>
      </c>
      <c r="T1452">
        <f t="shared" si="69"/>
        <v>0</v>
      </c>
      <c r="U1452">
        <f>IF(SQRT(POWER(T1452-F1452,2))+SQRT(POWER(E1452-S1452,2))=0,0,SQRT(POWER(T1452-F1452,2))+SQRT(POWER(E1452-S1452,2))+DATOS!$H$20)</f>
        <v>0</v>
      </c>
    </row>
    <row r="1453" spans="18:21">
      <c r="R1453" t="e">
        <f t="shared" si="67"/>
        <v>#VALUE!</v>
      </c>
      <c r="S1453">
        <f t="shared" si="68"/>
        <v>0</v>
      </c>
      <c r="T1453">
        <f t="shared" si="69"/>
        <v>0</v>
      </c>
      <c r="U1453">
        <f>IF(SQRT(POWER(T1453-F1453,2))+SQRT(POWER(E1453-S1453,2))=0,0,SQRT(POWER(T1453-F1453,2))+SQRT(POWER(E1453-S1453,2))+DATOS!$H$20)</f>
        <v>0</v>
      </c>
    </row>
    <row r="1454" spans="18:21">
      <c r="R1454" t="e">
        <f t="shared" si="67"/>
        <v>#VALUE!</v>
      </c>
      <c r="S1454">
        <f t="shared" si="68"/>
        <v>0</v>
      </c>
      <c r="T1454">
        <f t="shared" si="69"/>
        <v>0</v>
      </c>
      <c r="U1454">
        <f>IF(SQRT(POWER(T1454-F1454,2))+SQRT(POWER(E1454-S1454,2))=0,0,SQRT(POWER(T1454-F1454,2))+SQRT(POWER(E1454-S1454,2))+DATOS!$H$20)</f>
        <v>0</v>
      </c>
    </row>
    <row r="1455" spans="18:21">
      <c r="R1455" t="e">
        <f t="shared" si="67"/>
        <v>#VALUE!</v>
      </c>
      <c r="S1455">
        <f t="shared" si="68"/>
        <v>0</v>
      </c>
      <c r="T1455">
        <f t="shared" si="69"/>
        <v>0</v>
      </c>
      <c r="U1455">
        <f>IF(SQRT(POWER(T1455-F1455,2))+SQRT(POWER(E1455-S1455,2))=0,0,SQRT(POWER(T1455-F1455,2))+SQRT(POWER(E1455-S1455,2))+DATOS!$H$20)</f>
        <v>0</v>
      </c>
    </row>
    <row r="1456" spans="18:21">
      <c r="R1456" t="e">
        <f t="shared" si="67"/>
        <v>#VALUE!</v>
      </c>
      <c r="S1456">
        <f t="shared" si="68"/>
        <v>0</v>
      </c>
      <c r="T1456">
        <f t="shared" si="69"/>
        <v>0</v>
      </c>
      <c r="U1456">
        <f>IF(SQRT(POWER(T1456-F1456,2))+SQRT(POWER(E1456-S1456,2))=0,0,SQRT(POWER(T1456-F1456,2))+SQRT(POWER(E1456-S1456,2))+DATOS!$H$20)</f>
        <v>0</v>
      </c>
    </row>
    <row r="1457" spans="18:21">
      <c r="R1457" t="e">
        <f t="shared" si="67"/>
        <v>#VALUE!</v>
      </c>
      <c r="S1457">
        <f t="shared" si="68"/>
        <v>0</v>
      </c>
      <c r="T1457">
        <f t="shared" si="69"/>
        <v>0</v>
      </c>
      <c r="U1457">
        <f>IF(SQRT(POWER(T1457-F1457,2))+SQRT(POWER(E1457-S1457,2))=0,0,SQRT(POWER(T1457-F1457,2))+SQRT(POWER(E1457-S1457,2))+DATOS!$H$20)</f>
        <v>0</v>
      </c>
    </row>
    <row r="1458" spans="18:21">
      <c r="R1458" t="e">
        <f t="shared" si="67"/>
        <v>#VALUE!</v>
      </c>
      <c r="S1458">
        <f t="shared" si="68"/>
        <v>0</v>
      </c>
      <c r="T1458">
        <f t="shared" si="69"/>
        <v>0</v>
      </c>
      <c r="U1458">
        <f>IF(SQRT(POWER(T1458-F1458,2))+SQRT(POWER(E1458-S1458,2))=0,0,SQRT(POWER(T1458-F1458,2))+SQRT(POWER(E1458-S1458,2))+DATOS!$H$20)</f>
        <v>0</v>
      </c>
    </row>
    <row r="1459" spans="18:21">
      <c r="R1459" t="e">
        <f t="shared" si="67"/>
        <v>#VALUE!</v>
      </c>
      <c r="S1459">
        <f t="shared" si="68"/>
        <v>0</v>
      </c>
      <c r="T1459">
        <f t="shared" si="69"/>
        <v>0</v>
      </c>
      <c r="U1459">
        <f>IF(SQRT(POWER(T1459-F1459,2))+SQRT(POWER(E1459-S1459,2))=0,0,SQRT(POWER(T1459-F1459,2))+SQRT(POWER(E1459-S1459,2))+DATOS!$H$20)</f>
        <v>0</v>
      </c>
    </row>
    <row r="1460" spans="18:21">
      <c r="R1460" t="e">
        <f t="shared" si="67"/>
        <v>#VALUE!</v>
      </c>
      <c r="S1460">
        <f t="shared" si="68"/>
        <v>0</v>
      </c>
      <c r="T1460">
        <f t="shared" si="69"/>
        <v>0</v>
      </c>
      <c r="U1460">
        <f>IF(SQRT(POWER(T1460-F1460,2))+SQRT(POWER(E1460-S1460,2))=0,0,SQRT(POWER(T1460-F1460,2))+SQRT(POWER(E1460-S1460,2))+DATOS!$H$20)</f>
        <v>0</v>
      </c>
    </row>
    <row r="1461" spans="18:21">
      <c r="R1461" t="e">
        <f t="shared" si="67"/>
        <v>#VALUE!</v>
      </c>
      <c r="S1461">
        <f t="shared" si="68"/>
        <v>0</v>
      </c>
      <c r="T1461">
        <f t="shared" si="69"/>
        <v>0</v>
      </c>
      <c r="U1461">
        <f>IF(SQRT(POWER(T1461-F1461,2))+SQRT(POWER(E1461-S1461,2))=0,0,SQRT(POWER(T1461-F1461,2))+SQRT(POWER(E1461-S1461,2))+DATOS!$H$20)</f>
        <v>0</v>
      </c>
    </row>
    <row r="1462" spans="18:21">
      <c r="R1462" t="e">
        <f t="shared" si="67"/>
        <v>#VALUE!</v>
      </c>
      <c r="S1462">
        <f t="shared" si="68"/>
        <v>0</v>
      </c>
      <c r="T1462">
        <f t="shared" si="69"/>
        <v>0</v>
      </c>
      <c r="U1462">
        <f>IF(SQRT(POWER(T1462-F1462,2))+SQRT(POWER(E1462-S1462,2))=0,0,SQRT(POWER(T1462-F1462,2))+SQRT(POWER(E1462-S1462,2))+DATOS!$H$20)</f>
        <v>0</v>
      </c>
    </row>
    <row r="1463" spans="18:21">
      <c r="R1463" t="e">
        <f t="shared" si="67"/>
        <v>#VALUE!</v>
      </c>
      <c r="S1463">
        <f t="shared" si="68"/>
        <v>0</v>
      </c>
      <c r="T1463">
        <f t="shared" si="69"/>
        <v>0</v>
      </c>
      <c r="U1463">
        <f>IF(SQRT(POWER(T1463-F1463,2))+SQRT(POWER(E1463-S1463,2))=0,0,SQRT(POWER(T1463-F1463,2))+SQRT(POWER(E1463-S1463,2))+DATOS!$H$20)</f>
        <v>0</v>
      </c>
    </row>
    <row r="1464" spans="18:21">
      <c r="R1464" t="e">
        <f t="shared" si="67"/>
        <v>#VALUE!</v>
      </c>
      <c r="S1464">
        <f t="shared" si="68"/>
        <v>0</v>
      </c>
      <c r="T1464">
        <f t="shared" si="69"/>
        <v>0</v>
      </c>
      <c r="U1464">
        <f>IF(SQRT(POWER(T1464-F1464,2))+SQRT(POWER(E1464-S1464,2))=0,0,SQRT(POWER(T1464-F1464,2))+SQRT(POWER(E1464-S1464,2))+DATOS!$H$20)</f>
        <v>0</v>
      </c>
    </row>
    <row r="1465" spans="18:21">
      <c r="R1465" t="e">
        <f t="shared" si="67"/>
        <v>#VALUE!</v>
      </c>
      <c r="S1465">
        <f t="shared" si="68"/>
        <v>0</v>
      </c>
      <c r="T1465">
        <f t="shared" si="69"/>
        <v>0</v>
      </c>
      <c r="U1465">
        <f>IF(SQRT(POWER(T1465-F1465,2))+SQRT(POWER(E1465-S1465,2))=0,0,SQRT(POWER(T1465-F1465,2))+SQRT(POWER(E1465-S1465,2))+DATOS!$H$20)</f>
        <v>0</v>
      </c>
    </row>
    <row r="1466" spans="18:21">
      <c r="R1466" t="e">
        <f t="shared" si="67"/>
        <v>#VALUE!</v>
      </c>
      <c r="S1466">
        <f t="shared" si="68"/>
        <v>0</v>
      </c>
      <c r="T1466">
        <f t="shared" si="69"/>
        <v>0</v>
      </c>
      <c r="U1466">
        <f>IF(SQRT(POWER(T1466-F1466,2))+SQRT(POWER(E1466-S1466,2))=0,0,SQRT(POWER(T1466-F1466,2))+SQRT(POWER(E1466-S1466,2))+DATOS!$H$20)</f>
        <v>0</v>
      </c>
    </row>
    <row r="1467" spans="18:21">
      <c r="R1467" t="e">
        <f t="shared" si="67"/>
        <v>#VALUE!</v>
      </c>
      <c r="S1467">
        <f t="shared" si="68"/>
        <v>0</v>
      </c>
      <c r="T1467">
        <f t="shared" si="69"/>
        <v>0</v>
      </c>
      <c r="U1467">
        <f>IF(SQRT(POWER(T1467-F1467,2))+SQRT(POWER(E1467-S1467,2))=0,0,SQRT(POWER(T1467-F1467,2))+SQRT(POWER(E1467-S1467,2))+DATOS!$H$20)</f>
        <v>0</v>
      </c>
    </row>
    <row r="1468" spans="18:21">
      <c r="R1468" t="e">
        <f t="shared" si="67"/>
        <v>#VALUE!</v>
      </c>
      <c r="S1468">
        <f t="shared" si="68"/>
        <v>0</v>
      </c>
      <c r="T1468">
        <f t="shared" si="69"/>
        <v>0</v>
      </c>
      <c r="U1468">
        <f>IF(SQRT(POWER(T1468-F1468,2))+SQRT(POWER(E1468-S1468,2))=0,0,SQRT(POWER(T1468-F1468,2))+SQRT(POWER(E1468-S1468,2))+DATOS!$H$20)</f>
        <v>0</v>
      </c>
    </row>
    <row r="1469" spans="18:21">
      <c r="R1469" t="e">
        <f t="shared" ref="R1469:R1532" si="70">"TAB-"&amp;LEFT(A1469,FIND("-",A1469) -1)</f>
        <v>#VALUE!</v>
      </c>
      <c r="S1469">
        <f t="shared" ref="S1469:S1532" si="71">IFERROR(VLOOKUP(R1469,$A$2:$F$700,5,0),E1469)</f>
        <v>0</v>
      </c>
      <c r="T1469">
        <f t="shared" ref="T1469:T1532" si="72">IFERROR(VLOOKUP(R1469,$A$2:$F$700,6,0),F1469)</f>
        <v>0</v>
      </c>
      <c r="U1469">
        <f>IF(SQRT(POWER(T1469-F1469,2))+SQRT(POWER(E1469-S1469,2))=0,0,SQRT(POWER(T1469-F1469,2))+SQRT(POWER(E1469-S1469,2))+DATOS!$H$20)</f>
        <v>0</v>
      </c>
    </row>
    <row r="1470" spans="18:21">
      <c r="R1470" t="e">
        <f t="shared" si="70"/>
        <v>#VALUE!</v>
      </c>
      <c r="S1470">
        <f t="shared" si="71"/>
        <v>0</v>
      </c>
      <c r="T1470">
        <f t="shared" si="72"/>
        <v>0</v>
      </c>
      <c r="U1470">
        <f>IF(SQRT(POWER(T1470-F1470,2))+SQRT(POWER(E1470-S1470,2))=0,0,SQRT(POWER(T1470-F1470,2))+SQRT(POWER(E1470-S1470,2))+DATOS!$H$20)</f>
        <v>0</v>
      </c>
    </row>
    <row r="1471" spans="18:21">
      <c r="R1471" t="e">
        <f t="shared" si="70"/>
        <v>#VALUE!</v>
      </c>
      <c r="S1471">
        <f t="shared" si="71"/>
        <v>0</v>
      </c>
      <c r="T1471">
        <f t="shared" si="72"/>
        <v>0</v>
      </c>
      <c r="U1471">
        <f>IF(SQRT(POWER(T1471-F1471,2))+SQRT(POWER(E1471-S1471,2))=0,0,SQRT(POWER(T1471-F1471,2))+SQRT(POWER(E1471-S1471,2))+DATOS!$H$20)</f>
        <v>0</v>
      </c>
    </row>
    <row r="1472" spans="18:21">
      <c r="R1472" t="e">
        <f t="shared" si="70"/>
        <v>#VALUE!</v>
      </c>
      <c r="S1472">
        <f t="shared" si="71"/>
        <v>0</v>
      </c>
      <c r="T1472">
        <f t="shared" si="72"/>
        <v>0</v>
      </c>
      <c r="U1472">
        <f>IF(SQRT(POWER(T1472-F1472,2))+SQRT(POWER(E1472-S1472,2))=0,0,SQRT(POWER(T1472-F1472,2))+SQRT(POWER(E1472-S1472,2))+DATOS!$H$20)</f>
        <v>0</v>
      </c>
    </row>
    <row r="1473" spans="18:21">
      <c r="R1473" t="e">
        <f t="shared" si="70"/>
        <v>#VALUE!</v>
      </c>
      <c r="S1473">
        <f t="shared" si="71"/>
        <v>0</v>
      </c>
      <c r="T1473">
        <f t="shared" si="72"/>
        <v>0</v>
      </c>
      <c r="U1473">
        <f>IF(SQRT(POWER(T1473-F1473,2))+SQRT(POWER(E1473-S1473,2))=0,0,SQRT(POWER(T1473-F1473,2))+SQRT(POWER(E1473-S1473,2))+DATOS!$H$20)</f>
        <v>0</v>
      </c>
    </row>
    <row r="1474" spans="18:21">
      <c r="R1474" t="e">
        <f t="shared" si="70"/>
        <v>#VALUE!</v>
      </c>
      <c r="S1474">
        <f t="shared" si="71"/>
        <v>0</v>
      </c>
      <c r="T1474">
        <f t="shared" si="72"/>
        <v>0</v>
      </c>
      <c r="U1474">
        <f>IF(SQRT(POWER(T1474-F1474,2))+SQRT(POWER(E1474-S1474,2))=0,0,SQRT(POWER(T1474-F1474,2))+SQRT(POWER(E1474-S1474,2))+DATOS!$H$20)</f>
        <v>0</v>
      </c>
    </row>
    <row r="1475" spans="18:21">
      <c r="R1475" t="e">
        <f t="shared" si="70"/>
        <v>#VALUE!</v>
      </c>
      <c r="S1475">
        <f t="shared" si="71"/>
        <v>0</v>
      </c>
      <c r="T1475">
        <f t="shared" si="72"/>
        <v>0</v>
      </c>
      <c r="U1475">
        <f>IF(SQRT(POWER(T1475-F1475,2))+SQRT(POWER(E1475-S1475,2))=0,0,SQRT(POWER(T1475-F1475,2))+SQRT(POWER(E1475-S1475,2))+DATOS!$H$20)</f>
        <v>0</v>
      </c>
    </row>
    <row r="1476" spans="18:21">
      <c r="R1476" t="e">
        <f t="shared" si="70"/>
        <v>#VALUE!</v>
      </c>
      <c r="S1476">
        <f t="shared" si="71"/>
        <v>0</v>
      </c>
      <c r="T1476">
        <f t="shared" si="72"/>
        <v>0</v>
      </c>
      <c r="U1476">
        <f>IF(SQRT(POWER(T1476-F1476,2))+SQRT(POWER(E1476-S1476,2))=0,0,SQRT(POWER(T1476-F1476,2))+SQRT(POWER(E1476-S1476,2))+DATOS!$H$20)</f>
        <v>0</v>
      </c>
    </row>
    <row r="1477" spans="18:21">
      <c r="R1477" t="e">
        <f t="shared" si="70"/>
        <v>#VALUE!</v>
      </c>
      <c r="S1477">
        <f t="shared" si="71"/>
        <v>0</v>
      </c>
      <c r="T1477">
        <f t="shared" si="72"/>
        <v>0</v>
      </c>
      <c r="U1477">
        <f>IF(SQRT(POWER(T1477-F1477,2))+SQRT(POWER(E1477-S1477,2))=0,0,SQRT(POWER(T1477-F1477,2))+SQRT(POWER(E1477-S1477,2))+DATOS!$H$20)</f>
        <v>0</v>
      </c>
    </row>
    <row r="1478" spans="18:21">
      <c r="R1478" t="e">
        <f t="shared" si="70"/>
        <v>#VALUE!</v>
      </c>
      <c r="S1478">
        <f t="shared" si="71"/>
        <v>0</v>
      </c>
      <c r="T1478">
        <f t="shared" si="72"/>
        <v>0</v>
      </c>
      <c r="U1478">
        <f>IF(SQRT(POWER(T1478-F1478,2))+SQRT(POWER(E1478-S1478,2))=0,0,SQRT(POWER(T1478-F1478,2))+SQRT(POWER(E1478-S1478,2))+DATOS!$H$20)</f>
        <v>0</v>
      </c>
    </row>
    <row r="1479" spans="18:21">
      <c r="R1479" t="e">
        <f t="shared" si="70"/>
        <v>#VALUE!</v>
      </c>
      <c r="S1479">
        <f t="shared" si="71"/>
        <v>0</v>
      </c>
      <c r="T1479">
        <f t="shared" si="72"/>
        <v>0</v>
      </c>
      <c r="U1479">
        <f>IF(SQRT(POWER(T1479-F1479,2))+SQRT(POWER(E1479-S1479,2))=0,0,SQRT(POWER(T1479-F1479,2))+SQRT(POWER(E1479-S1479,2))+DATOS!$H$20)</f>
        <v>0</v>
      </c>
    </row>
    <row r="1480" spans="18:21">
      <c r="R1480" t="e">
        <f t="shared" si="70"/>
        <v>#VALUE!</v>
      </c>
      <c r="S1480">
        <f t="shared" si="71"/>
        <v>0</v>
      </c>
      <c r="T1480">
        <f t="shared" si="72"/>
        <v>0</v>
      </c>
      <c r="U1480">
        <f>IF(SQRT(POWER(T1480-F1480,2))+SQRT(POWER(E1480-S1480,2))=0,0,SQRT(POWER(T1480-F1480,2))+SQRT(POWER(E1480-S1480,2))+DATOS!$H$20)</f>
        <v>0</v>
      </c>
    </row>
    <row r="1481" spans="18:21">
      <c r="R1481" t="e">
        <f t="shared" si="70"/>
        <v>#VALUE!</v>
      </c>
      <c r="S1481">
        <f t="shared" si="71"/>
        <v>0</v>
      </c>
      <c r="T1481">
        <f t="shared" si="72"/>
        <v>0</v>
      </c>
      <c r="U1481">
        <f>IF(SQRT(POWER(T1481-F1481,2))+SQRT(POWER(E1481-S1481,2))=0,0,SQRT(POWER(T1481-F1481,2))+SQRT(POWER(E1481-S1481,2))+DATOS!$H$20)</f>
        <v>0</v>
      </c>
    </row>
    <row r="1482" spans="18:21">
      <c r="R1482" t="e">
        <f t="shared" si="70"/>
        <v>#VALUE!</v>
      </c>
      <c r="S1482">
        <f t="shared" si="71"/>
        <v>0</v>
      </c>
      <c r="T1482">
        <f t="shared" si="72"/>
        <v>0</v>
      </c>
      <c r="U1482">
        <f>IF(SQRT(POWER(T1482-F1482,2))+SQRT(POWER(E1482-S1482,2))=0,0,SQRT(POWER(T1482-F1482,2))+SQRT(POWER(E1482-S1482,2))+DATOS!$H$20)</f>
        <v>0</v>
      </c>
    </row>
    <row r="1483" spans="18:21">
      <c r="R1483" t="e">
        <f t="shared" si="70"/>
        <v>#VALUE!</v>
      </c>
      <c r="S1483">
        <f t="shared" si="71"/>
        <v>0</v>
      </c>
      <c r="T1483">
        <f t="shared" si="72"/>
        <v>0</v>
      </c>
      <c r="U1483">
        <f>IF(SQRT(POWER(T1483-F1483,2))+SQRT(POWER(E1483-S1483,2))=0,0,SQRT(POWER(T1483-F1483,2))+SQRT(POWER(E1483-S1483,2))+DATOS!$H$20)</f>
        <v>0</v>
      </c>
    </row>
    <row r="1484" spans="18:21">
      <c r="R1484" t="e">
        <f t="shared" si="70"/>
        <v>#VALUE!</v>
      </c>
      <c r="S1484">
        <f t="shared" si="71"/>
        <v>0</v>
      </c>
      <c r="T1484">
        <f t="shared" si="72"/>
        <v>0</v>
      </c>
      <c r="U1484">
        <f>IF(SQRT(POWER(T1484-F1484,2))+SQRT(POWER(E1484-S1484,2))=0,0,SQRT(POWER(T1484-F1484,2))+SQRT(POWER(E1484-S1484,2))+DATOS!$H$20)</f>
        <v>0</v>
      </c>
    </row>
    <row r="1485" spans="18:21">
      <c r="R1485" t="e">
        <f t="shared" si="70"/>
        <v>#VALUE!</v>
      </c>
      <c r="S1485">
        <f t="shared" si="71"/>
        <v>0</v>
      </c>
      <c r="T1485">
        <f t="shared" si="72"/>
        <v>0</v>
      </c>
      <c r="U1485">
        <f>IF(SQRT(POWER(T1485-F1485,2))+SQRT(POWER(E1485-S1485,2))=0,0,SQRT(POWER(T1485-F1485,2))+SQRT(POWER(E1485-S1485,2))+DATOS!$H$20)</f>
        <v>0</v>
      </c>
    </row>
    <row r="1486" spans="18:21">
      <c r="R1486" t="e">
        <f t="shared" si="70"/>
        <v>#VALUE!</v>
      </c>
      <c r="S1486">
        <f t="shared" si="71"/>
        <v>0</v>
      </c>
      <c r="T1486">
        <f t="shared" si="72"/>
        <v>0</v>
      </c>
      <c r="U1486">
        <f>IF(SQRT(POWER(T1486-F1486,2))+SQRT(POWER(E1486-S1486,2))=0,0,SQRT(POWER(T1486-F1486,2))+SQRT(POWER(E1486-S1486,2))+DATOS!$H$20)</f>
        <v>0</v>
      </c>
    </row>
    <row r="1487" spans="18:21">
      <c r="R1487" t="e">
        <f t="shared" si="70"/>
        <v>#VALUE!</v>
      </c>
      <c r="S1487">
        <f t="shared" si="71"/>
        <v>0</v>
      </c>
      <c r="T1487">
        <f t="shared" si="72"/>
        <v>0</v>
      </c>
      <c r="U1487">
        <f>IF(SQRT(POWER(T1487-F1487,2))+SQRT(POWER(E1487-S1487,2))=0,0,SQRT(POWER(T1487-F1487,2))+SQRT(POWER(E1487-S1487,2))+DATOS!$H$20)</f>
        <v>0</v>
      </c>
    </row>
    <row r="1488" spans="18:21">
      <c r="R1488" t="e">
        <f t="shared" si="70"/>
        <v>#VALUE!</v>
      </c>
      <c r="S1488">
        <f t="shared" si="71"/>
        <v>0</v>
      </c>
      <c r="T1488">
        <f t="shared" si="72"/>
        <v>0</v>
      </c>
      <c r="U1488">
        <f>IF(SQRT(POWER(T1488-F1488,2))+SQRT(POWER(E1488-S1488,2))=0,0,SQRT(POWER(T1488-F1488,2))+SQRT(POWER(E1488-S1488,2))+DATOS!$H$20)</f>
        <v>0</v>
      </c>
    </row>
    <row r="1489" spans="18:21">
      <c r="R1489" t="e">
        <f t="shared" si="70"/>
        <v>#VALUE!</v>
      </c>
      <c r="S1489">
        <f t="shared" si="71"/>
        <v>0</v>
      </c>
      <c r="T1489">
        <f t="shared" si="72"/>
        <v>0</v>
      </c>
      <c r="U1489">
        <f>IF(SQRT(POWER(T1489-F1489,2))+SQRT(POWER(E1489-S1489,2))=0,0,SQRT(POWER(T1489-F1489,2))+SQRT(POWER(E1489-S1489,2))+DATOS!$H$20)</f>
        <v>0</v>
      </c>
    </row>
    <row r="1490" spans="18:21">
      <c r="R1490" t="e">
        <f t="shared" si="70"/>
        <v>#VALUE!</v>
      </c>
      <c r="S1490">
        <f t="shared" si="71"/>
        <v>0</v>
      </c>
      <c r="T1490">
        <f t="shared" si="72"/>
        <v>0</v>
      </c>
      <c r="U1490">
        <f>IF(SQRT(POWER(T1490-F1490,2))+SQRT(POWER(E1490-S1490,2))=0,0,SQRT(POWER(T1490-F1490,2))+SQRT(POWER(E1490-S1490,2))+DATOS!$H$20)</f>
        <v>0</v>
      </c>
    </row>
    <row r="1491" spans="18:21">
      <c r="R1491" t="e">
        <f t="shared" si="70"/>
        <v>#VALUE!</v>
      </c>
      <c r="S1491">
        <f t="shared" si="71"/>
        <v>0</v>
      </c>
      <c r="T1491">
        <f t="shared" si="72"/>
        <v>0</v>
      </c>
      <c r="U1491">
        <f>IF(SQRT(POWER(T1491-F1491,2))+SQRT(POWER(E1491-S1491,2))=0,0,SQRT(POWER(T1491-F1491,2))+SQRT(POWER(E1491-S1491,2))+DATOS!$H$20)</f>
        <v>0</v>
      </c>
    </row>
    <row r="1492" spans="18:21">
      <c r="R1492" t="e">
        <f t="shared" si="70"/>
        <v>#VALUE!</v>
      </c>
      <c r="S1492">
        <f t="shared" si="71"/>
        <v>0</v>
      </c>
      <c r="T1492">
        <f t="shared" si="72"/>
        <v>0</v>
      </c>
      <c r="U1492">
        <f>IF(SQRT(POWER(T1492-F1492,2))+SQRT(POWER(E1492-S1492,2))=0,0,SQRT(POWER(T1492-F1492,2))+SQRT(POWER(E1492-S1492,2))+DATOS!$H$20)</f>
        <v>0</v>
      </c>
    </row>
    <row r="1493" spans="18:21">
      <c r="R1493" t="e">
        <f t="shared" si="70"/>
        <v>#VALUE!</v>
      </c>
      <c r="S1493">
        <f t="shared" si="71"/>
        <v>0</v>
      </c>
      <c r="T1493">
        <f t="shared" si="72"/>
        <v>0</v>
      </c>
      <c r="U1493">
        <f>IF(SQRT(POWER(T1493-F1493,2))+SQRT(POWER(E1493-S1493,2))=0,0,SQRT(POWER(T1493-F1493,2))+SQRT(POWER(E1493-S1493,2))+DATOS!$H$20)</f>
        <v>0</v>
      </c>
    </row>
    <row r="1494" spans="18:21">
      <c r="R1494" t="e">
        <f t="shared" si="70"/>
        <v>#VALUE!</v>
      </c>
      <c r="S1494">
        <f t="shared" si="71"/>
        <v>0</v>
      </c>
      <c r="T1494">
        <f t="shared" si="72"/>
        <v>0</v>
      </c>
      <c r="U1494">
        <f>IF(SQRT(POWER(T1494-F1494,2))+SQRT(POWER(E1494-S1494,2))=0,0,SQRT(POWER(T1494-F1494,2))+SQRT(POWER(E1494-S1494,2))+DATOS!$H$20)</f>
        <v>0</v>
      </c>
    </row>
    <row r="1495" spans="18:21">
      <c r="R1495" t="e">
        <f t="shared" si="70"/>
        <v>#VALUE!</v>
      </c>
      <c r="S1495">
        <f t="shared" si="71"/>
        <v>0</v>
      </c>
      <c r="T1495">
        <f t="shared" si="72"/>
        <v>0</v>
      </c>
      <c r="U1495">
        <f>IF(SQRT(POWER(T1495-F1495,2))+SQRT(POWER(E1495-S1495,2))=0,0,SQRT(POWER(T1495-F1495,2))+SQRT(POWER(E1495-S1495,2))+DATOS!$H$20)</f>
        <v>0</v>
      </c>
    </row>
    <row r="1496" spans="18:21">
      <c r="R1496" t="e">
        <f t="shared" si="70"/>
        <v>#VALUE!</v>
      </c>
      <c r="S1496">
        <f t="shared" si="71"/>
        <v>0</v>
      </c>
      <c r="T1496">
        <f t="shared" si="72"/>
        <v>0</v>
      </c>
      <c r="U1496">
        <f>IF(SQRT(POWER(T1496-F1496,2))+SQRT(POWER(E1496-S1496,2))=0,0,SQRT(POWER(T1496-F1496,2))+SQRT(POWER(E1496-S1496,2))+DATOS!$H$20)</f>
        <v>0</v>
      </c>
    </row>
    <row r="1497" spans="18:21">
      <c r="R1497" t="e">
        <f t="shared" si="70"/>
        <v>#VALUE!</v>
      </c>
      <c r="S1497">
        <f t="shared" si="71"/>
        <v>0</v>
      </c>
      <c r="T1497">
        <f t="shared" si="72"/>
        <v>0</v>
      </c>
      <c r="U1497">
        <f>IF(SQRT(POWER(T1497-F1497,2))+SQRT(POWER(E1497-S1497,2))=0,0,SQRT(POWER(T1497-F1497,2))+SQRT(POWER(E1497-S1497,2))+DATOS!$H$20)</f>
        <v>0</v>
      </c>
    </row>
    <row r="1498" spans="18:21">
      <c r="R1498" t="e">
        <f t="shared" si="70"/>
        <v>#VALUE!</v>
      </c>
      <c r="S1498">
        <f t="shared" si="71"/>
        <v>0</v>
      </c>
      <c r="T1498">
        <f t="shared" si="72"/>
        <v>0</v>
      </c>
      <c r="U1498">
        <f>IF(SQRT(POWER(T1498-F1498,2))+SQRT(POWER(E1498-S1498,2))=0,0,SQRT(POWER(T1498-F1498,2))+SQRT(POWER(E1498-S1498,2))+DATOS!$H$20)</f>
        <v>0</v>
      </c>
    </row>
    <row r="1499" spans="18:21">
      <c r="R1499" t="e">
        <f t="shared" si="70"/>
        <v>#VALUE!</v>
      </c>
      <c r="S1499">
        <f t="shared" si="71"/>
        <v>0</v>
      </c>
      <c r="T1499">
        <f t="shared" si="72"/>
        <v>0</v>
      </c>
      <c r="U1499">
        <f>IF(SQRT(POWER(T1499-F1499,2))+SQRT(POWER(E1499-S1499,2))=0,0,SQRT(POWER(T1499-F1499,2))+SQRT(POWER(E1499-S1499,2))+DATOS!$H$20)</f>
        <v>0</v>
      </c>
    </row>
    <row r="1500" spans="18:21">
      <c r="R1500" t="e">
        <f t="shared" si="70"/>
        <v>#VALUE!</v>
      </c>
      <c r="S1500">
        <f t="shared" si="71"/>
        <v>0</v>
      </c>
      <c r="T1500">
        <f t="shared" si="72"/>
        <v>0</v>
      </c>
      <c r="U1500">
        <f>IF(SQRT(POWER(T1500-F1500,2))+SQRT(POWER(E1500-S1500,2))=0,0,SQRT(POWER(T1500-F1500,2))+SQRT(POWER(E1500-S1500,2))+DATOS!$H$20)</f>
        <v>0</v>
      </c>
    </row>
    <row r="1501" spans="18:21">
      <c r="R1501" t="e">
        <f t="shared" si="70"/>
        <v>#VALUE!</v>
      </c>
      <c r="S1501">
        <f t="shared" si="71"/>
        <v>0</v>
      </c>
      <c r="T1501">
        <f t="shared" si="72"/>
        <v>0</v>
      </c>
      <c r="U1501">
        <f>IF(SQRT(POWER(T1501-F1501,2))+SQRT(POWER(E1501-S1501,2))=0,0,SQRT(POWER(T1501-F1501,2))+SQRT(POWER(E1501-S1501,2))+DATOS!$H$20)</f>
        <v>0</v>
      </c>
    </row>
    <row r="1502" spans="18:21">
      <c r="R1502" t="e">
        <f t="shared" si="70"/>
        <v>#VALUE!</v>
      </c>
      <c r="S1502">
        <f t="shared" si="71"/>
        <v>0</v>
      </c>
      <c r="T1502">
        <f t="shared" si="72"/>
        <v>0</v>
      </c>
      <c r="U1502">
        <f>IF(SQRT(POWER(T1502-F1502,2))+SQRT(POWER(E1502-S1502,2))=0,0,SQRT(POWER(T1502-F1502,2))+SQRT(POWER(E1502-S1502,2))+DATOS!$H$20)</f>
        <v>0</v>
      </c>
    </row>
    <row r="1503" spans="18:21">
      <c r="R1503" t="e">
        <f t="shared" si="70"/>
        <v>#VALUE!</v>
      </c>
      <c r="S1503">
        <f t="shared" si="71"/>
        <v>0</v>
      </c>
      <c r="T1503">
        <f t="shared" si="72"/>
        <v>0</v>
      </c>
      <c r="U1503">
        <f>IF(SQRT(POWER(T1503-F1503,2))+SQRT(POWER(E1503-S1503,2))=0,0,SQRT(POWER(T1503-F1503,2))+SQRT(POWER(E1503-S1503,2))+DATOS!$H$20)</f>
        <v>0</v>
      </c>
    </row>
    <row r="1504" spans="18:21">
      <c r="R1504" t="e">
        <f t="shared" si="70"/>
        <v>#VALUE!</v>
      </c>
      <c r="S1504">
        <f t="shared" si="71"/>
        <v>0</v>
      </c>
      <c r="T1504">
        <f t="shared" si="72"/>
        <v>0</v>
      </c>
      <c r="U1504">
        <f>IF(SQRT(POWER(T1504-F1504,2))+SQRT(POWER(E1504-S1504,2))=0,0,SQRT(POWER(T1504-F1504,2))+SQRT(POWER(E1504-S1504,2))+DATOS!$H$20)</f>
        <v>0</v>
      </c>
    </row>
    <row r="1505" spans="18:21">
      <c r="R1505" t="e">
        <f t="shared" si="70"/>
        <v>#VALUE!</v>
      </c>
      <c r="S1505">
        <f t="shared" si="71"/>
        <v>0</v>
      </c>
      <c r="T1505">
        <f t="shared" si="72"/>
        <v>0</v>
      </c>
      <c r="U1505">
        <f>IF(SQRT(POWER(T1505-F1505,2))+SQRT(POWER(E1505-S1505,2))=0,0,SQRT(POWER(T1505-F1505,2))+SQRT(POWER(E1505-S1505,2))+DATOS!$H$20)</f>
        <v>0</v>
      </c>
    </row>
    <row r="1506" spans="18:21">
      <c r="R1506" t="e">
        <f t="shared" si="70"/>
        <v>#VALUE!</v>
      </c>
      <c r="S1506">
        <f t="shared" si="71"/>
        <v>0</v>
      </c>
      <c r="T1506">
        <f t="shared" si="72"/>
        <v>0</v>
      </c>
      <c r="U1506">
        <f>IF(SQRT(POWER(T1506-F1506,2))+SQRT(POWER(E1506-S1506,2))=0,0,SQRT(POWER(T1506-F1506,2))+SQRT(POWER(E1506-S1506,2))+DATOS!$H$20)</f>
        <v>0</v>
      </c>
    </row>
    <row r="1507" spans="18:21">
      <c r="R1507" t="e">
        <f t="shared" si="70"/>
        <v>#VALUE!</v>
      </c>
      <c r="S1507">
        <f t="shared" si="71"/>
        <v>0</v>
      </c>
      <c r="T1507">
        <f t="shared" si="72"/>
        <v>0</v>
      </c>
      <c r="U1507">
        <f>IF(SQRT(POWER(T1507-F1507,2))+SQRT(POWER(E1507-S1507,2))=0,0,SQRT(POWER(T1507-F1507,2))+SQRT(POWER(E1507-S1507,2))+DATOS!$H$20)</f>
        <v>0</v>
      </c>
    </row>
    <row r="1508" spans="18:21">
      <c r="R1508" t="e">
        <f t="shared" si="70"/>
        <v>#VALUE!</v>
      </c>
      <c r="S1508">
        <f t="shared" si="71"/>
        <v>0</v>
      </c>
      <c r="T1508">
        <f t="shared" si="72"/>
        <v>0</v>
      </c>
      <c r="U1508">
        <f>IF(SQRT(POWER(T1508-F1508,2))+SQRT(POWER(E1508-S1508,2))=0,0,SQRT(POWER(T1508-F1508,2))+SQRT(POWER(E1508-S1508,2))+DATOS!$H$20)</f>
        <v>0</v>
      </c>
    </row>
    <row r="1509" spans="18:21">
      <c r="R1509" t="e">
        <f t="shared" si="70"/>
        <v>#VALUE!</v>
      </c>
      <c r="S1509">
        <f t="shared" si="71"/>
        <v>0</v>
      </c>
      <c r="T1509">
        <f t="shared" si="72"/>
        <v>0</v>
      </c>
      <c r="U1509">
        <f>IF(SQRT(POWER(T1509-F1509,2))+SQRT(POWER(E1509-S1509,2))=0,0,SQRT(POWER(T1509-F1509,2))+SQRT(POWER(E1509-S1509,2))+DATOS!$H$20)</f>
        <v>0</v>
      </c>
    </row>
    <row r="1510" spans="18:21">
      <c r="R1510" t="e">
        <f t="shared" si="70"/>
        <v>#VALUE!</v>
      </c>
      <c r="S1510">
        <f t="shared" si="71"/>
        <v>0</v>
      </c>
      <c r="T1510">
        <f t="shared" si="72"/>
        <v>0</v>
      </c>
      <c r="U1510">
        <f>IF(SQRT(POWER(T1510-F1510,2))+SQRT(POWER(E1510-S1510,2))=0,0,SQRT(POWER(T1510-F1510,2))+SQRT(POWER(E1510-S1510,2))+DATOS!$H$20)</f>
        <v>0</v>
      </c>
    </row>
    <row r="1511" spans="18:21">
      <c r="R1511" t="e">
        <f t="shared" si="70"/>
        <v>#VALUE!</v>
      </c>
      <c r="S1511">
        <f t="shared" si="71"/>
        <v>0</v>
      </c>
      <c r="T1511">
        <f t="shared" si="72"/>
        <v>0</v>
      </c>
      <c r="U1511">
        <f>IF(SQRT(POWER(T1511-F1511,2))+SQRT(POWER(E1511-S1511,2))=0,0,SQRT(POWER(T1511-F1511,2))+SQRT(POWER(E1511-S1511,2))+DATOS!$H$20)</f>
        <v>0</v>
      </c>
    </row>
    <row r="1512" spans="18:21">
      <c r="R1512" t="e">
        <f t="shared" si="70"/>
        <v>#VALUE!</v>
      </c>
      <c r="S1512">
        <f t="shared" si="71"/>
        <v>0</v>
      </c>
      <c r="T1512">
        <f t="shared" si="72"/>
        <v>0</v>
      </c>
      <c r="U1512">
        <f>IF(SQRT(POWER(T1512-F1512,2))+SQRT(POWER(E1512-S1512,2))=0,0,SQRT(POWER(T1512-F1512,2))+SQRT(POWER(E1512-S1512,2))+DATOS!$H$20)</f>
        <v>0</v>
      </c>
    </row>
    <row r="1513" spans="18:21">
      <c r="R1513" t="e">
        <f t="shared" si="70"/>
        <v>#VALUE!</v>
      </c>
      <c r="S1513">
        <f t="shared" si="71"/>
        <v>0</v>
      </c>
      <c r="T1513">
        <f t="shared" si="72"/>
        <v>0</v>
      </c>
      <c r="U1513">
        <f>IF(SQRT(POWER(T1513-F1513,2))+SQRT(POWER(E1513-S1513,2))=0,0,SQRT(POWER(T1513-F1513,2))+SQRT(POWER(E1513-S1513,2))+DATOS!$H$20)</f>
        <v>0</v>
      </c>
    </row>
    <row r="1514" spans="18:21">
      <c r="R1514" t="e">
        <f t="shared" si="70"/>
        <v>#VALUE!</v>
      </c>
      <c r="S1514">
        <f t="shared" si="71"/>
        <v>0</v>
      </c>
      <c r="T1514">
        <f t="shared" si="72"/>
        <v>0</v>
      </c>
      <c r="U1514">
        <f>IF(SQRT(POWER(T1514-F1514,2))+SQRT(POWER(E1514-S1514,2))=0,0,SQRT(POWER(T1514-F1514,2))+SQRT(POWER(E1514-S1514,2))+DATOS!$H$20)</f>
        <v>0</v>
      </c>
    </row>
    <row r="1515" spans="18:21">
      <c r="R1515" t="e">
        <f t="shared" si="70"/>
        <v>#VALUE!</v>
      </c>
      <c r="S1515">
        <f t="shared" si="71"/>
        <v>0</v>
      </c>
      <c r="T1515">
        <f t="shared" si="72"/>
        <v>0</v>
      </c>
      <c r="U1515">
        <f>IF(SQRT(POWER(T1515-F1515,2))+SQRT(POWER(E1515-S1515,2))=0,0,SQRT(POWER(T1515-F1515,2))+SQRT(POWER(E1515-S1515,2))+DATOS!$H$20)</f>
        <v>0</v>
      </c>
    </row>
    <row r="1516" spans="18:21">
      <c r="R1516" t="e">
        <f t="shared" si="70"/>
        <v>#VALUE!</v>
      </c>
      <c r="S1516">
        <f t="shared" si="71"/>
        <v>0</v>
      </c>
      <c r="T1516">
        <f t="shared" si="72"/>
        <v>0</v>
      </c>
      <c r="U1516">
        <f>IF(SQRT(POWER(T1516-F1516,2))+SQRT(POWER(E1516-S1516,2))=0,0,SQRT(POWER(T1516-F1516,2))+SQRT(POWER(E1516-S1516,2))+DATOS!$H$20)</f>
        <v>0</v>
      </c>
    </row>
    <row r="1517" spans="18:21">
      <c r="R1517" t="e">
        <f t="shared" si="70"/>
        <v>#VALUE!</v>
      </c>
      <c r="S1517">
        <f t="shared" si="71"/>
        <v>0</v>
      </c>
      <c r="T1517">
        <f t="shared" si="72"/>
        <v>0</v>
      </c>
      <c r="U1517">
        <f>IF(SQRT(POWER(T1517-F1517,2))+SQRT(POWER(E1517-S1517,2))=0,0,SQRT(POWER(T1517-F1517,2))+SQRT(POWER(E1517-S1517,2))+DATOS!$H$20)</f>
        <v>0</v>
      </c>
    </row>
    <row r="1518" spans="18:21">
      <c r="R1518" t="e">
        <f t="shared" si="70"/>
        <v>#VALUE!</v>
      </c>
      <c r="S1518">
        <f t="shared" si="71"/>
        <v>0</v>
      </c>
      <c r="T1518">
        <f t="shared" si="72"/>
        <v>0</v>
      </c>
      <c r="U1518">
        <f>IF(SQRT(POWER(T1518-F1518,2))+SQRT(POWER(E1518-S1518,2))=0,0,SQRT(POWER(T1518-F1518,2))+SQRT(POWER(E1518-S1518,2))+DATOS!$H$20)</f>
        <v>0</v>
      </c>
    </row>
    <row r="1519" spans="18:21">
      <c r="R1519" t="e">
        <f t="shared" si="70"/>
        <v>#VALUE!</v>
      </c>
      <c r="S1519">
        <f t="shared" si="71"/>
        <v>0</v>
      </c>
      <c r="T1519">
        <f t="shared" si="72"/>
        <v>0</v>
      </c>
      <c r="U1519">
        <f>IF(SQRT(POWER(T1519-F1519,2))+SQRT(POWER(E1519-S1519,2))=0,0,SQRT(POWER(T1519-F1519,2))+SQRT(POWER(E1519-S1519,2))+DATOS!$H$20)</f>
        <v>0</v>
      </c>
    </row>
    <row r="1520" spans="18:21">
      <c r="R1520" t="e">
        <f t="shared" si="70"/>
        <v>#VALUE!</v>
      </c>
      <c r="S1520">
        <f t="shared" si="71"/>
        <v>0</v>
      </c>
      <c r="T1520">
        <f t="shared" si="72"/>
        <v>0</v>
      </c>
      <c r="U1520">
        <f>IF(SQRT(POWER(T1520-F1520,2))+SQRT(POWER(E1520-S1520,2))=0,0,SQRT(POWER(T1520-F1520,2))+SQRT(POWER(E1520-S1520,2))+DATOS!$H$20)</f>
        <v>0</v>
      </c>
    </row>
    <row r="1521" spans="18:21">
      <c r="R1521" t="e">
        <f t="shared" si="70"/>
        <v>#VALUE!</v>
      </c>
      <c r="S1521">
        <f t="shared" si="71"/>
        <v>0</v>
      </c>
      <c r="T1521">
        <f t="shared" si="72"/>
        <v>0</v>
      </c>
      <c r="U1521">
        <f>IF(SQRT(POWER(T1521-F1521,2))+SQRT(POWER(E1521-S1521,2))=0,0,SQRT(POWER(T1521-F1521,2))+SQRT(POWER(E1521-S1521,2))+DATOS!$H$20)</f>
        <v>0</v>
      </c>
    </row>
    <row r="1522" spans="18:21">
      <c r="R1522" t="e">
        <f t="shared" si="70"/>
        <v>#VALUE!</v>
      </c>
      <c r="S1522">
        <f t="shared" si="71"/>
        <v>0</v>
      </c>
      <c r="T1522">
        <f t="shared" si="72"/>
        <v>0</v>
      </c>
      <c r="U1522">
        <f>IF(SQRT(POWER(T1522-F1522,2))+SQRT(POWER(E1522-S1522,2))=0,0,SQRT(POWER(T1522-F1522,2))+SQRT(POWER(E1522-S1522,2))+DATOS!$H$20)</f>
        <v>0</v>
      </c>
    </row>
    <row r="1523" spans="18:21">
      <c r="R1523" t="e">
        <f t="shared" si="70"/>
        <v>#VALUE!</v>
      </c>
      <c r="S1523">
        <f t="shared" si="71"/>
        <v>0</v>
      </c>
      <c r="T1523">
        <f t="shared" si="72"/>
        <v>0</v>
      </c>
      <c r="U1523">
        <f>IF(SQRT(POWER(T1523-F1523,2))+SQRT(POWER(E1523-S1523,2))=0,0,SQRT(POWER(T1523-F1523,2))+SQRT(POWER(E1523-S1523,2))+DATOS!$H$20)</f>
        <v>0</v>
      </c>
    </row>
    <row r="1524" spans="18:21">
      <c r="R1524" t="e">
        <f t="shared" si="70"/>
        <v>#VALUE!</v>
      </c>
      <c r="S1524">
        <f t="shared" si="71"/>
        <v>0</v>
      </c>
      <c r="T1524">
        <f t="shared" si="72"/>
        <v>0</v>
      </c>
      <c r="U1524">
        <f>IF(SQRT(POWER(T1524-F1524,2))+SQRT(POWER(E1524-S1524,2))=0,0,SQRT(POWER(T1524-F1524,2))+SQRT(POWER(E1524-S1524,2))+DATOS!$H$20)</f>
        <v>0</v>
      </c>
    </row>
    <row r="1525" spans="18:21">
      <c r="R1525" t="e">
        <f t="shared" si="70"/>
        <v>#VALUE!</v>
      </c>
      <c r="S1525">
        <f t="shared" si="71"/>
        <v>0</v>
      </c>
      <c r="T1525">
        <f t="shared" si="72"/>
        <v>0</v>
      </c>
      <c r="U1525">
        <f>IF(SQRT(POWER(T1525-F1525,2))+SQRT(POWER(E1525-S1525,2))=0,0,SQRT(POWER(T1525-F1525,2))+SQRT(POWER(E1525-S1525,2))+DATOS!$H$20)</f>
        <v>0</v>
      </c>
    </row>
    <row r="1526" spans="18:21">
      <c r="R1526" t="e">
        <f t="shared" si="70"/>
        <v>#VALUE!</v>
      </c>
      <c r="S1526">
        <f t="shared" si="71"/>
        <v>0</v>
      </c>
      <c r="T1526">
        <f t="shared" si="72"/>
        <v>0</v>
      </c>
      <c r="U1526">
        <f>IF(SQRT(POWER(T1526-F1526,2))+SQRT(POWER(E1526-S1526,2))=0,0,SQRT(POWER(T1526-F1526,2))+SQRT(POWER(E1526-S1526,2))+DATOS!$H$20)</f>
        <v>0</v>
      </c>
    </row>
    <row r="1527" spans="18:21">
      <c r="R1527" t="e">
        <f t="shared" si="70"/>
        <v>#VALUE!</v>
      </c>
      <c r="S1527">
        <f t="shared" si="71"/>
        <v>0</v>
      </c>
      <c r="T1527">
        <f t="shared" si="72"/>
        <v>0</v>
      </c>
      <c r="U1527">
        <f>IF(SQRT(POWER(T1527-F1527,2))+SQRT(POWER(E1527-S1527,2))=0,0,SQRT(POWER(T1527-F1527,2))+SQRT(POWER(E1527-S1527,2))+DATOS!$H$20)</f>
        <v>0</v>
      </c>
    </row>
    <row r="1528" spans="18:21">
      <c r="R1528" t="e">
        <f t="shared" si="70"/>
        <v>#VALUE!</v>
      </c>
      <c r="S1528">
        <f t="shared" si="71"/>
        <v>0</v>
      </c>
      <c r="T1528">
        <f t="shared" si="72"/>
        <v>0</v>
      </c>
      <c r="U1528">
        <f>IF(SQRT(POWER(T1528-F1528,2))+SQRT(POWER(E1528-S1528,2))=0,0,SQRT(POWER(T1528-F1528,2))+SQRT(POWER(E1528-S1528,2))+DATOS!$H$20)</f>
        <v>0</v>
      </c>
    </row>
    <row r="1529" spans="18:21">
      <c r="R1529" t="e">
        <f t="shared" si="70"/>
        <v>#VALUE!</v>
      </c>
      <c r="S1529">
        <f t="shared" si="71"/>
        <v>0</v>
      </c>
      <c r="T1529">
        <f t="shared" si="72"/>
        <v>0</v>
      </c>
      <c r="U1529">
        <f>IF(SQRT(POWER(T1529-F1529,2))+SQRT(POWER(E1529-S1529,2))=0,0,SQRT(POWER(T1529-F1529,2))+SQRT(POWER(E1529-S1529,2))+DATOS!$H$20)</f>
        <v>0</v>
      </c>
    </row>
    <row r="1530" spans="18:21">
      <c r="R1530" t="e">
        <f t="shared" si="70"/>
        <v>#VALUE!</v>
      </c>
      <c r="S1530">
        <f t="shared" si="71"/>
        <v>0</v>
      </c>
      <c r="T1530">
        <f t="shared" si="72"/>
        <v>0</v>
      </c>
      <c r="U1530">
        <f>IF(SQRT(POWER(T1530-F1530,2))+SQRT(POWER(E1530-S1530,2))=0,0,SQRT(POWER(T1530-F1530,2))+SQRT(POWER(E1530-S1530,2))+DATOS!$H$20)</f>
        <v>0</v>
      </c>
    </row>
    <row r="1531" spans="18:21">
      <c r="R1531" t="e">
        <f t="shared" si="70"/>
        <v>#VALUE!</v>
      </c>
      <c r="S1531">
        <f t="shared" si="71"/>
        <v>0</v>
      </c>
      <c r="T1531">
        <f t="shared" si="72"/>
        <v>0</v>
      </c>
      <c r="U1531">
        <f>IF(SQRT(POWER(T1531-F1531,2))+SQRT(POWER(E1531-S1531,2))=0,0,SQRT(POWER(T1531-F1531,2))+SQRT(POWER(E1531-S1531,2))+DATOS!$H$20)</f>
        <v>0</v>
      </c>
    </row>
    <row r="1532" spans="18:21">
      <c r="R1532" t="e">
        <f t="shared" si="70"/>
        <v>#VALUE!</v>
      </c>
      <c r="S1532">
        <f t="shared" si="71"/>
        <v>0</v>
      </c>
      <c r="T1532">
        <f t="shared" si="72"/>
        <v>0</v>
      </c>
      <c r="U1532">
        <f>IF(SQRT(POWER(T1532-F1532,2))+SQRT(POWER(E1532-S1532,2))=0,0,SQRT(POWER(T1532-F1532,2))+SQRT(POWER(E1532-S1532,2))+DATOS!$H$20)</f>
        <v>0</v>
      </c>
    </row>
    <row r="1533" spans="18:21">
      <c r="R1533" t="e">
        <f t="shared" ref="R1533:R1596" si="73">"TAB-"&amp;LEFT(A1533,FIND("-",A1533) -1)</f>
        <v>#VALUE!</v>
      </c>
      <c r="S1533">
        <f t="shared" ref="S1533:S1596" si="74">IFERROR(VLOOKUP(R1533,$A$2:$F$700,5,0),E1533)</f>
        <v>0</v>
      </c>
      <c r="T1533">
        <f t="shared" ref="T1533:T1596" si="75">IFERROR(VLOOKUP(R1533,$A$2:$F$700,6,0),F1533)</f>
        <v>0</v>
      </c>
      <c r="U1533">
        <f>IF(SQRT(POWER(T1533-F1533,2))+SQRT(POWER(E1533-S1533,2))=0,0,SQRT(POWER(T1533-F1533,2))+SQRT(POWER(E1533-S1533,2))+DATOS!$H$20)</f>
        <v>0</v>
      </c>
    </row>
    <row r="1534" spans="18:21">
      <c r="R1534" t="e">
        <f t="shared" si="73"/>
        <v>#VALUE!</v>
      </c>
      <c r="S1534">
        <f t="shared" si="74"/>
        <v>0</v>
      </c>
      <c r="T1534">
        <f t="shared" si="75"/>
        <v>0</v>
      </c>
      <c r="U1534">
        <f>IF(SQRT(POWER(T1534-F1534,2))+SQRT(POWER(E1534-S1534,2))=0,0,SQRT(POWER(T1534-F1534,2))+SQRT(POWER(E1534-S1534,2))+DATOS!$H$20)</f>
        <v>0</v>
      </c>
    </row>
    <row r="1535" spans="18:21">
      <c r="R1535" t="e">
        <f t="shared" si="73"/>
        <v>#VALUE!</v>
      </c>
      <c r="S1535">
        <f t="shared" si="74"/>
        <v>0</v>
      </c>
      <c r="T1535">
        <f t="shared" si="75"/>
        <v>0</v>
      </c>
      <c r="U1535">
        <f>IF(SQRT(POWER(T1535-F1535,2))+SQRT(POWER(E1535-S1535,2))=0,0,SQRT(POWER(T1535-F1535,2))+SQRT(POWER(E1535-S1535,2))+DATOS!$H$20)</f>
        <v>0</v>
      </c>
    </row>
    <row r="1536" spans="18:21">
      <c r="R1536" t="e">
        <f t="shared" si="73"/>
        <v>#VALUE!</v>
      </c>
      <c r="S1536">
        <f t="shared" si="74"/>
        <v>0</v>
      </c>
      <c r="T1536">
        <f t="shared" si="75"/>
        <v>0</v>
      </c>
      <c r="U1536">
        <f>IF(SQRT(POWER(T1536-F1536,2))+SQRT(POWER(E1536-S1536,2))=0,0,SQRT(POWER(T1536-F1536,2))+SQRT(POWER(E1536-S1536,2))+DATOS!$H$20)</f>
        <v>0</v>
      </c>
    </row>
    <row r="1537" spans="18:21">
      <c r="R1537" t="e">
        <f t="shared" si="73"/>
        <v>#VALUE!</v>
      </c>
      <c r="S1537">
        <f t="shared" si="74"/>
        <v>0</v>
      </c>
      <c r="T1537">
        <f t="shared" si="75"/>
        <v>0</v>
      </c>
      <c r="U1537">
        <f>IF(SQRT(POWER(T1537-F1537,2))+SQRT(POWER(E1537-S1537,2))=0,0,SQRT(POWER(T1537-F1537,2))+SQRT(POWER(E1537-S1537,2))+DATOS!$H$20)</f>
        <v>0</v>
      </c>
    </row>
    <row r="1538" spans="18:21">
      <c r="R1538" t="e">
        <f t="shared" si="73"/>
        <v>#VALUE!</v>
      </c>
      <c r="S1538">
        <f t="shared" si="74"/>
        <v>0</v>
      </c>
      <c r="T1538">
        <f t="shared" si="75"/>
        <v>0</v>
      </c>
      <c r="U1538">
        <f>IF(SQRT(POWER(T1538-F1538,2))+SQRT(POWER(E1538-S1538,2))=0,0,SQRT(POWER(T1538-F1538,2))+SQRT(POWER(E1538-S1538,2))+DATOS!$H$20)</f>
        <v>0</v>
      </c>
    </row>
    <row r="1539" spans="18:21">
      <c r="R1539" t="e">
        <f t="shared" si="73"/>
        <v>#VALUE!</v>
      </c>
      <c r="S1539">
        <f t="shared" si="74"/>
        <v>0</v>
      </c>
      <c r="T1539">
        <f t="shared" si="75"/>
        <v>0</v>
      </c>
      <c r="U1539">
        <f>IF(SQRT(POWER(T1539-F1539,2))+SQRT(POWER(E1539-S1539,2))=0,0,SQRT(POWER(T1539-F1539,2))+SQRT(POWER(E1539-S1539,2))+DATOS!$H$20)</f>
        <v>0</v>
      </c>
    </row>
    <row r="1540" spans="18:21">
      <c r="R1540" t="e">
        <f t="shared" si="73"/>
        <v>#VALUE!</v>
      </c>
      <c r="S1540">
        <f t="shared" si="74"/>
        <v>0</v>
      </c>
      <c r="T1540">
        <f t="shared" si="75"/>
        <v>0</v>
      </c>
      <c r="U1540">
        <f>IF(SQRT(POWER(T1540-F1540,2))+SQRT(POWER(E1540-S1540,2))=0,0,SQRT(POWER(T1540-F1540,2))+SQRT(POWER(E1540-S1540,2))+DATOS!$H$20)</f>
        <v>0</v>
      </c>
    </row>
    <row r="1541" spans="18:21">
      <c r="R1541" t="e">
        <f t="shared" si="73"/>
        <v>#VALUE!</v>
      </c>
      <c r="S1541">
        <f t="shared" si="74"/>
        <v>0</v>
      </c>
      <c r="T1541">
        <f t="shared" si="75"/>
        <v>0</v>
      </c>
      <c r="U1541">
        <f>IF(SQRT(POWER(T1541-F1541,2))+SQRT(POWER(E1541-S1541,2))=0,0,SQRT(POWER(T1541-F1541,2))+SQRT(POWER(E1541-S1541,2))+DATOS!$H$20)</f>
        <v>0</v>
      </c>
    </row>
    <row r="1542" spans="18:21">
      <c r="R1542" t="e">
        <f t="shared" si="73"/>
        <v>#VALUE!</v>
      </c>
      <c r="S1542">
        <f t="shared" si="74"/>
        <v>0</v>
      </c>
      <c r="T1542">
        <f t="shared" si="75"/>
        <v>0</v>
      </c>
      <c r="U1542">
        <f>IF(SQRT(POWER(T1542-F1542,2))+SQRT(POWER(E1542-S1542,2))=0,0,SQRT(POWER(T1542-F1542,2))+SQRT(POWER(E1542-S1542,2))+DATOS!$H$20)</f>
        <v>0</v>
      </c>
    </row>
    <row r="1543" spans="18:21">
      <c r="R1543" t="e">
        <f t="shared" si="73"/>
        <v>#VALUE!</v>
      </c>
      <c r="S1543">
        <f t="shared" si="74"/>
        <v>0</v>
      </c>
      <c r="T1543">
        <f t="shared" si="75"/>
        <v>0</v>
      </c>
      <c r="U1543">
        <f>IF(SQRT(POWER(T1543-F1543,2))+SQRT(POWER(E1543-S1543,2))=0,0,SQRT(POWER(T1543-F1543,2))+SQRT(POWER(E1543-S1543,2))+DATOS!$H$20)</f>
        <v>0</v>
      </c>
    </row>
    <row r="1544" spans="18:21">
      <c r="R1544" t="e">
        <f t="shared" si="73"/>
        <v>#VALUE!</v>
      </c>
      <c r="S1544">
        <f t="shared" si="74"/>
        <v>0</v>
      </c>
      <c r="T1544">
        <f t="shared" si="75"/>
        <v>0</v>
      </c>
      <c r="U1544">
        <f>IF(SQRT(POWER(T1544-F1544,2))+SQRT(POWER(E1544-S1544,2))=0,0,SQRT(POWER(T1544-F1544,2))+SQRT(POWER(E1544-S1544,2))+DATOS!$H$20)</f>
        <v>0</v>
      </c>
    </row>
    <row r="1545" spans="18:21">
      <c r="R1545" t="e">
        <f t="shared" si="73"/>
        <v>#VALUE!</v>
      </c>
      <c r="S1545">
        <f t="shared" si="74"/>
        <v>0</v>
      </c>
      <c r="T1545">
        <f t="shared" si="75"/>
        <v>0</v>
      </c>
      <c r="U1545">
        <f>IF(SQRT(POWER(T1545-F1545,2))+SQRT(POWER(E1545-S1545,2))=0,0,SQRT(POWER(T1545-F1545,2))+SQRT(POWER(E1545-S1545,2))+DATOS!$H$20)</f>
        <v>0</v>
      </c>
    </row>
    <row r="1546" spans="18:21">
      <c r="R1546" t="e">
        <f t="shared" si="73"/>
        <v>#VALUE!</v>
      </c>
      <c r="S1546">
        <f t="shared" si="74"/>
        <v>0</v>
      </c>
      <c r="T1546">
        <f t="shared" si="75"/>
        <v>0</v>
      </c>
      <c r="U1546">
        <f>IF(SQRT(POWER(T1546-F1546,2))+SQRT(POWER(E1546-S1546,2))=0,0,SQRT(POWER(T1546-F1546,2))+SQRT(POWER(E1546-S1546,2))+DATOS!$H$20)</f>
        <v>0</v>
      </c>
    </row>
    <row r="1547" spans="18:21">
      <c r="R1547" t="e">
        <f t="shared" si="73"/>
        <v>#VALUE!</v>
      </c>
      <c r="S1547">
        <f t="shared" si="74"/>
        <v>0</v>
      </c>
      <c r="T1547">
        <f t="shared" si="75"/>
        <v>0</v>
      </c>
      <c r="U1547">
        <f>IF(SQRT(POWER(T1547-F1547,2))+SQRT(POWER(E1547-S1547,2))=0,0,SQRT(POWER(T1547-F1547,2))+SQRT(POWER(E1547-S1547,2))+DATOS!$H$20)</f>
        <v>0</v>
      </c>
    </row>
    <row r="1548" spans="18:21">
      <c r="R1548" t="e">
        <f t="shared" si="73"/>
        <v>#VALUE!</v>
      </c>
      <c r="S1548">
        <f t="shared" si="74"/>
        <v>0</v>
      </c>
      <c r="T1548">
        <f t="shared" si="75"/>
        <v>0</v>
      </c>
      <c r="U1548">
        <f>IF(SQRT(POWER(T1548-F1548,2))+SQRT(POWER(E1548-S1548,2))=0,0,SQRT(POWER(T1548-F1548,2))+SQRT(POWER(E1548-S1548,2))+DATOS!$H$20)</f>
        <v>0</v>
      </c>
    </row>
    <row r="1549" spans="18:21">
      <c r="R1549" t="e">
        <f t="shared" si="73"/>
        <v>#VALUE!</v>
      </c>
      <c r="S1549">
        <f t="shared" si="74"/>
        <v>0</v>
      </c>
      <c r="T1549">
        <f t="shared" si="75"/>
        <v>0</v>
      </c>
      <c r="U1549">
        <f>IF(SQRT(POWER(T1549-F1549,2))+SQRT(POWER(E1549-S1549,2))=0,0,SQRT(POWER(T1549-F1549,2))+SQRT(POWER(E1549-S1549,2))+DATOS!$H$20)</f>
        <v>0</v>
      </c>
    </row>
    <row r="1550" spans="18:21">
      <c r="R1550" t="e">
        <f t="shared" si="73"/>
        <v>#VALUE!</v>
      </c>
      <c r="S1550">
        <f t="shared" si="74"/>
        <v>0</v>
      </c>
      <c r="T1550">
        <f t="shared" si="75"/>
        <v>0</v>
      </c>
      <c r="U1550">
        <f>IF(SQRT(POWER(T1550-F1550,2))+SQRT(POWER(E1550-S1550,2))=0,0,SQRT(POWER(T1550-F1550,2))+SQRT(POWER(E1550-S1550,2))+DATOS!$H$20)</f>
        <v>0</v>
      </c>
    </row>
    <row r="1551" spans="18:21">
      <c r="R1551" t="e">
        <f t="shared" si="73"/>
        <v>#VALUE!</v>
      </c>
      <c r="S1551">
        <f t="shared" si="74"/>
        <v>0</v>
      </c>
      <c r="T1551">
        <f t="shared" si="75"/>
        <v>0</v>
      </c>
      <c r="U1551">
        <f>IF(SQRT(POWER(T1551-F1551,2))+SQRT(POWER(E1551-S1551,2))=0,0,SQRT(POWER(T1551-F1551,2))+SQRT(POWER(E1551-S1551,2))+DATOS!$H$20)</f>
        <v>0</v>
      </c>
    </row>
    <row r="1552" spans="18:21">
      <c r="R1552" t="e">
        <f t="shared" si="73"/>
        <v>#VALUE!</v>
      </c>
      <c r="S1552">
        <f t="shared" si="74"/>
        <v>0</v>
      </c>
      <c r="T1552">
        <f t="shared" si="75"/>
        <v>0</v>
      </c>
      <c r="U1552">
        <f>IF(SQRT(POWER(T1552-F1552,2))+SQRT(POWER(E1552-S1552,2))=0,0,SQRT(POWER(T1552-F1552,2))+SQRT(POWER(E1552-S1552,2))+DATOS!$H$20)</f>
        <v>0</v>
      </c>
    </row>
    <row r="1553" spans="18:21">
      <c r="R1553" t="e">
        <f t="shared" si="73"/>
        <v>#VALUE!</v>
      </c>
      <c r="S1553">
        <f t="shared" si="74"/>
        <v>0</v>
      </c>
      <c r="T1553">
        <f t="shared" si="75"/>
        <v>0</v>
      </c>
      <c r="U1553">
        <f>IF(SQRT(POWER(T1553-F1553,2))+SQRT(POWER(E1553-S1553,2))=0,0,SQRT(POWER(T1553-F1553,2))+SQRT(POWER(E1553-S1553,2))+DATOS!$H$20)</f>
        <v>0</v>
      </c>
    </row>
    <row r="1554" spans="18:21">
      <c r="R1554" t="e">
        <f t="shared" si="73"/>
        <v>#VALUE!</v>
      </c>
      <c r="S1554">
        <f t="shared" si="74"/>
        <v>0</v>
      </c>
      <c r="T1554">
        <f t="shared" si="75"/>
        <v>0</v>
      </c>
      <c r="U1554">
        <f>IF(SQRT(POWER(T1554-F1554,2))+SQRT(POWER(E1554-S1554,2))=0,0,SQRT(POWER(T1554-F1554,2))+SQRT(POWER(E1554-S1554,2))+DATOS!$H$20)</f>
        <v>0</v>
      </c>
    </row>
    <row r="1555" spans="18:21">
      <c r="R1555" t="e">
        <f t="shared" si="73"/>
        <v>#VALUE!</v>
      </c>
      <c r="S1555">
        <f t="shared" si="74"/>
        <v>0</v>
      </c>
      <c r="T1555">
        <f t="shared" si="75"/>
        <v>0</v>
      </c>
      <c r="U1555">
        <f>IF(SQRT(POWER(T1555-F1555,2))+SQRT(POWER(E1555-S1555,2))=0,0,SQRT(POWER(T1555-F1555,2))+SQRT(POWER(E1555-S1555,2))+DATOS!$H$20)</f>
        <v>0</v>
      </c>
    </row>
    <row r="1556" spans="18:21">
      <c r="R1556" t="e">
        <f t="shared" si="73"/>
        <v>#VALUE!</v>
      </c>
      <c r="S1556">
        <f t="shared" si="74"/>
        <v>0</v>
      </c>
      <c r="T1556">
        <f t="shared" si="75"/>
        <v>0</v>
      </c>
      <c r="U1556">
        <f>IF(SQRT(POWER(T1556-F1556,2))+SQRT(POWER(E1556-S1556,2))=0,0,SQRT(POWER(T1556-F1556,2))+SQRT(POWER(E1556-S1556,2))+DATOS!$H$20)</f>
        <v>0</v>
      </c>
    </row>
    <row r="1557" spans="18:21">
      <c r="R1557" t="e">
        <f t="shared" si="73"/>
        <v>#VALUE!</v>
      </c>
      <c r="S1557">
        <f t="shared" si="74"/>
        <v>0</v>
      </c>
      <c r="T1557">
        <f t="shared" si="75"/>
        <v>0</v>
      </c>
      <c r="U1557">
        <f>IF(SQRT(POWER(T1557-F1557,2))+SQRT(POWER(E1557-S1557,2))=0,0,SQRT(POWER(T1557-F1557,2))+SQRT(POWER(E1557-S1557,2))+DATOS!$H$20)</f>
        <v>0</v>
      </c>
    </row>
    <row r="1558" spans="18:21">
      <c r="R1558" t="e">
        <f t="shared" si="73"/>
        <v>#VALUE!</v>
      </c>
      <c r="S1558">
        <f t="shared" si="74"/>
        <v>0</v>
      </c>
      <c r="T1558">
        <f t="shared" si="75"/>
        <v>0</v>
      </c>
      <c r="U1558">
        <f>IF(SQRT(POWER(T1558-F1558,2))+SQRT(POWER(E1558-S1558,2))=0,0,SQRT(POWER(T1558-F1558,2))+SQRT(POWER(E1558-S1558,2))+DATOS!$H$20)</f>
        <v>0</v>
      </c>
    </row>
    <row r="1559" spans="18:21">
      <c r="R1559" t="e">
        <f t="shared" si="73"/>
        <v>#VALUE!</v>
      </c>
      <c r="S1559">
        <f t="shared" si="74"/>
        <v>0</v>
      </c>
      <c r="T1559">
        <f t="shared" si="75"/>
        <v>0</v>
      </c>
      <c r="U1559">
        <f>IF(SQRT(POWER(T1559-F1559,2))+SQRT(POWER(E1559-S1559,2))=0,0,SQRT(POWER(T1559-F1559,2))+SQRT(POWER(E1559-S1559,2))+DATOS!$H$20)</f>
        <v>0</v>
      </c>
    </row>
    <row r="1560" spans="18:21">
      <c r="R1560" t="e">
        <f t="shared" si="73"/>
        <v>#VALUE!</v>
      </c>
      <c r="S1560">
        <f t="shared" si="74"/>
        <v>0</v>
      </c>
      <c r="T1560">
        <f t="shared" si="75"/>
        <v>0</v>
      </c>
      <c r="U1560">
        <f>IF(SQRT(POWER(T1560-F1560,2))+SQRT(POWER(E1560-S1560,2))=0,0,SQRT(POWER(T1560-F1560,2))+SQRT(POWER(E1560-S1560,2))+DATOS!$H$20)</f>
        <v>0</v>
      </c>
    </row>
    <row r="1561" spans="18:21">
      <c r="R1561" t="e">
        <f t="shared" si="73"/>
        <v>#VALUE!</v>
      </c>
      <c r="S1561">
        <f t="shared" si="74"/>
        <v>0</v>
      </c>
      <c r="T1561">
        <f t="shared" si="75"/>
        <v>0</v>
      </c>
      <c r="U1561">
        <f>IF(SQRT(POWER(T1561-F1561,2))+SQRT(POWER(E1561-S1561,2))=0,0,SQRT(POWER(T1561-F1561,2))+SQRT(POWER(E1561-S1561,2))+DATOS!$H$20)</f>
        <v>0</v>
      </c>
    </row>
    <row r="1562" spans="18:21">
      <c r="R1562" t="e">
        <f t="shared" si="73"/>
        <v>#VALUE!</v>
      </c>
      <c r="S1562">
        <f t="shared" si="74"/>
        <v>0</v>
      </c>
      <c r="T1562">
        <f t="shared" si="75"/>
        <v>0</v>
      </c>
      <c r="U1562">
        <f>IF(SQRT(POWER(T1562-F1562,2))+SQRT(POWER(E1562-S1562,2))=0,0,SQRT(POWER(T1562-F1562,2))+SQRT(POWER(E1562-S1562,2))+DATOS!$H$20)</f>
        <v>0</v>
      </c>
    </row>
    <row r="1563" spans="18:21">
      <c r="R1563" t="e">
        <f t="shared" si="73"/>
        <v>#VALUE!</v>
      </c>
      <c r="S1563">
        <f t="shared" si="74"/>
        <v>0</v>
      </c>
      <c r="T1563">
        <f t="shared" si="75"/>
        <v>0</v>
      </c>
      <c r="U1563">
        <f>IF(SQRT(POWER(T1563-F1563,2))+SQRT(POWER(E1563-S1563,2))=0,0,SQRT(POWER(T1563-F1563,2))+SQRT(POWER(E1563-S1563,2))+DATOS!$H$20)</f>
        <v>0</v>
      </c>
    </row>
    <row r="1564" spans="18:21">
      <c r="R1564" t="e">
        <f t="shared" si="73"/>
        <v>#VALUE!</v>
      </c>
      <c r="S1564">
        <f t="shared" si="74"/>
        <v>0</v>
      </c>
      <c r="T1564">
        <f t="shared" si="75"/>
        <v>0</v>
      </c>
      <c r="U1564">
        <f>IF(SQRT(POWER(T1564-F1564,2))+SQRT(POWER(E1564-S1564,2))=0,0,SQRT(POWER(T1564-F1564,2))+SQRT(POWER(E1564-S1564,2))+DATOS!$H$20)</f>
        <v>0</v>
      </c>
    </row>
    <row r="1565" spans="18:21">
      <c r="R1565" t="e">
        <f t="shared" si="73"/>
        <v>#VALUE!</v>
      </c>
      <c r="S1565">
        <f t="shared" si="74"/>
        <v>0</v>
      </c>
      <c r="T1565">
        <f t="shared" si="75"/>
        <v>0</v>
      </c>
      <c r="U1565">
        <f>IF(SQRT(POWER(T1565-F1565,2))+SQRT(POWER(E1565-S1565,2))=0,0,SQRT(POWER(T1565-F1565,2))+SQRT(POWER(E1565-S1565,2))+DATOS!$H$20)</f>
        <v>0</v>
      </c>
    </row>
    <row r="1566" spans="18:21">
      <c r="R1566" t="e">
        <f t="shared" si="73"/>
        <v>#VALUE!</v>
      </c>
      <c r="S1566">
        <f t="shared" si="74"/>
        <v>0</v>
      </c>
      <c r="T1566">
        <f t="shared" si="75"/>
        <v>0</v>
      </c>
      <c r="U1566">
        <f>IF(SQRT(POWER(T1566-F1566,2))+SQRT(POWER(E1566-S1566,2))=0,0,SQRT(POWER(T1566-F1566,2))+SQRT(POWER(E1566-S1566,2))+DATOS!$H$20)</f>
        <v>0</v>
      </c>
    </row>
    <row r="1567" spans="18:21">
      <c r="R1567" t="e">
        <f t="shared" si="73"/>
        <v>#VALUE!</v>
      </c>
      <c r="S1567">
        <f t="shared" si="74"/>
        <v>0</v>
      </c>
      <c r="T1567">
        <f t="shared" si="75"/>
        <v>0</v>
      </c>
      <c r="U1567">
        <f>IF(SQRT(POWER(T1567-F1567,2))+SQRT(POWER(E1567-S1567,2))=0,0,SQRT(POWER(T1567-F1567,2))+SQRT(POWER(E1567-S1567,2))+DATOS!$H$20)</f>
        <v>0</v>
      </c>
    </row>
    <row r="1568" spans="18:21">
      <c r="R1568" t="e">
        <f t="shared" si="73"/>
        <v>#VALUE!</v>
      </c>
      <c r="S1568">
        <f t="shared" si="74"/>
        <v>0</v>
      </c>
      <c r="T1568">
        <f t="shared" si="75"/>
        <v>0</v>
      </c>
      <c r="U1568">
        <f>IF(SQRT(POWER(T1568-F1568,2))+SQRT(POWER(E1568-S1568,2))=0,0,SQRT(POWER(T1568-F1568,2))+SQRT(POWER(E1568-S1568,2))+DATOS!$H$20)</f>
        <v>0</v>
      </c>
    </row>
    <row r="1569" spans="18:21">
      <c r="R1569" t="e">
        <f t="shared" si="73"/>
        <v>#VALUE!</v>
      </c>
      <c r="S1569">
        <f t="shared" si="74"/>
        <v>0</v>
      </c>
      <c r="T1569">
        <f t="shared" si="75"/>
        <v>0</v>
      </c>
      <c r="U1569">
        <f>IF(SQRT(POWER(T1569-F1569,2))+SQRT(POWER(E1569-S1569,2))=0,0,SQRT(POWER(T1569-F1569,2))+SQRT(POWER(E1569-S1569,2))+DATOS!$H$20)</f>
        <v>0</v>
      </c>
    </row>
    <row r="1570" spans="18:21">
      <c r="R1570" t="e">
        <f t="shared" si="73"/>
        <v>#VALUE!</v>
      </c>
      <c r="S1570">
        <f t="shared" si="74"/>
        <v>0</v>
      </c>
      <c r="T1570">
        <f t="shared" si="75"/>
        <v>0</v>
      </c>
      <c r="U1570">
        <f>IF(SQRT(POWER(T1570-F1570,2))+SQRT(POWER(E1570-S1570,2))=0,0,SQRT(POWER(T1570-F1570,2))+SQRT(POWER(E1570-S1570,2))+DATOS!$H$20)</f>
        <v>0</v>
      </c>
    </row>
    <row r="1571" spans="18:21">
      <c r="R1571" t="e">
        <f t="shared" si="73"/>
        <v>#VALUE!</v>
      </c>
      <c r="S1571">
        <f t="shared" si="74"/>
        <v>0</v>
      </c>
      <c r="T1571">
        <f t="shared" si="75"/>
        <v>0</v>
      </c>
      <c r="U1571">
        <f>IF(SQRT(POWER(T1571-F1571,2))+SQRT(POWER(E1571-S1571,2))=0,0,SQRT(POWER(T1571-F1571,2))+SQRT(POWER(E1571-S1571,2))+DATOS!$H$20)</f>
        <v>0</v>
      </c>
    </row>
    <row r="1572" spans="18:21">
      <c r="R1572" t="e">
        <f t="shared" si="73"/>
        <v>#VALUE!</v>
      </c>
      <c r="S1572">
        <f t="shared" si="74"/>
        <v>0</v>
      </c>
      <c r="T1572">
        <f t="shared" si="75"/>
        <v>0</v>
      </c>
      <c r="U1572">
        <f>IF(SQRT(POWER(T1572-F1572,2))+SQRT(POWER(E1572-S1572,2))=0,0,SQRT(POWER(T1572-F1572,2))+SQRT(POWER(E1572-S1572,2))+DATOS!$H$20)</f>
        <v>0</v>
      </c>
    </row>
    <row r="1573" spans="18:21">
      <c r="R1573" t="e">
        <f t="shared" si="73"/>
        <v>#VALUE!</v>
      </c>
      <c r="S1573">
        <f t="shared" si="74"/>
        <v>0</v>
      </c>
      <c r="T1573">
        <f t="shared" si="75"/>
        <v>0</v>
      </c>
      <c r="U1573">
        <f>IF(SQRT(POWER(T1573-F1573,2))+SQRT(POWER(E1573-S1573,2))=0,0,SQRT(POWER(T1573-F1573,2))+SQRT(POWER(E1573-S1573,2))+DATOS!$H$20)</f>
        <v>0</v>
      </c>
    </row>
    <row r="1574" spans="18:21">
      <c r="R1574" t="e">
        <f t="shared" si="73"/>
        <v>#VALUE!</v>
      </c>
      <c r="S1574">
        <f t="shared" si="74"/>
        <v>0</v>
      </c>
      <c r="T1574">
        <f t="shared" si="75"/>
        <v>0</v>
      </c>
      <c r="U1574">
        <f>IF(SQRT(POWER(T1574-F1574,2))+SQRT(POWER(E1574-S1574,2))=0,0,SQRT(POWER(T1574-F1574,2))+SQRT(POWER(E1574-S1574,2))+DATOS!$H$20)</f>
        <v>0</v>
      </c>
    </row>
    <row r="1575" spans="18:21">
      <c r="R1575" t="e">
        <f t="shared" si="73"/>
        <v>#VALUE!</v>
      </c>
      <c r="S1575">
        <f t="shared" si="74"/>
        <v>0</v>
      </c>
      <c r="T1575">
        <f t="shared" si="75"/>
        <v>0</v>
      </c>
      <c r="U1575">
        <f>IF(SQRT(POWER(T1575-F1575,2))+SQRT(POWER(E1575-S1575,2))=0,0,SQRT(POWER(T1575-F1575,2))+SQRT(POWER(E1575-S1575,2))+DATOS!$H$20)</f>
        <v>0</v>
      </c>
    </row>
    <row r="1576" spans="18:21">
      <c r="R1576" t="e">
        <f t="shared" si="73"/>
        <v>#VALUE!</v>
      </c>
      <c r="S1576">
        <f t="shared" si="74"/>
        <v>0</v>
      </c>
      <c r="T1576">
        <f t="shared" si="75"/>
        <v>0</v>
      </c>
      <c r="U1576">
        <f>IF(SQRT(POWER(T1576-F1576,2))+SQRT(POWER(E1576-S1576,2))=0,0,SQRT(POWER(T1576-F1576,2))+SQRT(POWER(E1576-S1576,2))+DATOS!$H$20)</f>
        <v>0</v>
      </c>
    </row>
    <row r="1577" spans="18:21">
      <c r="R1577" t="e">
        <f t="shared" si="73"/>
        <v>#VALUE!</v>
      </c>
      <c r="S1577">
        <f t="shared" si="74"/>
        <v>0</v>
      </c>
      <c r="T1577">
        <f t="shared" si="75"/>
        <v>0</v>
      </c>
      <c r="U1577">
        <f>IF(SQRT(POWER(T1577-F1577,2))+SQRT(POWER(E1577-S1577,2))=0,0,SQRT(POWER(T1577-F1577,2))+SQRT(POWER(E1577-S1577,2))+DATOS!$H$20)</f>
        <v>0</v>
      </c>
    </row>
    <row r="1578" spans="18:21">
      <c r="R1578" t="e">
        <f t="shared" si="73"/>
        <v>#VALUE!</v>
      </c>
      <c r="S1578">
        <f t="shared" si="74"/>
        <v>0</v>
      </c>
      <c r="T1578">
        <f t="shared" si="75"/>
        <v>0</v>
      </c>
      <c r="U1578">
        <f>IF(SQRT(POWER(T1578-F1578,2))+SQRT(POWER(E1578-S1578,2))=0,0,SQRT(POWER(T1578-F1578,2))+SQRT(POWER(E1578-S1578,2))+DATOS!$H$20)</f>
        <v>0</v>
      </c>
    </row>
    <row r="1579" spans="18:21">
      <c r="R1579" t="e">
        <f t="shared" si="73"/>
        <v>#VALUE!</v>
      </c>
      <c r="S1579">
        <f t="shared" si="74"/>
        <v>0</v>
      </c>
      <c r="T1579">
        <f t="shared" si="75"/>
        <v>0</v>
      </c>
      <c r="U1579">
        <f>IF(SQRT(POWER(T1579-F1579,2))+SQRT(POWER(E1579-S1579,2))=0,0,SQRT(POWER(T1579-F1579,2))+SQRT(POWER(E1579-S1579,2))+DATOS!$H$20)</f>
        <v>0</v>
      </c>
    </row>
    <row r="1580" spans="18:21">
      <c r="R1580" t="e">
        <f t="shared" si="73"/>
        <v>#VALUE!</v>
      </c>
      <c r="S1580">
        <f t="shared" si="74"/>
        <v>0</v>
      </c>
      <c r="T1580">
        <f t="shared" si="75"/>
        <v>0</v>
      </c>
      <c r="U1580">
        <f>IF(SQRT(POWER(T1580-F1580,2))+SQRT(POWER(E1580-S1580,2))=0,0,SQRT(POWER(T1580-F1580,2))+SQRT(POWER(E1580-S1580,2))+DATOS!$H$20)</f>
        <v>0</v>
      </c>
    </row>
    <row r="1581" spans="18:21">
      <c r="R1581" t="e">
        <f t="shared" si="73"/>
        <v>#VALUE!</v>
      </c>
      <c r="S1581">
        <f t="shared" si="74"/>
        <v>0</v>
      </c>
      <c r="T1581">
        <f t="shared" si="75"/>
        <v>0</v>
      </c>
      <c r="U1581">
        <f>IF(SQRT(POWER(T1581-F1581,2))+SQRT(POWER(E1581-S1581,2))=0,0,SQRT(POWER(T1581-F1581,2))+SQRT(POWER(E1581-S1581,2))+DATOS!$H$20)</f>
        <v>0</v>
      </c>
    </row>
    <row r="1582" spans="18:21">
      <c r="R1582" t="e">
        <f t="shared" si="73"/>
        <v>#VALUE!</v>
      </c>
      <c r="S1582">
        <f t="shared" si="74"/>
        <v>0</v>
      </c>
      <c r="T1582">
        <f t="shared" si="75"/>
        <v>0</v>
      </c>
      <c r="U1582">
        <f>IF(SQRT(POWER(T1582-F1582,2))+SQRT(POWER(E1582-S1582,2))=0,0,SQRT(POWER(T1582-F1582,2))+SQRT(POWER(E1582-S1582,2))+DATOS!$H$20)</f>
        <v>0</v>
      </c>
    </row>
    <row r="1583" spans="18:21">
      <c r="R1583" t="e">
        <f t="shared" si="73"/>
        <v>#VALUE!</v>
      </c>
      <c r="S1583">
        <f t="shared" si="74"/>
        <v>0</v>
      </c>
      <c r="T1583">
        <f t="shared" si="75"/>
        <v>0</v>
      </c>
      <c r="U1583">
        <f>IF(SQRT(POWER(T1583-F1583,2))+SQRT(POWER(E1583-S1583,2))=0,0,SQRT(POWER(T1583-F1583,2))+SQRT(POWER(E1583-S1583,2))+DATOS!$H$20)</f>
        <v>0</v>
      </c>
    </row>
    <row r="1584" spans="18:21">
      <c r="R1584" t="e">
        <f t="shared" si="73"/>
        <v>#VALUE!</v>
      </c>
      <c r="S1584">
        <f t="shared" si="74"/>
        <v>0</v>
      </c>
      <c r="T1584">
        <f t="shared" si="75"/>
        <v>0</v>
      </c>
      <c r="U1584">
        <f>IF(SQRT(POWER(T1584-F1584,2))+SQRT(POWER(E1584-S1584,2))=0,0,SQRT(POWER(T1584-F1584,2))+SQRT(POWER(E1584-S1584,2))+DATOS!$H$20)</f>
        <v>0</v>
      </c>
    </row>
    <row r="1585" spans="18:21">
      <c r="R1585" t="e">
        <f t="shared" si="73"/>
        <v>#VALUE!</v>
      </c>
      <c r="S1585">
        <f t="shared" si="74"/>
        <v>0</v>
      </c>
      <c r="T1585">
        <f t="shared" si="75"/>
        <v>0</v>
      </c>
      <c r="U1585">
        <f>IF(SQRT(POWER(T1585-F1585,2))+SQRT(POWER(E1585-S1585,2))=0,0,SQRT(POWER(T1585-F1585,2))+SQRT(POWER(E1585-S1585,2))+DATOS!$H$20)</f>
        <v>0</v>
      </c>
    </row>
    <row r="1586" spans="18:21">
      <c r="R1586" t="e">
        <f t="shared" si="73"/>
        <v>#VALUE!</v>
      </c>
      <c r="S1586">
        <f t="shared" si="74"/>
        <v>0</v>
      </c>
      <c r="T1586">
        <f t="shared" si="75"/>
        <v>0</v>
      </c>
      <c r="U1586">
        <f>IF(SQRT(POWER(T1586-F1586,2))+SQRT(POWER(E1586-S1586,2))=0,0,SQRT(POWER(T1586-F1586,2))+SQRT(POWER(E1586-S1586,2))+DATOS!$H$20)</f>
        <v>0</v>
      </c>
    </row>
    <row r="1587" spans="18:21">
      <c r="R1587" t="e">
        <f t="shared" si="73"/>
        <v>#VALUE!</v>
      </c>
      <c r="S1587">
        <f t="shared" si="74"/>
        <v>0</v>
      </c>
      <c r="T1587">
        <f t="shared" si="75"/>
        <v>0</v>
      </c>
      <c r="U1587">
        <f>IF(SQRT(POWER(T1587-F1587,2))+SQRT(POWER(E1587-S1587,2))=0,0,SQRT(POWER(T1587-F1587,2))+SQRT(POWER(E1587-S1587,2))+DATOS!$H$20)</f>
        <v>0</v>
      </c>
    </row>
    <row r="1588" spans="18:21">
      <c r="R1588" t="e">
        <f t="shared" si="73"/>
        <v>#VALUE!</v>
      </c>
      <c r="S1588">
        <f t="shared" si="74"/>
        <v>0</v>
      </c>
      <c r="T1588">
        <f t="shared" si="75"/>
        <v>0</v>
      </c>
      <c r="U1588">
        <f>IF(SQRT(POWER(T1588-F1588,2))+SQRT(POWER(E1588-S1588,2))=0,0,SQRT(POWER(T1588-F1588,2))+SQRT(POWER(E1588-S1588,2))+DATOS!$H$20)</f>
        <v>0</v>
      </c>
    </row>
    <row r="1589" spans="18:21">
      <c r="R1589" t="e">
        <f t="shared" si="73"/>
        <v>#VALUE!</v>
      </c>
      <c r="S1589">
        <f t="shared" si="74"/>
        <v>0</v>
      </c>
      <c r="T1589">
        <f t="shared" si="75"/>
        <v>0</v>
      </c>
      <c r="U1589">
        <f>IF(SQRT(POWER(T1589-F1589,2))+SQRT(POWER(E1589-S1589,2))=0,0,SQRT(POWER(T1589-F1589,2))+SQRT(POWER(E1589-S1589,2))+DATOS!$H$20)</f>
        <v>0</v>
      </c>
    </row>
    <row r="1590" spans="18:21">
      <c r="R1590" t="e">
        <f t="shared" si="73"/>
        <v>#VALUE!</v>
      </c>
      <c r="S1590">
        <f t="shared" si="74"/>
        <v>0</v>
      </c>
      <c r="T1590">
        <f t="shared" si="75"/>
        <v>0</v>
      </c>
      <c r="U1590">
        <f>IF(SQRT(POWER(T1590-F1590,2))+SQRT(POWER(E1590-S1590,2))=0,0,SQRT(POWER(T1590-F1590,2))+SQRT(POWER(E1590-S1590,2))+DATOS!$H$20)</f>
        <v>0</v>
      </c>
    </row>
    <row r="1591" spans="18:21">
      <c r="R1591" t="e">
        <f t="shared" si="73"/>
        <v>#VALUE!</v>
      </c>
      <c r="S1591">
        <f t="shared" si="74"/>
        <v>0</v>
      </c>
      <c r="T1591">
        <f t="shared" si="75"/>
        <v>0</v>
      </c>
      <c r="U1591">
        <f>IF(SQRT(POWER(T1591-F1591,2))+SQRT(POWER(E1591-S1591,2))=0,0,SQRT(POWER(T1591-F1591,2))+SQRT(POWER(E1591-S1591,2))+DATOS!$H$20)</f>
        <v>0</v>
      </c>
    </row>
    <row r="1592" spans="18:21">
      <c r="R1592" t="e">
        <f t="shared" si="73"/>
        <v>#VALUE!</v>
      </c>
      <c r="S1592">
        <f t="shared" si="74"/>
        <v>0</v>
      </c>
      <c r="T1592">
        <f t="shared" si="75"/>
        <v>0</v>
      </c>
      <c r="U1592">
        <f>IF(SQRT(POWER(T1592-F1592,2))+SQRT(POWER(E1592-S1592,2))=0,0,SQRT(POWER(T1592-F1592,2))+SQRT(POWER(E1592-S1592,2))+DATOS!$H$20)</f>
        <v>0</v>
      </c>
    </row>
    <row r="1593" spans="18:21">
      <c r="R1593" t="e">
        <f t="shared" si="73"/>
        <v>#VALUE!</v>
      </c>
      <c r="S1593">
        <f t="shared" si="74"/>
        <v>0</v>
      </c>
      <c r="T1593">
        <f t="shared" si="75"/>
        <v>0</v>
      </c>
      <c r="U1593">
        <f>IF(SQRT(POWER(T1593-F1593,2))+SQRT(POWER(E1593-S1593,2))=0,0,SQRT(POWER(T1593-F1593,2))+SQRT(POWER(E1593-S1593,2))+DATOS!$H$20)</f>
        <v>0</v>
      </c>
    </row>
    <row r="1594" spans="18:21">
      <c r="R1594" t="e">
        <f t="shared" si="73"/>
        <v>#VALUE!</v>
      </c>
      <c r="S1594">
        <f t="shared" si="74"/>
        <v>0</v>
      </c>
      <c r="T1594">
        <f t="shared" si="75"/>
        <v>0</v>
      </c>
      <c r="U1594">
        <f>IF(SQRT(POWER(T1594-F1594,2))+SQRT(POWER(E1594-S1594,2))=0,0,SQRT(POWER(T1594-F1594,2))+SQRT(POWER(E1594-S1594,2))+DATOS!$H$20)</f>
        <v>0</v>
      </c>
    </row>
    <row r="1595" spans="18:21">
      <c r="R1595" t="e">
        <f t="shared" si="73"/>
        <v>#VALUE!</v>
      </c>
      <c r="S1595">
        <f t="shared" si="74"/>
        <v>0</v>
      </c>
      <c r="T1595">
        <f t="shared" si="75"/>
        <v>0</v>
      </c>
      <c r="U1595">
        <f>IF(SQRT(POWER(T1595-F1595,2))+SQRT(POWER(E1595-S1595,2))=0,0,SQRT(POWER(T1595-F1595,2))+SQRT(POWER(E1595-S1595,2))+DATOS!$H$20)</f>
        <v>0</v>
      </c>
    </row>
    <row r="1596" spans="18:21">
      <c r="R1596" t="e">
        <f t="shared" si="73"/>
        <v>#VALUE!</v>
      </c>
      <c r="S1596">
        <f t="shared" si="74"/>
        <v>0</v>
      </c>
      <c r="T1596">
        <f t="shared" si="75"/>
        <v>0</v>
      </c>
      <c r="U1596">
        <f>IF(SQRT(POWER(T1596-F1596,2))+SQRT(POWER(E1596-S1596,2))=0,0,SQRT(POWER(T1596-F1596,2))+SQRT(POWER(E1596-S1596,2))+DATOS!$H$20)</f>
        <v>0</v>
      </c>
    </row>
    <row r="1597" spans="18:21">
      <c r="R1597" t="e">
        <f t="shared" ref="R1597:R1660" si="76">"TAB-"&amp;LEFT(A1597,FIND("-",A1597) -1)</f>
        <v>#VALUE!</v>
      </c>
      <c r="S1597">
        <f t="shared" ref="S1597:S1660" si="77">IFERROR(VLOOKUP(R1597,$A$2:$F$700,5,0),E1597)</f>
        <v>0</v>
      </c>
      <c r="T1597">
        <f t="shared" ref="T1597:T1660" si="78">IFERROR(VLOOKUP(R1597,$A$2:$F$700,6,0),F1597)</f>
        <v>0</v>
      </c>
      <c r="U1597">
        <f>IF(SQRT(POWER(T1597-F1597,2))+SQRT(POWER(E1597-S1597,2))=0,0,SQRT(POWER(T1597-F1597,2))+SQRT(POWER(E1597-S1597,2))+DATOS!$H$20)</f>
        <v>0</v>
      </c>
    </row>
    <row r="1598" spans="18:21">
      <c r="R1598" t="e">
        <f t="shared" si="76"/>
        <v>#VALUE!</v>
      </c>
      <c r="S1598">
        <f t="shared" si="77"/>
        <v>0</v>
      </c>
      <c r="T1598">
        <f t="shared" si="78"/>
        <v>0</v>
      </c>
      <c r="U1598">
        <f>IF(SQRT(POWER(T1598-F1598,2))+SQRT(POWER(E1598-S1598,2))=0,0,SQRT(POWER(T1598-F1598,2))+SQRT(POWER(E1598-S1598,2))+DATOS!$H$20)</f>
        <v>0</v>
      </c>
    </row>
    <row r="1599" spans="18:21">
      <c r="R1599" t="e">
        <f t="shared" si="76"/>
        <v>#VALUE!</v>
      </c>
      <c r="S1599">
        <f t="shared" si="77"/>
        <v>0</v>
      </c>
      <c r="T1599">
        <f t="shared" si="78"/>
        <v>0</v>
      </c>
      <c r="U1599">
        <f>IF(SQRT(POWER(T1599-F1599,2))+SQRT(POWER(E1599-S1599,2))=0,0,SQRT(POWER(T1599-F1599,2))+SQRT(POWER(E1599-S1599,2))+DATOS!$H$20)</f>
        <v>0</v>
      </c>
    </row>
    <row r="1600" spans="18:21">
      <c r="R1600" t="e">
        <f t="shared" si="76"/>
        <v>#VALUE!</v>
      </c>
      <c r="S1600">
        <f t="shared" si="77"/>
        <v>0</v>
      </c>
      <c r="T1600">
        <f t="shared" si="78"/>
        <v>0</v>
      </c>
      <c r="U1600">
        <f>IF(SQRT(POWER(T1600-F1600,2))+SQRT(POWER(E1600-S1600,2))=0,0,SQRT(POWER(T1600-F1600,2))+SQRT(POWER(E1600-S1600,2))+DATOS!$H$20)</f>
        <v>0</v>
      </c>
    </row>
    <row r="1601" spans="18:21">
      <c r="R1601" t="e">
        <f t="shared" si="76"/>
        <v>#VALUE!</v>
      </c>
      <c r="S1601">
        <f t="shared" si="77"/>
        <v>0</v>
      </c>
      <c r="T1601">
        <f t="shared" si="78"/>
        <v>0</v>
      </c>
      <c r="U1601">
        <f>IF(SQRT(POWER(T1601-F1601,2))+SQRT(POWER(E1601-S1601,2))=0,0,SQRT(POWER(T1601-F1601,2))+SQRT(POWER(E1601-S1601,2))+DATOS!$H$20)</f>
        <v>0</v>
      </c>
    </row>
    <row r="1602" spans="18:21">
      <c r="R1602" t="e">
        <f t="shared" si="76"/>
        <v>#VALUE!</v>
      </c>
      <c r="S1602">
        <f t="shared" si="77"/>
        <v>0</v>
      </c>
      <c r="T1602">
        <f t="shared" si="78"/>
        <v>0</v>
      </c>
      <c r="U1602">
        <f>IF(SQRT(POWER(T1602-F1602,2))+SQRT(POWER(E1602-S1602,2))=0,0,SQRT(POWER(T1602-F1602,2))+SQRT(POWER(E1602-S1602,2))+DATOS!$H$20)</f>
        <v>0</v>
      </c>
    </row>
    <row r="1603" spans="18:21">
      <c r="R1603" t="e">
        <f t="shared" si="76"/>
        <v>#VALUE!</v>
      </c>
      <c r="S1603">
        <f t="shared" si="77"/>
        <v>0</v>
      </c>
      <c r="T1603">
        <f t="shared" si="78"/>
        <v>0</v>
      </c>
      <c r="U1603">
        <f>IF(SQRT(POWER(T1603-F1603,2))+SQRT(POWER(E1603-S1603,2))=0,0,SQRT(POWER(T1603-F1603,2))+SQRT(POWER(E1603-S1603,2))+DATOS!$H$20)</f>
        <v>0</v>
      </c>
    </row>
    <row r="1604" spans="18:21">
      <c r="R1604" t="e">
        <f t="shared" si="76"/>
        <v>#VALUE!</v>
      </c>
      <c r="S1604">
        <f t="shared" si="77"/>
        <v>0</v>
      </c>
      <c r="T1604">
        <f t="shared" si="78"/>
        <v>0</v>
      </c>
      <c r="U1604">
        <f>IF(SQRT(POWER(T1604-F1604,2))+SQRT(POWER(E1604-S1604,2))=0,0,SQRT(POWER(T1604-F1604,2))+SQRT(POWER(E1604-S1604,2))+DATOS!$H$20)</f>
        <v>0</v>
      </c>
    </row>
    <row r="1605" spans="18:21">
      <c r="R1605" t="e">
        <f t="shared" si="76"/>
        <v>#VALUE!</v>
      </c>
      <c r="S1605">
        <f t="shared" si="77"/>
        <v>0</v>
      </c>
      <c r="T1605">
        <f t="shared" si="78"/>
        <v>0</v>
      </c>
      <c r="U1605">
        <f>IF(SQRT(POWER(T1605-F1605,2))+SQRT(POWER(E1605-S1605,2))=0,0,SQRT(POWER(T1605-F1605,2))+SQRT(POWER(E1605-S1605,2))+DATOS!$H$20)</f>
        <v>0</v>
      </c>
    </row>
    <row r="1606" spans="18:21">
      <c r="R1606" t="e">
        <f t="shared" si="76"/>
        <v>#VALUE!</v>
      </c>
      <c r="S1606">
        <f t="shared" si="77"/>
        <v>0</v>
      </c>
      <c r="T1606">
        <f t="shared" si="78"/>
        <v>0</v>
      </c>
      <c r="U1606">
        <f>IF(SQRT(POWER(T1606-F1606,2))+SQRT(POWER(E1606-S1606,2))=0,0,SQRT(POWER(T1606-F1606,2))+SQRT(POWER(E1606-S1606,2))+DATOS!$H$20)</f>
        <v>0</v>
      </c>
    </row>
    <row r="1607" spans="18:21">
      <c r="R1607" t="e">
        <f t="shared" si="76"/>
        <v>#VALUE!</v>
      </c>
      <c r="S1607">
        <f t="shared" si="77"/>
        <v>0</v>
      </c>
      <c r="T1607">
        <f t="shared" si="78"/>
        <v>0</v>
      </c>
      <c r="U1607">
        <f>IF(SQRT(POWER(T1607-F1607,2))+SQRT(POWER(E1607-S1607,2))=0,0,SQRT(POWER(T1607-F1607,2))+SQRT(POWER(E1607-S1607,2))+DATOS!$H$20)</f>
        <v>0</v>
      </c>
    </row>
    <row r="1608" spans="18:21">
      <c r="R1608" t="e">
        <f t="shared" si="76"/>
        <v>#VALUE!</v>
      </c>
      <c r="S1608">
        <f t="shared" si="77"/>
        <v>0</v>
      </c>
      <c r="T1608">
        <f t="shared" si="78"/>
        <v>0</v>
      </c>
      <c r="U1608">
        <f>IF(SQRT(POWER(T1608-F1608,2))+SQRT(POWER(E1608-S1608,2))=0,0,SQRT(POWER(T1608-F1608,2))+SQRT(POWER(E1608-S1608,2))+DATOS!$H$20)</f>
        <v>0</v>
      </c>
    </row>
    <row r="1609" spans="18:21">
      <c r="R1609" t="e">
        <f t="shared" si="76"/>
        <v>#VALUE!</v>
      </c>
      <c r="S1609">
        <f t="shared" si="77"/>
        <v>0</v>
      </c>
      <c r="T1609">
        <f t="shared" si="78"/>
        <v>0</v>
      </c>
      <c r="U1609">
        <f>IF(SQRT(POWER(T1609-F1609,2))+SQRT(POWER(E1609-S1609,2))=0,0,SQRT(POWER(T1609-F1609,2))+SQRT(POWER(E1609-S1609,2))+DATOS!$H$20)</f>
        <v>0</v>
      </c>
    </row>
    <row r="1610" spans="18:21">
      <c r="R1610" t="e">
        <f t="shared" si="76"/>
        <v>#VALUE!</v>
      </c>
      <c r="S1610">
        <f t="shared" si="77"/>
        <v>0</v>
      </c>
      <c r="T1610">
        <f t="shared" si="78"/>
        <v>0</v>
      </c>
      <c r="U1610">
        <f>IF(SQRT(POWER(T1610-F1610,2))+SQRT(POWER(E1610-S1610,2))=0,0,SQRT(POWER(T1610-F1610,2))+SQRT(POWER(E1610-S1610,2))+DATOS!$H$20)</f>
        <v>0</v>
      </c>
    </row>
    <row r="1611" spans="18:21">
      <c r="R1611" t="e">
        <f t="shared" si="76"/>
        <v>#VALUE!</v>
      </c>
      <c r="S1611">
        <f t="shared" si="77"/>
        <v>0</v>
      </c>
      <c r="T1611">
        <f t="shared" si="78"/>
        <v>0</v>
      </c>
      <c r="U1611">
        <f>IF(SQRT(POWER(T1611-F1611,2))+SQRT(POWER(E1611-S1611,2))=0,0,SQRT(POWER(T1611-F1611,2))+SQRT(POWER(E1611-S1611,2))+DATOS!$H$20)</f>
        <v>0</v>
      </c>
    </row>
    <row r="1612" spans="18:21">
      <c r="R1612" t="e">
        <f t="shared" si="76"/>
        <v>#VALUE!</v>
      </c>
      <c r="S1612">
        <f t="shared" si="77"/>
        <v>0</v>
      </c>
      <c r="T1612">
        <f t="shared" si="78"/>
        <v>0</v>
      </c>
      <c r="U1612">
        <f>IF(SQRT(POWER(T1612-F1612,2))+SQRT(POWER(E1612-S1612,2))=0,0,SQRT(POWER(T1612-F1612,2))+SQRT(POWER(E1612-S1612,2))+DATOS!$H$20)</f>
        <v>0</v>
      </c>
    </row>
    <row r="1613" spans="18:21">
      <c r="R1613" t="e">
        <f t="shared" si="76"/>
        <v>#VALUE!</v>
      </c>
      <c r="S1613">
        <f t="shared" si="77"/>
        <v>0</v>
      </c>
      <c r="T1613">
        <f t="shared" si="78"/>
        <v>0</v>
      </c>
      <c r="U1613">
        <f>IF(SQRT(POWER(T1613-F1613,2))+SQRT(POWER(E1613-S1613,2))=0,0,SQRT(POWER(T1613-F1613,2))+SQRT(POWER(E1613-S1613,2))+DATOS!$H$20)</f>
        <v>0</v>
      </c>
    </row>
    <row r="1614" spans="18:21">
      <c r="R1614" t="e">
        <f t="shared" si="76"/>
        <v>#VALUE!</v>
      </c>
      <c r="S1614">
        <f t="shared" si="77"/>
        <v>0</v>
      </c>
      <c r="T1614">
        <f t="shared" si="78"/>
        <v>0</v>
      </c>
      <c r="U1614">
        <f>IF(SQRT(POWER(T1614-F1614,2))+SQRT(POWER(E1614-S1614,2))=0,0,SQRT(POWER(T1614-F1614,2))+SQRT(POWER(E1614-S1614,2))+DATOS!$H$20)</f>
        <v>0</v>
      </c>
    </row>
    <row r="1615" spans="18:21">
      <c r="R1615" t="e">
        <f t="shared" si="76"/>
        <v>#VALUE!</v>
      </c>
      <c r="S1615">
        <f t="shared" si="77"/>
        <v>0</v>
      </c>
      <c r="T1615">
        <f t="shared" si="78"/>
        <v>0</v>
      </c>
      <c r="U1615">
        <f>IF(SQRT(POWER(T1615-F1615,2))+SQRT(POWER(E1615-S1615,2))=0,0,SQRT(POWER(T1615-F1615,2))+SQRT(POWER(E1615-S1615,2))+DATOS!$H$20)</f>
        <v>0</v>
      </c>
    </row>
    <row r="1616" spans="18:21">
      <c r="R1616" t="e">
        <f t="shared" si="76"/>
        <v>#VALUE!</v>
      </c>
      <c r="S1616">
        <f t="shared" si="77"/>
        <v>0</v>
      </c>
      <c r="T1616">
        <f t="shared" si="78"/>
        <v>0</v>
      </c>
      <c r="U1616">
        <f>IF(SQRT(POWER(T1616-F1616,2))+SQRT(POWER(E1616-S1616,2))=0,0,SQRT(POWER(T1616-F1616,2))+SQRT(POWER(E1616-S1616,2))+DATOS!$H$20)</f>
        <v>0</v>
      </c>
    </row>
    <row r="1617" spans="18:21">
      <c r="R1617" t="e">
        <f t="shared" si="76"/>
        <v>#VALUE!</v>
      </c>
      <c r="S1617">
        <f t="shared" si="77"/>
        <v>0</v>
      </c>
      <c r="T1617">
        <f t="shared" si="78"/>
        <v>0</v>
      </c>
      <c r="U1617">
        <f>IF(SQRT(POWER(T1617-F1617,2))+SQRT(POWER(E1617-S1617,2))=0,0,SQRT(POWER(T1617-F1617,2))+SQRT(POWER(E1617-S1617,2))+DATOS!$H$20)</f>
        <v>0</v>
      </c>
    </row>
    <row r="1618" spans="18:21">
      <c r="R1618" t="e">
        <f t="shared" si="76"/>
        <v>#VALUE!</v>
      </c>
      <c r="S1618">
        <f t="shared" si="77"/>
        <v>0</v>
      </c>
      <c r="T1618">
        <f t="shared" si="78"/>
        <v>0</v>
      </c>
      <c r="U1618">
        <f>IF(SQRT(POWER(T1618-F1618,2))+SQRT(POWER(E1618-S1618,2))=0,0,SQRT(POWER(T1618-F1618,2))+SQRT(POWER(E1618-S1618,2))+DATOS!$H$20)</f>
        <v>0</v>
      </c>
    </row>
    <row r="1619" spans="18:21">
      <c r="R1619" t="e">
        <f t="shared" si="76"/>
        <v>#VALUE!</v>
      </c>
      <c r="S1619">
        <f t="shared" si="77"/>
        <v>0</v>
      </c>
      <c r="T1619">
        <f t="shared" si="78"/>
        <v>0</v>
      </c>
      <c r="U1619">
        <f>IF(SQRT(POWER(T1619-F1619,2))+SQRT(POWER(E1619-S1619,2))=0,0,SQRT(POWER(T1619-F1619,2))+SQRT(POWER(E1619-S1619,2))+DATOS!$H$20)</f>
        <v>0</v>
      </c>
    </row>
    <row r="1620" spans="18:21">
      <c r="R1620" t="e">
        <f t="shared" si="76"/>
        <v>#VALUE!</v>
      </c>
      <c r="S1620">
        <f t="shared" si="77"/>
        <v>0</v>
      </c>
      <c r="T1620">
        <f t="shared" si="78"/>
        <v>0</v>
      </c>
      <c r="U1620">
        <f>IF(SQRT(POWER(T1620-F1620,2))+SQRT(POWER(E1620-S1620,2))=0,0,SQRT(POWER(T1620-F1620,2))+SQRT(POWER(E1620-S1620,2))+DATOS!$H$20)</f>
        <v>0</v>
      </c>
    </row>
    <row r="1621" spans="18:21">
      <c r="R1621" t="e">
        <f t="shared" si="76"/>
        <v>#VALUE!</v>
      </c>
      <c r="S1621">
        <f t="shared" si="77"/>
        <v>0</v>
      </c>
      <c r="T1621">
        <f t="shared" si="78"/>
        <v>0</v>
      </c>
      <c r="U1621">
        <f>IF(SQRT(POWER(T1621-F1621,2))+SQRT(POWER(E1621-S1621,2))=0,0,SQRT(POWER(T1621-F1621,2))+SQRT(POWER(E1621-S1621,2))+DATOS!$H$20)</f>
        <v>0</v>
      </c>
    </row>
    <row r="1622" spans="18:21">
      <c r="R1622" t="e">
        <f t="shared" si="76"/>
        <v>#VALUE!</v>
      </c>
      <c r="S1622">
        <f t="shared" si="77"/>
        <v>0</v>
      </c>
      <c r="T1622">
        <f t="shared" si="78"/>
        <v>0</v>
      </c>
      <c r="U1622">
        <f>IF(SQRT(POWER(T1622-F1622,2))+SQRT(POWER(E1622-S1622,2))=0,0,SQRT(POWER(T1622-F1622,2))+SQRT(POWER(E1622-S1622,2))+DATOS!$H$20)</f>
        <v>0</v>
      </c>
    </row>
    <row r="1623" spans="18:21">
      <c r="R1623" t="e">
        <f t="shared" si="76"/>
        <v>#VALUE!</v>
      </c>
      <c r="S1623">
        <f t="shared" si="77"/>
        <v>0</v>
      </c>
      <c r="T1623">
        <f t="shared" si="78"/>
        <v>0</v>
      </c>
      <c r="U1623">
        <f>IF(SQRT(POWER(T1623-F1623,2))+SQRT(POWER(E1623-S1623,2))=0,0,SQRT(POWER(T1623-F1623,2))+SQRT(POWER(E1623-S1623,2))+DATOS!$H$20)</f>
        <v>0</v>
      </c>
    </row>
    <row r="1624" spans="18:21">
      <c r="R1624" t="e">
        <f t="shared" si="76"/>
        <v>#VALUE!</v>
      </c>
      <c r="S1624">
        <f t="shared" si="77"/>
        <v>0</v>
      </c>
      <c r="T1624">
        <f t="shared" si="78"/>
        <v>0</v>
      </c>
      <c r="U1624">
        <f>IF(SQRT(POWER(T1624-F1624,2))+SQRT(POWER(E1624-S1624,2))=0,0,SQRT(POWER(T1624-F1624,2))+SQRT(POWER(E1624-S1624,2))+DATOS!$H$20)</f>
        <v>0</v>
      </c>
    </row>
    <row r="1625" spans="18:21">
      <c r="R1625" t="e">
        <f t="shared" si="76"/>
        <v>#VALUE!</v>
      </c>
      <c r="S1625">
        <f t="shared" si="77"/>
        <v>0</v>
      </c>
      <c r="T1625">
        <f t="shared" si="78"/>
        <v>0</v>
      </c>
      <c r="U1625">
        <f>IF(SQRT(POWER(T1625-F1625,2))+SQRT(POWER(E1625-S1625,2))=0,0,SQRT(POWER(T1625-F1625,2))+SQRT(POWER(E1625-S1625,2))+DATOS!$H$20)</f>
        <v>0</v>
      </c>
    </row>
    <row r="1626" spans="18:21">
      <c r="R1626" t="e">
        <f t="shared" si="76"/>
        <v>#VALUE!</v>
      </c>
      <c r="S1626">
        <f t="shared" si="77"/>
        <v>0</v>
      </c>
      <c r="T1626">
        <f t="shared" si="78"/>
        <v>0</v>
      </c>
      <c r="U1626">
        <f>IF(SQRT(POWER(T1626-F1626,2))+SQRT(POWER(E1626-S1626,2))=0,0,SQRT(POWER(T1626-F1626,2))+SQRT(POWER(E1626-S1626,2))+DATOS!$H$20)</f>
        <v>0</v>
      </c>
    </row>
    <row r="1627" spans="18:21">
      <c r="R1627" t="e">
        <f t="shared" si="76"/>
        <v>#VALUE!</v>
      </c>
      <c r="S1627">
        <f t="shared" si="77"/>
        <v>0</v>
      </c>
      <c r="T1627">
        <f t="shared" si="78"/>
        <v>0</v>
      </c>
      <c r="U1627">
        <f>IF(SQRT(POWER(T1627-F1627,2))+SQRT(POWER(E1627-S1627,2))=0,0,SQRT(POWER(T1627-F1627,2))+SQRT(POWER(E1627-S1627,2))+DATOS!$H$20)</f>
        <v>0</v>
      </c>
    </row>
    <row r="1628" spans="18:21">
      <c r="R1628" t="e">
        <f t="shared" si="76"/>
        <v>#VALUE!</v>
      </c>
      <c r="S1628">
        <f t="shared" si="77"/>
        <v>0</v>
      </c>
      <c r="T1628">
        <f t="shared" si="78"/>
        <v>0</v>
      </c>
      <c r="U1628">
        <f>IF(SQRT(POWER(T1628-F1628,2))+SQRT(POWER(E1628-S1628,2))=0,0,SQRT(POWER(T1628-F1628,2))+SQRT(POWER(E1628-S1628,2))+DATOS!$H$20)</f>
        <v>0</v>
      </c>
    </row>
    <row r="1629" spans="18:21">
      <c r="R1629" t="e">
        <f t="shared" si="76"/>
        <v>#VALUE!</v>
      </c>
      <c r="S1629">
        <f t="shared" si="77"/>
        <v>0</v>
      </c>
      <c r="T1629">
        <f t="shared" si="78"/>
        <v>0</v>
      </c>
      <c r="U1629">
        <f>IF(SQRT(POWER(T1629-F1629,2))+SQRT(POWER(E1629-S1629,2))=0,0,SQRT(POWER(T1629-F1629,2))+SQRT(POWER(E1629-S1629,2))+DATOS!$H$20)</f>
        <v>0</v>
      </c>
    </row>
    <row r="1630" spans="18:21">
      <c r="R1630" t="e">
        <f t="shared" si="76"/>
        <v>#VALUE!</v>
      </c>
      <c r="S1630">
        <f t="shared" si="77"/>
        <v>0</v>
      </c>
      <c r="T1630">
        <f t="shared" si="78"/>
        <v>0</v>
      </c>
      <c r="U1630">
        <f>IF(SQRT(POWER(T1630-F1630,2))+SQRT(POWER(E1630-S1630,2))=0,0,SQRT(POWER(T1630-F1630,2))+SQRT(POWER(E1630-S1630,2))+DATOS!$H$20)</f>
        <v>0</v>
      </c>
    </row>
    <row r="1631" spans="18:21">
      <c r="R1631" t="e">
        <f t="shared" si="76"/>
        <v>#VALUE!</v>
      </c>
      <c r="S1631">
        <f t="shared" si="77"/>
        <v>0</v>
      </c>
      <c r="T1631">
        <f t="shared" si="78"/>
        <v>0</v>
      </c>
      <c r="U1631">
        <f>IF(SQRT(POWER(T1631-F1631,2))+SQRT(POWER(E1631-S1631,2))=0,0,SQRT(POWER(T1631-F1631,2))+SQRT(POWER(E1631-S1631,2))+DATOS!$H$20)</f>
        <v>0</v>
      </c>
    </row>
    <row r="1632" spans="18:21">
      <c r="R1632" t="e">
        <f t="shared" si="76"/>
        <v>#VALUE!</v>
      </c>
      <c r="S1632">
        <f t="shared" si="77"/>
        <v>0</v>
      </c>
      <c r="T1632">
        <f t="shared" si="78"/>
        <v>0</v>
      </c>
      <c r="U1632">
        <f>IF(SQRT(POWER(T1632-F1632,2))+SQRT(POWER(E1632-S1632,2))=0,0,SQRT(POWER(T1632-F1632,2))+SQRT(POWER(E1632-S1632,2))+DATOS!$H$20)</f>
        <v>0</v>
      </c>
    </row>
    <row r="1633" spans="18:21">
      <c r="R1633" t="e">
        <f t="shared" si="76"/>
        <v>#VALUE!</v>
      </c>
      <c r="S1633">
        <f t="shared" si="77"/>
        <v>0</v>
      </c>
      <c r="T1633">
        <f t="shared" si="78"/>
        <v>0</v>
      </c>
      <c r="U1633">
        <f>IF(SQRT(POWER(T1633-F1633,2))+SQRT(POWER(E1633-S1633,2))=0,0,SQRT(POWER(T1633-F1633,2))+SQRT(POWER(E1633-S1633,2))+DATOS!$H$20)</f>
        <v>0</v>
      </c>
    </row>
    <row r="1634" spans="18:21">
      <c r="R1634" t="e">
        <f t="shared" si="76"/>
        <v>#VALUE!</v>
      </c>
      <c r="S1634">
        <f t="shared" si="77"/>
        <v>0</v>
      </c>
      <c r="T1634">
        <f t="shared" si="78"/>
        <v>0</v>
      </c>
      <c r="U1634">
        <f>IF(SQRT(POWER(T1634-F1634,2))+SQRT(POWER(E1634-S1634,2))=0,0,SQRT(POWER(T1634-F1634,2))+SQRT(POWER(E1634-S1634,2))+DATOS!$H$20)</f>
        <v>0</v>
      </c>
    </row>
    <row r="1635" spans="18:21">
      <c r="R1635" t="e">
        <f t="shared" si="76"/>
        <v>#VALUE!</v>
      </c>
      <c r="S1635">
        <f t="shared" si="77"/>
        <v>0</v>
      </c>
      <c r="T1635">
        <f t="shared" si="78"/>
        <v>0</v>
      </c>
      <c r="U1635">
        <f>IF(SQRT(POWER(T1635-F1635,2))+SQRT(POWER(E1635-S1635,2))=0,0,SQRT(POWER(T1635-F1635,2))+SQRT(POWER(E1635-S1635,2))+DATOS!$H$20)</f>
        <v>0</v>
      </c>
    </row>
    <row r="1636" spans="18:21">
      <c r="R1636" t="e">
        <f t="shared" si="76"/>
        <v>#VALUE!</v>
      </c>
      <c r="S1636">
        <f t="shared" si="77"/>
        <v>0</v>
      </c>
      <c r="T1636">
        <f t="shared" si="78"/>
        <v>0</v>
      </c>
      <c r="U1636">
        <f>IF(SQRT(POWER(T1636-F1636,2))+SQRT(POWER(E1636-S1636,2))=0,0,SQRT(POWER(T1636-F1636,2))+SQRT(POWER(E1636-S1636,2))+DATOS!$H$20)</f>
        <v>0</v>
      </c>
    </row>
    <row r="1637" spans="18:21">
      <c r="R1637" t="e">
        <f t="shared" si="76"/>
        <v>#VALUE!</v>
      </c>
      <c r="S1637">
        <f t="shared" si="77"/>
        <v>0</v>
      </c>
      <c r="T1637">
        <f t="shared" si="78"/>
        <v>0</v>
      </c>
      <c r="U1637">
        <f>IF(SQRT(POWER(T1637-F1637,2))+SQRT(POWER(E1637-S1637,2))=0,0,SQRT(POWER(T1637-F1637,2))+SQRT(POWER(E1637-S1637,2))+DATOS!$H$20)</f>
        <v>0</v>
      </c>
    </row>
    <row r="1638" spans="18:21">
      <c r="R1638" t="e">
        <f t="shared" si="76"/>
        <v>#VALUE!</v>
      </c>
      <c r="S1638">
        <f t="shared" si="77"/>
        <v>0</v>
      </c>
      <c r="T1638">
        <f t="shared" si="78"/>
        <v>0</v>
      </c>
      <c r="U1638">
        <f>IF(SQRT(POWER(T1638-F1638,2))+SQRT(POWER(E1638-S1638,2))=0,0,SQRT(POWER(T1638-F1638,2))+SQRT(POWER(E1638-S1638,2))+DATOS!$H$20)</f>
        <v>0</v>
      </c>
    </row>
    <row r="1639" spans="18:21">
      <c r="R1639" t="e">
        <f t="shared" si="76"/>
        <v>#VALUE!</v>
      </c>
      <c r="S1639">
        <f t="shared" si="77"/>
        <v>0</v>
      </c>
      <c r="T1639">
        <f t="shared" si="78"/>
        <v>0</v>
      </c>
      <c r="U1639">
        <f>IF(SQRT(POWER(T1639-F1639,2))+SQRT(POWER(E1639-S1639,2))=0,0,SQRT(POWER(T1639-F1639,2))+SQRT(POWER(E1639-S1639,2))+DATOS!$H$20)</f>
        <v>0</v>
      </c>
    </row>
    <row r="1640" spans="18:21">
      <c r="R1640" t="e">
        <f t="shared" si="76"/>
        <v>#VALUE!</v>
      </c>
      <c r="S1640">
        <f t="shared" si="77"/>
        <v>0</v>
      </c>
      <c r="T1640">
        <f t="shared" si="78"/>
        <v>0</v>
      </c>
      <c r="U1640">
        <f>IF(SQRT(POWER(T1640-F1640,2))+SQRT(POWER(E1640-S1640,2))=0,0,SQRT(POWER(T1640-F1640,2))+SQRT(POWER(E1640-S1640,2))+DATOS!$H$20)</f>
        <v>0</v>
      </c>
    </row>
    <row r="1641" spans="18:21">
      <c r="R1641" t="e">
        <f t="shared" si="76"/>
        <v>#VALUE!</v>
      </c>
      <c r="S1641">
        <f t="shared" si="77"/>
        <v>0</v>
      </c>
      <c r="T1641">
        <f t="shared" si="78"/>
        <v>0</v>
      </c>
      <c r="U1641">
        <f>IF(SQRT(POWER(T1641-F1641,2))+SQRT(POWER(E1641-S1641,2))=0,0,SQRT(POWER(T1641-F1641,2))+SQRT(POWER(E1641-S1641,2))+DATOS!$H$20)</f>
        <v>0</v>
      </c>
    </row>
    <row r="1642" spans="18:21">
      <c r="R1642" t="e">
        <f t="shared" si="76"/>
        <v>#VALUE!</v>
      </c>
      <c r="S1642">
        <f t="shared" si="77"/>
        <v>0</v>
      </c>
      <c r="T1642">
        <f t="shared" si="78"/>
        <v>0</v>
      </c>
      <c r="U1642">
        <f>IF(SQRT(POWER(T1642-F1642,2))+SQRT(POWER(E1642-S1642,2))=0,0,SQRT(POWER(T1642-F1642,2))+SQRT(POWER(E1642-S1642,2))+DATOS!$H$20)</f>
        <v>0</v>
      </c>
    </row>
    <row r="1643" spans="18:21">
      <c r="R1643" t="e">
        <f t="shared" si="76"/>
        <v>#VALUE!</v>
      </c>
      <c r="S1643">
        <f t="shared" si="77"/>
        <v>0</v>
      </c>
      <c r="T1643">
        <f t="shared" si="78"/>
        <v>0</v>
      </c>
      <c r="U1643">
        <f>IF(SQRT(POWER(T1643-F1643,2))+SQRT(POWER(E1643-S1643,2))=0,0,SQRT(POWER(T1643-F1643,2))+SQRT(POWER(E1643-S1643,2))+DATOS!$H$20)</f>
        <v>0</v>
      </c>
    </row>
    <row r="1644" spans="18:21">
      <c r="R1644" t="e">
        <f t="shared" si="76"/>
        <v>#VALUE!</v>
      </c>
      <c r="S1644">
        <f t="shared" si="77"/>
        <v>0</v>
      </c>
      <c r="T1644">
        <f t="shared" si="78"/>
        <v>0</v>
      </c>
      <c r="U1644">
        <f>IF(SQRT(POWER(T1644-F1644,2))+SQRT(POWER(E1644-S1644,2))=0,0,SQRT(POWER(T1644-F1644,2))+SQRT(POWER(E1644-S1644,2))+DATOS!$H$20)</f>
        <v>0</v>
      </c>
    </row>
    <row r="1645" spans="18:21">
      <c r="R1645" t="e">
        <f t="shared" si="76"/>
        <v>#VALUE!</v>
      </c>
      <c r="S1645">
        <f t="shared" si="77"/>
        <v>0</v>
      </c>
      <c r="T1645">
        <f t="shared" si="78"/>
        <v>0</v>
      </c>
      <c r="U1645">
        <f>IF(SQRT(POWER(T1645-F1645,2))+SQRT(POWER(E1645-S1645,2))=0,0,SQRT(POWER(T1645-F1645,2))+SQRT(POWER(E1645-S1645,2))+DATOS!$H$20)</f>
        <v>0</v>
      </c>
    </row>
    <row r="1646" spans="18:21">
      <c r="R1646" t="e">
        <f t="shared" si="76"/>
        <v>#VALUE!</v>
      </c>
      <c r="S1646">
        <f t="shared" si="77"/>
        <v>0</v>
      </c>
      <c r="T1646">
        <f t="shared" si="78"/>
        <v>0</v>
      </c>
      <c r="U1646">
        <f>IF(SQRT(POWER(T1646-F1646,2))+SQRT(POWER(E1646-S1646,2))=0,0,SQRT(POWER(T1646-F1646,2))+SQRT(POWER(E1646-S1646,2))+DATOS!$H$20)</f>
        <v>0</v>
      </c>
    </row>
    <row r="1647" spans="18:21">
      <c r="R1647" t="e">
        <f t="shared" si="76"/>
        <v>#VALUE!</v>
      </c>
      <c r="S1647">
        <f t="shared" si="77"/>
        <v>0</v>
      </c>
      <c r="T1647">
        <f t="shared" si="78"/>
        <v>0</v>
      </c>
      <c r="U1647">
        <f>IF(SQRT(POWER(T1647-F1647,2))+SQRT(POWER(E1647-S1647,2))=0,0,SQRT(POWER(T1647-F1647,2))+SQRT(POWER(E1647-S1647,2))+DATOS!$H$20)</f>
        <v>0</v>
      </c>
    </row>
    <row r="1648" spans="18:21">
      <c r="R1648" t="e">
        <f t="shared" si="76"/>
        <v>#VALUE!</v>
      </c>
      <c r="S1648">
        <f t="shared" si="77"/>
        <v>0</v>
      </c>
      <c r="T1648">
        <f t="shared" si="78"/>
        <v>0</v>
      </c>
      <c r="U1648">
        <f>IF(SQRT(POWER(T1648-F1648,2))+SQRT(POWER(E1648-S1648,2))=0,0,SQRT(POWER(T1648-F1648,2))+SQRT(POWER(E1648-S1648,2))+DATOS!$H$20)</f>
        <v>0</v>
      </c>
    </row>
    <row r="1649" spans="18:21">
      <c r="R1649" t="e">
        <f t="shared" si="76"/>
        <v>#VALUE!</v>
      </c>
      <c r="S1649">
        <f t="shared" si="77"/>
        <v>0</v>
      </c>
      <c r="T1649">
        <f t="shared" si="78"/>
        <v>0</v>
      </c>
      <c r="U1649">
        <f>IF(SQRT(POWER(T1649-F1649,2))+SQRT(POWER(E1649-S1649,2))=0,0,SQRT(POWER(T1649-F1649,2))+SQRT(POWER(E1649-S1649,2))+DATOS!$H$20)</f>
        <v>0</v>
      </c>
    </row>
    <row r="1650" spans="18:21">
      <c r="R1650" t="e">
        <f t="shared" si="76"/>
        <v>#VALUE!</v>
      </c>
      <c r="S1650">
        <f t="shared" si="77"/>
        <v>0</v>
      </c>
      <c r="T1650">
        <f t="shared" si="78"/>
        <v>0</v>
      </c>
      <c r="U1650">
        <f>IF(SQRT(POWER(T1650-F1650,2))+SQRT(POWER(E1650-S1650,2))=0,0,SQRT(POWER(T1650-F1650,2))+SQRT(POWER(E1650-S1650,2))+DATOS!$H$20)</f>
        <v>0</v>
      </c>
    </row>
    <row r="1651" spans="18:21">
      <c r="R1651" t="e">
        <f t="shared" si="76"/>
        <v>#VALUE!</v>
      </c>
      <c r="S1651">
        <f t="shared" si="77"/>
        <v>0</v>
      </c>
      <c r="T1651">
        <f t="shared" si="78"/>
        <v>0</v>
      </c>
      <c r="U1651">
        <f>IF(SQRT(POWER(T1651-F1651,2))+SQRT(POWER(E1651-S1651,2))=0,0,SQRT(POWER(T1651-F1651,2))+SQRT(POWER(E1651-S1651,2))+DATOS!$H$20)</f>
        <v>0</v>
      </c>
    </row>
    <row r="1652" spans="18:21">
      <c r="R1652" t="e">
        <f t="shared" si="76"/>
        <v>#VALUE!</v>
      </c>
      <c r="S1652">
        <f t="shared" si="77"/>
        <v>0</v>
      </c>
      <c r="T1652">
        <f t="shared" si="78"/>
        <v>0</v>
      </c>
      <c r="U1652">
        <f>IF(SQRT(POWER(T1652-F1652,2))+SQRT(POWER(E1652-S1652,2))=0,0,SQRT(POWER(T1652-F1652,2))+SQRT(POWER(E1652-S1652,2))+DATOS!$H$20)</f>
        <v>0</v>
      </c>
    </row>
    <row r="1653" spans="18:21">
      <c r="R1653" t="e">
        <f t="shared" si="76"/>
        <v>#VALUE!</v>
      </c>
      <c r="S1653">
        <f t="shared" si="77"/>
        <v>0</v>
      </c>
      <c r="T1653">
        <f t="shared" si="78"/>
        <v>0</v>
      </c>
      <c r="U1653">
        <f>IF(SQRT(POWER(T1653-F1653,2))+SQRT(POWER(E1653-S1653,2))=0,0,SQRT(POWER(T1653-F1653,2))+SQRT(POWER(E1653-S1653,2))+DATOS!$H$20)</f>
        <v>0</v>
      </c>
    </row>
    <row r="1654" spans="18:21">
      <c r="R1654" t="e">
        <f t="shared" si="76"/>
        <v>#VALUE!</v>
      </c>
      <c r="S1654">
        <f t="shared" si="77"/>
        <v>0</v>
      </c>
      <c r="T1654">
        <f t="shared" si="78"/>
        <v>0</v>
      </c>
      <c r="U1654">
        <f>IF(SQRT(POWER(T1654-F1654,2))+SQRT(POWER(E1654-S1654,2))=0,0,SQRT(POWER(T1654-F1654,2))+SQRT(POWER(E1654-S1654,2))+DATOS!$H$20)</f>
        <v>0</v>
      </c>
    </row>
    <row r="1655" spans="18:21">
      <c r="R1655" t="e">
        <f t="shared" si="76"/>
        <v>#VALUE!</v>
      </c>
      <c r="S1655">
        <f t="shared" si="77"/>
        <v>0</v>
      </c>
      <c r="T1655">
        <f t="shared" si="78"/>
        <v>0</v>
      </c>
      <c r="U1655">
        <f>IF(SQRT(POWER(T1655-F1655,2))+SQRT(POWER(E1655-S1655,2))=0,0,SQRT(POWER(T1655-F1655,2))+SQRT(POWER(E1655-S1655,2))+DATOS!$H$20)</f>
        <v>0</v>
      </c>
    </row>
    <row r="1656" spans="18:21">
      <c r="R1656" t="e">
        <f t="shared" si="76"/>
        <v>#VALUE!</v>
      </c>
      <c r="S1656">
        <f t="shared" si="77"/>
        <v>0</v>
      </c>
      <c r="T1656">
        <f t="shared" si="78"/>
        <v>0</v>
      </c>
      <c r="U1656">
        <f>IF(SQRT(POWER(T1656-F1656,2))+SQRT(POWER(E1656-S1656,2))=0,0,SQRT(POWER(T1656-F1656,2))+SQRT(POWER(E1656-S1656,2))+DATOS!$H$20)</f>
        <v>0</v>
      </c>
    </row>
    <row r="1657" spans="18:21">
      <c r="R1657" t="e">
        <f t="shared" si="76"/>
        <v>#VALUE!</v>
      </c>
      <c r="S1657">
        <f t="shared" si="77"/>
        <v>0</v>
      </c>
      <c r="T1657">
        <f t="shared" si="78"/>
        <v>0</v>
      </c>
      <c r="U1657">
        <f>IF(SQRT(POWER(T1657-F1657,2))+SQRT(POWER(E1657-S1657,2))=0,0,SQRT(POWER(T1657-F1657,2))+SQRT(POWER(E1657-S1657,2))+DATOS!$H$20)</f>
        <v>0</v>
      </c>
    </row>
    <row r="1658" spans="18:21">
      <c r="R1658" t="e">
        <f t="shared" si="76"/>
        <v>#VALUE!</v>
      </c>
      <c r="S1658">
        <f t="shared" si="77"/>
        <v>0</v>
      </c>
      <c r="T1658">
        <f t="shared" si="78"/>
        <v>0</v>
      </c>
      <c r="U1658">
        <f>IF(SQRT(POWER(T1658-F1658,2))+SQRT(POWER(E1658-S1658,2))=0,0,SQRT(POWER(T1658-F1658,2))+SQRT(POWER(E1658-S1658,2))+DATOS!$H$20)</f>
        <v>0</v>
      </c>
    </row>
    <row r="1659" spans="18:21">
      <c r="R1659" t="e">
        <f t="shared" si="76"/>
        <v>#VALUE!</v>
      </c>
      <c r="S1659">
        <f t="shared" si="77"/>
        <v>0</v>
      </c>
      <c r="T1659">
        <f t="shared" si="78"/>
        <v>0</v>
      </c>
      <c r="U1659">
        <f>IF(SQRT(POWER(T1659-F1659,2))+SQRT(POWER(E1659-S1659,2))=0,0,SQRT(POWER(T1659-F1659,2))+SQRT(POWER(E1659-S1659,2))+DATOS!$H$20)</f>
        <v>0</v>
      </c>
    </row>
    <row r="1660" spans="18:21">
      <c r="R1660" t="e">
        <f t="shared" si="76"/>
        <v>#VALUE!</v>
      </c>
      <c r="S1660">
        <f t="shared" si="77"/>
        <v>0</v>
      </c>
      <c r="T1660">
        <f t="shared" si="78"/>
        <v>0</v>
      </c>
      <c r="U1660">
        <f>IF(SQRT(POWER(T1660-F1660,2))+SQRT(POWER(E1660-S1660,2))=0,0,SQRT(POWER(T1660-F1660,2))+SQRT(POWER(E1660-S1660,2))+DATOS!$H$20)</f>
        <v>0</v>
      </c>
    </row>
    <row r="1661" spans="18:21">
      <c r="R1661" t="e">
        <f t="shared" ref="R1661:R1724" si="79">"TAB-"&amp;LEFT(A1661,FIND("-",A1661) -1)</f>
        <v>#VALUE!</v>
      </c>
      <c r="S1661">
        <f t="shared" ref="S1661:S1724" si="80">IFERROR(VLOOKUP(R1661,$A$2:$F$700,5,0),E1661)</f>
        <v>0</v>
      </c>
      <c r="T1661">
        <f t="shared" ref="T1661:T1724" si="81">IFERROR(VLOOKUP(R1661,$A$2:$F$700,6,0),F1661)</f>
        <v>0</v>
      </c>
      <c r="U1661">
        <f>IF(SQRT(POWER(T1661-F1661,2))+SQRT(POWER(E1661-S1661,2))=0,0,SQRT(POWER(T1661-F1661,2))+SQRT(POWER(E1661-S1661,2))+DATOS!$H$20)</f>
        <v>0</v>
      </c>
    </row>
    <row r="1662" spans="18:21">
      <c r="R1662" t="e">
        <f t="shared" si="79"/>
        <v>#VALUE!</v>
      </c>
      <c r="S1662">
        <f t="shared" si="80"/>
        <v>0</v>
      </c>
      <c r="T1662">
        <f t="shared" si="81"/>
        <v>0</v>
      </c>
      <c r="U1662">
        <f>IF(SQRT(POWER(T1662-F1662,2))+SQRT(POWER(E1662-S1662,2))=0,0,SQRT(POWER(T1662-F1662,2))+SQRT(POWER(E1662-S1662,2))+DATOS!$H$20)</f>
        <v>0</v>
      </c>
    </row>
    <row r="1663" spans="18:21">
      <c r="R1663" t="e">
        <f t="shared" si="79"/>
        <v>#VALUE!</v>
      </c>
      <c r="S1663">
        <f t="shared" si="80"/>
        <v>0</v>
      </c>
      <c r="T1663">
        <f t="shared" si="81"/>
        <v>0</v>
      </c>
      <c r="U1663">
        <f>IF(SQRT(POWER(T1663-F1663,2))+SQRT(POWER(E1663-S1663,2))=0,0,SQRT(POWER(T1663-F1663,2))+SQRT(POWER(E1663-S1663,2))+DATOS!$H$20)</f>
        <v>0</v>
      </c>
    </row>
    <row r="1664" spans="18:21">
      <c r="R1664" t="e">
        <f t="shared" si="79"/>
        <v>#VALUE!</v>
      </c>
      <c r="S1664">
        <f t="shared" si="80"/>
        <v>0</v>
      </c>
      <c r="T1664">
        <f t="shared" si="81"/>
        <v>0</v>
      </c>
      <c r="U1664">
        <f>IF(SQRT(POWER(T1664-F1664,2))+SQRT(POWER(E1664-S1664,2))=0,0,SQRT(POWER(T1664-F1664,2))+SQRT(POWER(E1664-S1664,2))+DATOS!$H$20)</f>
        <v>0</v>
      </c>
    </row>
    <row r="1665" spans="18:21">
      <c r="R1665" t="e">
        <f t="shared" si="79"/>
        <v>#VALUE!</v>
      </c>
      <c r="S1665">
        <f t="shared" si="80"/>
        <v>0</v>
      </c>
      <c r="T1665">
        <f t="shared" si="81"/>
        <v>0</v>
      </c>
      <c r="U1665">
        <f>IF(SQRT(POWER(T1665-F1665,2))+SQRT(POWER(E1665-S1665,2))=0,0,SQRT(POWER(T1665-F1665,2))+SQRT(POWER(E1665-S1665,2))+DATOS!$H$20)</f>
        <v>0</v>
      </c>
    </row>
    <row r="1666" spans="18:21">
      <c r="R1666" t="e">
        <f t="shared" si="79"/>
        <v>#VALUE!</v>
      </c>
      <c r="S1666">
        <f t="shared" si="80"/>
        <v>0</v>
      </c>
      <c r="T1666">
        <f t="shared" si="81"/>
        <v>0</v>
      </c>
      <c r="U1666">
        <f>IF(SQRT(POWER(T1666-F1666,2))+SQRT(POWER(E1666-S1666,2))=0,0,SQRT(POWER(T1666-F1666,2))+SQRT(POWER(E1666-S1666,2))+DATOS!$H$20)</f>
        <v>0</v>
      </c>
    </row>
    <row r="1667" spans="18:21">
      <c r="R1667" t="e">
        <f t="shared" si="79"/>
        <v>#VALUE!</v>
      </c>
      <c r="S1667">
        <f t="shared" si="80"/>
        <v>0</v>
      </c>
      <c r="T1667">
        <f t="shared" si="81"/>
        <v>0</v>
      </c>
      <c r="U1667">
        <f>IF(SQRT(POWER(T1667-F1667,2))+SQRT(POWER(E1667-S1667,2))=0,0,SQRT(POWER(T1667-F1667,2))+SQRT(POWER(E1667-S1667,2))+DATOS!$H$20)</f>
        <v>0</v>
      </c>
    </row>
    <row r="1668" spans="18:21">
      <c r="R1668" t="e">
        <f t="shared" si="79"/>
        <v>#VALUE!</v>
      </c>
      <c r="S1668">
        <f t="shared" si="80"/>
        <v>0</v>
      </c>
      <c r="T1668">
        <f t="shared" si="81"/>
        <v>0</v>
      </c>
      <c r="U1668">
        <f>IF(SQRT(POWER(T1668-F1668,2))+SQRT(POWER(E1668-S1668,2))=0,0,SQRT(POWER(T1668-F1668,2))+SQRT(POWER(E1668-S1668,2))+DATOS!$H$20)</f>
        <v>0</v>
      </c>
    </row>
    <row r="1669" spans="18:21">
      <c r="R1669" t="e">
        <f t="shared" si="79"/>
        <v>#VALUE!</v>
      </c>
      <c r="S1669">
        <f t="shared" si="80"/>
        <v>0</v>
      </c>
      <c r="T1669">
        <f t="shared" si="81"/>
        <v>0</v>
      </c>
      <c r="U1669">
        <f>IF(SQRT(POWER(T1669-F1669,2))+SQRT(POWER(E1669-S1669,2))=0,0,SQRT(POWER(T1669-F1669,2))+SQRT(POWER(E1669-S1669,2))+DATOS!$H$20)</f>
        <v>0</v>
      </c>
    </row>
    <row r="1670" spans="18:21">
      <c r="R1670" t="e">
        <f t="shared" si="79"/>
        <v>#VALUE!</v>
      </c>
      <c r="S1670">
        <f t="shared" si="80"/>
        <v>0</v>
      </c>
      <c r="T1670">
        <f t="shared" si="81"/>
        <v>0</v>
      </c>
      <c r="U1670">
        <f>IF(SQRT(POWER(T1670-F1670,2))+SQRT(POWER(E1670-S1670,2))=0,0,SQRT(POWER(T1670-F1670,2))+SQRT(POWER(E1670-S1670,2))+DATOS!$H$20)</f>
        <v>0</v>
      </c>
    </row>
    <row r="1671" spans="18:21">
      <c r="R1671" t="e">
        <f t="shared" si="79"/>
        <v>#VALUE!</v>
      </c>
      <c r="S1671">
        <f t="shared" si="80"/>
        <v>0</v>
      </c>
      <c r="T1671">
        <f t="shared" si="81"/>
        <v>0</v>
      </c>
      <c r="U1671">
        <f>IF(SQRT(POWER(T1671-F1671,2))+SQRT(POWER(E1671-S1671,2))=0,0,SQRT(POWER(T1671-F1671,2))+SQRT(POWER(E1671-S1671,2))+DATOS!$H$20)</f>
        <v>0</v>
      </c>
    </row>
    <row r="1672" spans="18:21">
      <c r="R1672" t="e">
        <f t="shared" si="79"/>
        <v>#VALUE!</v>
      </c>
      <c r="S1672">
        <f t="shared" si="80"/>
        <v>0</v>
      </c>
      <c r="T1672">
        <f t="shared" si="81"/>
        <v>0</v>
      </c>
      <c r="U1672">
        <f>IF(SQRT(POWER(T1672-F1672,2))+SQRT(POWER(E1672-S1672,2))=0,0,SQRT(POWER(T1672-F1672,2))+SQRT(POWER(E1672-S1672,2))+DATOS!$H$20)</f>
        <v>0</v>
      </c>
    </row>
    <row r="1673" spans="18:21">
      <c r="R1673" t="e">
        <f t="shared" si="79"/>
        <v>#VALUE!</v>
      </c>
      <c r="S1673">
        <f t="shared" si="80"/>
        <v>0</v>
      </c>
      <c r="T1673">
        <f t="shared" si="81"/>
        <v>0</v>
      </c>
      <c r="U1673">
        <f>IF(SQRT(POWER(T1673-F1673,2))+SQRT(POWER(E1673-S1673,2))=0,0,SQRT(POWER(T1673-F1673,2))+SQRT(POWER(E1673-S1673,2))+DATOS!$H$20)</f>
        <v>0</v>
      </c>
    </row>
    <row r="1674" spans="18:21">
      <c r="R1674" t="e">
        <f t="shared" si="79"/>
        <v>#VALUE!</v>
      </c>
      <c r="S1674">
        <f t="shared" si="80"/>
        <v>0</v>
      </c>
      <c r="T1674">
        <f t="shared" si="81"/>
        <v>0</v>
      </c>
      <c r="U1674">
        <f>IF(SQRT(POWER(T1674-F1674,2))+SQRT(POWER(E1674-S1674,2))=0,0,SQRT(POWER(T1674-F1674,2))+SQRT(POWER(E1674-S1674,2))+DATOS!$H$20)</f>
        <v>0</v>
      </c>
    </row>
    <row r="1675" spans="18:21">
      <c r="R1675" t="e">
        <f t="shared" si="79"/>
        <v>#VALUE!</v>
      </c>
      <c r="S1675">
        <f t="shared" si="80"/>
        <v>0</v>
      </c>
      <c r="T1675">
        <f t="shared" si="81"/>
        <v>0</v>
      </c>
      <c r="U1675">
        <f>IF(SQRT(POWER(T1675-F1675,2))+SQRT(POWER(E1675-S1675,2))=0,0,SQRT(POWER(T1675-F1675,2))+SQRT(POWER(E1675-S1675,2))+DATOS!$H$20)</f>
        <v>0</v>
      </c>
    </row>
    <row r="1676" spans="18:21">
      <c r="R1676" t="e">
        <f t="shared" si="79"/>
        <v>#VALUE!</v>
      </c>
      <c r="S1676">
        <f t="shared" si="80"/>
        <v>0</v>
      </c>
      <c r="T1676">
        <f t="shared" si="81"/>
        <v>0</v>
      </c>
      <c r="U1676">
        <f>IF(SQRT(POWER(T1676-F1676,2))+SQRT(POWER(E1676-S1676,2))=0,0,SQRT(POWER(T1676-F1676,2))+SQRT(POWER(E1676-S1676,2))+DATOS!$H$20)</f>
        <v>0</v>
      </c>
    </row>
    <row r="1677" spans="18:21">
      <c r="R1677" t="e">
        <f t="shared" si="79"/>
        <v>#VALUE!</v>
      </c>
      <c r="S1677">
        <f t="shared" si="80"/>
        <v>0</v>
      </c>
      <c r="T1677">
        <f t="shared" si="81"/>
        <v>0</v>
      </c>
      <c r="U1677">
        <f>IF(SQRT(POWER(T1677-F1677,2))+SQRT(POWER(E1677-S1677,2))=0,0,SQRT(POWER(T1677-F1677,2))+SQRT(POWER(E1677-S1677,2))+DATOS!$H$20)</f>
        <v>0</v>
      </c>
    </row>
    <row r="1678" spans="18:21">
      <c r="R1678" t="e">
        <f t="shared" si="79"/>
        <v>#VALUE!</v>
      </c>
      <c r="S1678">
        <f t="shared" si="80"/>
        <v>0</v>
      </c>
      <c r="T1678">
        <f t="shared" si="81"/>
        <v>0</v>
      </c>
      <c r="U1678">
        <f>IF(SQRT(POWER(T1678-F1678,2))+SQRT(POWER(E1678-S1678,2))=0,0,SQRT(POWER(T1678-F1678,2))+SQRT(POWER(E1678-S1678,2))+DATOS!$H$20)</f>
        <v>0</v>
      </c>
    </row>
    <row r="1679" spans="18:21">
      <c r="R1679" t="e">
        <f t="shared" si="79"/>
        <v>#VALUE!</v>
      </c>
      <c r="S1679">
        <f t="shared" si="80"/>
        <v>0</v>
      </c>
      <c r="T1679">
        <f t="shared" si="81"/>
        <v>0</v>
      </c>
      <c r="U1679">
        <f>IF(SQRT(POWER(T1679-F1679,2))+SQRT(POWER(E1679-S1679,2))=0,0,SQRT(POWER(T1679-F1679,2))+SQRT(POWER(E1679-S1679,2))+DATOS!$H$20)</f>
        <v>0</v>
      </c>
    </row>
    <row r="1680" spans="18:21">
      <c r="R1680" t="e">
        <f t="shared" si="79"/>
        <v>#VALUE!</v>
      </c>
      <c r="S1680">
        <f t="shared" si="80"/>
        <v>0</v>
      </c>
      <c r="T1680">
        <f t="shared" si="81"/>
        <v>0</v>
      </c>
      <c r="U1680">
        <f>IF(SQRT(POWER(T1680-F1680,2))+SQRT(POWER(E1680-S1680,2))=0,0,SQRT(POWER(T1680-F1680,2))+SQRT(POWER(E1680-S1680,2))+DATOS!$H$20)</f>
        <v>0</v>
      </c>
    </row>
    <row r="1681" spans="18:21">
      <c r="R1681" t="e">
        <f t="shared" si="79"/>
        <v>#VALUE!</v>
      </c>
      <c r="S1681">
        <f t="shared" si="80"/>
        <v>0</v>
      </c>
      <c r="T1681">
        <f t="shared" si="81"/>
        <v>0</v>
      </c>
      <c r="U1681">
        <f>IF(SQRT(POWER(T1681-F1681,2))+SQRT(POWER(E1681-S1681,2))=0,0,SQRT(POWER(T1681-F1681,2))+SQRT(POWER(E1681-S1681,2))+DATOS!$H$20)</f>
        <v>0</v>
      </c>
    </row>
    <row r="1682" spans="18:21">
      <c r="R1682" t="e">
        <f t="shared" si="79"/>
        <v>#VALUE!</v>
      </c>
      <c r="S1682">
        <f t="shared" si="80"/>
        <v>0</v>
      </c>
      <c r="T1682">
        <f t="shared" si="81"/>
        <v>0</v>
      </c>
      <c r="U1682">
        <f>IF(SQRT(POWER(T1682-F1682,2))+SQRT(POWER(E1682-S1682,2))=0,0,SQRT(POWER(T1682-F1682,2))+SQRT(POWER(E1682-S1682,2))+DATOS!$H$20)</f>
        <v>0</v>
      </c>
    </row>
    <row r="1683" spans="18:21">
      <c r="R1683" t="e">
        <f t="shared" si="79"/>
        <v>#VALUE!</v>
      </c>
      <c r="S1683">
        <f t="shared" si="80"/>
        <v>0</v>
      </c>
      <c r="T1683">
        <f t="shared" si="81"/>
        <v>0</v>
      </c>
      <c r="U1683">
        <f>IF(SQRT(POWER(T1683-F1683,2))+SQRT(POWER(E1683-S1683,2))=0,0,SQRT(POWER(T1683-F1683,2))+SQRT(POWER(E1683-S1683,2))+DATOS!$H$20)</f>
        <v>0</v>
      </c>
    </row>
    <row r="1684" spans="18:21">
      <c r="R1684" t="e">
        <f t="shared" si="79"/>
        <v>#VALUE!</v>
      </c>
      <c r="S1684">
        <f t="shared" si="80"/>
        <v>0</v>
      </c>
      <c r="T1684">
        <f t="shared" si="81"/>
        <v>0</v>
      </c>
      <c r="U1684">
        <f>IF(SQRT(POWER(T1684-F1684,2))+SQRT(POWER(E1684-S1684,2))=0,0,SQRT(POWER(T1684-F1684,2))+SQRT(POWER(E1684-S1684,2))+DATOS!$H$20)</f>
        <v>0</v>
      </c>
    </row>
    <row r="1685" spans="18:21">
      <c r="R1685" t="e">
        <f t="shared" si="79"/>
        <v>#VALUE!</v>
      </c>
      <c r="S1685">
        <f t="shared" si="80"/>
        <v>0</v>
      </c>
      <c r="T1685">
        <f t="shared" si="81"/>
        <v>0</v>
      </c>
      <c r="U1685">
        <f>IF(SQRT(POWER(T1685-F1685,2))+SQRT(POWER(E1685-S1685,2))=0,0,SQRT(POWER(T1685-F1685,2))+SQRT(POWER(E1685-S1685,2))+DATOS!$H$20)</f>
        <v>0</v>
      </c>
    </row>
    <row r="1686" spans="18:21">
      <c r="R1686" t="e">
        <f t="shared" si="79"/>
        <v>#VALUE!</v>
      </c>
      <c r="S1686">
        <f t="shared" si="80"/>
        <v>0</v>
      </c>
      <c r="T1686">
        <f t="shared" si="81"/>
        <v>0</v>
      </c>
      <c r="U1686">
        <f>IF(SQRT(POWER(T1686-F1686,2))+SQRT(POWER(E1686-S1686,2))=0,0,SQRT(POWER(T1686-F1686,2))+SQRT(POWER(E1686-S1686,2))+DATOS!$H$20)</f>
        <v>0</v>
      </c>
    </row>
    <row r="1687" spans="18:21">
      <c r="R1687" t="e">
        <f t="shared" si="79"/>
        <v>#VALUE!</v>
      </c>
      <c r="S1687">
        <f t="shared" si="80"/>
        <v>0</v>
      </c>
      <c r="T1687">
        <f t="shared" si="81"/>
        <v>0</v>
      </c>
      <c r="U1687">
        <f>IF(SQRT(POWER(T1687-F1687,2))+SQRT(POWER(E1687-S1687,2))=0,0,SQRT(POWER(T1687-F1687,2))+SQRT(POWER(E1687-S1687,2))+DATOS!$H$20)</f>
        <v>0</v>
      </c>
    </row>
    <row r="1688" spans="18:21">
      <c r="R1688" t="e">
        <f t="shared" si="79"/>
        <v>#VALUE!</v>
      </c>
      <c r="S1688">
        <f t="shared" si="80"/>
        <v>0</v>
      </c>
      <c r="T1688">
        <f t="shared" si="81"/>
        <v>0</v>
      </c>
      <c r="U1688">
        <f>IF(SQRT(POWER(T1688-F1688,2))+SQRT(POWER(E1688-S1688,2))=0,0,SQRT(POWER(T1688-F1688,2))+SQRT(POWER(E1688-S1688,2))+DATOS!$H$20)</f>
        <v>0</v>
      </c>
    </row>
    <row r="1689" spans="18:21">
      <c r="R1689" t="e">
        <f t="shared" si="79"/>
        <v>#VALUE!</v>
      </c>
      <c r="S1689">
        <f t="shared" si="80"/>
        <v>0</v>
      </c>
      <c r="T1689">
        <f t="shared" si="81"/>
        <v>0</v>
      </c>
      <c r="U1689">
        <f>IF(SQRT(POWER(T1689-F1689,2))+SQRT(POWER(E1689-S1689,2))=0,0,SQRT(POWER(T1689-F1689,2))+SQRT(POWER(E1689-S1689,2))+DATOS!$H$20)</f>
        <v>0</v>
      </c>
    </row>
    <row r="1690" spans="18:21">
      <c r="R1690" t="e">
        <f t="shared" si="79"/>
        <v>#VALUE!</v>
      </c>
      <c r="S1690">
        <f t="shared" si="80"/>
        <v>0</v>
      </c>
      <c r="T1690">
        <f t="shared" si="81"/>
        <v>0</v>
      </c>
      <c r="U1690">
        <f>IF(SQRT(POWER(T1690-F1690,2))+SQRT(POWER(E1690-S1690,2))=0,0,SQRT(POWER(T1690-F1690,2))+SQRT(POWER(E1690-S1690,2))+DATOS!$H$20)</f>
        <v>0</v>
      </c>
    </row>
    <row r="1691" spans="18:21">
      <c r="R1691" t="e">
        <f t="shared" si="79"/>
        <v>#VALUE!</v>
      </c>
      <c r="S1691">
        <f t="shared" si="80"/>
        <v>0</v>
      </c>
      <c r="T1691">
        <f t="shared" si="81"/>
        <v>0</v>
      </c>
      <c r="U1691">
        <f>IF(SQRT(POWER(T1691-F1691,2))+SQRT(POWER(E1691-S1691,2))=0,0,SQRT(POWER(T1691-F1691,2))+SQRT(POWER(E1691-S1691,2))+DATOS!$H$20)</f>
        <v>0</v>
      </c>
    </row>
    <row r="1692" spans="18:21">
      <c r="R1692" t="e">
        <f t="shared" si="79"/>
        <v>#VALUE!</v>
      </c>
      <c r="S1692">
        <f t="shared" si="80"/>
        <v>0</v>
      </c>
      <c r="T1692">
        <f t="shared" si="81"/>
        <v>0</v>
      </c>
      <c r="U1692">
        <f>IF(SQRT(POWER(T1692-F1692,2))+SQRT(POWER(E1692-S1692,2))=0,0,SQRT(POWER(T1692-F1692,2))+SQRT(POWER(E1692-S1692,2))+DATOS!$H$20)</f>
        <v>0</v>
      </c>
    </row>
    <row r="1693" spans="18:21">
      <c r="R1693" t="e">
        <f t="shared" si="79"/>
        <v>#VALUE!</v>
      </c>
      <c r="S1693">
        <f t="shared" si="80"/>
        <v>0</v>
      </c>
      <c r="T1693">
        <f t="shared" si="81"/>
        <v>0</v>
      </c>
      <c r="U1693">
        <f>IF(SQRT(POWER(T1693-F1693,2))+SQRT(POWER(E1693-S1693,2))=0,0,SQRT(POWER(T1693-F1693,2))+SQRT(POWER(E1693-S1693,2))+DATOS!$H$20)</f>
        <v>0</v>
      </c>
    </row>
    <row r="1694" spans="18:21">
      <c r="R1694" t="e">
        <f t="shared" si="79"/>
        <v>#VALUE!</v>
      </c>
      <c r="S1694">
        <f t="shared" si="80"/>
        <v>0</v>
      </c>
      <c r="T1694">
        <f t="shared" si="81"/>
        <v>0</v>
      </c>
      <c r="U1694">
        <f>IF(SQRT(POWER(T1694-F1694,2))+SQRT(POWER(E1694-S1694,2))=0,0,SQRT(POWER(T1694-F1694,2))+SQRT(POWER(E1694-S1694,2))+DATOS!$H$20)</f>
        <v>0</v>
      </c>
    </row>
    <row r="1695" spans="18:21">
      <c r="R1695" t="e">
        <f t="shared" si="79"/>
        <v>#VALUE!</v>
      </c>
      <c r="S1695">
        <f t="shared" si="80"/>
        <v>0</v>
      </c>
      <c r="T1695">
        <f t="shared" si="81"/>
        <v>0</v>
      </c>
      <c r="U1695">
        <f>IF(SQRT(POWER(T1695-F1695,2))+SQRT(POWER(E1695-S1695,2))=0,0,SQRT(POWER(T1695-F1695,2))+SQRT(POWER(E1695-S1695,2))+DATOS!$H$20)</f>
        <v>0</v>
      </c>
    </row>
    <row r="1696" spans="18:21">
      <c r="R1696" t="e">
        <f t="shared" si="79"/>
        <v>#VALUE!</v>
      </c>
      <c r="S1696">
        <f t="shared" si="80"/>
        <v>0</v>
      </c>
      <c r="T1696">
        <f t="shared" si="81"/>
        <v>0</v>
      </c>
      <c r="U1696">
        <f>IF(SQRT(POWER(T1696-F1696,2))+SQRT(POWER(E1696-S1696,2))=0,0,SQRT(POWER(T1696-F1696,2))+SQRT(POWER(E1696-S1696,2))+DATOS!$H$20)</f>
        <v>0</v>
      </c>
    </row>
    <row r="1697" spans="18:21">
      <c r="R1697" t="e">
        <f t="shared" si="79"/>
        <v>#VALUE!</v>
      </c>
      <c r="S1697">
        <f t="shared" si="80"/>
        <v>0</v>
      </c>
      <c r="T1697">
        <f t="shared" si="81"/>
        <v>0</v>
      </c>
      <c r="U1697">
        <f>IF(SQRT(POWER(T1697-F1697,2))+SQRT(POWER(E1697-S1697,2))=0,0,SQRT(POWER(T1697-F1697,2))+SQRT(POWER(E1697-S1697,2))+DATOS!$H$20)</f>
        <v>0</v>
      </c>
    </row>
    <row r="1698" spans="18:21">
      <c r="R1698" t="e">
        <f t="shared" si="79"/>
        <v>#VALUE!</v>
      </c>
      <c r="S1698">
        <f t="shared" si="80"/>
        <v>0</v>
      </c>
      <c r="T1698">
        <f t="shared" si="81"/>
        <v>0</v>
      </c>
      <c r="U1698">
        <f>IF(SQRT(POWER(T1698-F1698,2))+SQRT(POWER(E1698-S1698,2))=0,0,SQRT(POWER(T1698-F1698,2))+SQRT(POWER(E1698-S1698,2))+DATOS!$H$20)</f>
        <v>0</v>
      </c>
    </row>
    <row r="1699" spans="18:21">
      <c r="R1699" t="e">
        <f t="shared" si="79"/>
        <v>#VALUE!</v>
      </c>
      <c r="S1699">
        <f t="shared" si="80"/>
        <v>0</v>
      </c>
      <c r="T1699">
        <f t="shared" si="81"/>
        <v>0</v>
      </c>
      <c r="U1699">
        <f>IF(SQRT(POWER(T1699-F1699,2))+SQRT(POWER(E1699-S1699,2))=0,0,SQRT(POWER(T1699-F1699,2))+SQRT(POWER(E1699-S1699,2))+DATOS!$H$20)</f>
        <v>0</v>
      </c>
    </row>
    <row r="1700" spans="18:21">
      <c r="R1700" t="e">
        <f t="shared" si="79"/>
        <v>#VALUE!</v>
      </c>
      <c r="S1700">
        <f t="shared" si="80"/>
        <v>0</v>
      </c>
      <c r="T1700">
        <f t="shared" si="81"/>
        <v>0</v>
      </c>
      <c r="U1700">
        <f>IF(SQRT(POWER(T1700-F1700,2))+SQRT(POWER(E1700-S1700,2))=0,0,SQRT(POWER(T1700-F1700,2))+SQRT(POWER(E1700-S1700,2))+DATOS!$H$20)</f>
        <v>0</v>
      </c>
    </row>
    <row r="1701" spans="18:21">
      <c r="R1701" t="e">
        <f t="shared" si="79"/>
        <v>#VALUE!</v>
      </c>
      <c r="S1701">
        <f t="shared" si="80"/>
        <v>0</v>
      </c>
      <c r="T1701">
        <f t="shared" si="81"/>
        <v>0</v>
      </c>
      <c r="U1701">
        <f>IF(SQRT(POWER(T1701-F1701,2))+SQRT(POWER(E1701-S1701,2))=0,0,SQRT(POWER(T1701-F1701,2))+SQRT(POWER(E1701-S1701,2))+DATOS!$H$20)</f>
        <v>0</v>
      </c>
    </row>
    <row r="1702" spans="18:21">
      <c r="R1702" t="e">
        <f t="shared" si="79"/>
        <v>#VALUE!</v>
      </c>
      <c r="S1702">
        <f t="shared" si="80"/>
        <v>0</v>
      </c>
      <c r="T1702">
        <f t="shared" si="81"/>
        <v>0</v>
      </c>
      <c r="U1702">
        <f>IF(SQRT(POWER(T1702-F1702,2))+SQRT(POWER(E1702-S1702,2))=0,0,SQRT(POWER(T1702-F1702,2))+SQRT(POWER(E1702-S1702,2))+DATOS!$H$20)</f>
        <v>0</v>
      </c>
    </row>
    <row r="1703" spans="18:21">
      <c r="R1703" t="e">
        <f t="shared" si="79"/>
        <v>#VALUE!</v>
      </c>
      <c r="S1703">
        <f t="shared" si="80"/>
        <v>0</v>
      </c>
      <c r="T1703">
        <f t="shared" si="81"/>
        <v>0</v>
      </c>
      <c r="U1703">
        <f>IF(SQRT(POWER(T1703-F1703,2))+SQRT(POWER(E1703-S1703,2))=0,0,SQRT(POWER(T1703-F1703,2))+SQRT(POWER(E1703-S1703,2))+DATOS!$H$20)</f>
        <v>0</v>
      </c>
    </row>
    <row r="1704" spans="18:21">
      <c r="R1704" t="e">
        <f t="shared" si="79"/>
        <v>#VALUE!</v>
      </c>
      <c r="S1704">
        <f t="shared" si="80"/>
        <v>0</v>
      </c>
      <c r="T1704">
        <f t="shared" si="81"/>
        <v>0</v>
      </c>
      <c r="U1704">
        <f>IF(SQRT(POWER(T1704-F1704,2))+SQRT(POWER(E1704-S1704,2))=0,0,SQRT(POWER(T1704-F1704,2))+SQRT(POWER(E1704-S1704,2))+DATOS!$H$20)</f>
        <v>0</v>
      </c>
    </row>
    <row r="1705" spans="18:21">
      <c r="R1705" t="e">
        <f t="shared" si="79"/>
        <v>#VALUE!</v>
      </c>
      <c r="S1705">
        <f t="shared" si="80"/>
        <v>0</v>
      </c>
      <c r="T1705">
        <f t="shared" si="81"/>
        <v>0</v>
      </c>
      <c r="U1705">
        <f>IF(SQRT(POWER(T1705-F1705,2))+SQRT(POWER(E1705-S1705,2))=0,0,SQRT(POWER(T1705-F1705,2))+SQRT(POWER(E1705-S1705,2))+DATOS!$H$20)</f>
        <v>0</v>
      </c>
    </row>
    <row r="1706" spans="18:21">
      <c r="R1706" t="e">
        <f t="shared" si="79"/>
        <v>#VALUE!</v>
      </c>
      <c r="S1706">
        <f t="shared" si="80"/>
        <v>0</v>
      </c>
      <c r="T1706">
        <f t="shared" si="81"/>
        <v>0</v>
      </c>
      <c r="U1706">
        <f>IF(SQRT(POWER(T1706-F1706,2))+SQRT(POWER(E1706-S1706,2))=0,0,SQRT(POWER(T1706-F1706,2))+SQRT(POWER(E1706-S1706,2))+DATOS!$H$20)</f>
        <v>0</v>
      </c>
    </row>
    <row r="1707" spans="18:21">
      <c r="R1707" t="e">
        <f t="shared" si="79"/>
        <v>#VALUE!</v>
      </c>
      <c r="S1707">
        <f t="shared" si="80"/>
        <v>0</v>
      </c>
      <c r="T1707">
        <f t="shared" si="81"/>
        <v>0</v>
      </c>
      <c r="U1707">
        <f>IF(SQRT(POWER(T1707-F1707,2))+SQRT(POWER(E1707-S1707,2))=0,0,SQRT(POWER(T1707-F1707,2))+SQRT(POWER(E1707-S1707,2))+DATOS!$H$20)</f>
        <v>0</v>
      </c>
    </row>
    <row r="1708" spans="18:21">
      <c r="R1708" t="e">
        <f t="shared" si="79"/>
        <v>#VALUE!</v>
      </c>
      <c r="S1708">
        <f t="shared" si="80"/>
        <v>0</v>
      </c>
      <c r="T1708">
        <f t="shared" si="81"/>
        <v>0</v>
      </c>
      <c r="U1708">
        <f>IF(SQRT(POWER(T1708-F1708,2))+SQRT(POWER(E1708-S1708,2))=0,0,SQRT(POWER(T1708-F1708,2))+SQRT(POWER(E1708-S1708,2))+DATOS!$H$20)</f>
        <v>0</v>
      </c>
    </row>
    <row r="1709" spans="18:21">
      <c r="R1709" t="e">
        <f t="shared" si="79"/>
        <v>#VALUE!</v>
      </c>
      <c r="S1709">
        <f t="shared" si="80"/>
        <v>0</v>
      </c>
      <c r="T1709">
        <f t="shared" si="81"/>
        <v>0</v>
      </c>
      <c r="U1709">
        <f>IF(SQRT(POWER(T1709-F1709,2))+SQRT(POWER(E1709-S1709,2))=0,0,SQRT(POWER(T1709-F1709,2))+SQRT(POWER(E1709-S1709,2))+DATOS!$H$20)</f>
        <v>0</v>
      </c>
    </row>
    <row r="1710" spans="18:21">
      <c r="R1710" t="e">
        <f t="shared" si="79"/>
        <v>#VALUE!</v>
      </c>
      <c r="S1710">
        <f t="shared" si="80"/>
        <v>0</v>
      </c>
      <c r="T1710">
        <f t="shared" si="81"/>
        <v>0</v>
      </c>
      <c r="U1710">
        <f>IF(SQRT(POWER(T1710-F1710,2))+SQRT(POWER(E1710-S1710,2))=0,0,SQRT(POWER(T1710-F1710,2))+SQRT(POWER(E1710-S1710,2))+DATOS!$H$20)</f>
        <v>0</v>
      </c>
    </row>
    <row r="1711" spans="18:21">
      <c r="R1711" t="e">
        <f t="shared" si="79"/>
        <v>#VALUE!</v>
      </c>
      <c r="S1711">
        <f t="shared" si="80"/>
        <v>0</v>
      </c>
      <c r="T1711">
        <f t="shared" si="81"/>
        <v>0</v>
      </c>
      <c r="U1711">
        <f>IF(SQRT(POWER(T1711-F1711,2))+SQRT(POWER(E1711-S1711,2))=0,0,SQRT(POWER(T1711-F1711,2))+SQRT(POWER(E1711-S1711,2))+DATOS!$H$20)</f>
        <v>0</v>
      </c>
    </row>
    <row r="1712" spans="18:21">
      <c r="R1712" t="e">
        <f t="shared" si="79"/>
        <v>#VALUE!</v>
      </c>
      <c r="S1712">
        <f t="shared" si="80"/>
        <v>0</v>
      </c>
      <c r="T1712">
        <f t="shared" si="81"/>
        <v>0</v>
      </c>
      <c r="U1712">
        <f>IF(SQRT(POWER(T1712-F1712,2))+SQRT(POWER(E1712-S1712,2))=0,0,SQRT(POWER(T1712-F1712,2))+SQRT(POWER(E1712-S1712,2))+DATOS!$H$20)</f>
        <v>0</v>
      </c>
    </row>
    <row r="1713" spans="18:21">
      <c r="R1713" t="e">
        <f t="shared" si="79"/>
        <v>#VALUE!</v>
      </c>
      <c r="S1713">
        <f t="shared" si="80"/>
        <v>0</v>
      </c>
      <c r="T1713">
        <f t="shared" si="81"/>
        <v>0</v>
      </c>
      <c r="U1713">
        <f>IF(SQRT(POWER(T1713-F1713,2))+SQRT(POWER(E1713-S1713,2))=0,0,SQRT(POWER(T1713-F1713,2))+SQRT(POWER(E1713-S1713,2))+DATOS!$H$20)</f>
        <v>0</v>
      </c>
    </row>
    <row r="1714" spans="18:21">
      <c r="R1714" t="e">
        <f t="shared" si="79"/>
        <v>#VALUE!</v>
      </c>
      <c r="S1714">
        <f t="shared" si="80"/>
        <v>0</v>
      </c>
      <c r="T1714">
        <f t="shared" si="81"/>
        <v>0</v>
      </c>
      <c r="U1714">
        <f>IF(SQRT(POWER(T1714-F1714,2))+SQRT(POWER(E1714-S1714,2))=0,0,SQRT(POWER(T1714-F1714,2))+SQRT(POWER(E1714-S1714,2))+DATOS!$H$20)</f>
        <v>0</v>
      </c>
    </row>
    <row r="1715" spans="18:21">
      <c r="R1715" t="e">
        <f t="shared" si="79"/>
        <v>#VALUE!</v>
      </c>
      <c r="S1715">
        <f t="shared" si="80"/>
        <v>0</v>
      </c>
      <c r="T1715">
        <f t="shared" si="81"/>
        <v>0</v>
      </c>
      <c r="U1715">
        <f>IF(SQRT(POWER(T1715-F1715,2))+SQRT(POWER(E1715-S1715,2))=0,0,SQRT(POWER(T1715-F1715,2))+SQRT(POWER(E1715-S1715,2))+DATOS!$H$20)</f>
        <v>0</v>
      </c>
    </row>
    <row r="1716" spans="18:21">
      <c r="R1716" t="e">
        <f t="shared" si="79"/>
        <v>#VALUE!</v>
      </c>
      <c r="S1716">
        <f t="shared" si="80"/>
        <v>0</v>
      </c>
      <c r="T1716">
        <f t="shared" si="81"/>
        <v>0</v>
      </c>
      <c r="U1716">
        <f>IF(SQRT(POWER(T1716-F1716,2))+SQRT(POWER(E1716-S1716,2))=0,0,SQRT(POWER(T1716-F1716,2))+SQRT(POWER(E1716-S1716,2))+DATOS!$H$20)</f>
        <v>0</v>
      </c>
    </row>
    <row r="1717" spans="18:21">
      <c r="R1717" t="e">
        <f t="shared" si="79"/>
        <v>#VALUE!</v>
      </c>
      <c r="S1717">
        <f t="shared" si="80"/>
        <v>0</v>
      </c>
      <c r="T1717">
        <f t="shared" si="81"/>
        <v>0</v>
      </c>
      <c r="U1717">
        <f>IF(SQRT(POWER(T1717-F1717,2))+SQRT(POWER(E1717-S1717,2))=0,0,SQRT(POWER(T1717-F1717,2))+SQRT(POWER(E1717-S1717,2))+DATOS!$H$20)</f>
        <v>0</v>
      </c>
    </row>
    <row r="1718" spans="18:21">
      <c r="R1718" t="e">
        <f t="shared" si="79"/>
        <v>#VALUE!</v>
      </c>
      <c r="S1718">
        <f t="shared" si="80"/>
        <v>0</v>
      </c>
      <c r="T1718">
        <f t="shared" si="81"/>
        <v>0</v>
      </c>
      <c r="U1718">
        <f>IF(SQRT(POWER(T1718-F1718,2))+SQRT(POWER(E1718-S1718,2))=0,0,SQRT(POWER(T1718-F1718,2))+SQRT(POWER(E1718-S1718,2))+DATOS!$H$20)</f>
        <v>0</v>
      </c>
    </row>
    <row r="1719" spans="18:21">
      <c r="R1719" t="e">
        <f t="shared" si="79"/>
        <v>#VALUE!</v>
      </c>
      <c r="S1719">
        <f t="shared" si="80"/>
        <v>0</v>
      </c>
      <c r="T1719">
        <f t="shared" si="81"/>
        <v>0</v>
      </c>
      <c r="U1719">
        <f>IF(SQRT(POWER(T1719-F1719,2))+SQRT(POWER(E1719-S1719,2))=0,0,SQRT(POWER(T1719-F1719,2))+SQRT(POWER(E1719-S1719,2))+DATOS!$H$20)</f>
        <v>0</v>
      </c>
    </row>
    <row r="1720" spans="18:21">
      <c r="R1720" t="e">
        <f t="shared" si="79"/>
        <v>#VALUE!</v>
      </c>
      <c r="S1720">
        <f t="shared" si="80"/>
        <v>0</v>
      </c>
      <c r="T1720">
        <f t="shared" si="81"/>
        <v>0</v>
      </c>
      <c r="U1720">
        <f>IF(SQRT(POWER(T1720-F1720,2))+SQRT(POWER(E1720-S1720,2))=0,0,SQRT(POWER(T1720-F1720,2))+SQRT(POWER(E1720-S1720,2))+DATOS!$H$20)</f>
        <v>0</v>
      </c>
    </row>
    <row r="1721" spans="18:21">
      <c r="R1721" t="e">
        <f t="shared" si="79"/>
        <v>#VALUE!</v>
      </c>
      <c r="S1721">
        <f t="shared" si="80"/>
        <v>0</v>
      </c>
      <c r="T1721">
        <f t="shared" si="81"/>
        <v>0</v>
      </c>
      <c r="U1721">
        <f>IF(SQRT(POWER(T1721-F1721,2))+SQRT(POWER(E1721-S1721,2))=0,0,SQRT(POWER(T1721-F1721,2))+SQRT(POWER(E1721-S1721,2))+DATOS!$H$20)</f>
        <v>0</v>
      </c>
    </row>
    <row r="1722" spans="18:21">
      <c r="R1722" t="e">
        <f t="shared" si="79"/>
        <v>#VALUE!</v>
      </c>
      <c r="S1722">
        <f t="shared" si="80"/>
        <v>0</v>
      </c>
      <c r="T1722">
        <f t="shared" si="81"/>
        <v>0</v>
      </c>
      <c r="U1722">
        <f>IF(SQRT(POWER(T1722-F1722,2))+SQRT(POWER(E1722-S1722,2))=0,0,SQRT(POWER(T1722-F1722,2))+SQRT(POWER(E1722-S1722,2))+DATOS!$H$20)</f>
        <v>0</v>
      </c>
    </row>
    <row r="1723" spans="18:21">
      <c r="R1723" t="e">
        <f t="shared" si="79"/>
        <v>#VALUE!</v>
      </c>
      <c r="S1723">
        <f t="shared" si="80"/>
        <v>0</v>
      </c>
      <c r="T1723">
        <f t="shared" si="81"/>
        <v>0</v>
      </c>
      <c r="U1723">
        <f>IF(SQRT(POWER(T1723-F1723,2))+SQRT(POWER(E1723-S1723,2))=0,0,SQRT(POWER(T1723-F1723,2))+SQRT(POWER(E1723-S1723,2))+DATOS!$H$20)</f>
        <v>0</v>
      </c>
    </row>
    <row r="1724" spans="18:21">
      <c r="R1724" t="e">
        <f t="shared" si="79"/>
        <v>#VALUE!</v>
      </c>
      <c r="S1724">
        <f t="shared" si="80"/>
        <v>0</v>
      </c>
      <c r="T1724">
        <f t="shared" si="81"/>
        <v>0</v>
      </c>
      <c r="U1724">
        <f>IF(SQRT(POWER(T1724-F1724,2))+SQRT(POWER(E1724-S1724,2))=0,0,SQRT(POWER(T1724-F1724,2))+SQRT(POWER(E1724-S1724,2))+DATOS!$H$20)</f>
        <v>0</v>
      </c>
    </row>
    <row r="1725" spans="18:21">
      <c r="R1725" t="e">
        <f t="shared" ref="R1725:R1788" si="82">"TAB-"&amp;LEFT(A1725,FIND("-",A1725) -1)</f>
        <v>#VALUE!</v>
      </c>
      <c r="S1725">
        <f t="shared" ref="S1725:S1788" si="83">IFERROR(VLOOKUP(R1725,$A$2:$F$700,5,0),E1725)</f>
        <v>0</v>
      </c>
      <c r="T1725">
        <f t="shared" ref="T1725:T1788" si="84">IFERROR(VLOOKUP(R1725,$A$2:$F$700,6,0),F1725)</f>
        <v>0</v>
      </c>
      <c r="U1725">
        <f>IF(SQRT(POWER(T1725-F1725,2))+SQRT(POWER(E1725-S1725,2))=0,0,SQRT(POWER(T1725-F1725,2))+SQRT(POWER(E1725-S1725,2))+DATOS!$H$20)</f>
        <v>0</v>
      </c>
    </row>
    <row r="1726" spans="18:21">
      <c r="R1726" t="e">
        <f t="shared" si="82"/>
        <v>#VALUE!</v>
      </c>
      <c r="S1726">
        <f t="shared" si="83"/>
        <v>0</v>
      </c>
      <c r="T1726">
        <f t="shared" si="84"/>
        <v>0</v>
      </c>
      <c r="U1726">
        <f>IF(SQRT(POWER(T1726-F1726,2))+SQRT(POWER(E1726-S1726,2))=0,0,SQRT(POWER(T1726-F1726,2))+SQRT(POWER(E1726-S1726,2))+DATOS!$H$20)</f>
        <v>0</v>
      </c>
    </row>
    <row r="1727" spans="18:21">
      <c r="R1727" t="e">
        <f t="shared" si="82"/>
        <v>#VALUE!</v>
      </c>
      <c r="S1727">
        <f t="shared" si="83"/>
        <v>0</v>
      </c>
      <c r="T1727">
        <f t="shared" si="84"/>
        <v>0</v>
      </c>
      <c r="U1727">
        <f>IF(SQRT(POWER(T1727-F1727,2))+SQRT(POWER(E1727-S1727,2))=0,0,SQRT(POWER(T1727-F1727,2))+SQRT(POWER(E1727-S1727,2))+DATOS!$H$20)</f>
        <v>0</v>
      </c>
    </row>
    <row r="1728" spans="18:21">
      <c r="R1728" t="e">
        <f t="shared" si="82"/>
        <v>#VALUE!</v>
      </c>
      <c r="S1728">
        <f t="shared" si="83"/>
        <v>0</v>
      </c>
      <c r="T1728">
        <f t="shared" si="84"/>
        <v>0</v>
      </c>
      <c r="U1728">
        <f>IF(SQRT(POWER(T1728-F1728,2))+SQRT(POWER(E1728-S1728,2))=0,0,SQRT(POWER(T1728-F1728,2))+SQRT(POWER(E1728-S1728,2))+DATOS!$H$20)</f>
        <v>0</v>
      </c>
    </row>
    <row r="1729" spans="18:21">
      <c r="R1729" t="e">
        <f t="shared" si="82"/>
        <v>#VALUE!</v>
      </c>
      <c r="S1729">
        <f t="shared" si="83"/>
        <v>0</v>
      </c>
      <c r="T1729">
        <f t="shared" si="84"/>
        <v>0</v>
      </c>
      <c r="U1729">
        <f>IF(SQRT(POWER(T1729-F1729,2))+SQRT(POWER(E1729-S1729,2))=0,0,SQRT(POWER(T1729-F1729,2))+SQRT(POWER(E1729-S1729,2))+DATOS!$H$20)</f>
        <v>0</v>
      </c>
    </row>
    <row r="1730" spans="18:21">
      <c r="R1730" t="e">
        <f t="shared" si="82"/>
        <v>#VALUE!</v>
      </c>
      <c r="S1730">
        <f t="shared" si="83"/>
        <v>0</v>
      </c>
      <c r="T1730">
        <f t="shared" si="84"/>
        <v>0</v>
      </c>
      <c r="U1730">
        <f>IF(SQRT(POWER(T1730-F1730,2))+SQRT(POWER(E1730-S1730,2))=0,0,SQRT(POWER(T1730-F1730,2))+SQRT(POWER(E1730-S1730,2))+DATOS!$H$20)</f>
        <v>0</v>
      </c>
    </row>
    <row r="1731" spans="18:21">
      <c r="R1731" t="e">
        <f t="shared" si="82"/>
        <v>#VALUE!</v>
      </c>
      <c r="S1731">
        <f t="shared" si="83"/>
        <v>0</v>
      </c>
      <c r="T1731">
        <f t="shared" si="84"/>
        <v>0</v>
      </c>
      <c r="U1731">
        <f>IF(SQRT(POWER(T1731-F1731,2))+SQRT(POWER(E1731-S1731,2))=0,0,SQRT(POWER(T1731-F1731,2))+SQRT(POWER(E1731-S1731,2))+DATOS!$H$20)</f>
        <v>0</v>
      </c>
    </row>
    <row r="1732" spans="18:21">
      <c r="R1732" t="e">
        <f t="shared" si="82"/>
        <v>#VALUE!</v>
      </c>
      <c r="S1732">
        <f t="shared" si="83"/>
        <v>0</v>
      </c>
      <c r="T1732">
        <f t="shared" si="84"/>
        <v>0</v>
      </c>
      <c r="U1732">
        <f>IF(SQRT(POWER(T1732-F1732,2))+SQRT(POWER(E1732-S1732,2))=0,0,SQRT(POWER(T1732-F1732,2))+SQRT(POWER(E1732-S1732,2))+DATOS!$H$20)</f>
        <v>0</v>
      </c>
    </row>
    <row r="1733" spans="18:21">
      <c r="R1733" t="e">
        <f t="shared" si="82"/>
        <v>#VALUE!</v>
      </c>
      <c r="S1733">
        <f t="shared" si="83"/>
        <v>0</v>
      </c>
      <c r="T1733">
        <f t="shared" si="84"/>
        <v>0</v>
      </c>
      <c r="U1733">
        <f>IF(SQRT(POWER(T1733-F1733,2))+SQRT(POWER(E1733-S1733,2))=0,0,SQRT(POWER(T1733-F1733,2))+SQRT(POWER(E1733-S1733,2))+DATOS!$H$20)</f>
        <v>0</v>
      </c>
    </row>
    <row r="1734" spans="18:21">
      <c r="R1734" t="e">
        <f t="shared" si="82"/>
        <v>#VALUE!</v>
      </c>
      <c r="S1734">
        <f t="shared" si="83"/>
        <v>0</v>
      </c>
      <c r="T1734">
        <f t="shared" si="84"/>
        <v>0</v>
      </c>
      <c r="U1734">
        <f>IF(SQRT(POWER(T1734-F1734,2))+SQRT(POWER(E1734-S1734,2))=0,0,SQRT(POWER(T1734-F1734,2))+SQRT(POWER(E1734-S1734,2))+DATOS!$H$20)</f>
        <v>0</v>
      </c>
    </row>
    <row r="1735" spans="18:21">
      <c r="R1735" t="e">
        <f t="shared" si="82"/>
        <v>#VALUE!</v>
      </c>
      <c r="S1735">
        <f t="shared" si="83"/>
        <v>0</v>
      </c>
      <c r="T1735">
        <f t="shared" si="84"/>
        <v>0</v>
      </c>
      <c r="U1735">
        <f>IF(SQRT(POWER(T1735-F1735,2))+SQRT(POWER(E1735-S1735,2))=0,0,SQRT(POWER(T1735-F1735,2))+SQRT(POWER(E1735-S1735,2))+DATOS!$H$20)</f>
        <v>0</v>
      </c>
    </row>
    <row r="1736" spans="18:21">
      <c r="R1736" t="e">
        <f t="shared" si="82"/>
        <v>#VALUE!</v>
      </c>
      <c r="S1736">
        <f t="shared" si="83"/>
        <v>0</v>
      </c>
      <c r="T1736">
        <f t="shared" si="84"/>
        <v>0</v>
      </c>
      <c r="U1736">
        <f>IF(SQRT(POWER(T1736-F1736,2))+SQRT(POWER(E1736-S1736,2))=0,0,SQRT(POWER(T1736-F1736,2))+SQRT(POWER(E1736-S1736,2))+DATOS!$H$20)</f>
        <v>0</v>
      </c>
    </row>
    <row r="1737" spans="18:21">
      <c r="R1737" t="e">
        <f t="shared" si="82"/>
        <v>#VALUE!</v>
      </c>
      <c r="S1737">
        <f t="shared" si="83"/>
        <v>0</v>
      </c>
      <c r="T1737">
        <f t="shared" si="84"/>
        <v>0</v>
      </c>
      <c r="U1737">
        <f>IF(SQRT(POWER(T1737-F1737,2))+SQRT(POWER(E1737-S1737,2))=0,0,SQRT(POWER(T1737-F1737,2))+SQRT(POWER(E1737-S1737,2))+DATOS!$H$20)</f>
        <v>0</v>
      </c>
    </row>
    <row r="1738" spans="18:21">
      <c r="R1738" t="e">
        <f t="shared" si="82"/>
        <v>#VALUE!</v>
      </c>
      <c r="S1738">
        <f t="shared" si="83"/>
        <v>0</v>
      </c>
      <c r="T1738">
        <f t="shared" si="84"/>
        <v>0</v>
      </c>
      <c r="U1738">
        <f>IF(SQRT(POWER(T1738-F1738,2))+SQRT(POWER(E1738-S1738,2))=0,0,SQRT(POWER(T1738-F1738,2))+SQRT(POWER(E1738-S1738,2))+DATOS!$H$20)</f>
        <v>0</v>
      </c>
    </row>
    <row r="1739" spans="18:21">
      <c r="R1739" t="e">
        <f t="shared" si="82"/>
        <v>#VALUE!</v>
      </c>
      <c r="S1739">
        <f t="shared" si="83"/>
        <v>0</v>
      </c>
      <c r="T1739">
        <f t="shared" si="84"/>
        <v>0</v>
      </c>
      <c r="U1739">
        <f>IF(SQRT(POWER(T1739-F1739,2))+SQRT(POWER(E1739-S1739,2))=0,0,SQRT(POWER(T1739-F1739,2))+SQRT(POWER(E1739-S1739,2))+DATOS!$H$20)</f>
        <v>0</v>
      </c>
    </row>
    <row r="1740" spans="18:21">
      <c r="R1740" t="e">
        <f t="shared" si="82"/>
        <v>#VALUE!</v>
      </c>
      <c r="S1740">
        <f t="shared" si="83"/>
        <v>0</v>
      </c>
      <c r="T1740">
        <f t="shared" si="84"/>
        <v>0</v>
      </c>
      <c r="U1740">
        <f>IF(SQRT(POWER(T1740-F1740,2))+SQRT(POWER(E1740-S1740,2))=0,0,SQRT(POWER(T1740-F1740,2))+SQRT(POWER(E1740-S1740,2))+DATOS!$H$20)</f>
        <v>0</v>
      </c>
    </row>
    <row r="1741" spans="18:21">
      <c r="R1741" t="e">
        <f t="shared" si="82"/>
        <v>#VALUE!</v>
      </c>
      <c r="S1741">
        <f t="shared" si="83"/>
        <v>0</v>
      </c>
      <c r="T1741">
        <f t="shared" si="84"/>
        <v>0</v>
      </c>
      <c r="U1741">
        <f>IF(SQRT(POWER(T1741-F1741,2))+SQRT(POWER(E1741-S1741,2))=0,0,SQRT(POWER(T1741-F1741,2))+SQRT(POWER(E1741-S1741,2))+DATOS!$H$20)</f>
        <v>0</v>
      </c>
    </row>
    <row r="1742" spans="18:21">
      <c r="R1742" t="e">
        <f t="shared" si="82"/>
        <v>#VALUE!</v>
      </c>
      <c r="S1742">
        <f t="shared" si="83"/>
        <v>0</v>
      </c>
      <c r="T1742">
        <f t="shared" si="84"/>
        <v>0</v>
      </c>
      <c r="U1742">
        <f>IF(SQRT(POWER(T1742-F1742,2))+SQRT(POWER(E1742-S1742,2))=0,0,SQRT(POWER(T1742-F1742,2))+SQRT(POWER(E1742-S1742,2))+DATOS!$H$20)</f>
        <v>0</v>
      </c>
    </row>
    <row r="1743" spans="18:21">
      <c r="R1743" t="e">
        <f t="shared" si="82"/>
        <v>#VALUE!</v>
      </c>
      <c r="S1743">
        <f t="shared" si="83"/>
        <v>0</v>
      </c>
      <c r="T1743">
        <f t="shared" si="84"/>
        <v>0</v>
      </c>
      <c r="U1743">
        <f>IF(SQRT(POWER(T1743-F1743,2))+SQRT(POWER(E1743-S1743,2))=0,0,SQRT(POWER(T1743-F1743,2))+SQRT(POWER(E1743-S1743,2))+DATOS!$H$20)</f>
        <v>0</v>
      </c>
    </row>
    <row r="1744" spans="18:21">
      <c r="R1744" t="e">
        <f t="shared" si="82"/>
        <v>#VALUE!</v>
      </c>
      <c r="S1744">
        <f t="shared" si="83"/>
        <v>0</v>
      </c>
      <c r="T1744">
        <f t="shared" si="84"/>
        <v>0</v>
      </c>
      <c r="U1744">
        <f>IF(SQRT(POWER(T1744-F1744,2))+SQRT(POWER(E1744-S1744,2))=0,0,SQRT(POWER(T1744-F1744,2))+SQRT(POWER(E1744-S1744,2))+DATOS!$H$20)</f>
        <v>0</v>
      </c>
    </row>
    <row r="1745" spans="18:21">
      <c r="R1745" t="e">
        <f t="shared" si="82"/>
        <v>#VALUE!</v>
      </c>
      <c r="S1745">
        <f t="shared" si="83"/>
        <v>0</v>
      </c>
      <c r="T1745">
        <f t="shared" si="84"/>
        <v>0</v>
      </c>
      <c r="U1745">
        <f>IF(SQRT(POWER(T1745-F1745,2))+SQRT(POWER(E1745-S1745,2))=0,0,SQRT(POWER(T1745-F1745,2))+SQRT(POWER(E1745-S1745,2))+DATOS!$H$20)</f>
        <v>0</v>
      </c>
    </row>
    <row r="1746" spans="18:21">
      <c r="R1746" t="e">
        <f t="shared" si="82"/>
        <v>#VALUE!</v>
      </c>
      <c r="S1746">
        <f t="shared" si="83"/>
        <v>0</v>
      </c>
      <c r="T1746">
        <f t="shared" si="84"/>
        <v>0</v>
      </c>
      <c r="U1746">
        <f>IF(SQRT(POWER(T1746-F1746,2))+SQRT(POWER(E1746-S1746,2))=0,0,SQRT(POWER(T1746-F1746,2))+SQRT(POWER(E1746-S1746,2))+DATOS!$H$20)</f>
        <v>0</v>
      </c>
    </row>
    <row r="1747" spans="18:21">
      <c r="R1747" t="e">
        <f t="shared" si="82"/>
        <v>#VALUE!</v>
      </c>
      <c r="S1747">
        <f t="shared" si="83"/>
        <v>0</v>
      </c>
      <c r="T1747">
        <f t="shared" si="84"/>
        <v>0</v>
      </c>
      <c r="U1747">
        <f>IF(SQRT(POWER(T1747-F1747,2))+SQRT(POWER(E1747-S1747,2))=0,0,SQRT(POWER(T1747-F1747,2))+SQRT(POWER(E1747-S1747,2))+DATOS!$H$20)</f>
        <v>0</v>
      </c>
    </row>
    <row r="1748" spans="18:21">
      <c r="R1748" t="e">
        <f t="shared" si="82"/>
        <v>#VALUE!</v>
      </c>
      <c r="S1748">
        <f t="shared" si="83"/>
        <v>0</v>
      </c>
      <c r="T1748">
        <f t="shared" si="84"/>
        <v>0</v>
      </c>
      <c r="U1748">
        <f>IF(SQRT(POWER(T1748-F1748,2))+SQRT(POWER(E1748-S1748,2))=0,0,SQRT(POWER(T1748-F1748,2))+SQRT(POWER(E1748-S1748,2))+DATOS!$H$20)</f>
        <v>0</v>
      </c>
    </row>
    <row r="1749" spans="18:21">
      <c r="R1749" t="e">
        <f t="shared" si="82"/>
        <v>#VALUE!</v>
      </c>
      <c r="S1749">
        <f t="shared" si="83"/>
        <v>0</v>
      </c>
      <c r="T1749">
        <f t="shared" si="84"/>
        <v>0</v>
      </c>
      <c r="U1749">
        <f>IF(SQRT(POWER(T1749-F1749,2))+SQRT(POWER(E1749-S1749,2))=0,0,SQRT(POWER(T1749-F1749,2))+SQRT(POWER(E1749-S1749,2))+DATOS!$H$20)</f>
        <v>0</v>
      </c>
    </row>
    <row r="1750" spans="18:21">
      <c r="R1750" t="e">
        <f t="shared" si="82"/>
        <v>#VALUE!</v>
      </c>
      <c r="S1750">
        <f t="shared" si="83"/>
        <v>0</v>
      </c>
      <c r="T1750">
        <f t="shared" si="84"/>
        <v>0</v>
      </c>
      <c r="U1750">
        <f>IF(SQRT(POWER(T1750-F1750,2))+SQRT(POWER(E1750-S1750,2))=0,0,SQRT(POWER(T1750-F1750,2))+SQRT(POWER(E1750-S1750,2))+DATOS!$H$20)</f>
        <v>0</v>
      </c>
    </row>
    <row r="1751" spans="18:21">
      <c r="R1751" t="e">
        <f t="shared" si="82"/>
        <v>#VALUE!</v>
      </c>
      <c r="S1751">
        <f t="shared" si="83"/>
        <v>0</v>
      </c>
      <c r="T1751">
        <f t="shared" si="84"/>
        <v>0</v>
      </c>
      <c r="U1751">
        <f>IF(SQRT(POWER(T1751-F1751,2))+SQRT(POWER(E1751-S1751,2))=0,0,SQRT(POWER(T1751-F1751,2))+SQRT(POWER(E1751-S1751,2))+DATOS!$H$20)</f>
        <v>0</v>
      </c>
    </row>
    <row r="1752" spans="18:21">
      <c r="R1752" t="e">
        <f t="shared" si="82"/>
        <v>#VALUE!</v>
      </c>
      <c r="S1752">
        <f t="shared" si="83"/>
        <v>0</v>
      </c>
      <c r="T1752">
        <f t="shared" si="84"/>
        <v>0</v>
      </c>
      <c r="U1752">
        <f>IF(SQRT(POWER(T1752-F1752,2))+SQRT(POWER(E1752-S1752,2))=0,0,SQRT(POWER(T1752-F1752,2))+SQRT(POWER(E1752-S1752,2))+DATOS!$H$20)</f>
        <v>0</v>
      </c>
    </row>
    <row r="1753" spans="18:21">
      <c r="R1753" t="e">
        <f t="shared" si="82"/>
        <v>#VALUE!</v>
      </c>
      <c r="S1753">
        <f t="shared" si="83"/>
        <v>0</v>
      </c>
      <c r="T1753">
        <f t="shared" si="84"/>
        <v>0</v>
      </c>
      <c r="U1753">
        <f>IF(SQRT(POWER(T1753-F1753,2))+SQRT(POWER(E1753-S1753,2))=0,0,SQRT(POWER(T1753-F1753,2))+SQRT(POWER(E1753-S1753,2))+DATOS!$H$20)</f>
        <v>0</v>
      </c>
    </row>
    <row r="1754" spans="18:21">
      <c r="R1754" t="e">
        <f t="shared" si="82"/>
        <v>#VALUE!</v>
      </c>
      <c r="S1754">
        <f t="shared" si="83"/>
        <v>0</v>
      </c>
      <c r="T1754">
        <f t="shared" si="84"/>
        <v>0</v>
      </c>
      <c r="U1754">
        <f>IF(SQRT(POWER(T1754-F1754,2))+SQRT(POWER(E1754-S1754,2))=0,0,SQRT(POWER(T1754-F1754,2))+SQRT(POWER(E1754-S1754,2))+DATOS!$H$20)</f>
        <v>0</v>
      </c>
    </row>
    <row r="1755" spans="18:21">
      <c r="R1755" t="e">
        <f t="shared" si="82"/>
        <v>#VALUE!</v>
      </c>
      <c r="S1755">
        <f t="shared" si="83"/>
        <v>0</v>
      </c>
      <c r="T1755">
        <f t="shared" si="84"/>
        <v>0</v>
      </c>
      <c r="U1755">
        <f>IF(SQRT(POWER(T1755-F1755,2))+SQRT(POWER(E1755-S1755,2))=0,0,SQRT(POWER(T1755-F1755,2))+SQRT(POWER(E1755-S1755,2))+DATOS!$H$20)</f>
        <v>0</v>
      </c>
    </row>
    <row r="1756" spans="18:21">
      <c r="R1756" t="e">
        <f t="shared" si="82"/>
        <v>#VALUE!</v>
      </c>
      <c r="S1756">
        <f t="shared" si="83"/>
        <v>0</v>
      </c>
      <c r="T1756">
        <f t="shared" si="84"/>
        <v>0</v>
      </c>
      <c r="U1756">
        <f>IF(SQRT(POWER(T1756-F1756,2))+SQRT(POWER(E1756-S1756,2))=0,0,SQRT(POWER(T1756-F1756,2))+SQRT(POWER(E1756-S1756,2))+DATOS!$H$20)</f>
        <v>0</v>
      </c>
    </row>
    <row r="1757" spans="18:21">
      <c r="R1757" t="e">
        <f t="shared" si="82"/>
        <v>#VALUE!</v>
      </c>
      <c r="S1757">
        <f t="shared" si="83"/>
        <v>0</v>
      </c>
      <c r="T1757">
        <f t="shared" si="84"/>
        <v>0</v>
      </c>
      <c r="U1757">
        <f>IF(SQRT(POWER(T1757-F1757,2))+SQRT(POWER(E1757-S1757,2))=0,0,SQRT(POWER(T1757-F1757,2))+SQRT(POWER(E1757-S1757,2))+DATOS!$H$20)</f>
        <v>0</v>
      </c>
    </row>
    <row r="1758" spans="18:21">
      <c r="R1758" t="e">
        <f t="shared" si="82"/>
        <v>#VALUE!</v>
      </c>
      <c r="S1758">
        <f t="shared" si="83"/>
        <v>0</v>
      </c>
      <c r="T1758">
        <f t="shared" si="84"/>
        <v>0</v>
      </c>
      <c r="U1758">
        <f>IF(SQRT(POWER(T1758-F1758,2))+SQRT(POWER(E1758-S1758,2))=0,0,SQRT(POWER(T1758-F1758,2))+SQRT(POWER(E1758-S1758,2))+DATOS!$H$20)</f>
        <v>0</v>
      </c>
    </row>
    <row r="1759" spans="18:21">
      <c r="R1759" t="e">
        <f t="shared" si="82"/>
        <v>#VALUE!</v>
      </c>
      <c r="S1759">
        <f t="shared" si="83"/>
        <v>0</v>
      </c>
      <c r="T1759">
        <f t="shared" si="84"/>
        <v>0</v>
      </c>
      <c r="U1759">
        <f>IF(SQRT(POWER(T1759-F1759,2))+SQRT(POWER(E1759-S1759,2))=0,0,SQRT(POWER(T1759-F1759,2))+SQRT(POWER(E1759-S1759,2))+DATOS!$H$20)</f>
        <v>0</v>
      </c>
    </row>
    <row r="1760" spans="18:21">
      <c r="R1760" t="e">
        <f t="shared" si="82"/>
        <v>#VALUE!</v>
      </c>
      <c r="S1760">
        <f t="shared" si="83"/>
        <v>0</v>
      </c>
      <c r="T1760">
        <f t="shared" si="84"/>
        <v>0</v>
      </c>
      <c r="U1760">
        <f>IF(SQRT(POWER(T1760-F1760,2))+SQRT(POWER(E1760-S1760,2))=0,0,SQRT(POWER(T1760-F1760,2))+SQRT(POWER(E1760-S1760,2))+DATOS!$H$20)</f>
        <v>0</v>
      </c>
    </row>
    <row r="1761" spans="18:21">
      <c r="R1761" t="e">
        <f t="shared" si="82"/>
        <v>#VALUE!</v>
      </c>
      <c r="S1761">
        <f t="shared" si="83"/>
        <v>0</v>
      </c>
      <c r="T1761">
        <f t="shared" si="84"/>
        <v>0</v>
      </c>
      <c r="U1761">
        <f>IF(SQRT(POWER(T1761-F1761,2))+SQRT(POWER(E1761-S1761,2))=0,0,SQRT(POWER(T1761-F1761,2))+SQRT(POWER(E1761-S1761,2))+DATOS!$H$20)</f>
        <v>0</v>
      </c>
    </row>
    <row r="1762" spans="18:21">
      <c r="R1762" t="e">
        <f t="shared" si="82"/>
        <v>#VALUE!</v>
      </c>
      <c r="S1762">
        <f t="shared" si="83"/>
        <v>0</v>
      </c>
      <c r="T1762">
        <f t="shared" si="84"/>
        <v>0</v>
      </c>
      <c r="U1762">
        <f>IF(SQRT(POWER(T1762-F1762,2))+SQRT(POWER(E1762-S1762,2))=0,0,SQRT(POWER(T1762-F1762,2))+SQRT(POWER(E1762-S1762,2))+DATOS!$H$20)</f>
        <v>0</v>
      </c>
    </row>
    <row r="1763" spans="18:21">
      <c r="R1763" t="e">
        <f t="shared" si="82"/>
        <v>#VALUE!</v>
      </c>
      <c r="S1763">
        <f t="shared" si="83"/>
        <v>0</v>
      </c>
      <c r="T1763">
        <f t="shared" si="84"/>
        <v>0</v>
      </c>
      <c r="U1763">
        <f>IF(SQRT(POWER(T1763-F1763,2))+SQRT(POWER(E1763-S1763,2))=0,0,SQRT(POWER(T1763-F1763,2))+SQRT(POWER(E1763-S1763,2))+DATOS!$H$20)</f>
        <v>0</v>
      </c>
    </row>
    <row r="1764" spans="18:21">
      <c r="R1764" t="e">
        <f t="shared" si="82"/>
        <v>#VALUE!</v>
      </c>
      <c r="S1764">
        <f t="shared" si="83"/>
        <v>0</v>
      </c>
      <c r="T1764">
        <f t="shared" si="84"/>
        <v>0</v>
      </c>
      <c r="U1764">
        <f>IF(SQRT(POWER(T1764-F1764,2))+SQRT(POWER(E1764-S1764,2))=0,0,SQRT(POWER(T1764-F1764,2))+SQRT(POWER(E1764-S1764,2))+DATOS!$H$20)</f>
        <v>0</v>
      </c>
    </row>
    <row r="1765" spans="18:21">
      <c r="R1765" t="e">
        <f t="shared" si="82"/>
        <v>#VALUE!</v>
      </c>
      <c r="S1765">
        <f t="shared" si="83"/>
        <v>0</v>
      </c>
      <c r="T1765">
        <f t="shared" si="84"/>
        <v>0</v>
      </c>
      <c r="U1765">
        <f>IF(SQRT(POWER(T1765-F1765,2))+SQRT(POWER(E1765-S1765,2))=0,0,SQRT(POWER(T1765-F1765,2))+SQRT(POWER(E1765-S1765,2))+DATOS!$H$20)</f>
        <v>0</v>
      </c>
    </row>
    <row r="1766" spans="18:21">
      <c r="R1766" t="e">
        <f t="shared" si="82"/>
        <v>#VALUE!</v>
      </c>
      <c r="S1766">
        <f t="shared" si="83"/>
        <v>0</v>
      </c>
      <c r="T1766">
        <f t="shared" si="84"/>
        <v>0</v>
      </c>
      <c r="U1766">
        <f>IF(SQRT(POWER(T1766-F1766,2))+SQRT(POWER(E1766-S1766,2))=0,0,SQRT(POWER(T1766-F1766,2))+SQRT(POWER(E1766-S1766,2))+DATOS!$H$20)</f>
        <v>0</v>
      </c>
    </row>
    <row r="1767" spans="18:21">
      <c r="R1767" t="e">
        <f t="shared" si="82"/>
        <v>#VALUE!</v>
      </c>
      <c r="S1767">
        <f t="shared" si="83"/>
        <v>0</v>
      </c>
      <c r="T1767">
        <f t="shared" si="84"/>
        <v>0</v>
      </c>
      <c r="U1767">
        <f>IF(SQRT(POWER(T1767-F1767,2))+SQRT(POWER(E1767-S1767,2))=0,0,SQRT(POWER(T1767-F1767,2))+SQRT(POWER(E1767-S1767,2))+DATOS!$H$20)</f>
        <v>0</v>
      </c>
    </row>
    <row r="1768" spans="18:21">
      <c r="R1768" t="e">
        <f t="shared" si="82"/>
        <v>#VALUE!</v>
      </c>
      <c r="S1768">
        <f t="shared" si="83"/>
        <v>0</v>
      </c>
      <c r="T1768">
        <f t="shared" si="84"/>
        <v>0</v>
      </c>
      <c r="U1768">
        <f>IF(SQRT(POWER(T1768-F1768,2))+SQRT(POWER(E1768-S1768,2))=0,0,SQRT(POWER(T1768-F1768,2))+SQRT(POWER(E1768-S1768,2))+DATOS!$H$20)</f>
        <v>0</v>
      </c>
    </row>
    <row r="1769" spans="18:21">
      <c r="R1769" t="e">
        <f t="shared" si="82"/>
        <v>#VALUE!</v>
      </c>
      <c r="S1769">
        <f t="shared" si="83"/>
        <v>0</v>
      </c>
      <c r="T1769">
        <f t="shared" si="84"/>
        <v>0</v>
      </c>
      <c r="U1769">
        <f>IF(SQRT(POWER(T1769-F1769,2))+SQRT(POWER(E1769-S1769,2))=0,0,SQRT(POWER(T1769-F1769,2))+SQRT(POWER(E1769-S1769,2))+DATOS!$H$20)</f>
        <v>0</v>
      </c>
    </row>
    <row r="1770" spans="18:21">
      <c r="R1770" t="e">
        <f t="shared" si="82"/>
        <v>#VALUE!</v>
      </c>
      <c r="S1770">
        <f t="shared" si="83"/>
        <v>0</v>
      </c>
      <c r="T1770">
        <f t="shared" si="84"/>
        <v>0</v>
      </c>
      <c r="U1770">
        <f>IF(SQRT(POWER(T1770-F1770,2))+SQRT(POWER(E1770-S1770,2))=0,0,SQRT(POWER(T1770-F1770,2))+SQRT(POWER(E1770-S1770,2))+DATOS!$H$20)</f>
        <v>0</v>
      </c>
    </row>
    <row r="1771" spans="18:21">
      <c r="R1771" t="e">
        <f t="shared" si="82"/>
        <v>#VALUE!</v>
      </c>
      <c r="S1771">
        <f t="shared" si="83"/>
        <v>0</v>
      </c>
      <c r="T1771">
        <f t="shared" si="84"/>
        <v>0</v>
      </c>
      <c r="U1771">
        <f>IF(SQRT(POWER(T1771-F1771,2))+SQRT(POWER(E1771-S1771,2))=0,0,SQRT(POWER(T1771-F1771,2))+SQRT(POWER(E1771-S1771,2))+DATOS!$H$20)</f>
        <v>0</v>
      </c>
    </row>
    <row r="1772" spans="18:21">
      <c r="R1772" t="e">
        <f t="shared" si="82"/>
        <v>#VALUE!</v>
      </c>
      <c r="S1772">
        <f t="shared" si="83"/>
        <v>0</v>
      </c>
      <c r="T1772">
        <f t="shared" si="84"/>
        <v>0</v>
      </c>
      <c r="U1772">
        <f>IF(SQRT(POWER(T1772-F1772,2))+SQRT(POWER(E1772-S1772,2))=0,0,SQRT(POWER(T1772-F1772,2))+SQRT(POWER(E1772-S1772,2))+DATOS!$H$20)</f>
        <v>0</v>
      </c>
    </row>
    <row r="1773" spans="18:21">
      <c r="R1773" t="e">
        <f t="shared" si="82"/>
        <v>#VALUE!</v>
      </c>
      <c r="S1773">
        <f t="shared" si="83"/>
        <v>0</v>
      </c>
      <c r="T1773">
        <f t="shared" si="84"/>
        <v>0</v>
      </c>
      <c r="U1773">
        <f>IF(SQRT(POWER(T1773-F1773,2))+SQRT(POWER(E1773-S1773,2))=0,0,SQRT(POWER(T1773-F1773,2))+SQRT(POWER(E1773-S1773,2))+DATOS!$H$20)</f>
        <v>0</v>
      </c>
    </row>
    <row r="1774" spans="18:21">
      <c r="R1774" t="e">
        <f t="shared" si="82"/>
        <v>#VALUE!</v>
      </c>
      <c r="S1774">
        <f t="shared" si="83"/>
        <v>0</v>
      </c>
      <c r="T1774">
        <f t="shared" si="84"/>
        <v>0</v>
      </c>
      <c r="U1774">
        <f>IF(SQRT(POWER(T1774-F1774,2))+SQRT(POWER(E1774-S1774,2))=0,0,SQRT(POWER(T1774-F1774,2))+SQRT(POWER(E1774-S1774,2))+DATOS!$H$20)</f>
        <v>0</v>
      </c>
    </row>
    <row r="1775" spans="18:21">
      <c r="R1775" t="e">
        <f t="shared" si="82"/>
        <v>#VALUE!</v>
      </c>
      <c r="S1775">
        <f t="shared" si="83"/>
        <v>0</v>
      </c>
      <c r="T1775">
        <f t="shared" si="84"/>
        <v>0</v>
      </c>
      <c r="U1775">
        <f>IF(SQRT(POWER(T1775-F1775,2))+SQRT(POWER(E1775-S1775,2))=0,0,SQRT(POWER(T1775-F1775,2))+SQRT(POWER(E1775-S1775,2))+DATOS!$H$20)</f>
        <v>0</v>
      </c>
    </row>
    <row r="1776" spans="18:21">
      <c r="R1776" t="e">
        <f t="shared" si="82"/>
        <v>#VALUE!</v>
      </c>
      <c r="S1776">
        <f t="shared" si="83"/>
        <v>0</v>
      </c>
      <c r="T1776">
        <f t="shared" si="84"/>
        <v>0</v>
      </c>
      <c r="U1776">
        <f>IF(SQRT(POWER(T1776-F1776,2))+SQRT(POWER(E1776-S1776,2))=0,0,SQRT(POWER(T1776-F1776,2))+SQRT(POWER(E1776-S1776,2))+DATOS!$H$20)</f>
        <v>0</v>
      </c>
    </row>
    <row r="1777" spans="18:21">
      <c r="R1777" t="e">
        <f t="shared" si="82"/>
        <v>#VALUE!</v>
      </c>
      <c r="S1777">
        <f t="shared" si="83"/>
        <v>0</v>
      </c>
      <c r="T1777">
        <f t="shared" si="84"/>
        <v>0</v>
      </c>
      <c r="U1777">
        <f>IF(SQRT(POWER(T1777-F1777,2))+SQRT(POWER(E1777-S1777,2))=0,0,SQRT(POWER(T1777-F1777,2))+SQRT(POWER(E1777-S1777,2))+DATOS!$H$20)</f>
        <v>0</v>
      </c>
    </row>
    <row r="1778" spans="18:21">
      <c r="R1778" t="e">
        <f t="shared" si="82"/>
        <v>#VALUE!</v>
      </c>
      <c r="S1778">
        <f t="shared" si="83"/>
        <v>0</v>
      </c>
      <c r="T1778">
        <f t="shared" si="84"/>
        <v>0</v>
      </c>
      <c r="U1778">
        <f>IF(SQRT(POWER(T1778-F1778,2))+SQRT(POWER(E1778-S1778,2))=0,0,SQRT(POWER(T1778-F1778,2))+SQRT(POWER(E1778-S1778,2))+DATOS!$H$20)</f>
        <v>0</v>
      </c>
    </row>
    <row r="1779" spans="18:21">
      <c r="R1779" t="e">
        <f t="shared" si="82"/>
        <v>#VALUE!</v>
      </c>
      <c r="S1779">
        <f t="shared" si="83"/>
        <v>0</v>
      </c>
      <c r="T1779">
        <f t="shared" si="84"/>
        <v>0</v>
      </c>
      <c r="U1779">
        <f>IF(SQRT(POWER(T1779-F1779,2))+SQRT(POWER(E1779-S1779,2))=0,0,SQRT(POWER(T1779-F1779,2))+SQRT(POWER(E1779-S1779,2))+DATOS!$H$20)</f>
        <v>0</v>
      </c>
    </row>
    <row r="1780" spans="18:21">
      <c r="R1780" t="e">
        <f t="shared" si="82"/>
        <v>#VALUE!</v>
      </c>
      <c r="S1780">
        <f t="shared" si="83"/>
        <v>0</v>
      </c>
      <c r="T1780">
        <f t="shared" si="84"/>
        <v>0</v>
      </c>
      <c r="U1780">
        <f>IF(SQRT(POWER(T1780-F1780,2))+SQRT(POWER(E1780-S1780,2))=0,0,SQRT(POWER(T1780-F1780,2))+SQRT(POWER(E1780-S1780,2))+DATOS!$H$20)</f>
        <v>0</v>
      </c>
    </row>
    <row r="1781" spans="18:21">
      <c r="R1781" t="e">
        <f t="shared" si="82"/>
        <v>#VALUE!</v>
      </c>
      <c r="S1781">
        <f t="shared" si="83"/>
        <v>0</v>
      </c>
      <c r="T1781">
        <f t="shared" si="84"/>
        <v>0</v>
      </c>
      <c r="U1781">
        <f>IF(SQRT(POWER(T1781-F1781,2))+SQRT(POWER(E1781-S1781,2))=0,0,SQRT(POWER(T1781-F1781,2))+SQRT(POWER(E1781-S1781,2))+DATOS!$H$20)</f>
        <v>0</v>
      </c>
    </row>
    <row r="1782" spans="18:21">
      <c r="R1782" t="e">
        <f t="shared" si="82"/>
        <v>#VALUE!</v>
      </c>
      <c r="S1782">
        <f t="shared" si="83"/>
        <v>0</v>
      </c>
      <c r="T1782">
        <f t="shared" si="84"/>
        <v>0</v>
      </c>
      <c r="U1782">
        <f>IF(SQRT(POWER(T1782-F1782,2))+SQRT(POWER(E1782-S1782,2))=0,0,SQRT(POWER(T1782-F1782,2))+SQRT(POWER(E1782-S1782,2))+DATOS!$H$20)</f>
        <v>0</v>
      </c>
    </row>
    <row r="1783" spans="18:21">
      <c r="R1783" t="e">
        <f t="shared" si="82"/>
        <v>#VALUE!</v>
      </c>
      <c r="S1783">
        <f t="shared" si="83"/>
        <v>0</v>
      </c>
      <c r="T1783">
        <f t="shared" si="84"/>
        <v>0</v>
      </c>
      <c r="U1783">
        <f>IF(SQRT(POWER(T1783-F1783,2))+SQRT(POWER(E1783-S1783,2))=0,0,SQRT(POWER(T1783-F1783,2))+SQRT(POWER(E1783-S1783,2))+DATOS!$H$20)</f>
        <v>0</v>
      </c>
    </row>
    <row r="1784" spans="18:21">
      <c r="R1784" t="e">
        <f t="shared" si="82"/>
        <v>#VALUE!</v>
      </c>
      <c r="S1784">
        <f t="shared" si="83"/>
        <v>0</v>
      </c>
      <c r="T1784">
        <f t="shared" si="84"/>
        <v>0</v>
      </c>
      <c r="U1784">
        <f>IF(SQRT(POWER(T1784-F1784,2))+SQRT(POWER(E1784-S1784,2))=0,0,SQRT(POWER(T1784-F1784,2))+SQRT(POWER(E1784-S1784,2))+DATOS!$H$20)</f>
        <v>0</v>
      </c>
    </row>
    <row r="1785" spans="18:21">
      <c r="R1785" t="e">
        <f t="shared" si="82"/>
        <v>#VALUE!</v>
      </c>
      <c r="S1785">
        <f t="shared" si="83"/>
        <v>0</v>
      </c>
      <c r="T1785">
        <f t="shared" si="84"/>
        <v>0</v>
      </c>
      <c r="U1785">
        <f>IF(SQRT(POWER(T1785-F1785,2))+SQRT(POWER(E1785-S1785,2))=0,0,SQRT(POWER(T1785-F1785,2))+SQRT(POWER(E1785-S1785,2))+DATOS!$H$20)</f>
        <v>0</v>
      </c>
    </row>
    <row r="1786" spans="18:21">
      <c r="R1786" t="e">
        <f t="shared" si="82"/>
        <v>#VALUE!</v>
      </c>
      <c r="S1786">
        <f t="shared" si="83"/>
        <v>0</v>
      </c>
      <c r="T1786">
        <f t="shared" si="84"/>
        <v>0</v>
      </c>
      <c r="U1786">
        <f>IF(SQRT(POWER(T1786-F1786,2))+SQRT(POWER(E1786-S1786,2))=0,0,SQRT(POWER(T1786-F1786,2))+SQRT(POWER(E1786-S1786,2))+DATOS!$H$20)</f>
        <v>0</v>
      </c>
    </row>
    <row r="1787" spans="18:21">
      <c r="R1787" t="e">
        <f t="shared" si="82"/>
        <v>#VALUE!</v>
      </c>
      <c r="S1787">
        <f t="shared" si="83"/>
        <v>0</v>
      </c>
      <c r="T1787">
        <f t="shared" si="84"/>
        <v>0</v>
      </c>
      <c r="U1787">
        <f>IF(SQRT(POWER(T1787-F1787,2))+SQRT(POWER(E1787-S1787,2))=0,0,SQRT(POWER(T1787-F1787,2))+SQRT(POWER(E1787-S1787,2))+DATOS!$H$20)</f>
        <v>0</v>
      </c>
    </row>
    <row r="1788" spans="18:21">
      <c r="R1788" t="e">
        <f t="shared" si="82"/>
        <v>#VALUE!</v>
      </c>
      <c r="S1788">
        <f t="shared" si="83"/>
        <v>0</v>
      </c>
      <c r="T1788">
        <f t="shared" si="84"/>
        <v>0</v>
      </c>
      <c r="U1788">
        <f>IF(SQRT(POWER(T1788-F1788,2))+SQRT(POWER(E1788-S1788,2))=0,0,SQRT(POWER(T1788-F1788,2))+SQRT(POWER(E1788-S1788,2))+DATOS!$H$20)</f>
        <v>0</v>
      </c>
    </row>
    <row r="1789" spans="18:21">
      <c r="R1789" t="e">
        <f t="shared" ref="R1789:R1852" si="85">"TAB-"&amp;LEFT(A1789,FIND("-",A1789) -1)</f>
        <v>#VALUE!</v>
      </c>
      <c r="S1789">
        <f t="shared" ref="S1789:S1852" si="86">IFERROR(VLOOKUP(R1789,$A$2:$F$700,5,0),E1789)</f>
        <v>0</v>
      </c>
      <c r="T1789">
        <f t="shared" ref="T1789:T1852" si="87">IFERROR(VLOOKUP(R1789,$A$2:$F$700,6,0),F1789)</f>
        <v>0</v>
      </c>
      <c r="U1789">
        <f>IF(SQRT(POWER(T1789-F1789,2))+SQRT(POWER(E1789-S1789,2))=0,0,SQRT(POWER(T1789-F1789,2))+SQRT(POWER(E1789-S1789,2))+DATOS!$H$20)</f>
        <v>0</v>
      </c>
    </row>
    <row r="1790" spans="18:21">
      <c r="R1790" t="e">
        <f t="shared" si="85"/>
        <v>#VALUE!</v>
      </c>
      <c r="S1790">
        <f t="shared" si="86"/>
        <v>0</v>
      </c>
      <c r="T1790">
        <f t="shared" si="87"/>
        <v>0</v>
      </c>
      <c r="U1790">
        <f>IF(SQRT(POWER(T1790-F1790,2))+SQRT(POWER(E1790-S1790,2))=0,0,SQRT(POWER(T1790-F1790,2))+SQRT(POWER(E1790-S1790,2))+DATOS!$H$20)</f>
        <v>0</v>
      </c>
    </row>
    <row r="1791" spans="18:21">
      <c r="R1791" t="e">
        <f t="shared" si="85"/>
        <v>#VALUE!</v>
      </c>
      <c r="S1791">
        <f t="shared" si="86"/>
        <v>0</v>
      </c>
      <c r="T1791">
        <f t="shared" si="87"/>
        <v>0</v>
      </c>
      <c r="U1791">
        <f>IF(SQRT(POWER(T1791-F1791,2))+SQRT(POWER(E1791-S1791,2))=0,0,SQRT(POWER(T1791-F1791,2))+SQRT(POWER(E1791-S1791,2))+DATOS!$H$20)</f>
        <v>0</v>
      </c>
    </row>
    <row r="1792" spans="18:21">
      <c r="R1792" t="e">
        <f t="shared" si="85"/>
        <v>#VALUE!</v>
      </c>
      <c r="S1792">
        <f t="shared" si="86"/>
        <v>0</v>
      </c>
      <c r="T1792">
        <f t="shared" si="87"/>
        <v>0</v>
      </c>
      <c r="U1792">
        <f>IF(SQRT(POWER(T1792-F1792,2))+SQRT(POWER(E1792-S1792,2))=0,0,SQRT(POWER(T1792-F1792,2))+SQRT(POWER(E1792-S1792,2))+DATOS!$H$20)</f>
        <v>0</v>
      </c>
    </row>
    <row r="1793" spans="18:21">
      <c r="R1793" t="e">
        <f t="shared" si="85"/>
        <v>#VALUE!</v>
      </c>
      <c r="S1793">
        <f t="shared" si="86"/>
        <v>0</v>
      </c>
      <c r="T1793">
        <f t="shared" si="87"/>
        <v>0</v>
      </c>
      <c r="U1793">
        <f>IF(SQRT(POWER(T1793-F1793,2))+SQRT(POWER(E1793-S1793,2))=0,0,SQRT(POWER(T1793-F1793,2))+SQRT(POWER(E1793-S1793,2))+DATOS!$H$20)</f>
        <v>0</v>
      </c>
    </row>
    <row r="1794" spans="18:21">
      <c r="R1794" t="e">
        <f t="shared" si="85"/>
        <v>#VALUE!</v>
      </c>
      <c r="S1794">
        <f t="shared" si="86"/>
        <v>0</v>
      </c>
      <c r="T1794">
        <f t="shared" si="87"/>
        <v>0</v>
      </c>
      <c r="U1794">
        <f>IF(SQRT(POWER(T1794-F1794,2))+SQRT(POWER(E1794-S1794,2))=0,0,SQRT(POWER(T1794-F1794,2))+SQRT(POWER(E1794-S1794,2))+DATOS!$H$20)</f>
        <v>0</v>
      </c>
    </row>
    <row r="1795" spans="18:21">
      <c r="R1795" t="e">
        <f t="shared" si="85"/>
        <v>#VALUE!</v>
      </c>
      <c r="S1795">
        <f t="shared" si="86"/>
        <v>0</v>
      </c>
      <c r="T1795">
        <f t="shared" si="87"/>
        <v>0</v>
      </c>
      <c r="U1795">
        <f>IF(SQRT(POWER(T1795-F1795,2))+SQRT(POWER(E1795-S1795,2))=0,0,SQRT(POWER(T1795-F1795,2))+SQRT(POWER(E1795-S1795,2))+DATOS!$H$20)</f>
        <v>0</v>
      </c>
    </row>
    <row r="1796" spans="18:21">
      <c r="R1796" t="e">
        <f t="shared" si="85"/>
        <v>#VALUE!</v>
      </c>
      <c r="S1796">
        <f t="shared" si="86"/>
        <v>0</v>
      </c>
      <c r="T1796">
        <f t="shared" si="87"/>
        <v>0</v>
      </c>
      <c r="U1796">
        <f>IF(SQRT(POWER(T1796-F1796,2))+SQRT(POWER(E1796-S1796,2))=0,0,SQRT(POWER(T1796-F1796,2))+SQRT(POWER(E1796-S1796,2))+DATOS!$H$20)</f>
        <v>0</v>
      </c>
    </row>
    <row r="1797" spans="18:21">
      <c r="R1797" t="e">
        <f t="shared" si="85"/>
        <v>#VALUE!</v>
      </c>
      <c r="S1797">
        <f t="shared" si="86"/>
        <v>0</v>
      </c>
      <c r="T1797">
        <f t="shared" si="87"/>
        <v>0</v>
      </c>
      <c r="U1797">
        <f>IF(SQRT(POWER(T1797-F1797,2))+SQRT(POWER(E1797-S1797,2))=0,0,SQRT(POWER(T1797-F1797,2))+SQRT(POWER(E1797-S1797,2))+DATOS!$H$20)</f>
        <v>0</v>
      </c>
    </row>
    <row r="1798" spans="18:21">
      <c r="R1798" t="e">
        <f t="shared" si="85"/>
        <v>#VALUE!</v>
      </c>
      <c r="S1798">
        <f t="shared" si="86"/>
        <v>0</v>
      </c>
      <c r="T1798">
        <f t="shared" si="87"/>
        <v>0</v>
      </c>
      <c r="U1798">
        <f>IF(SQRT(POWER(T1798-F1798,2))+SQRT(POWER(E1798-S1798,2))=0,0,SQRT(POWER(T1798-F1798,2))+SQRT(POWER(E1798-S1798,2))+DATOS!$H$20)</f>
        <v>0</v>
      </c>
    </row>
    <row r="1799" spans="18:21">
      <c r="R1799" t="e">
        <f t="shared" si="85"/>
        <v>#VALUE!</v>
      </c>
      <c r="S1799">
        <f t="shared" si="86"/>
        <v>0</v>
      </c>
      <c r="T1799">
        <f t="shared" si="87"/>
        <v>0</v>
      </c>
      <c r="U1799">
        <f>IF(SQRT(POWER(T1799-F1799,2))+SQRT(POWER(E1799-S1799,2))=0,0,SQRT(POWER(T1799-F1799,2))+SQRT(POWER(E1799-S1799,2))+DATOS!$H$20)</f>
        <v>0</v>
      </c>
    </row>
    <row r="1800" spans="18:21">
      <c r="R1800" t="e">
        <f t="shared" si="85"/>
        <v>#VALUE!</v>
      </c>
      <c r="S1800">
        <f t="shared" si="86"/>
        <v>0</v>
      </c>
      <c r="T1800">
        <f t="shared" si="87"/>
        <v>0</v>
      </c>
      <c r="U1800">
        <f>IF(SQRT(POWER(T1800-F1800,2))+SQRT(POWER(E1800-S1800,2))=0,0,SQRT(POWER(T1800-F1800,2))+SQRT(POWER(E1800-S1800,2))+DATOS!$H$20)</f>
        <v>0</v>
      </c>
    </row>
    <row r="1801" spans="18:21">
      <c r="R1801" t="e">
        <f t="shared" si="85"/>
        <v>#VALUE!</v>
      </c>
      <c r="S1801">
        <f t="shared" si="86"/>
        <v>0</v>
      </c>
      <c r="T1801">
        <f t="shared" si="87"/>
        <v>0</v>
      </c>
      <c r="U1801">
        <f>IF(SQRT(POWER(T1801-F1801,2))+SQRT(POWER(E1801-S1801,2))=0,0,SQRT(POWER(T1801-F1801,2))+SQRT(POWER(E1801-S1801,2))+DATOS!$H$20)</f>
        <v>0</v>
      </c>
    </row>
    <row r="1802" spans="18:21">
      <c r="R1802" t="e">
        <f t="shared" si="85"/>
        <v>#VALUE!</v>
      </c>
      <c r="S1802">
        <f t="shared" si="86"/>
        <v>0</v>
      </c>
      <c r="T1802">
        <f t="shared" si="87"/>
        <v>0</v>
      </c>
      <c r="U1802">
        <f>IF(SQRT(POWER(T1802-F1802,2))+SQRT(POWER(E1802-S1802,2))=0,0,SQRT(POWER(T1802-F1802,2))+SQRT(POWER(E1802-S1802,2))+DATOS!$H$20)</f>
        <v>0</v>
      </c>
    </row>
    <row r="1803" spans="18:21">
      <c r="R1803" t="e">
        <f t="shared" si="85"/>
        <v>#VALUE!</v>
      </c>
      <c r="S1803">
        <f t="shared" si="86"/>
        <v>0</v>
      </c>
      <c r="T1803">
        <f t="shared" si="87"/>
        <v>0</v>
      </c>
      <c r="U1803">
        <f>IF(SQRT(POWER(T1803-F1803,2))+SQRT(POWER(E1803-S1803,2))=0,0,SQRT(POWER(T1803-F1803,2))+SQRT(POWER(E1803-S1803,2))+DATOS!$H$20)</f>
        <v>0</v>
      </c>
    </row>
    <row r="1804" spans="18:21">
      <c r="R1804" t="e">
        <f t="shared" si="85"/>
        <v>#VALUE!</v>
      </c>
      <c r="S1804">
        <f t="shared" si="86"/>
        <v>0</v>
      </c>
      <c r="T1804">
        <f t="shared" si="87"/>
        <v>0</v>
      </c>
      <c r="U1804">
        <f>IF(SQRT(POWER(T1804-F1804,2))+SQRT(POWER(E1804-S1804,2))=0,0,SQRT(POWER(T1804-F1804,2))+SQRT(POWER(E1804-S1804,2))+DATOS!$H$20)</f>
        <v>0</v>
      </c>
    </row>
    <row r="1805" spans="18:21">
      <c r="R1805" t="e">
        <f t="shared" si="85"/>
        <v>#VALUE!</v>
      </c>
      <c r="S1805">
        <f t="shared" si="86"/>
        <v>0</v>
      </c>
      <c r="T1805">
        <f t="shared" si="87"/>
        <v>0</v>
      </c>
      <c r="U1805">
        <f>IF(SQRT(POWER(T1805-F1805,2))+SQRT(POWER(E1805-S1805,2))=0,0,SQRT(POWER(T1805-F1805,2))+SQRT(POWER(E1805-S1805,2))+DATOS!$H$20)</f>
        <v>0</v>
      </c>
    </row>
    <row r="1806" spans="18:21">
      <c r="R1806" t="e">
        <f t="shared" si="85"/>
        <v>#VALUE!</v>
      </c>
      <c r="S1806">
        <f t="shared" si="86"/>
        <v>0</v>
      </c>
      <c r="T1806">
        <f t="shared" si="87"/>
        <v>0</v>
      </c>
      <c r="U1806">
        <f>IF(SQRT(POWER(T1806-F1806,2))+SQRT(POWER(E1806-S1806,2))=0,0,SQRT(POWER(T1806-F1806,2))+SQRT(POWER(E1806-S1806,2))+DATOS!$H$20)</f>
        <v>0</v>
      </c>
    </row>
    <row r="1807" spans="18:21">
      <c r="R1807" t="e">
        <f t="shared" si="85"/>
        <v>#VALUE!</v>
      </c>
      <c r="S1807">
        <f t="shared" si="86"/>
        <v>0</v>
      </c>
      <c r="T1807">
        <f t="shared" si="87"/>
        <v>0</v>
      </c>
      <c r="U1807">
        <f>IF(SQRT(POWER(T1807-F1807,2))+SQRT(POWER(E1807-S1807,2))=0,0,SQRT(POWER(T1807-F1807,2))+SQRT(POWER(E1807-S1807,2))+DATOS!$H$20)</f>
        <v>0</v>
      </c>
    </row>
    <row r="1808" spans="18:21">
      <c r="R1808" t="e">
        <f t="shared" si="85"/>
        <v>#VALUE!</v>
      </c>
      <c r="S1808">
        <f t="shared" si="86"/>
        <v>0</v>
      </c>
      <c r="T1808">
        <f t="shared" si="87"/>
        <v>0</v>
      </c>
      <c r="U1808">
        <f>IF(SQRT(POWER(T1808-F1808,2))+SQRT(POWER(E1808-S1808,2))=0,0,SQRT(POWER(T1808-F1808,2))+SQRT(POWER(E1808-S1808,2))+DATOS!$H$20)</f>
        <v>0</v>
      </c>
    </row>
    <row r="1809" spans="18:21">
      <c r="R1809" t="e">
        <f t="shared" si="85"/>
        <v>#VALUE!</v>
      </c>
      <c r="S1809">
        <f t="shared" si="86"/>
        <v>0</v>
      </c>
      <c r="T1809">
        <f t="shared" si="87"/>
        <v>0</v>
      </c>
      <c r="U1809">
        <f>IF(SQRT(POWER(T1809-F1809,2))+SQRT(POWER(E1809-S1809,2))=0,0,SQRT(POWER(T1809-F1809,2))+SQRT(POWER(E1809-S1809,2))+DATOS!$H$20)</f>
        <v>0</v>
      </c>
    </row>
    <row r="1810" spans="18:21">
      <c r="R1810" t="e">
        <f t="shared" si="85"/>
        <v>#VALUE!</v>
      </c>
      <c r="S1810">
        <f t="shared" si="86"/>
        <v>0</v>
      </c>
      <c r="T1810">
        <f t="shared" si="87"/>
        <v>0</v>
      </c>
      <c r="U1810">
        <f>IF(SQRT(POWER(T1810-F1810,2))+SQRT(POWER(E1810-S1810,2))=0,0,SQRT(POWER(T1810-F1810,2))+SQRT(POWER(E1810-S1810,2))+DATOS!$H$20)</f>
        <v>0</v>
      </c>
    </row>
    <row r="1811" spans="18:21">
      <c r="R1811" t="e">
        <f t="shared" si="85"/>
        <v>#VALUE!</v>
      </c>
      <c r="S1811">
        <f t="shared" si="86"/>
        <v>0</v>
      </c>
      <c r="T1811">
        <f t="shared" si="87"/>
        <v>0</v>
      </c>
      <c r="U1811">
        <f>IF(SQRT(POWER(T1811-F1811,2))+SQRT(POWER(E1811-S1811,2))=0,0,SQRT(POWER(T1811-F1811,2))+SQRT(POWER(E1811-S1811,2))+DATOS!$H$20)</f>
        <v>0</v>
      </c>
    </row>
    <row r="1812" spans="18:21">
      <c r="R1812" t="e">
        <f t="shared" si="85"/>
        <v>#VALUE!</v>
      </c>
      <c r="S1812">
        <f t="shared" si="86"/>
        <v>0</v>
      </c>
      <c r="T1812">
        <f t="shared" si="87"/>
        <v>0</v>
      </c>
      <c r="U1812">
        <f>IF(SQRT(POWER(T1812-F1812,2))+SQRT(POWER(E1812-S1812,2))=0,0,SQRT(POWER(T1812-F1812,2))+SQRT(POWER(E1812-S1812,2))+DATOS!$H$20)</f>
        <v>0</v>
      </c>
    </row>
    <row r="1813" spans="18:21">
      <c r="R1813" t="e">
        <f t="shared" si="85"/>
        <v>#VALUE!</v>
      </c>
      <c r="S1813">
        <f t="shared" si="86"/>
        <v>0</v>
      </c>
      <c r="T1813">
        <f t="shared" si="87"/>
        <v>0</v>
      </c>
      <c r="U1813">
        <f>IF(SQRT(POWER(T1813-F1813,2))+SQRT(POWER(E1813-S1813,2))=0,0,SQRT(POWER(T1813-F1813,2))+SQRT(POWER(E1813-S1813,2))+DATOS!$H$20)</f>
        <v>0</v>
      </c>
    </row>
    <row r="1814" spans="18:21">
      <c r="R1814" t="e">
        <f t="shared" si="85"/>
        <v>#VALUE!</v>
      </c>
      <c r="S1814">
        <f t="shared" si="86"/>
        <v>0</v>
      </c>
      <c r="T1814">
        <f t="shared" si="87"/>
        <v>0</v>
      </c>
      <c r="U1814">
        <f>IF(SQRT(POWER(T1814-F1814,2))+SQRT(POWER(E1814-S1814,2))=0,0,SQRT(POWER(T1814-F1814,2))+SQRT(POWER(E1814-S1814,2))+DATOS!$H$20)</f>
        <v>0</v>
      </c>
    </row>
    <row r="1815" spans="18:21">
      <c r="R1815" t="e">
        <f t="shared" si="85"/>
        <v>#VALUE!</v>
      </c>
      <c r="S1815">
        <f t="shared" si="86"/>
        <v>0</v>
      </c>
      <c r="T1815">
        <f t="shared" si="87"/>
        <v>0</v>
      </c>
      <c r="U1815">
        <f>IF(SQRT(POWER(T1815-F1815,2))+SQRT(POWER(E1815-S1815,2))=0,0,SQRT(POWER(T1815-F1815,2))+SQRT(POWER(E1815-S1815,2))+DATOS!$H$20)</f>
        <v>0</v>
      </c>
    </row>
    <row r="1816" spans="18:21">
      <c r="R1816" t="e">
        <f t="shared" si="85"/>
        <v>#VALUE!</v>
      </c>
      <c r="S1816">
        <f t="shared" si="86"/>
        <v>0</v>
      </c>
      <c r="T1816">
        <f t="shared" si="87"/>
        <v>0</v>
      </c>
      <c r="U1816">
        <f>IF(SQRT(POWER(T1816-F1816,2))+SQRT(POWER(E1816-S1816,2))=0,0,SQRT(POWER(T1816-F1816,2))+SQRT(POWER(E1816-S1816,2))+DATOS!$H$20)</f>
        <v>0</v>
      </c>
    </row>
    <row r="1817" spans="18:21">
      <c r="R1817" t="e">
        <f t="shared" si="85"/>
        <v>#VALUE!</v>
      </c>
      <c r="S1817">
        <f t="shared" si="86"/>
        <v>0</v>
      </c>
      <c r="T1817">
        <f t="shared" si="87"/>
        <v>0</v>
      </c>
      <c r="U1817">
        <f>IF(SQRT(POWER(T1817-F1817,2))+SQRT(POWER(E1817-S1817,2))=0,0,SQRT(POWER(T1817-F1817,2))+SQRT(POWER(E1817-S1817,2))+DATOS!$H$20)</f>
        <v>0</v>
      </c>
    </row>
    <row r="1818" spans="18:21">
      <c r="R1818" t="e">
        <f t="shared" si="85"/>
        <v>#VALUE!</v>
      </c>
      <c r="S1818">
        <f t="shared" si="86"/>
        <v>0</v>
      </c>
      <c r="T1818">
        <f t="shared" si="87"/>
        <v>0</v>
      </c>
      <c r="U1818">
        <f>IF(SQRT(POWER(T1818-F1818,2))+SQRT(POWER(E1818-S1818,2))=0,0,SQRT(POWER(T1818-F1818,2))+SQRT(POWER(E1818-S1818,2))+DATOS!$H$20)</f>
        <v>0</v>
      </c>
    </row>
    <row r="1819" spans="18:21">
      <c r="R1819" t="e">
        <f t="shared" si="85"/>
        <v>#VALUE!</v>
      </c>
      <c r="S1819">
        <f t="shared" si="86"/>
        <v>0</v>
      </c>
      <c r="T1819">
        <f t="shared" si="87"/>
        <v>0</v>
      </c>
      <c r="U1819">
        <f>IF(SQRT(POWER(T1819-F1819,2))+SQRT(POWER(E1819-S1819,2))=0,0,SQRT(POWER(T1819-F1819,2))+SQRT(POWER(E1819-S1819,2))+DATOS!$H$20)</f>
        <v>0</v>
      </c>
    </row>
    <row r="1820" spans="18:21">
      <c r="R1820" t="e">
        <f t="shared" si="85"/>
        <v>#VALUE!</v>
      </c>
      <c r="S1820">
        <f t="shared" si="86"/>
        <v>0</v>
      </c>
      <c r="T1820">
        <f t="shared" si="87"/>
        <v>0</v>
      </c>
      <c r="U1820">
        <f>IF(SQRT(POWER(T1820-F1820,2))+SQRT(POWER(E1820-S1820,2))=0,0,SQRT(POWER(T1820-F1820,2))+SQRT(POWER(E1820-S1820,2))+DATOS!$H$20)</f>
        <v>0</v>
      </c>
    </row>
    <row r="1821" spans="18:21">
      <c r="R1821" t="e">
        <f t="shared" si="85"/>
        <v>#VALUE!</v>
      </c>
      <c r="S1821">
        <f t="shared" si="86"/>
        <v>0</v>
      </c>
      <c r="T1821">
        <f t="shared" si="87"/>
        <v>0</v>
      </c>
      <c r="U1821">
        <f>IF(SQRT(POWER(T1821-F1821,2))+SQRT(POWER(E1821-S1821,2))=0,0,SQRT(POWER(T1821-F1821,2))+SQRT(POWER(E1821-S1821,2))+DATOS!$H$20)</f>
        <v>0</v>
      </c>
    </row>
    <row r="1822" spans="18:21">
      <c r="R1822" t="e">
        <f t="shared" si="85"/>
        <v>#VALUE!</v>
      </c>
      <c r="S1822">
        <f t="shared" si="86"/>
        <v>0</v>
      </c>
      <c r="T1822">
        <f t="shared" si="87"/>
        <v>0</v>
      </c>
      <c r="U1822">
        <f>IF(SQRT(POWER(T1822-F1822,2))+SQRT(POWER(E1822-S1822,2))=0,0,SQRT(POWER(T1822-F1822,2))+SQRT(POWER(E1822-S1822,2))+DATOS!$H$20)</f>
        <v>0</v>
      </c>
    </row>
    <row r="1823" spans="18:21">
      <c r="R1823" t="e">
        <f t="shared" si="85"/>
        <v>#VALUE!</v>
      </c>
      <c r="S1823">
        <f t="shared" si="86"/>
        <v>0</v>
      </c>
      <c r="T1823">
        <f t="shared" si="87"/>
        <v>0</v>
      </c>
      <c r="U1823">
        <f>IF(SQRT(POWER(T1823-F1823,2))+SQRT(POWER(E1823-S1823,2))=0,0,SQRT(POWER(T1823-F1823,2))+SQRT(POWER(E1823-S1823,2))+DATOS!$H$20)</f>
        <v>0</v>
      </c>
    </row>
    <row r="1824" spans="18:21">
      <c r="R1824" t="e">
        <f t="shared" si="85"/>
        <v>#VALUE!</v>
      </c>
      <c r="S1824">
        <f t="shared" si="86"/>
        <v>0</v>
      </c>
      <c r="T1824">
        <f t="shared" si="87"/>
        <v>0</v>
      </c>
      <c r="U1824">
        <f>IF(SQRT(POWER(T1824-F1824,2))+SQRT(POWER(E1824-S1824,2))=0,0,SQRT(POWER(T1824-F1824,2))+SQRT(POWER(E1824-S1824,2))+DATOS!$H$20)</f>
        <v>0</v>
      </c>
    </row>
    <row r="1825" spans="18:21">
      <c r="R1825" t="e">
        <f t="shared" si="85"/>
        <v>#VALUE!</v>
      </c>
      <c r="S1825">
        <f t="shared" si="86"/>
        <v>0</v>
      </c>
      <c r="T1825">
        <f t="shared" si="87"/>
        <v>0</v>
      </c>
      <c r="U1825">
        <f>IF(SQRT(POWER(T1825-F1825,2))+SQRT(POWER(E1825-S1825,2))=0,0,SQRT(POWER(T1825-F1825,2))+SQRT(POWER(E1825-S1825,2))+DATOS!$H$20)</f>
        <v>0</v>
      </c>
    </row>
    <row r="1826" spans="18:21">
      <c r="R1826" t="e">
        <f t="shared" si="85"/>
        <v>#VALUE!</v>
      </c>
      <c r="S1826">
        <f t="shared" si="86"/>
        <v>0</v>
      </c>
      <c r="T1826">
        <f t="shared" si="87"/>
        <v>0</v>
      </c>
      <c r="U1826">
        <f>IF(SQRT(POWER(T1826-F1826,2))+SQRT(POWER(E1826-S1826,2))=0,0,SQRT(POWER(T1826-F1826,2))+SQRT(POWER(E1826-S1826,2))+DATOS!$H$20)</f>
        <v>0</v>
      </c>
    </row>
    <row r="1827" spans="18:21">
      <c r="R1827" t="e">
        <f t="shared" si="85"/>
        <v>#VALUE!</v>
      </c>
      <c r="S1827">
        <f t="shared" si="86"/>
        <v>0</v>
      </c>
      <c r="T1827">
        <f t="shared" si="87"/>
        <v>0</v>
      </c>
      <c r="U1827">
        <f>IF(SQRT(POWER(T1827-F1827,2))+SQRT(POWER(E1827-S1827,2))=0,0,SQRT(POWER(T1827-F1827,2))+SQRT(POWER(E1827-S1827,2))+DATOS!$H$20)</f>
        <v>0</v>
      </c>
    </row>
    <row r="1828" spans="18:21">
      <c r="R1828" t="e">
        <f t="shared" si="85"/>
        <v>#VALUE!</v>
      </c>
      <c r="S1828">
        <f t="shared" si="86"/>
        <v>0</v>
      </c>
      <c r="T1828">
        <f t="shared" si="87"/>
        <v>0</v>
      </c>
      <c r="U1828">
        <f>IF(SQRT(POWER(T1828-F1828,2))+SQRT(POWER(E1828-S1828,2))=0,0,SQRT(POWER(T1828-F1828,2))+SQRT(POWER(E1828-S1828,2))+DATOS!$H$20)</f>
        <v>0</v>
      </c>
    </row>
    <row r="1829" spans="18:21">
      <c r="R1829" t="e">
        <f t="shared" si="85"/>
        <v>#VALUE!</v>
      </c>
      <c r="S1829">
        <f t="shared" si="86"/>
        <v>0</v>
      </c>
      <c r="T1829">
        <f t="shared" si="87"/>
        <v>0</v>
      </c>
      <c r="U1829">
        <f>IF(SQRT(POWER(T1829-F1829,2))+SQRT(POWER(E1829-S1829,2))=0,0,SQRT(POWER(T1829-F1829,2))+SQRT(POWER(E1829-S1829,2))+DATOS!$H$20)</f>
        <v>0</v>
      </c>
    </row>
    <row r="1830" spans="18:21">
      <c r="R1830" t="e">
        <f t="shared" si="85"/>
        <v>#VALUE!</v>
      </c>
      <c r="S1830">
        <f t="shared" si="86"/>
        <v>0</v>
      </c>
      <c r="T1830">
        <f t="shared" si="87"/>
        <v>0</v>
      </c>
      <c r="U1830">
        <f>IF(SQRT(POWER(T1830-F1830,2))+SQRT(POWER(E1830-S1830,2))=0,0,SQRT(POWER(T1830-F1830,2))+SQRT(POWER(E1830-S1830,2))+DATOS!$H$20)</f>
        <v>0</v>
      </c>
    </row>
    <row r="1831" spans="18:21">
      <c r="R1831" t="e">
        <f t="shared" si="85"/>
        <v>#VALUE!</v>
      </c>
      <c r="S1831">
        <f t="shared" si="86"/>
        <v>0</v>
      </c>
      <c r="T1831">
        <f t="shared" si="87"/>
        <v>0</v>
      </c>
      <c r="U1831">
        <f>IF(SQRT(POWER(T1831-F1831,2))+SQRT(POWER(E1831-S1831,2))=0,0,SQRT(POWER(T1831-F1831,2))+SQRT(POWER(E1831-S1831,2))+DATOS!$H$20)</f>
        <v>0</v>
      </c>
    </row>
    <row r="1832" spans="18:21">
      <c r="R1832" t="e">
        <f t="shared" si="85"/>
        <v>#VALUE!</v>
      </c>
      <c r="S1832">
        <f t="shared" si="86"/>
        <v>0</v>
      </c>
      <c r="T1832">
        <f t="shared" si="87"/>
        <v>0</v>
      </c>
      <c r="U1832">
        <f>IF(SQRT(POWER(T1832-F1832,2))+SQRT(POWER(E1832-S1832,2))=0,0,SQRT(POWER(T1832-F1832,2))+SQRT(POWER(E1832-S1832,2))+DATOS!$H$20)</f>
        <v>0</v>
      </c>
    </row>
    <row r="1833" spans="18:21">
      <c r="R1833" t="e">
        <f t="shared" si="85"/>
        <v>#VALUE!</v>
      </c>
      <c r="S1833">
        <f t="shared" si="86"/>
        <v>0</v>
      </c>
      <c r="T1833">
        <f t="shared" si="87"/>
        <v>0</v>
      </c>
      <c r="U1833">
        <f>IF(SQRT(POWER(T1833-F1833,2))+SQRT(POWER(E1833-S1833,2))=0,0,SQRT(POWER(T1833-F1833,2))+SQRT(POWER(E1833-S1833,2))+DATOS!$H$20)</f>
        <v>0</v>
      </c>
    </row>
    <row r="1834" spans="18:21">
      <c r="R1834" t="e">
        <f t="shared" si="85"/>
        <v>#VALUE!</v>
      </c>
      <c r="S1834">
        <f t="shared" si="86"/>
        <v>0</v>
      </c>
      <c r="T1834">
        <f t="shared" si="87"/>
        <v>0</v>
      </c>
      <c r="U1834">
        <f>IF(SQRT(POWER(T1834-F1834,2))+SQRT(POWER(E1834-S1834,2))=0,0,SQRT(POWER(T1834-F1834,2))+SQRT(POWER(E1834-S1834,2))+DATOS!$H$20)</f>
        <v>0</v>
      </c>
    </row>
    <row r="1835" spans="18:21">
      <c r="R1835" t="e">
        <f t="shared" si="85"/>
        <v>#VALUE!</v>
      </c>
      <c r="S1835">
        <f t="shared" si="86"/>
        <v>0</v>
      </c>
      <c r="T1835">
        <f t="shared" si="87"/>
        <v>0</v>
      </c>
      <c r="U1835">
        <f>IF(SQRT(POWER(T1835-F1835,2))+SQRT(POWER(E1835-S1835,2))=0,0,SQRT(POWER(T1835-F1835,2))+SQRT(POWER(E1835-S1835,2))+DATOS!$H$20)</f>
        <v>0</v>
      </c>
    </row>
    <row r="1836" spans="18:21">
      <c r="R1836" t="e">
        <f t="shared" si="85"/>
        <v>#VALUE!</v>
      </c>
      <c r="S1836">
        <f t="shared" si="86"/>
        <v>0</v>
      </c>
      <c r="T1836">
        <f t="shared" si="87"/>
        <v>0</v>
      </c>
      <c r="U1836">
        <f>IF(SQRT(POWER(T1836-F1836,2))+SQRT(POWER(E1836-S1836,2))=0,0,SQRT(POWER(T1836-F1836,2))+SQRT(POWER(E1836-S1836,2))+DATOS!$H$20)</f>
        <v>0</v>
      </c>
    </row>
    <row r="1837" spans="18:21">
      <c r="R1837" t="e">
        <f t="shared" si="85"/>
        <v>#VALUE!</v>
      </c>
      <c r="S1837">
        <f t="shared" si="86"/>
        <v>0</v>
      </c>
      <c r="T1837">
        <f t="shared" si="87"/>
        <v>0</v>
      </c>
      <c r="U1837">
        <f>IF(SQRT(POWER(T1837-F1837,2))+SQRT(POWER(E1837-S1837,2))=0,0,SQRT(POWER(T1837-F1837,2))+SQRT(POWER(E1837-S1837,2))+DATOS!$H$20)</f>
        <v>0</v>
      </c>
    </row>
    <row r="1838" spans="18:21">
      <c r="R1838" t="e">
        <f t="shared" si="85"/>
        <v>#VALUE!</v>
      </c>
      <c r="S1838">
        <f t="shared" si="86"/>
        <v>0</v>
      </c>
      <c r="T1838">
        <f t="shared" si="87"/>
        <v>0</v>
      </c>
      <c r="U1838">
        <f>IF(SQRT(POWER(T1838-F1838,2))+SQRT(POWER(E1838-S1838,2))=0,0,SQRT(POWER(T1838-F1838,2))+SQRT(POWER(E1838-S1838,2))+DATOS!$H$20)</f>
        <v>0</v>
      </c>
    </row>
    <row r="1839" spans="18:21">
      <c r="R1839" t="e">
        <f t="shared" si="85"/>
        <v>#VALUE!</v>
      </c>
      <c r="S1839">
        <f t="shared" si="86"/>
        <v>0</v>
      </c>
      <c r="T1839">
        <f t="shared" si="87"/>
        <v>0</v>
      </c>
      <c r="U1839">
        <f>IF(SQRT(POWER(T1839-F1839,2))+SQRT(POWER(E1839-S1839,2))=0,0,SQRT(POWER(T1839-F1839,2))+SQRT(POWER(E1839-S1839,2))+DATOS!$H$20)</f>
        <v>0</v>
      </c>
    </row>
    <row r="1840" spans="18:21">
      <c r="R1840" t="e">
        <f t="shared" si="85"/>
        <v>#VALUE!</v>
      </c>
      <c r="S1840">
        <f t="shared" si="86"/>
        <v>0</v>
      </c>
      <c r="T1840">
        <f t="shared" si="87"/>
        <v>0</v>
      </c>
      <c r="U1840">
        <f>IF(SQRT(POWER(T1840-F1840,2))+SQRT(POWER(E1840-S1840,2))=0,0,SQRT(POWER(T1840-F1840,2))+SQRT(POWER(E1840-S1840,2))+DATOS!$H$20)</f>
        <v>0</v>
      </c>
    </row>
    <row r="1841" spans="18:21">
      <c r="R1841" t="e">
        <f t="shared" si="85"/>
        <v>#VALUE!</v>
      </c>
      <c r="S1841">
        <f t="shared" si="86"/>
        <v>0</v>
      </c>
      <c r="T1841">
        <f t="shared" si="87"/>
        <v>0</v>
      </c>
      <c r="U1841">
        <f>IF(SQRT(POWER(T1841-F1841,2))+SQRT(POWER(E1841-S1841,2))=0,0,SQRT(POWER(T1841-F1841,2))+SQRT(POWER(E1841-S1841,2))+DATOS!$H$20)</f>
        <v>0</v>
      </c>
    </row>
    <row r="1842" spans="18:21">
      <c r="R1842" t="e">
        <f t="shared" si="85"/>
        <v>#VALUE!</v>
      </c>
      <c r="S1842">
        <f t="shared" si="86"/>
        <v>0</v>
      </c>
      <c r="T1842">
        <f t="shared" si="87"/>
        <v>0</v>
      </c>
      <c r="U1842">
        <f>IF(SQRT(POWER(T1842-F1842,2))+SQRT(POWER(E1842-S1842,2))=0,0,SQRT(POWER(T1842-F1842,2))+SQRT(POWER(E1842-S1842,2))+DATOS!$H$20)</f>
        <v>0</v>
      </c>
    </row>
    <row r="1843" spans="18:21">
      <c r="R1843" t="e">
        <f t="shared" si="85"/>
        <v>#VALUE!</v>
      </c>
      <c r="S1843">
        <f t="shared" si="86"/>
        <v>0</v>
      </c>
      <c r="T1843">
        <f t="shared" si="87"/>
        <v>0</v>
      </c>
      <c r="U1843">
        <f>IF(SQRT(POWER(T1843-F1843,2))+SQRT(POWER(E1843-S1843,2))=0,0,SQRT(POWER(T1843-F1843,2))+SQRT(POWER(E1843-S1843,2))+DATOS!$H$20)</f>
        <v>0</v>
      </c>
    </row>
    <row r="1844" spans="18:21">
      <c r="R1844" t="e">
        <f t="shared" si="85"/>
        <v>#VALUE!</v>
      </c>
      <c r="S1844">
        <f t="shared" si="86"/>
        <v>0</v>
      </c>
      <c r="T1844">
        <f t="shared" si="87"/>
        <v>0</v>
      </c>
      <c r="U1844">
        <f>IF(SQRT(POWER(T1844-F1844,2))+SQRT(POWER(E1844-S1844,2))=0,0,SQRT(POWER(T1844-F1844,2))+SQRT(POWER(E1844-S1844,2))+DATOS!$H$20)</f>
        <v>0</v>
      </c>
    </row>
    <row r="1845" spans="18:21">
      <c r="R1845" t="e">
        <f t="shared" si="85"/>
        <v>#VALUE!</v>
      </c>
      <c r="S1845">
        <f t="shared" si="86"/>
        <v>0</v>
      </c>
      <c r="T1845">
        <f t="shared" si="87"/>
        <v>0</v>
      </c>
      <c r="U1845">
        <f>IF(SQRT(POWER(T1845-F1845,2))+SQRT(POWER(E1845-S1845,2))=0,0,SQRT(POWER(T1845-F1845,2))+SQRT(POWER(E1845-S1845,2))+DATOS!$H$20)</f>
        <v>0</v>
      </c>
    </row>
    <row r="1846" spans="18:21">
      <c r="R1846" t="e">
        <f t="shared" si="85"/>
        <v>#VALUE!</v>
      </c>
      <c r="S1846">
        <f t="shared" si="86"/>
        <v>0</v>
      </c>
      <c r="T1846">
        <f t="shared" si="87"/>
        <v>0</v>
      </c>
      <c r="U1846">
        <f>IF(SQRT(POWER(T1846-F1846,2))+SQRT(POWER(E1846-S1846,2))=0,0,SQRT(POWER(T1846-F1846,2))+SQRT(POWER(E1846-S1846,2))+DATOS!$H$20)</f>
        <v>0</v>
      </c>
    </row>
    <row r="1847" spans="18:21">
      <c r="R1847" t="e">
        <f t="shared" si="85"/>
        <v>#VALUE!</v>
      </c>
      <c r="S1847">
        <f t="shared" si="86"/>
        <v>0</v>
      </c>
      <c r="T1847">
        <f t="shared" si="87"/>
        <v>0</v>
      </c>
      <c r="U1847">
        <f>IF(SQRT(POWER(T1847-F1847,2))+SQRT(POWER(E1847-S1847,2))=0,0,SQRT(POWER(T1847-F1847,2))+SQRT(POWER(E1847-S1847,2))+DATOS!$H$20)</f>
        <v>0</v>
      </c>
    </row>
    <row r="1848" spans="18:21">
      <c r="R1848" t="e">
        <f t="shared" si="85"/>
        <v>#VALUE!</v>
      </c>
      <c r="S1848">
        <f t="shared" si="86"/>
        <v>0</v>
      </c>
      <c r="T1848">
        <f t="shared" si="87"/>
        <v>0</v>
      </c>
      <c r="U1848">
        <f>IF(SQRT(POWER(T1848-F1848,2))+SQRT(POWER(E1848-S1848,2))=0,0,SQRT(POWER(T1848-F1848,2))+SQRT(POWER(E1848-S1848,2))+DATOS!$H$20)</f>
        <v>0</v>
      </c>
    </row>
    <row r="1849" spans="18:21">
      <c r="R1849" t="e">
        <f t="shared" si="85"/>
        <v>#VALUE!</v>
      </c>
      <c r="S1849">
        <f t="shared" si="86"/>
        <v>0</v>
      </c>
      <c r="T1849">
        <f t="shared" si="87"/>
        <v>0</v>
      </c>
      <c r="U1849">
        <f>IF(SQRT(POWER(T1849-F1849,2))+SQRT(POWER(E1849-S1849,2))=0,0,SQRT(POWER(T1849-F1849,2))+SQRT(POWER(E1849-S1849,2))+DATOS!$H$20)</f>
        <v>0</v>
      </c>
    </row>
    <row r="1850" spans="18:21">
      <c r="R1850" t="e">
        <f t="shared" si="85"/>
        <v>#VALUE!</v>
      </c>
      <c r="S1850">
        <f t="shared" si="86"/>
        <v>0</v>
      </c>
      <c r="T1850">
        <f t="shared" si="87"/>
        <v>0</v>
      </c>
      <c r="U1850">
        <f>IF(SQRT(POWER(T1850-F1850,2))+SQRT(POWER(E1850-S1850,2))=0,0,SQRT(POWER(T1850-F1850,2))+SQRT(POWER(E1850-S1850,2))+DATOS!$H$20)</f>
        <v>0</v>
      </c>
    </row>
    <row r="1851" spans="18:21">
      <c r="R1851" t="e">
        <f t="shared" si="85"/>
        <v>#VALUE!</v>
      </c>
      <c r="S1851">
        <f t="shared" si="86"/>
        <v>0</v>
      </c>
      <c r="T1851">
        <f t="shared" si="87"/>
        <v>0</v>
      </c>
      <c r="U1851">
        <f>IF(SQRT(POWER(T1851-F1851,2))+SQRT(POWER(E1851-S1851,2))=0,0,SQRT(POWER(T1851-F1851,2))+SQRT(POWER(E1851-S1851,2))+DATOS!$H$20)</f>
        <v>0</v>
      </c>
    </row>
    <row r="1852" spans="18:21">
      <c r="R1852" t="e">
        <f t="shared" si="85"/>
        <v>#VALUE!</v>
      </c>
      <c r="S1852">
        <f t="shared" si="86"/>
        <v>0</v>
      </c>
      <c r="T1852">
        <f t="shared" si="87"/>
        <v>0</v>
      </c>
      <c r="U1852">
        <f>IF(SQRT(POWER(T1852-F1852,2))+SQRT(POWER(E1852-S1852,2))=0,0,SQRT(POWER(T1852-F1852,2))+SQRT(POWER(E1852-S1852,2))+DATOS!$H$20)</f>
        <v>0</v>
      </c>
    </row>
    <row r="1853" spans="18:21">
      <c r="R1853" t="e">
        <f t="shared" ref="R1853:R1916" si="88">"TAB-"&amp;LEFT(A1853,FIND("-",A1853) -1)</f>
        <v>#VALUE!</v>
      </c>
      <c r="S1853">
        <f t="shared" ref="S1853:S1916" si="89">IFERROR(VLOOKUP(R1853,$A$2:$F$700,5,0),E1853)</f>
        <v>0</v>
      </c>
      <c r="T1853">
        <f t="shared" ref="T1853:T1916" si="90">IFERROR(VLOOKUP(R1853,$A$2:$F$700,6,0),F1853)</f>
        <v>0</v>
      </c>
      <c r="U1853">
        <f>IF(SQRT(POWER(T1853-F1853,2))+SQRT(POWER(E1853-S1853,2))=0,0,SQRT(POWER(T1853-F1853,2))+SQRT(POWER(E1853-S1853,2))+DATOS!$H$20)</f>
        <v>0</v>
      </c>
    </row>
    <row r="1854" spans="18:21">
      <c r="R1854" t="e">
        <f t="shared" si="88"/>
        <v>#VALUE!</v>
      </c>
      <c r="S1854">
        <f t="shared" si="89"/>
        <v>0</v>
      </c>
      <c r="T1854">
        <f t="shared" si="90"/>
        <v>0</v>
      </c>
      <c r="U1854">
        <f>IF(SQRT(POWER(T1854-F1854,2))+SQRT(POWER(E1854-S1854,2))=0,0,SQRT(POWER(T1854-F1854,2))+SQRT(POWER(E1854-S1854,2))+DATOS!$H$20)</f>
        <v>0</v>
      </c>
    </row>
    <row r="1855" spans="18:21">
      <c r="R1855" t="e">
        <f t="shared" si="88"/>
        <v>#VALUE!</v>
      </c>
      <c r="S1855">
        <f t="shared" si="89"/>
        <v>0</v>
      </c>
      <c r="T1855">
        <f t="shared" si="90"/>
        <v>0</v>
      </c>
      <c r="U1855">
        <f>IF(SQRT(POWER(T1855-F1855,2))+SQRT(POWER(E1855-S1855,2))=0,0,SQRT(POWER(T1855-F1855,2))+SQRT(POWER(E1855-S1855,2))+DATOS!$H$20)</f>
        <v>0</v>
      </c>
    </row>
    <row r="1856" spans="18:21">
      <c r="R1856" t="e">
        <f t="shared" si="88"/>
        <v>#VALUE!</v>
      </c>
      <c r="S1856">
        <f t="shared" si="89"/>
        <v>0</v>
      </c>
      <c r="T1856">
        <f t="shared" si="90"/>
        <v>0</v>
      </c>
      <c r="U1856">
        <f>IF(SQRT(POWER(T1856-F1856,2))+SQRT(POWER(E1856-S1856,2))=0,0,SQRT(POWER(T1856-F1856,2))+SQRT(POWER(E1856-S1856,2))+DATOS!$H$20)</f>
        <v>0</v>
      </c>
    </row>
    <row r="1857" spans="18:21">
      <c r="R1857" t="e">
        <f t="shared" si="88"/>
        <v>#VALUE!</v>
      </c>
      <c r="S1857">
        <f t="shared" si="89"/>
        <v>0</v>
      </c>
      <c r="T1857">
        <f t="shared" si="90"/>
        <v>0</v>
      </c>
      <c r="U1857">
        <f>IF(SQRT(POWER(T1857-F1857,2))+SQRT(POWER(E1857-S1857,2))=0,0,SQRT(POWER(T1857-F1857,2))+SQRT(POWER(E1857-S1857,2))+DATOS!$H$20)</f>
        <v>0</v>
      </c>
    </row>
    <row r="1858" spans="18:21">
      <c r="R1858" t="e">
        <f t="shared" si="88"/>
        <v>#VALUE!</v>
      </c>
      <c r="S1858">
        <f t="shared" si="89"/>
        <v>0</v>
      </c>
      <c r="T1858">
        <f t="shared" si="90"/>
        <v>0</v>
      </c>
      <c r="U1858">
        <f>IF(SQRT(POWER(T1858-F1858,2))+SQRT(POWER(E1858-S1858,2))=0,0,SQRT(POWER(T1858-F1858,2))+SQRT(POWER(E1858-S1858,2))+DATOS!$H$20)</f>
        <v>0</v>
      </c>
    </row>
    <row r="1859" spans="18:21">
      <c r="R1859" t="e">
        <f t="shared" si="88"/>
        <v>#VALUE!</v>
      </c>
      <c r="S1859">
        <f t="shared" si="89"/>
        <v>0</v>
      </c>
      <c r="T1859">
        <f t="shared" si="90"/>
        <v>0</v>
      </c>
      <c r="U1859">
        <f>IF(SQRT(POWER(T1859-F1859,2))+SQRT(POWER(E1859-S1859,2))=0,0,SQRT(POWER(T1859-F1859,2))+SQRT(POWER(E1859-S1859,2))+DATOS!$H$20)</f>
        <v>0</v>
      </c>
    </row>
    <row r="1860" spans="18:21">
      <c r="R1860" t="e">
        <f t="shared" si="88"/>
        <v>#VALUE!</v>
      </c>
      <c r="S1860">
        <f t="shared" si="89"/>
        <v>0</v>
      </c>
      <c r="T1860">
        <f t="shared" si="90"/>
        <v>0</v>
      </c>
      <c r="U1860">
        <f>IF(SQRT(POWER(T1860-F1860,2))+SQRT(POWER(E1860-S1860,2))=0,0,SQRT(POWER(T1860-F1860,2))+SQRT(POWER(E1860-S1860,2))+DATOS!$H$20)</f>
        <v>0</v>
      </c>
    </row>
    <row r="1861" spans="18:21">
      <c r="R1861" t="e">
        <f t="shared" si="88"/>
        <v>#VALUE!</v>
      </c>
      <c r="S1861">
        <f t="shared" si="89"/>
        <v>0</v>
      </c>
      <c r="T1861">
        <f t="shared" si="90"/>
        <v>0</v>
      </c>
      <c r="U1861">
        <f>IF(SQRT(POWER(T1861-F1861,2))+SQRT(POWER(E1861-S1861,2))=0,0,SQRT(POWER(T1861-F1861,2))+SQRT(POWER(E1861-S1861,2))+DATOS!$H$20)</f>
        <v>0</v>
      </c>
    </row>
    <row r="1862" spans="18:21">
      <c r="R1862" t="e">
        <f t="shared" si="88"/>
        <v>#VALUE!</v>
      </c>
      <c r="S1862">
        <f t="shared" si="89"/>
        <v>0</v>
      </c>
      <c r="T1862">
        <f t="shared" si="90"/>
        <v>0</v>
      </c>
      <c r="U1862">
        <f>IF(SQRT(POWER(T1862-F1862,2))+SQRT(POWER(E1862-S1862,2))=0,0,SQRT(POWER(T1862-F1862,2))+SQRT(POWER(E1862-S1862,2))+DATOS!$H$20)</f>
        <v>0</v>
      </c>
    </row>
    <row r="1863" spans="18:21">
      <c r="R1863" t="e">
        <f t="shared" si="88"/>
        <v>#VALUE!</v>
      </c>
      <c r="S1863">
        <f t="shared" si="89"/>
        <v>0</v>
      </c>
      <c r="T1863">
        <f t="shared" si="90"/>
        <v>0</v>
      </c>
      <c r="U1863">
        <f>IF(SQRT(POWER(T1863-F1863,2))+SQRT(POWER(E1863-S1863,2))=0,0,SQRT(POWER(T1863-F1863,2))+SQRT(POWER(E1863-S1863,2))+DATOS!$H$20)</f>
        <v>0</v>
      </c>
    </row>
    <row r="1864" spans="18:21">
      <c r="R1864" t="e">
        <f t="shared" si="88"/>
        <v>#VALUE!</v>
      </c>
      <c r="S1864">
        <f t="shared" si="89"/>
        <v>0</v>
      </c>
      <c r="T1864">
        <f t="shared" si="90"/>
        <v>0</v>
      </c>
      <c r="U1864">
        <f>IF(SQRT(POWER(T1864-F1864,2))+SQRT(POWER(E1864-S1864,2))=0,0,SQRT(POWER(T1864-F1864,2))+SQRT(POWER(E1864-S1864,2))+DATOS!$H$20)</f>
        <v>0</v>
      </c>
    </row>
    <row r="1865" spans="18:21">
      <c r="R1865" t="e">
        <f t="shared" si="88"/>
        <v>#VALUE!</v>
      </c>
      <c r="S1865">
        <f t="shared" si="89"/>
        <v>0</v>
      </c>
      <c r="T1865">
        <f t="shared" si="90"/>
        <v>0</v>
      </c>
      <c r="U1865">
        <f>IF(SQRT(POWER(T1865-F1865,2))+SQRT(POWER(E1865-S1865,2))=0,0,SQRT(POWER(T1865-F1865,2))+SQRT(POWER(E1865-S1865,2))+DATOS!$H$20)</f>
        <v>0</v>
      </c>
    </row>
    <row r="1866" spans="18:21">
      <c r="R1866" t="e">
        <f t="shared" si="88"/>
        <v>#VALUE!</v>
      </c>
      <c r="S1866">
        <f t="shared" si="89"/>
        <v>0</v>
      </c>
      <c r="T1866">
        <f t="shared" si="90"/>
        <v>0</v>
      </c>
      <c r="U1866">
        <f>IF(SQRT(POWER(T1866-F1866,2))+SQRT(POWER(E1866-S1866,2))=0,0,SQRT(POWER(T1866-F1866,2))+SQRT(POWER(E1866-S1866,2))+DATOS!$H$20)</f>
        <v>0</v>
      </c>
    </row>
    <row r="1867" spans="18:21">
      <c r="R1867" t="e">
        <f t="shared" si="88"/>
        <v>#VALUE!</v>
      </c>
      <c r="S1867">
        <f t="shared" si="89"/>
        <v>0</v>
      </c>
      <c r="T1867">
        <f t="shared" si="90"/>
        <v>0</v>
      </c>
      <c r="U1867">
        <f>IF(SQRT(POWER(T1867-F1867,2))+SQRT(POWER(E1867-S1867,2))=0,0,SQRT(POWER(T1867-F1867,2))+SQRT(POWER(E1867-S1867,2))+DATOS!$H$20)</f>
        <v>0</v>
      </c>
    </row>
    <row r="1868" spans="18:21">
      <c r="R1868" t="e">
        <f t="shared" si="88"/>
        <v>#VALUE!</v>
      </c>
      <c r="S1868">
        <f t="shared" si="89"/>
        <v>0</v>
      </c>
      <c r="T1868">
        <f t="shared" si="90"/>
        <v>0</v>
      </c>
      <c r="U1868">
        <f>IF(SQRT(POWER(T1868-F1868,2))+SQRT(POWER(E1868-S1868,2))=0,0,SQRT(POWER(T1868-F1868,2))+SQRT(POWER(E1868-S1868,2))+DATOS!$H$20)</f>
        <v>0</v>
      </c>
    </row>
    <row r="1869" spans="18:21">
      <c r="R1869" t="e">
        <f t="shared" si="88"/>
        <v>#VALUE!</v>
      </c>
      <c r="S1869">
        <f t="shared" si="89"/>
        <v>0</v>
      </c>
      <c r="T1869">
        <f t="shared" si="90"/>
        <v>0</v>
      </c>
      <c r="U1869">
        <f>IF(SQRT(POWER(T1869-F1869,2))+SQRT(POWER(E1869-S1869,2))=0,0,SQRT(POWER(T1869-F1869,2))+SQRT(POWER(E1869-S1869,2))+DATOS!$H$20)</f>
        <v>0</v>
      </c>
    </row>
    <row r="1870" spans="18:21">
      <c r="R1870" t="e">
        <f t="shared" si="88"/>
        <v>#VALUE!</v>
      </c>
      <c r="S1870">
        <f t="shared" si="89"/>
        <v>0</v>
      </c>
      <c r="T1870">
        <f t="shared" si="90"/>
        <v>0</v>
      </c>
      <c r="U1870">
        <f>IF(SQRT(POWER(T1870-F1870,2))+SQRT(POWER(E1870-S1870,2))=0,0,SQRT(POWER(T1870-F1870,2))+SQRT(POWER(E1870-S1870,2))+DATOS!$H$20)</f>
        <v>0</v>
      </c>
    </row>
    <row r="1871" spans="18:21">
      <c r="R1871" t="e">
        <f t="shared" si="88"/>
        <v>#VALUE!</v>
      </c>
      <c r="S1871">
        <f t="shared" si="89"/>
        <v>0</v>
      </c>
      <c r="T1871">
        <f t="shared" si="90"/>
        <v>0</v>
      </c>
      <c r="U1871">
        <f>IF(SQRT(POWER(T1871-F1871,2))+SQRT(POWER(E1871-S1871,2))=0,0,SQRT(POWER(T1871-F1871,2))+SQRT(POWER(E1871-S1871,2))+DATOS!$H$20)</f>
        <v>0</v>
      </c>
    </row>
    <row r="1872" spans="18:21">
      <c r="R1872" t="e">
        <f t="shared" si="88"/>
        <v>#VALUE!</v>
      </c>
      <c r="S1872">
        <f t="shared" si="89"/>
        <v>0</v>
      </c>
      <c r="T1872">
        <f t="shared" si="90"/>
        <v>0</v>
      </c>
      <c r="U1872">
        <f>IF(SQRT(POWER(T1872-F1872,2))+SQRT(POWER(E1872-S1872,2))=0,0,SQRT(POWER(T1872-F1872,2))+SQRT(POWER(E1872-S1872,2))+DATOS!$H$20)</f>
        <v>0</v>
      </c>
    </row>
    <row r="1873" spans="18:21">
      <c r="R1873" t="e">
        <f t="shared" si="88"/>
        <v>#VALUE!</v>
      </c>
      <c r="S1873">
        <f t="shared" si="89"/>
        <v>0</v>
      </c>
      <c r="T1873">
        <f t="shared" si="90"/>
        <v>0</v>
      </c>
      <c r="U1873">
        <f>IF(SQRT(POWER(T1873-F1873,2))+SQRT(POWER(E1873-S1873,2))=0,0,SQRT(POWER(T1873-F1873,2))+SQRT(POWER(E1873-S1873,2))+DATOS!$H$20)</f>
        <v>0</v>
      </c>
    </row>
    <row r="1874" spans="18:21">
      <c r="R1874" t="e">
        <f t="shared" si="88"/>
        <v>#VALUE!</v>
      </c>
      <c r="S1874">
        <f t="shared" si="89"/>
        <v>0</v>
      </c>
      <c r="T1874">
        <f t="shared" si="90"/>
        <v>0</v>
      </c>
      <c r="U1874">
        <f>IF(SQRT(POWER(T1874-F1874,2))+SQRT(POWER(E1874-S1874,2))=0,0,SQRT(POWER(T1874-F1874,2))+SQRT(POWER(E1874-S1874,2))+DATOS!$H$20)</f>
        <v>0</v>
      </c>
    </row>
    <row r="1875" spans="18:21">
      <c r="R1875" t="e">
        <f t="shared" si="88"/>
        <v>#VALUE!</v>
      </c>
      <c r="S1875">
        <f t="shared" si="89"/>
        <v>0</v>
      </c>
      <c r="T1875">
        <f t="shared" si="90"/>
        <v>0</v>
      </c>
      <c r="U1875">
        <f>IF(SQRT(POWER(T1875-F1875,2))+SQRT(POWER(E1875-S1875,2))=0,0,SQRT(POWER(T1875-F1875,2))+SQRT(POWER(E1875-S1875,2))+DATOS!$H$20)</f>
        <v>0</v>
      </c>
    </row>
    <row r="1876" spans="18:21">
      <c r="R1876" t="e">
        <f t="shared" si="88"/>
        <v>#VALUE!</v>
      </c>
      <c r="S1876">
        <f t="shared" si="89"/>
        <v>0</v>
      </c>
      <c r="T1876">
        <f t="shared" si="90"/>
        <v>0</v>
      </c>
      <c r="U1876">
        <f>IF(SQRT(POWER(T1876-F1876,2))+SQRT(POWER(E1876-S1876,2))=0,0,SQRT(POWER(T1876-F1876,2))+SQRT(POWER(E1876-S1876,2))+DATOS!$H$20)</f>
        <v>0</v>
      </c>
    </row>
    <row r="1877" spans="18:21">
      <c r="R1877" t="e">
        <f t="shared" si="88"/>
        <v>#VALUE!</v>
      </c>
      <c r="S1877">
        <f t="shared" si="89"/>
        <v>0</v>
      </c>
      <c r="T1877">
        <f t="shared" si="90"/>
        <v>0</v>
      </c>
      <c r="U1877">
        <f>IF(SQRT(POWER(T1877-F1877,2))+SQRT(POWER(E1877-S1877,2))=0,0,SQRT(POWER(T1877-F1877,2))+SQRT(POWER(E1877-S1877,2))+DATOS!$H$20)</f>
        <v>0</v>
      </c>
    </row>
    <row r="1878" spans="18:21">
      <c r="R1878" t="e">
        <f t="shared" si="88"/>
        <v>#VALUE!</v>
      </c>
      <c r="S1878">
        <f t="shared" si="89"/>
        <v>0</v>
      </c>
      <c r="T1878">
        <f t="shared" si="90"/>
        <v>0</v>
      </c>
      <c r="U1878">
        <f>IF(SQRT(POWER(T1878-F1878,2))+SQRT(POWER(E1878-S1878,2))=0,0,SQRT(POWER(T1878-F1878,2))+SQRT(POWER(E1878-S1878,2))+DATOS!$H$20)</f>
        <v>0</v>
      </c>
    </row>
    <row r="1879" spans="18:21">
      <c r="R1879" t="e">
        <f t="shared" si="88"/>
        <v>#VALUE!</v>
      </c>
      <c r="S1879">
        <f t="shared" si="89"/>
        <v>0</v>
      </c>
      <c r="T1879">
        <f t="shared" si="90"/>
        <v>0</v>
      </c>
      <c r="U1879">
        <f>IF(SQRT(POWER(T1879-F1879,2))+SQRT(POWER(E1879-S1879,2))=0,0,SQRT(POWER(T1879-F1879,2))+SQRT(POWER(E1879-S1879,2))+DATOS!$H$20)</f>
        <v>0</v>
      </c>
    </row>
    <row r="1880" spans="18:21">
      <c r="R1880" t="e">
        <f t="shared" si="88"/>
        <v>#VALUE!</v>
      </c>
      <c r="S1880">
        <f t="shared" si="89"/>
        <v>0</v>
      </c>
      <c r="T1880">
        <f t="shared" si="90"/>
        <v>0</v>
      </c>
      <c r="U1880">
        <f>IF(SQRT(POWER(T1880-F1880,2))+SQRT(POWER(E1880-S1880,2))=0,0,SQRT(POWER(T1880-F1880,2))+SQRT(POWER(E1880-S1880,2))+DATOS!$H$20)</f>
        <v>0</v>
      </c>
    </row>
    <row r="1881" spans="18:21">
      <c r="R1881" t="e">
        <f t="shared" si="88"/>
        <v>#VALUE!</v>
      </c>
      <c r="S1881">
        <f t="shared" si="89"/>
        <v>0</v>
      </c>
      <c r="T1881">
        <f t="shared" si="90"/>
        <v>0</v>
      </c>
      <c r="U1881">
        <f>IF(SQRT(POWER(T1881-F1881,2))+SQRT(POWER(E1881-S1881,2))=0,0,SQRT(POWER(T1881-F1881,2))+SQRT(POWER(E1881-S1881,2))+DATOS!$H$20)</f>
        <v>0</v>
      </c>
    </row>
    <row r="1882" spans="18:21">
      <c r="R1882" t="e">
        <f t="shared" si="88"/>
        <v>#VALUE!</v>
      </c>
      <c r="S1882">
        <f t="shared" si="89"/>
        <v>0</v>
      </c>
      <c r="T1882">
        <f t="shared" si="90"/>
        <v>0</v>
      </c>
      <c r="U1882">
        <f>IF(SQRT(POWER(T1882-F1882,2))+SQRT(POWER(E1882-S1882,2))=0,0,SQRT(POWER(T1882-F1882,2))+SQRT(POWER(E1882-S1882,2))+DATOS!$H$20)</f>
        <v>0</v>
      </c>
    </row>
    <row r="1883" spans="18:21">
      <c r="R1883" t="e">
        <f t="shared" si="88"/>
        <v>#VALUE!</v>
      </c>
      <c r="S1883">
        <f t="shared" si="89"/>
        <v>0</v>
      </c>
      <c r="T1883">
        <f t="shared" si="90"/>
        <v>0</v>
      </c>
      <c r="U1883">
        <f>IF(SQRT(POWER(T1883-F1883,2))+SQRT(POWER(E1883-S1883,2))=0,0,SQRT(POWER(T1883-F1883,2))+SQRT(POWER(E1883-S1883,2))+DATOS!$H$20)</f>
        <v>0</v>
      </c>
    </row>
    <row r="1884" spans="18:21">
      <c r="R1884" t="e">
        <f t="shared" si="88"/>
        <v>#VALUE!</v>
      </c>
      <c r="S1884">
        <f t="shared" si="89"/>
        <v>0</v>
      </c>
      <c r="T1884">
        <f t="shared" si="90"/>
        <v>0</v>
      </c>
      <c r="U1884">
        <f>IF(SQRT(POWER(T1884-F1884,2))+SQRT(POWER(E1884-S1884,2))=0,0,SQRT(POWER(T1884-F1884,2))+SQRT(POWER(E1884-S1884,2))+DATOS!$H$20)</f>
        <v>0</v>
      </c>
    </row>
    <row r="1885" spans="18:21">
      <c r="R1885" t="e">
        <f t="shared" si="88"/>
        <v>#VALUE!</v>
      </c>
      <c r="S1885">
        <f t="shared" si="89"/>
        <v>0</v>
      </c>
      <c r="T1885">
        <f t="shared" si="90"/>
        <v>0</v>
      </c>
      <c r="U1885">
        <f>IF(SQRT(POWER(T1885-F1885,2))+SQRT(POWER(E1885-S1885,2))=0,0,SQRT(POWER(T1885-F1885,2))+SQRT(POWER(E1885-S1885,2))+DATOS!$H$20)</f>
        <v>0</v>
      </c>
    </row>
    <row r="1886" spans="18:21">
      <c r="R1886" t="e">
        <f t="shared" si="88"/>
        <v>#VALUE!</v>
      </c>
      <c r="S1886">
        <f t="shared" si="89"/>
        <v>0</v>
      </c>
      <c r="T1886">
        <f t="shared" si="90"/>
        <v>0</v>
      </c>
      <c r="U1886">
        <f>IF(SQRT(POWER(T1886-F1886,2))+SQRT(POWER(E1886-S1886,2))=0,0,SQRT(POWER(T1886-F1886,2))+SQRT(POWER(E1886-S1886,2))+DATOS!$H$20)</f>
        <v>0</v>
      </c>
    </row>
    <row r="1887" spans="18:21">
      <c r="R1887" t="e">
        <f t="shared" si="88"/>
        <v>#VALUE!</v>
      </c>
      <c r="S1887">
        <f t="shared" si="89"/>
        <v>0</v>
      </c>
      <c r="T1887">
        <f t="shared" si="90"/>
        <v>0</v>
      </c>
      <c r="U1887">
        <f>IF(SQRT(POWER(T1887-F1887,2))+SQRT(POWER(E1887-S1887,2))=0,0,SQRT(POWER(T1887-F1887,2))+SQRT(POWER(E1887-S1887,2))+DATOS!$H$20)</f>
        <v>0</v>
      </c>
    </row>
    <row r="1888" spans="18:21">
      <c r="R1888" t="e">
        <f t="shared" si="88"/>
        <v>#VALUE!</v>
      </c>
      <c r="S1888">
        <f t="shared" si="89"/>
        <v>0</v>
      </c>
      <c r="T1888">
        <f t="shared" si="90"/>
        <v>0</v>
      </c>
      <c r="U1888">
        <f>IF(SQRT(POWER(T1888-F1888,2))+SQRT(POWER(E1888-S1888,2))=0,0,SQRT(POWER(T1888-F1888,2))+SQRT(POWER(E1888-S1888,2))+DATOS!$H$20)</f>
        <v>0</v>
      </c>
    </row>
    <row r="1889" spans="18:21">
      <c r="R1889" t="e">
        <f t="shared" si="88"/>
        <v>#VALUE!</v>
      </c>
      <c r="S1889">
        <f t="shared" si="89"/>
        <v>0</v>
      </c>
      <c r="T1889">
        <f t="shared" si="90"/>
        <v>0</v>
      </c>
      <c r="U1889">
        <f>IF(SQRT(POWER(T1889-F1889,2))+SQRT(POWER(E1889-S1889,2))=0,0,SQRT(POWER(T1889-F1889,2))+SQRT(POWER(E1889-S1889,2))+DATOS!$H$20)</f>
        <v>0</v>
      </c>
    </row>
    <row r="1890" spans="18:21">
      <c r="R1890" t="e">
        <f t="shared" si="88"/>
        <v>#VALUE!</v>
      </c>
      <c r="S1890">
        <f t="shared" si="89"/>
        <v>0</v>
      </c>
      <c r="T1890">
        <f t="shared" si="90"/>
        <v>0</v>
      </c>
      <c r="U1890">
        <f>IF(SQRT(POWER(T1890-F1890,2))+SQRT(POWER(E1890-S1890,2))=0,0,SQRT(POWER(T1890-F1890,2))+SQRT(POWER(E1890-S1890,2))+DATOS!$H$20)</f>
        <v>0</v>
      </c>
    </row>
    <row r="1891" spans="18:21">
      <c r="R1891" t="e">
        <f t="shared" si="88"/>
        <v>#VALUE!</v>
      </c>
      <c r="S1891">
        <f t="shared" si="89"/>
        <v>0</v>
      </c>
      <c r="T1891">
        <f t="shared" si="90"/>
        <v>0</v>
      </c>
      <c r="U1891">
        <f>IF(SQRT(POWER(T1891-F1891,2))+SQRT(POWER(E1891-S1891,2))=0,0,SQRT(POWER(T1891-F1891,2))+SQRT(POWER(E1891-S1891,2))+DATOS!$H$20)</f>
        <v>0</v>
      </c>
    </row>
    <row r="1892" spans="18:21">
      <c r="R1892" t="e">
        <f t="shared" si="88"/>
        <v>#VALUE!</v>
      </c>
      <c r="S1892">
        <f t="shared" si="89"/>
        <v>0</v>
      </c>
      <c r="T1892">
        <f t="shared" si="90"/>
        <v>0</v>
      </c>
      <c r="U1892">
        <f>IF(SQRT(POWER(T1892-F1892,2))+SQRT(POWER(E1892-S1892,2))=0,0,SQRT(POWER(T1892-F1892,2))+SQRT(POWER(E1892-S1892,2))+DATOS!$H$20)</f>
        <v>0</v>
      </c>
    </row>
    <row r="1893" spans="18:21">
      <c r="R1893" t="e">
        <f t="shared" si="88"/>
        <v>#VALUE!</v>
      </c>
      <c r="S1893">
        <f t="shared" si="89"/>
        <v>0</v>
      </c>
      <c r="T1893">
        <f t="shared" si="90"/>
        <v>0</v>
      </c>
      <c r="U1893">
        <f>IF(SQRT(POWER(T1893-F1893,2))+SQRT(POWER(E1893-S1893,2))=0,0,SQRT(POWER(T1893-F1893,2))+SQRT(POWER(E1893-S1893,2))+DATOS!$H$20)</f>
        <v>0</v>
      </c>
    </row>
    <row r="1894" spans="18:21">
      <c r="R1894" t="e">
        <f t="shared" si="88"/>
        <v>#VALUE!</v>
      </c>
      <c r="S1894">
        <f t="shared" si="89"/>
        <v>0</v>
      </c>
      <c r="T1894">
        <f t="shared" si="90"/>
        <v>0</v>
      </c>
      <c r="U1894">
        <f>IF(SQRT(POWER(T1894-F1894,2))+SQRT(POWER(E1894-S1894,2))=0,0,SQRT(POWER(T1894-F1894,2))+SQRT(POWER(E1894-S1894,2))+DATOS!$H$20)</f>
        <v>0</v>
      </c>
    </row>
    <row r="1895" spans="18:21">
      <c r="R1895" t="e">
        <f t="shared" si="88"/>
        <v>#VALUE!</v>
      </c>
      <c r="S1895">
        <f t="shared" si="89"/>
        <v>0</v>
      </c>
      <c r="T1895">
        <f t="shared" si="90"/>
        <v>0</v>
      </c>
      <c r="U1895">
        <f>IF(SQRT(POWER(T1895-F1895,2))+SQRT(POWER(E1895-S1895,2))=0,0,SQRT(POWER(T1895-F1895,2))+SQRT(POWER(E1895-S1895,2))+DATOS!$H$20)</f>
        <v>0</v>
      </c>
    </row>
    <row r="1896" spans="18:21">
      <c r="R1896" t="e">
        <f t="shared" si="88"/>
        <v>#VALUE!</v>
      </c>
      <c r="S1896">
        <f t="shared" si="89"/>
        <v>0</v>
      </c>
      <c r="T1896">
        <f t="shared" si="90"/>
        <v>0</v>
      </c>
      <c r="U1896">
        <f>IF(SQRT(POWER(T1896-F1896,2))+SQRT(POWER(E1896-S1896,2))=0,0,SQRT(POWER(T1896-F1896,2))+SQRT(POWER(E1896-S1896,2))+DATOS!$H$20)</f>
        <v>0</v>
      </c>
    </row>
    <row r="1897" spans="18:21">
      <c r="R1897" t="e">
        <f t="shared" si="88"/>
        <v>#VALUE!</v>
      </c>
      <c r="S1897">
        <f t="shared" si="89"/>
        <v>0</v>
      </c>
      <c r="T1897">
        <f t="shared" si="90"/>
        <v>0</v>
      </c>
      <c r="U1897">
        <f>IF(SQRT(POWER(T1897-F1897,2))+SQRT(POWER(E1897-S1897,2))=0,0,SQRT(POWER(T1897-F1897,2))+SQRT(POWER(E1897-S1897,2))+DATOS!$H$20)</f>
        <v>0</v>
      </c>
    </row>
    <row r="1898" spans="18:21">
      <c r="R1898" t="e">
        <f t="shared" si="88"/>
        <v>#VALUE!</v>
      </c>
      <c r="S1898">
        <f t="shared" si="89"/>
        <v>0</v>
      </c>
      <c r="T1898">
        <f t="shared" si="90"/>
        <v>0</v>
      </c>
      <c r="U1898">
        <f>IF(SQRT(POWER(T1898-F1898,2))+SQRT(POWER(E1898-S1898,2))=0,0,SQRT(POWER(T1898-F1898,2))+SQRT(POWER(E1898-S1898,2))+DATOS!$H$20)</f>
        <v>0</v>
      </c>
    </row>
    <row r="1899" spans="18:21">
      <c r="R1899" t="e">
        <f t="shared" si="88"/>
        <v>#VALUE!</v>
      </c>
      <c r="S1899">
        <f t="shared" si="89"/>
        <v>0</v>
      </c>
      <c r="T1899">
        <f t="shared" si="90"/>
        <v>0</v>
      </c>
      <c r="U1899">
        <f>IF(SQRT(POWER(T1899-F1899,2))+SQRT(POWER(E1899-S1899,2))=0,0,SQRT(POWER(T1899-F1899,2))+SQRT(POWER(E1899-S1899,2))+DATOS!$H$20)</f>
        <v>0</v>
      </c>
    </row>
    <row r="1900" spans="18:21">
      <c r="R1900" t="e">
        <f t="shared" si="88"/>
        <v>#VALUE!</v>
      </c>
      <c r="S1900">
        <f t="shared" si="89"/>
        <v>0</v>
      </c>
      <c r="T1900">
        <f t="shared" si="90"/>
        <v>0</v>
      </c>
      <c r="U1900">
        <f>IF(SQRT(POWER(T1900-F1900,2))+SQRT(POWER(E1900-S1900,2))=0,0,SQRT(POWER(T1900-F1900,2))+SQRT(POWER(E1900-S1900,2))+DATOS!$H$20)</f>
        <v>0</v>
      </c>
    </row>
    <row r="1901" spans="18:21">
      <c r="R1901" t="e">
        <f t="shared" si="88"/>
        <v>#VALUE!</v>
      </c>
      <c r="S1901">
        <f t="shared" si="89"/>
        <v>0</v>
      </c>
      <c r="T1901">
        <f t="shared" si="90"/>
        <v>0</v>
      </c>
      <c r="U1901">
        <f>IF(SQRT(POWER(T1901-F1901,2))+SQRT(POWER(E1901-S1901,2))=0,0,SQRT(POWER(T1901-F1901,2))+SQRT(POWER(E1901-S1901,2))+DATOS!$H$20)</f>
        <v>0</v>
      </c>
    </row>
    <row r="1902" spans="18:21">
      <c r="R1902" t="e">
        <f t="shared" si="88"/>
        <v>#VALUE!</v>
      </c>
      <c r="S1902">
        <f t="shared" si="89"/>
        <v>0</v>
      </c>
      <c r="T1902">
        <f t="shared" si="90"/>
        <v>0</v>
      </c>
      <c r="U1902">
        <f>IF(SQRT(POWER(T1902-F1902,2))+SQRT(POWER(E1902-S1902,2))=0,0,SQRT(POWER(T1902-F1902,2))+SQRT(POWER(E1902-S1902,2))+DATOS!$H$20)</f>
        <v>0</v>
      </c>
    </row>
    <row r="1903" spans="18:21">
      <c r="R1903" t="e">
        <f t="shared" si="88"/>
        <v>#VALUE!</v>
      </c>
      <c r="S1903">
        <f t="shared" si="89"/>
        <v>0</v>
      </c>
      <c r="T1903">
        <f t="shared" si="90"/>
        <v>0</v>
      </c>
      <c r="U1903">
        <f>IF(SQRT(POWER(T1903-F1903,2))+SQRT(POWER(E1903-S1903,2))=0,0,SQRT(POWER(T1903-F1903,2))+SQRT(POWER(E1903-S1903,2))+DATOS!$H$20)</f>
        <v>0</v>
      </c>
    </row>
    <row r="1904" spans="18:21">
      <c r="R1904" t="e">
        <f t="shared" si="88"/>
        <v>#VALUE!</v>
      </c>
      <c r="S1904">
        <f t="shared" si="89"/>
        <v>0</v>
      </c>
      <c r="T1904">
        <f t="shared" si="90"/>
        <v>0</v>
      </c>
      <c r="U1904">
        <f>IF(SQRT(POWER(T1904-F1904,2))+SQRT(POWER(E1904-S1904,2))=0,0,SQRT(POWER(T1904-F1904,2))+SQRT(POWER(E1904-S1904,2))+DATOS!$H$20)</f>
        <v>0</v>
      </c>
    </row>
    <row r="1905" spans="18:21">
      <c r="R1905" t="e">
        <f t="shared" si="88"/>
        <v>#VALUE!</v>
      </c>
      <c r="S1905">
        <f t="shared" si="89"/>
        <v>0</v>
      </c>
      <c r="T1905">
        <f t="shared" si="90"/>
        <v>0</v>
      </c>
      <c r="U1905">
        <f>IF(SQRT(POWER(T1905-F1905,2))+SQRT(POWER(E1905-S1905,2))=0,0,SQRT(POWER(T1905-F1905,2))+SQRT(POWER(E1905-S1905,2))+DATOS!$H$20)</f>
        <v>0</v>
      </c>
    </row>
    <row r="1906" spans="18:21">
      <c r="R1906" t="e">
        <f t="shared" si="88"/>
        <v>#VALUE!</v>
      </c>
      <c r="S1906">
        <f t="shared" si="89"/>
        <v>0</v>
      </c>
      <c r="T1906">
        <f t="shared" si="90"/>
        <v>0</v>
      </c>
      <c r="U1906">
        <f>IF(SQRT(POWER(T1906-F1906,2))+SQRT(POWER(E1906-S1906,2))=0,0,SQRT(POWER(T1906-F1906,2))+SQRT(POWER(E1906-S1906,2))+DATOS!$H$20)</f>
        <v>0</v>
      </c>
    </row>
    <row r="1907" spans="18:21">
      <c r="R1907" t="e">
        <f t="shared" si="88"/>
        <v>#VALUE!</v>
      </c>
      <c r="S1907">
        <f t="shared" si="89"/>
        <v>0</v>
      </c>
      <c r="T1907">
        <f t="shared" si="90"/>
        <v>0</v>
      </c>
      <c r="U1907">
        <f>IF(SQRT(POWER(T1907-F1907,2))+SQRT(POWER(E1907-S1907,2))=0,0,SQRT(POWER(T1907-F1907,2))+SQRT(POWER(E1907-S1907,2))+DATOS!$H$20)</f>
        <v>0</v>
      </c>
    </row>
    <row r="1908" spans="18:21">
      <c r="R1908" t="e">
        <f t="shared" si="88"/>
        <v>#VALUE!</v>
      </c>
      <c r="S1908">
        <f t="shared" si="89"/>
        <v>0</v>
      </c>
      <c r="T1908">
        <f t="shared" si="90"/>
        <v>0</v>
      </c>
      <c r="U1908">
        <f>IF(SQRT(POWER(T1908-F1908,2))+SQRT(POWER(E1908-S1908,2))=0,0,SQRT(POWER(T1908-F1908,2))+SQRT(POWER(E1908-S1908,2))+DATOS!$H$20)</f>
        <v>0</v>
      </c>
    </row>
    <row r="1909" spans="18:21">
      <c r="R1909" t="e">
        <f t="shared" si="88"/>
        <v>#VALUE!</v>
      </c>
      <c r="S1909">
        <f t="shared" si="89"/>
        <v>0</v>
      </c>
      <c r="T1909">
        <f t="shared" si="90"/>
        <v>0</v>
      </c>
      <c r="U1909">
        <f>IF(SQRT(POWER(T1909-F1909,2))+SQRT(POWER(E1909-S1909,2))=0,0,SQRT(POWER(T1909-F1909,2))+SQRT(POWER(E1909-S1909,2))+DATOS!$H$20)</f>
        <v>0</v>
      </c>
    </row>
    <row r="1910" spans="18:21">
      <c r="R1910" t="e">
        <f t="shared" si="88"/>
        <v>#VALUE!</v>
      </c>
      <c r="S1910">
        <f t="shared" si="89"/>
        <v>0</v>
      </c>
      <c r="T1910">
        <f t="shared" si="90"/>
        <v>0</v>
      </c>
      <c r="U1910">
        <f>IF(SQRT(POWER(T1910-F1910,2))+SQRT(POWER(E1910-S1910,2))=0,0,SQRT(POWER(T1910-F1910,2))+SQRT(POWER(E1910-S1910,2))+DATOS!$H$20)</f>
        <v>0</v>
      </c>
    </row>
    <row r="1911" spans="18:21">
      <c r="R1911" t="e">
        <f t="shared" si="88"/>
        <v>#VALUE!</v>
      </c>
      <c r="S1911">
        <f t="shared" si="89"/>
        <v>0</v>
      </c>
      <c r="T1911">
        <f t="shared" si="90"/>
        <v>0</v>
      </c>
      <c r="U1911">
        <f>IF(SQRT(POWER(T1911-F1911,2))+SQRT(POWER(E1911-S1911,2))=0,0,SQRT(POWER(T1911-F1911,2))+SQRT(POWER(E1911-S1911,2))+DATOS!$H$20)</f>
        <v>0</v>
      </c>
    </row>
    <row r="1912" spans="18:21">
      <c r="R1912" t="e">
        <f t="shared" si="88"/>
        <v>#VALUE!</v>
      </c>
      <c r="S1912">
        <f t="shared" si="89"/>
        <v>0</v>
      </c>
      <c r="T1912">
        <f t="shared" si="90"/>
        <v>0</v>
      </c>
      <c r="U1912">
        <f>IF(SQRT(POWER(T1912-F1912,2))+SQRT(POWER(E1912-S1912,2))=0,0,SQRT(POWER(T1912-F1912,2))+SQRT(POWER(E1912-S1912,2))+DATOS!$H$20)</f>
        <v>0</v>
      </c>
    </row>
    <row r="1913" spans="18:21">
      <c r="R1913" t="e">
        <f t="shared" si="88"/>
        <v>#VALUE!</v>
      </c>
      <c r="S1913">
        <f t="shared" si="89"/>
        <v>0</v>
      </c>
      <c r="T1913">
        <f t="shared" si="90"/>
        <v>0</v>
      </c>
      <c r="U1913">
        <f>IF(SQRT(POWER(T1913-F1913,2))+SQRT(POWER(E1913-S1913,2))=0,0,SQRT(POWER(T1913-F1913,2))+SQRT(POWER(E1913-S1913,2))+DATOS!$H$20)</f>
        <v>0</v>
      </c>
    </row>
    <row r="1914" spans="18:21">
      <c r="R1914" t="e">
        <f t="shared" si="88"/>
        <v>#VALUE!</v>
      </c>
      <c r="S1914">
        <f t="shared" si="89"/>
        <v>0</v>
      </c>
      <c r="T1914">
        <f t="shared" si="90"/>
        <v>0</v>
      </c>
      <c r="U1914">
        <f>IF(SQRT(POWER(T1914-F1914,2))+SQRT(POWER(E1914-S1914,2))=0,0,SQRT(POWER(T1914-F1914,2))+SQRT(POWER(E1914-S1914,2))+DATOS!$H$20)</f>
        <v>0</v>
      </c>
    </row>
    <row r="1915" spans="18:21">
      <c r="R1915" t="e">
        <f t="shared" si="88"/>
        <v>#VALUE!</v>
      </c>
      <c r="S1915">
        <f t="shared" si="89"/>
        <v>0</v>
      </c>
      <c r="T1915">
        <f t="shared" si="90"/>
        <v>0</v>
      </c>
      <c r="U1915">
        <f>IF(SQRT(POWER(T1915-F1915,2))+SQRT(POWER(E1915-S1915,2))=0,0,SQRT(POWER(T1915-F1915,2))+SQRT(POWER(E1915-S1915,2))+DATOS!$H$20)</f>
        <v>0</v>
      </c>
    </row>
    <row r="1916" spans="18:21">
      <c r="R1916" t="e">
        <f t="shared" si="88"/>
        <v>#VALUE!</v>
      </c>
      <c r="S1916">
        <f t="shared" si="89"/>
        <v>0</v>
      </c>
      <c r="T1916">
        <f t="shared" si="90"/>
        <v>0</v>
      </c>
      <c r="U1916">
        <f>IF(SQRT(POWER(T1916-F1916,2))+SQRT(POWER(E1916-S1916,2))=0,0,SQRT(POWER(T1916-F1916,2))+SQRT(POWER(E1916-S1916,2))+DATOS!$H$20)</f>
        <v>0</v>
      </c>
    </row>
    <row r="1917" spans="18:21">
      <c r="R1917" t="e">
        <f t="shared" ref="R1917:R1980" si="91">"TAB-"&amp;LEFT(A1917,FIND("-",A1917) -1)</f>
        <v>#VALUE!</v>
      </c>
      <c r="S1917">
        <f t="shared" ref="S1917:S1980" si="92">IFERROR(VLOOKUP(R1917,$A$2:$F$700,5,0),E1917)</f>
        <v>0</v>
      </c>
      <c r="T1917">
        <f t="shared" ref="T1917:T1980" si="93">IFERROR(VLOOKUP(R1917,$A$2:$F$700,6,0),F1917)</f>
        <v>0</v>
      </c>
      <c r="U1917">
        <f>IF(SQRT(POWER(T1917-F1917,2))+SQRT(POWER(E1917-S1917,2))=0,0,SQRT(POWER(T1917-F1917,2))+SQRT(POWER(E1917-S1917,2))+DATOS!$H$20)</f>
        <v>0</v>
      </c>
    </row>
    <row r="1918" spans="18:21">
      <c r="R1918" t="e">
        <f t="shared" si="91"/>
        <v>#VALUE!</v>
      </c>
      <c r="S1918">
        <f t="shared" si="92"/>
        <v>0</v>
      </c>
      <c r="T1918">
        <f t="shared" si="93"/>
        <v>0</v>
      </c>
      <c r="U1918">
        <f>IF(SQRT(POWER(T1918-F1918,2))+SQRT(POWER(E1918-S1918,2))=0,0,SQRT(POWER(T1918-F1918,2))+SQRT(POWER(E1918-S1918,2))+DATOS!$H$20)</f>
        <v>0</v>
      </c>
    </row>
    <row r="1919" spans="18:21">
      <c r="R1919" t="e">
        <f t="shared" si="91"/>
        <v>#VALUE!</v>
      </c>
      <c r="S1919">
        <f t="shared" si="92"/>
        <v>0</v>
      </c>
      <c r="T1919">
        <f t="shared" si="93"/>
        <v>0</v>
      </c>
      <c r="U1919">
        <f>IF(SQRT(POWER(T1919-F1919,2))+SQRT(POWER(E1919-S1919,2))=0,0,SQRT(POWER(T1919-F1919,2))+SQRT(POWER(E1919-S1919,2))+DATOS!$H$20)</f>
        <v>0</v>
      </c>
    </row>
    <row r="1920" spans="18:21">
      <c r="R1920" t="e">
        <f t="shared" si="91"/>
        <v>#VALUE!</v>
      </c>
      <c r="S1920">
        <f t="shared" si="92"/>
        <v>0</v>
      </c>
      <c r="T1920">
        <f t="shared" si="93"/>
        <v>0</v>
      </c>
      <c r="U1920">
        <f>IF(SQRT(POWER(T1920-F1920,2))+SQRT(POWER(E1920-S1920,2))=0,0,SQRT(POWER(T1920-F1920,2))+SQRT(POWER(E1920-S1920,2))+DATOS!$H$20)</f>
        <v>0</v>
      </c>
    </row>
    <row r="1921" spans="18:21">
      <c r="R1921" t="e">
        <f t="shared" si="91"/>
        <v>#VALUE!</v>
      </c>
      <c r="S1921">
        <f t="shared" si="92"/>
        <v>0</v>
      </c>
      <c r="T1921">
        <f t="shared" si="93"/>
        <v>0</v>
      </c>
      <c r="U1921">
        <f>IF(SQRT(POWER(T1921-F1921,2))+SQRT(POWER(E1921-S1921,2))=0,0,SQRT(POWER(T1921-F1921,2))+SQRT(POWER(E1921-S1921,2))+DATOS!$H$20)</f>
        <v>0</v>
      </c>
    </row>
    <row r="1922" spans="18:21">
      <c r="R1922" t="e">
        <f t="shared" si="91"/>
        <v>#VALUE!</v>
      </c>
      <c r="S1922">
        <f t="shared" si="92"/>
        <v>0</v>
      </c>
      <c r="T1922">
        <f t="shared" si="93"/>
        <v>0</v>
      </c>
      <c r="U1922">
        <f>IF(SQRT(POWER(T1922-F1922,2))+SQRT(POWER(E1922-S1922,2))=0,0,SQRT(POWER(T1922-F1922,2))+SQRT(POWER(E1922-S1922,2))+DATOS!$H$20)</f>
        <v>0</v>
      </c>
    </row>
    <row r="1923" spans="18:21">
      <c r="R1923" t="e">
        <f t="shared" si="91"/>
        <v>#VALUE!</v>
      </c>
      <c r="S1923">
        <f t="shared" si="92"/>
        <v>0</v>
      </c>
      <c r="T1923">
        <f t="shared" si="93"/>
        <v>0</v>
      </c>
      <c r="U1923">
        <f>IF(SQRT(POWER(T1923-F1923,2))+SQRT(POWER(E1923-S1923,2))=0,0,SQRT(POWER(T1923-F1923,2))+SQRT(POWER(E1923-S1923,2))+DATOS!$H$20)</f>
        <v>0</v>
      </c>
    </row>
    <row r="1924" spans="18:21">
      <c r="R1924" t="e">
        <f t="shared" si="91"/>
        <v>#VALUE!</v>
      </c>
      <c r="S1924">
        <f t="shared" si="92"/>
        <v>0</v>
      </c>
      <c r="T1924">
        <f t="shared" si="93"/>
        <v>0</v>
      </c>
      <c r="U1924">
        <f>IF(SQRT(POWER(T1924-F1924,2))+SQRT(POWER(E1924-S1924,2))=0,0,SQRT(POWER(T1924-F1924,2))+SQRT(POWER(E1924-S1924,2))+DATOS!$H$20)</f>
        <v>0</v>
      </c>
    </row>
    <row r="1925" spans="18:21">
      <c r="R1925" t="e">
        <f t="shared" si="91"/>
        <v>#VALUE!</v>
      </c>
      <c r="S1925">
        <f t="shared" si="92"/>
        <v>0</v>
      </c>
      <c r="T1925">
        <f t="shared" si="93"/>
        <v>0</v>
      </c>
      <c r="U1925">
        <f>IF(SQRT(POWER(T1925-F1925,2))+SQRT(POWER(E1925-S1925,2))=0,0,SQRT(POWER(T1925-F1925,2))+SQRT(POWER(E1925-S1925,2))+DATOS!$H$20)</f>
        <v>0</v>
      </c>
    </row>
    <row r="1926" spans="18:21">
      <c r="R1926" t="e">
        <f t="shared" si="91"/>
        <v>#VALUE!</v>
      </c>
      <c r="S1926">
        <f t="shared" si="92"/>
        <v>0</v>
      </c>
      <c r="T1926">
        <f t="shared" si="93"/>
        <v>0</v>
      </c>
      <c r="U1926">
        <f>IF(SQRT(POWER(T1926-F1926,2))+SQRT(POWER(E1926-S1926,2))=0,0,SQRT(POWER(T1926-F1926,2))+SQRT(POWER(E1926-S1926,2))+DATOS!$H$20)</f>
        <v>0</v>
      </c>
    </row>
    <row r="1927" spans="18:21">
      <c r="R1927" t="e">
        <f t="shared" si="91"/>
        <v>#VALUE!</v>
      </c>
      <c r="S1927">
        <f t="shared" si="92"/>
        <v>0</v>
      </c>
      <c r="T1927">
        <f t="shared" si="93"/>
        <v>0</v>
      </c>
      <c r="U1927">
        <f>IF(SQRT(POWER(T1927-F1927,2))+SQRT(POWER(E1927-S1927,2))=0,0,SQRT(POWER(T1927-F1927,2))+SQRT(POWER(E1927-S1927,2))+DATOS!$H$20)</f>
        <v>0</v>
      </c>
    </row>
    <row r="1928" spans="18:21">
      <c r="R1928" t="e">
        <f t="shared" si="91"/>
        <v>#VALUE!</v>
      </c>
      <c r="S1928">
        <f t="shared" si="92"/>
        <v>0</v>
      </c>
      <c r="T1928">
        <f t="shared" si="93"/>
        <v>0</v>
      </c>
      <c r="U1928">
        <f>IF(SQRT(POWER(T1928-F1928,2))+SQRT(POWER(E1928-S1928,2))=0,0,SQRT(POWER(T1928-F1928,2))+SQRT(POWER(E1928-S1928,2))+DATOS!$H$20)</f>
        <v>0</v>
      </c>
    </row>
    <row r="1929" spans="18:21">
      <c r="R1929" t="e">
        <f t="shared" si="91"/>
        <v>#VALUE!</v>
      </c>
      <c r="S1929">
        <f t="shared" si="92"/>
        <v>0</v>
      </c>
      <c r="T1929">
        <f t="shared" si="93"/>
        <v>0</v>
      </c>
      <c r="U1929">
        <f>IF(SQRT(POWER(T1929-F1929,2))+SQRT(POWER(E1929-S1929,2))=0,0,SQRT(POWER(T1929-F1929,2))+SQRT(POWER(E1929-S1929,2))+DATOS!$H$20)</f>
        <v>0</v>
      </c>
    </row>
    <row r="1930" spans="18:21">
      <c r="R1930" t="e">
        <f t="shared" si="91"/>
        <v>#VALUE!</v>
      </c>
      <c r="S1930">
        <f t="shared" si="92"/>
        <v>0</v>
      </c>
      <c r="T1930">
        <f t="shared" si="93"/>
        <v>0</v>
      </c>
      <c r="U1930">
        <f>IF(SQRT(POWER(T1930-F1930,2))+SQRT(POWER(E1930-S1930,2))=0,0,SQRT(POWER(T1930-F1930,2))+SQRT(POWER(E1930-S1930,2))+DATOS!$H$20)</f>
        <v>0</v>
      </c>
    </row>
    <row r="1931" spans="18:21">
      <c r="R1931" t="e">
        <f t="shared" si="91"/>
        <v>#VALUE!</v>
      </c>
      <c r="S1931">
        <f t="shared" si="92"/>
        <v>0</v>
      </c>
      <c r="T1931">
        <f t="shared" si="93"/>
        <v>0</v>
      </c>
      <c r="U1931">
        <f>IF(SQRT(POWER(T1931-F1931,2))+SQRT(POWER(E1931-S1931,2))=0,0,SQRT(POWER(T1931-F1931,2))+SQRT(POWER(E1931-S1931,2))+DATOS!$H$20)</f>
        <v>0</v>
      </c>
    </row>
    <row r="1932" spans="18:21">
      <c r="R1932" t="e">
        <f t="shared" si="91"/>
        <v>#VALUE!</v>
      </c>
      <c r="S1932">
        <f t="shared" si="92"/>
        <v>0</v>
      </c>
      <c r="T1932">
        <f t="shared" si="93"/>
        <v>0</v>
      </c>
      <c r="U1932">
        <f>IF(SQRT(POWER(T1932-F1932,2))+SQRT(POWER(E1932-S1932,2))=0,0,SQRT(POWER(T1932-F1932,2))+SQRT(POWER(E1932-S1932,2))+DATOS!$H$20)</f>
        <v>0</v>
      </c>
    </row>
    <row r="1933" spans="18:21">
      <c r="R1933" t="e">
        <f t="shared" si="91"/>
        <v>#VALUE!</v>
      </c>
      <c r="S1933">
        <f t="shared" si="92"/>
        <v>0</v>
      </c>
      <c r="T1933">
        <f t="shared" si="93"/>
        <v>0</v>
      </c>
      <c r="U1933">
        <f>IF(SQRT(POWER(T1933-F1933,2))+SQRT(POWER(E1933-S1933,2))=0,0,SQRT(POWER(T1933-F1933,2))+SQRT(POWER(E1933-S1933,2))+DATOS!$H$20)</f>
        <v>0</v>
      </c>
    </row>
    <row r="1934" spans="18:21">
      <c r="R1934" t="e">
        <f t="shared" si="91"/>
        <v>#VALUE!</v>
      </c>
      <c r="S1934">
        <f t="shared" si="92"/>
        <v>0</v>
      </c>
      <c r="T1934">
        <f t="shared" si="93"/>
        <v>0</v>
      </c>
      <c r="U1934">
        <f>IF(SQRT(POWER(T1934-F1934,2))+SQRT(POWER(E1934-S1934,2))=0,0,SQRT(POWER(T1934-F1934,2))+SQRT(POWER(E1934-S1934,2))+DATOS!$H$20)</f>
        <v>0</v>
      </c>
    </row>
    <row r="1935" spans="18:21">
      <c r="R1935" t="e">
        <f t="shared" si="91"/>
        <v>#VALUE!</v>
      </c>
      <c r="S1935">
        <f t="shared" si="92"/>
        <v>0</v>
      </c>
      <c r="T1935">
        <f t="shared" si="93"/>
        <v>0</v>
      </c>
      <c r="U1935">
        <f>IF(SQRT(POWER(T1935-F1935,2))+SQRT(POWER(E1935-S1935,2))=0,0,SQRT(POWER(T1935-F1935,2))+SQRT(POWER(E1935-S1935,2))+DATOS!$H$20)</f>
        <v>0</v>
      </c>
    </row>
    <row r="1936" spans="18:21">
      <c r="R1936" t="e">
        <f t="shared" si="91"/>
        <v>#VALUE!</v>
      </c>
      <c r="S1936">
        <f t="shared" si="92"/>
        <v>0</v>
      </c>
      <c r="T1936">
        <f t="shared" si="93"/>
        <v>0</v>
      </c>
      <c r="U1936">
        <f>IF(SQRT(POWER(T1936-F1936,2))+SQRT(POWER(E1936-S1936,2))=0,0,SQRT(POWER(T1936-F1936,2))+SQRT(POWER(E1936-S1936,2))+DATOS!$H$20)</f>
        <v>0</v>
      </c>
    </row>
    <row r="1937" spans="18:21">
      <c r="R1937" t="e">
        <f t="shared" si="91"/>
        <v>#VALUE!</v>
      </c>
      <c r="S1937">
        <f t="shared" si="92"/>
        <v>0</v>
      </c>
      <c r="T1937">
        <f t="shared" si="93"/>
        <v>0</v>
      </c>
      <c r="U1937">
        <f>IF(SQRT(POWER(T1937-F1937,2))+SQRT(POWER(E1937-S1937,2))=0,0,SQRT(POWER(T1937-F1937,2))+SQRT(POWER(E1937-S1937,2))+DATOS!$H$20)</f>
        <v>0</v>
      </c>
    </row>
    <row r="1938" spans="18:21">
      <c r="R1938" t="e">
        <f t="shared" si="91"/>
        <v>#VALUE!</v>
      </c>
      <c r="S1938">
        <f t="shared" si="92"/>
        <v>0</v>
      </c>
      <c r="T1938">
        <f t="shared" si="93"/>
        <v>0</v>
      </c>
      <c r="U1938">
        <f>IF(SQRT(POWER(T1938-F1938,2))+SQRT(POWER(E1938-S1938,2))=0,0,SQRT(POWER(T1938-F1938,2))+SQRT(POWER(E1938-S1938,2))+DATOS!$H$20)</f>
        <v>0</v>
      </c>
    </row>
    <row r="1939" spans="18:21">
      <c r="R1939" t="e">
        <f t="shared" si="91"/>
        <v>#VALUE!</v>
      </c>
      <c r="S1939">
        <f t="shared" si="92"/>
        <v>0</v>
      </c>
      <c r="T1939">
        <f t="shared" si="93"/>
        <v>0</v>
      </c>
      <c r="U1939">
        <f>IF(SQRT(POWER(T1939-F1939,2))+SQRT(POWER(E1939-S1939,2))=0,0,SQRT(POWER(T1939-F1939,2))+SQRT(POWER(E1939-S1939,2))+DATOS!$H$20)</f>
        <v>0</v>
      </c>
    </row>
    <row r="1940" spans="18:21">
      <c r="R1940" t="e">
        <f t="shared" si="91"/>
        <v>#VALUE!</v>
      </c>
      <c r="S1940">
        <f t="shared" si="92"/>
        <v>0</v>
      </c>
      <c r="T1940">
        <f t="shared" si="93"/>
        <v>0</v>
      </c>
      <c r="U1940">
        <f>IF(SQRT(POWER(T1940-F1940,2))+SQRT(POWER(E1940-S1940,2))=0,0,SQRT(POWER(T1940-F1940,2))+SQRT(POWER(E1940-S1940,2))+DATOS!$H$20)</f>
        <v>0</v>
      </c>
    </row>
    <row r="1941" spans="18:21">
      <c r="R1941" t="e">
        <f t="shared" si="91"/>
        <v>#VALUE!</v>
      </c>
      <c r="S1941">
        <f t="shared" si="92"/>
        <v>0</v>
      </c>
      <c r="T1941">
        <f t="shared" si="93"/>
        <v>0</v>
      </c>
      <c r="U1941">
        <f>IF(SQRT(POWER(T1941-F1941,2))+SQRT(POWER(E1941-S1941,2))=0,0,SQRT(POWER(T1941-F1941,2))+SQRT(POWER(E1941-S1941,2))+DATOS!$H$20)</f>
        <v>0</v>
      </c>
    </row>
    <row r="1942" spans="18:21">
      <c r="R1942" t="e">
        <f t="shared" si="91"/>
        <v>#VALUE!</v>
      </c>
      <c r="S1942">
        <f t="shared" si="92"/>
        <v>0</v>
      </c>
      <c r="T1942">
        <f t="shared" si="93"/>
        <v>0</v>
      </c>
      <c r="U1942">
        <f>IF(SQRT(POWER(T1942-F1942,2))+SQRT(POWER(E1942-S1942,2))=0,0,SQRT(POWER(T1942-F1942,2))+SQRT(POWER(E1942-S1942,2))+DATOS!$H$20)</f>
        <v>0</v>
      </c>
    </row>
    <row r="1943" spans="18:21">
      <c r="R1943" t="e">
        <f t="shared" si="91"/>
        <v>#VALUE!</v>
      </c>
      <c r="S1943">
        <f t="shared" si="92"/>
        <v>0</v>
      </c>
      <c r="T1943">
        <f t="shared" si="93"/>
        <v>0</v>
      </c>
      <c r="U1943">
        <f>IF(SQRT(POWER(T1943-F1943,2))+SQRT(POWER(E1943-S1943,2))=0,0,SQRT(POWER(T1943-F1943,2))+SQRT(POWER(E1943-S1943,2))+DATOS!$H$20)</f>
        <v>0</v>
      </c>
    </row>
    <row r="1944" spans="18:21">
      <c r="R1944" t="e">
        <f t="shared" si="91"/>
        <v>#VALUE!</v>
      </c>
      <c r="S1944">
        <f t="shared" si="92"/>
        <v>0</v>
      </c>
      <c r="T1944">
        <f t="shared" si="93"/>
        <v>0</v>
      </c>
      <c r="U1944">
        <f>IF(SQRT(POWER(T1944-F1944,2))+SQRT(POWER(E1944-S1944,2))=0,0,SQRT(POWER(T1944-F1944,2))+SQRT(POWER(E1944-S1944,2))+DATOS!$H$20)</f>
        <v>0</v>
      </c>
    </row>
    <row r="1945" spans="18:21">
      <c r="R1945" t="e">
        <f t="shared" si="91"/>
        <v>#VALUE!</v>
      </c>
      <c r="S1945">
        <f t="shared" si="92"/>
        <v>0</v>
      </c>
      <c r="T1945">
        <f t="shared" si="93"/>
        <v>0</v>
      </c>
      <c r="U1945">
        <f>IF(SQRT(POWER(T1945-F1945,2))+SQRT(POWER(E1945-S1945,2))=0,0,SQRT(POWER(T1945-F1945,2))+SQRT(POWER(E1945-S1945,2))+DATOS!$H$20)</f>
        <v>0</v>
      </c>
    </row>
    <row r="1946" spans="18:21">
      <c r="R1946" t="e">
        <f t="shared" si="91"/>
        <v>#VALUE!</v>
      </c>
      <c r="S1946">
        <f t="shared" si="92"/>
        <v>0</v>
      </c>
      <c r="T1946">
        <f t="shared" si="93"/>
        <v>0</v>
      </c>
      <c r="U1946">
        <f>IF(SQRT(POWER(T1946-F1946,2))+SQRT(POWER(E1946-S1946,2))=0,0,SQRT(POWER(T1946-F1946,2))+SQRT(POWER(E1946-S1946,2))+DATOS!$H$20)</f>
        <v>0</v>
      </c>
    </row>
    <row r="1947" spans="18:21">
      <c r="R1947" t="e">
        <f t="shared" si="91"/>
        <v>#VALUE!</v>
      </c>
      <c r="S1947">
        <f t="shared" si="92"/>
        <v>0</v>
      </c>
      <c r="T1947">
        <f t="shared" si="93"/>
        <v>0</v>
      </c>
      <c r="U1947">
        <f>IF(SQRT(POWER(T1947-F1947,2))+SQRT(POWER(E1947-S1947,2))=0,0,SQRT(POWER(T1947-F1947,2))+SQRT(POWER(E1947-S1947,2))+DATOS!$H$20)</f>
        <v>0</v>
      </c>
    </row>
    <row r="1948" spans="18:21">
      <c r="R1948" t="e">
        <f t="shared" si="91"/>
        <v>#VALUE!</v>
      </c>
      <c r="S1948">
        <f t="shared" si="92"/>
        <v>0</v>
      </c>
      <c r="T1948">
        <f t="shared" si="93"/>
        <v>0</v>
      </c>
      <c r="U1948">
        <f>IF(SQRT(POWER(T1948-F1948,2))+SQRT(POWER(E1948-S1948,2))=0,0,SQRT(POWER(T1948-F1948,2))+SQRT(POWER(E1948-S1948,2))+DATOS!$H$20)</f>
        <v>0</v>
      </c>
    </row>
    <row r="1949" spans="18:21">
      <c r="R1949" t="e">
        <f t="shared" si="91"/>
        <v>#VALUE!</v>
      </c>
      <c r="S1949">
        <f t="shared" si="92"/>
        <v>0</v>
      </c>
      <c r="T1949">
        <f t="shared" si="93"/>
        <v>0</v>
      </c>
      <c r="U1949">
        <f>IF(SQRT(POWER(T1949-F1949,2))+SQRT(POWER(E1949-S1949,2))=0,0,SQRT(POWER(T1949-F1949,2))+SQRT(POWER(E1949-S1949,2))+DATOS!$H$20)</f>
        <v>0</v>
      </c>
    </row>
    <row r="1950" spans="18:21">
      <c r="R1950" t="e">
        <f t="shared" si="91"/>
        <v>#VALUE!</v>
      </c>
      <c r="S1950">
        <f t="shared" si="92"/>
        <v>0</v>
      </c>
      <c r="T1950">
        <f t="shared" si="93"/>
        <v>0</v>
      </c>
      <c r="U1950">
        <f>IF(SQRT(POWER(T1950-F1950,2))+SQRT(POWER(E1950-S1950,2))=0,0,SQRT(POWER(T1950-F1950,2))+SQRT(POWER(E1950-S1950,2))+DATOS!$H$20)</f>
        <v>0</v>
      </c>
    </row>
    <row r="1951" spans="18:21">
      <c r="R1951" t="e">
        <f t="shared" si="91"/>
        <v>#VALUE!</v>
      </c>
      <c r="S1951">
        <f t="shared" si="92"/>
        <v>0</v>
      </c>
      <c r="T1951">
        <f t="shared" si="93"/>
        <v>0</v>
      </c>
      <c r="U1951">
        <f>IF(SQRT(POWER(T1951-F1951,2))+SQRT(POWER(E1951-S1951,2))=0,0,SQRT(POWER(T1951-F1951,2))+SQRT(POWER(E1951-S1951,2))+DATOS!$H$20)</f>
        <v>0</v>
      </c>
    </row>
    <row r="1952" spans="18:21">
      <c r="R1952" t="e">
        <f t="shared" si="91"/>
        <v>#VALUE!</v>
      </c>
      <c r="S1952">
        <f t="shared" si="92"/>
        <v>0</v>
      </c>
      <c r="T1952">
        <f t="shared" si="93"/>
        <v>0</v>
      </c>
      <c r="U1952">
        <f>IF(SQRT(POWER(T1952-F1952,2))+SQRT(POWER(E1952-S1952,2))=0,0,SQRT(POWER(T1952-F1952,2))+SQRT(POWER(E1952-S1952,2))+DATOS!$H$20)</f>
        <v>0</v>
      </c>
    </row>
    <row r="1953" spans="18:21">
      <c r="R1953" t="e">
        <f t="shared" si="91"/>
        <v>#VALUE!</v>
      </c>
      <c r="S1953">
        <f t="shared" si="92"/>
        <v>0</v>
      </c>
      <c r="T1953">
        <f t="shared" si="93"/>
        <v>0</v>
      </c>
      <c r="U1953">
        <f>IF(SQRT(POWER(T1953-F1953,2))+SQRT(POWER(E1953-S1953,2))=0,0,SQRT(POWER(T1953-F1953,2))+SQRT(POWER(E1953-S1953,2))+DATOS!$H$20)</f>
        <v>0</v>
      </c>
    </row>
    <row r="1954" spans="18:21">
      <c r="R1954" t="e">
        <f t="shared" si="91"/>
        <v>#VALUE!</v>
      </c>
      <c r="S1954">
        <f t="shared" si="92"/>
        <v>0</v>
      </c>
      <c r="T1954">
        <f t="shared" si="93"/>
        <v>0</v>
      </c>
      <c r="U1954">
        <f>IF(SQRT(POWER(T1954-F1954,2))+SQRT(POWER(E1954-S1954,2))=0,0,SQRT(POWER(T1954-F1954,2))+SQRT(POWER(E1954-S1954,2))+DATOS!$H$20)</f>
        <v>0</v>
      </c>
    </row>
    <row r="1955" spans="18:21">
      <c r="R1955" t="e">
        <f t="shared" si="91"/>
        <v>#VALUE!</v>
      </c>
      <c r="S1955">
        <f t="shared" si="92"/>
        <v>0</v>
      </c>
      <c r="T1955">
        <f t="shared" si="93"/>
        <v>0</v>
      </c>
      <c r="U1955">
        <f>IF(SQRT(POWER(T1955-F1955,2))+SQRT(POWER(E1955-S1955,2))=0,0,SQRT(POWER(T1955-F1955,2))+SQRT(POWER(E1955-S1955,2))+DATOS!$H$20)</f>
        <v>0</v>
      </c>
    </row>
    <row r="1956" spans="18:21">
      <c r="R1956" t="e">
        <f t="shared" si="91"/>
        <v>#VALUE!</v>
      </c>
      <c r="S1956">
        <f t="shared" si="92"/>
        <v>0</v>
      </c>
      <c r="T1956">
        <f t="shared" si="93"/>
        <v>0</v>
      </c>
      <c r="U1956">
        <f>IF(SQRT(POWER(T1956-F1956,2))+SQRT(POWER(E1956-S1956,2))=0,0,SQRT(POWER(T1956-F1956,2))+SQRT(POWER(E1956-S1956,2))+DATOS!$H$20)</f>
        <v>0</v>
      </c>
    </row>
    <row r="1957" spans="18:21">
      <c r="R1957" t="e">
        <f t="shared" si="91"/>
        <v>#VALUE!</v>
      </c>
      <c r="S1957">
        <f t="shared" si="92"/>
        <v>0</v>
      </c>
      <c r="T1957">
        <f t="shared" si="93"/>
        <v>0</v>
      </c>
      <c r="U1957">
        <f>IF(SQRT(POWER(T1957-F1957,2))+SQRT(POWER(E1957-S1957,2))=0,0,SQRT(POWER(T1957-F1957,2))+SQRT(POWER(E1957-S1957,2))+DATOS!$H$20)</f>
        <v>0</v>
      </c>
    </row>
    <row r="1958" spans="18:21">
      <c r="R1958" t="e">
        <f t="shared" si="91"/>
        <v>#VALUE!</v>
      </c>
      <c r="S1958">
        <f t="shared" si="92"/>
        <v>0</v>
      </c>
      <c r="T1958">
        <f t="shared" si="93"/>
        <v>0</v>
      </c>
      <c r="U1958">
        <f>IF(SQRT(POWER(T1958-F1958,2))+SQRT(POWER(E1958-S1958,2))=0,0,SQRT(POWER(T1958-F1958,2))+SQRT(POWER(E1958-S1958,2))+DATOS!$H$20)</f>
        <v>0</v>
      </c>
    </row>
    <row r="1959" spans="18:21">
      <c r="R1959" t="e">
        <f t="shared" si="91"/>
        <v>#VALUE!</v>
      </c>
      <c r="S1959">
        <f t="shared" si="92"/>
        <v>0</v>
      </c>
      <c r="T1959">
        <f t="shared" si="93"/>
        <v>0</v>
      </c>
      <c r="U1959">
        <f>IF(SQRT(POWER(T1959-F1959,2))+SQRT(POWER(E1959-S1959,2))=0,0,SQRT(POWER(T1959-F1959,2))+SQRT(POWER(E1959-S1959,2))+DATOS!$H$20)</f>
        <v>0</v>
      </c>
    </row>
    <row r="1960" spans="18:21">
      <c r="R1960" t="e">
        <f t="shared" si="91"/>
        <v>#VALUE!</v>
      </c>
      <c r="S1960">
        <f t="shared" si="92"/>
        <v>0</v>
      </c>
      <c r="T1960">
        <f t="shared" si="93"/>
        <v>0</v>
      </c>
      <c r="U1960">
        <f>IF(SQRT(POWER(T1960-F1960,2))+SQRT(POWER(E1960-S1960,2))=0,0,SQRT(POWER(T1960-F1960,2))+SQRT(POWER(E1960-S1960,2))+DATOS!$H$20)</f>
        <v>0</v>
      </c>
    </row>
    <row r="1961" spans="18:21">
      <c r="R1961" t="e">
        <f t="shared" si="91"/>
        <v>#VALUE!</v>
      </c>
      <c r="S1961">
        <f t="shared" si="92"/>
        <v>0</v>
      </c>
      <c r="T1961">
        <f t="shared" si="93"/>
        <v>0</v>
      </c>
      <c r="U1961">
        <f>IF(SQRT(POWER(T1961-F1961,2))+SQRT(POWER(E1961-S1961,2))=0,0,SQRT(POWER(T1961-F1961,2))+SQRT(POWER(E1961-S1961,2))+DATOS!$H$20)</f>
        <v>0</v>
      </c>
    </row>
    <row r="1962" spans="18:21">
      <c r="R1962" t="e">
        <f t="shared" si="91"/>
        <v>#VALUE!</v>
      </c>
      <c r="S1962">
        <f t="shared" si="92"/>
        <v>0</v>
      </c>
      <c r="T1962">
        <f t="shared" si="93"/>
        <v>0</v>
      </c>
      <c r="U1962">
        <f>IF(SQRT(POWER(T1962-F1962,2))+SQRT(POWER(E1962-S1962,2))=0,0,SQRT(POWER(T1962-F1962,2))+SQRT(POWER(E1962-S1962,2))+DATOS!$H$20)</f>
        <v>0</v>
      </c>
    </row>
    <row r="1963" spans="18:21">
      <c r="R1963" t="e">
        <f t="shared" si="91"/>
        <v>#VALUE!</v>
      </c>
      <c r="S1963">
        <f t="shared" si="92"/>
        <v>0</v>
      </c>
      <c r="T1963">
        <f t="shared" si="93"/>
        <v>0</v>
      </c>
      <c r="U1963">
        <f>IF(SQRT(POWER(T1963-F1963,2))+SQRT(POWER(E1963-S1963,2))=0,0,SQRT(POWER(T1963-F1963,2))+SQRT(POWER(E1963-S1963,2))+DATOS!$H$20)</f>
        <v>0</v>
      </c>
    </row>
    <row r="1964" spans="18:21">
      <c r="R1964" t="e">
        <f t="shared" si="91"/>
        <v>#VALUE!</v>
      </c>
      <c r="S1964">
        <f t="shared" si="92"/>
        <v>0</v>
      </c>
      <c r="T1964">
        <f t="shared" si="93"/>
        <v>0</v>
      </c>
      <c r="U1964">
        <f>IF(SQRT(POWER(T1964-F1964,2))+SQRT(POWER(E1964-S1964,2))=0,0,SQRT(POWER(T1964-F1964,2))+SQRT(POWER(E1964-S1964,2))+DATOS!$H$20)</f>
        <v>0</v>
      </c>
    </row>
    <row r="1965" spans="18:21">
      <c r="R1965" t="e">
        <f t="shared" si="91"/>
        <v>#VALUE!</v>
      </c>
      <c r="S1965">
        <f t="shared" si="92"/>
        <v>0</v>
      </c>
      <c r="T1965">
        <f t="shared" si="93"/>
        <v>0</v>
      </c>
      <c r="U1965">
        <f>IF(SQRT(POWER(T1965-F1965,2))+SQRT(POWER(E1965-S1965,2))=0,0,SQRT(POWER(T1965-F1965,2))+SQRT(POWER(E1965-S1965,2))+DATOS!$H$20)</f>
        <v>0</v>
      </c>
    </row>
    <row r="1966" spans="18:21">
      <c r="R1966" t="e">
        <f t="shared" si="91"/>
        <v>#VALUE!</v>
      </c>
      <c r="S1966">
        <f t="shared" si="92"/>
        <v>0</v>
      </c>
      <c r="T1966">
        <f t="shared" si="93"/>
        <v>0</v>
      </c>
      <c r="U1966">
        <f>IF(SQRT(POWER(T1966-F1966,2))+SQRT(POWER(E1966-S1966,2))=0,0,SQRT(POWER(T1966-F1966,2))+SQRT(POWER(E1966-S1966,2))+DATOS!$H$20)</f>
        <v>0</v>
      </c>
    </row>
    <row r="1967" spans="18:21">
      <c r="R1967" t="e">
        <f t="shared" si="91"/>
        <v>#VALUE!</v>
      </c>
      <c r="S1967">
        <f t="shared" si="92"/>
        <v>0</v>
      </c>
      <c r="T1967">
        <f t="shared" si="93"/>
        <v>0</v>
      </c>
      <c r="U1967">
        <f>IF(SQRT(POWER(T1967-F1967,2))+SQRT(POWER(E1967-S1967,2))=0,0,SQRT(POWER(T1967-F1967,2))+SQRT(POWER(E1967-S1967,2))+DATOS!$H$20)</f>
        <v>0</v>
      </c>
    </row>
    <row r="1968" spans="18:21">
      <c r="R1968" t="e">
        <f t="shared" si="91"/>
        <v>#VALUE!</v>
      </c>
      <c r="S1968">
        <f t="shared" si="92"/>
        <v>0</v>
      </c>
      <c r="T1968">
        <f t="shared" si="93"/>
        <v>0</v>
      </c>
      <c r="U1968">
        <f>IF(SQRT(POWER(T1968-F1968,2))+SQRT(POWER(E1968-S1968,2))=0,0,SQRT(POWER(T1968-F1968,2))+SQRT(POWER(E1968-S1968,2))+DATOS!$H$20)</f>
        <v>0</v>
      </c>
    </row>
    <row r="1969" spans="18:21">
      <c r="R1969" t="e">
        <f t="shared" si="91"/>
        <v>#VALUE!</v>
      </c>
      <c r="S1969">
        <f t="shared" si="92"/>
        <v>0</v>
      </c>
      <c r="T1969">
        <f t="shared" si="93"/>
        <v>0</v>
      </c>
      <c r="U1969">
        <f>IF(SQRT(POWER(T1969-F1969,2))+SQRT(POWER(E1969-S1969,2))=0,0,SQRT(POWER(T1969-F1969,2))+SQRT(POWER(E1969-S1969,2))+DATOS!$H$20)</f>
        <v>0</v>
      </c>
    </row>
    <row r="1970" spans="18:21">
      <c r="R1970" t="e">
        <f t="shared" si="91"/>
        <v>#VALUE!</v>
      </c>
      <c r="S1970">
        <f t="shared" si="92"/>
        <v>0</v>
      </c>
      <c r="T1970">
        <f t="shared" si="93"/>
        <v>0</v>
      </c>
      <c r="U1970">
        <f>IF(SQRT(POWER(T1970-F1970,2))+SQRT(POWER(E1970-S1970,2))=0,0,SQRT(POWER(T1970-F1970,2))+SQRT(POWER(E1970-S1970,2))+DATOS!$H$20)</f>
        <v>0</v>
      </c>
    </row>
    <row r="1971" spans="18:21">
      <c r="R1971" t="e">
        <f t="shared" si="91"/>
        <v>#VALUE!</v>
      </c>
      <c r="S1971">
        <f t="shared" si="92"/>
        <v>0</v>
      </c>
      <c r="T1971">
        <f t="shared" si="93"/>
        <v>0</v>
      </c>
      <c r="U1971">
        <f>IF(SQRT(POWER(T1971-F1971,2))+SQRT(POWER(E1971-S1971,2))=0,0,SQRT(POWER(T1971-F1971,2))+SQRT(POWER(E1971-S1971,2))+DATOS!$H$20)</f>
        <v>0</v>
      </c>
    </row>
    <row r="1972" spans="18:21">
      <c r="R1972" t="e">
        <f t="shared" si="91"/>
        <v>#VALUE!</v>
      </c>
      <c r="S1972">
        <f t="shared" si="92"/>
        <v>0</v>
      </c>
      <c r="T1972">
        <f t="shared" si="93"/>
        <v>0</v>
      </c>
      <c r="U1972">
        <f>IF(SQRT(POWER(T1972-F1972,2))+SQRT(POWER(E1972-S1972,2))=0,0,SQRT(POWER(T1972-F1972,2))+SQRT(POWER(E1972-S1972,2))+DATOS!$H$20)</f>
        <v>0</v>
      </c>
    </row>
    <row r="1973" spans="18:21">
      <c r="R1973" t="e">
        <f t="shared" si="91"/>
        <v>#VALUE!</v>
      </c>
      <c r="S1973">
        <f t="shared" si="92"/>
        <v>0</v>
      </c>
      <c r="T1973">
        <f t="shared" si="93"/>
        <v>0</v>
      </c>
      <c r="U1973">
        <f>IF(SQRT(POWER(T1973-F1973,2))+SQRT(POWER(E1973-S1973,2))=0,0,SQRT(POWER(T1973-F1973,2))+SQRT(POWER(E1973-S1973,2))+DATOS!$H$20)</f>
        <v>0</v>
      </c>
    </row>
    <row r="1974" spans="18:21">
      <c r="R1974" t="e">
        <f t="shared" si="91"/>
        <v>#VALUE!</v>
      </c>
      <c r="S1974">
        <f t="shared" si="92"/>
        <v>0</v>
      </c>
      <c r="T1974">
        <f t="shared" si="93"/>
        <v>0</v>
      </c>
      <c r="U1974">
        <f>IF(SQRT(POWER(T1974-F1974,2))+SQRT(POWER(E1974-S1974,2))=0,0,SQRT(POWER(T1974-F1974,2))+SQRT(POWER(E1974-S1974,2))+DATOS!$H$20)</f>
        <v>0</v>
      </c>
    </row>
    <row r="1975" spans="18:21">
      <c r="R1975" t="e">
        <f t="shared" si="91"/>
        <v>#VALUE!</v>
      </c>
      <c r="S1975">
        <f t="shared" si="92"/>
        <v>0</v>
      </c>
      <c r="T1975">
        <f t="shared" si="93"/>
        <v>0</v>
      </c>
      <c r="U1975">
        <f>IF(SQRT(POWER(T1975-F1975,2))+SQRT(POWER(E1975-S1975,2))=0,0,SQRT(POWER(T1975-F1975,2))+SQRT(POWER(E1975-S1975,2))+DATOS!$H$20)</f>
        <v>0</v>
      </c>
    </row>
    <row r="1976" spans="18:21">
      <c r="R1976" t="e">
        <f t="shared" si="91"/>
        <v>#VALUE!</v>
      </c>
      <c r="S1976">
        <f t="shared" si="92"/>
        <v>0</v>
      </c>
      <c r="T1976">
        <f t="shared" si="93"/>
        <v>0</v>
      </c>
      <c r="U1976">
        <f>IF(SQRT(POWER(T1976-F1976,2))+SQRT(POWER(E1976-S1976,2))=0,0,SQRT(POWER(T1976-F1976,2))+SQRT(POWER(E1976-S1976,2))+DATOS!$H$20)</f>
        <v>0</v>
      </c>
    </row>
    <row r="1977" spans="18:21">
      <c r="R1977" t="e">
        <f t="shared" si="91"/>
        <v>#VALUE!</v>
      </c>
      <c r="S1977">
        <f t="shared" si="92"/>
        <v>0</v>
      </c>
      <c r="T1977">
        <f t="shared" si="93"/>
        <v>0</v>
      </c>
      <c r="U1977">
        <f>IF(SQRT(POWER(T1977-F1977,2))+SQRT(POWER(E1977-S1977,2))=0,0,SQRT(POWER(T1977-F1977,2))+SQRT(POWER(E1977-S1977,2))+DATOS!$H$20)</f>
        <v>0</v>
      </c>
    </row>
    <row r="1978" spans="18:21">
      <c r="R1978" t="e">
        <f t="shared" si="91"/>
        <v>#VALUE!</v>
      </c>
      <c r="S1978">
        <f t="shared" si="92"/>
        <v>0</v>
      </c>
      <c r="T1978">
        <f t="shared" si="93"/>
        <v>0</v>
      </c>
      <c r="U1978">
        <f>IF(SQRT(POWER(T1978-F1978,2))+SQRT(POWER(E1978-S1978,2))=0,0,SQRT(POWER(T1978-F1978,2))+SQRT(POWER(E1978-S1978,2))+DATOS!$H$20)</f>
        <v>0</v>
      </c>
    </row>
    <row r="1979" spans="18:21">
      <c r="R1979" t="e">
        <f t="shared" si="91"/>
        <v>#VALUE!</v>
      </c>
      <c r="S1979">
        <f t="shared" si="92"/>
        <v>0</v>
      </c>
      <c r="T1979">
        <f t="shared" si="93"/>
        <v>0</v>
      </c>
      <c r="U1979">
        <f>IF(SQRT(POWER(T1979-F1979,2))+SQRT(POWER(E1979-S1979,2))=0,0,SQRT(POWER(T1979-F1979,2))+SQRT(POWER(E1979-S1979,2))+DATOS!$H$20)</f>
        <v>0</v>
      </c>
    </row>
    <row r="1980" spans="18:21">
      <c r="R1980" t="e">
        <f t="shared" si="91"/>
        <v>#VALUE!</v>
      </c>
      <c r="S1980">
        <f t="shared" si="92"/>
        <v>0</v>
      </c>
      <c r="T1980">
        <f t="shared" si="93"/>
        <v>0</v>
      </c>
      <c r="U1980">
        <f>IF(SQRT(POWER(T1980-F1980,2))+SQRT(POWER(E1980-S1980,2))=0,0,SQRT(POWER(T1980-F1980,2))+SQRT(POWER(E1980-S1980,2))+DATOS!$H$20)</f>
        <v>0</v>
      </c>
    </row>
    <row r="1981" spans="18:21">
      <c r="R1981" t="e">
        <f t="shared" ref="R1981:R2001" si="94">"TAB-"&amp;LEFT(A1981,FIND("-",A1981) -1)</f>
        <v>#VALUE!</v>
      </c>
      <c r="S1981">
        <f t="shared" ref="S1981:S2001" si="95">IFERROR(VLOOKUP(R1981,$A$2:$F$700,5,0),E1981)</f>
        <v>0</v>
      </c>
      <c r="T1981">
        <f t="shared" ref="T1981:T2001" si="96">IFERROR(VLOOKUP(R1981,$A$2:$F$700,6,0),F1981)</f>
        <v>0</v>
      </c>
      <c r="U1981">
        <f>IF(SQRT(POWER(T1981-F1981,2))+SQRT(POWER(E1981-S1981,2))=0,0,SQRT(POWER(T1981-F1981,2))+SQRT(POWER(E1981-S1981,2))+DATOS!$H$20)</f>
        <v>0</v>
      </c>
    </row>
    <row r="1982" spans="18:21">
      <c r="R1982" t="e">
        <f t="shared" si="94"/>
        <v>#VALUE!</v>
      </c>
      <c r="S1982">
        <f t="shared" si="95"/>
        <v>0</v>
      </c>
      <c r="T1982">
        <f t="shared" si="96"/>
        <v>0</v>
      </c>
      <c r="U1982">
        <f>IF(SQRT(POWER(T1982-F1982,2))+SQRT(POWER(E1982-S1982,2))=0,0,SQRT(POWER(T1982-F1982,2))+SQRT(POWER(E1982-S1982,2))+DATOS!$H$20)</f>
        <v>0</v>
      </c>
    </row>
    <row r="1983" spans="18:21">
      <c r="R1983" t="e">
        <f t="shared" si="94"/>
        <v>#VALUE!</v>
      </c>
      <c r="S1983">
        <f t="shared" si="95"/>
        <v>0</v>
      </c>
      <c r="T1983">
        <f t="shared" si="96"/>
        <v>0</v>
      </c>
      <c r="U1983">
        <f>IF(SQRT(POWER(T1983-F1983,2))+SQRT(POWER(E1983-S1983,2))=0,0,SQRT(POWER(T1983-F1983,2))+SQRT(POWER(E1983-S1983,2))+DATOS!$H$20)</f>
        <v>0</v>
      </c>
    </row>
    <row r="1984" spans="18:21">
      <c r="R1984" t="e">
        <f t="shared" si="94"/>
        <v>#VALUE!</v>
      </c>
      <c r="S1984">
        <f t="shared" si="95"/>
        <v>0</v>
      </c>
      <c r="T1984">
        <f t="shared" si="96"/>
        <v>0</v>
      </c>
      <c r="U1984">
        <f>IF(SQRT(POWER(T1984-F1984,2))+SQRT(POWER(E1984-S1984,2))=0,0,SQRT(POWER(T1984-F1984,2))+SQRT(POWER(E1984-S1984,2))+DATOS!$H$20)</f>
        <v>0</v>
      </c>
    </row>
    <row r="1985" spans="18:21">
      <c r="R1985" t="e">
        <f t="shared" si="94"/>
        <v>#VALUE!</v>
      </c>
      <c r="S1985">
        <f t="shared" si="95"/>
        <v>0</v>
      </c>
      <c r="T1985">
        <f t="shared" si="96"/>
        <v>0</v>
      </c>
      <c r="U1985">
        <f>IF(SQRT(POWER(T1985-F1985,2))+SQRT(POWER(E1985-S1985,2))=0,0,SQRT(POWER(T1985-F1985,2))+SQRT(POWER(E1985-S1985,2))+DATOS!$H$20)</f>
        <v>0</v>
      </c>
    </row>
    <row r="1986" spans="18:21">
      <c r="R1986" t="e">
        <f t="shared" si="94"/>
        <v>#VALUE!</v>
      </c>
      <c r="S1986">
        <f t="shared" si="95"/>
        <v>0</v>
      </c>
      <c r="T1986">
        <f t="shared" si="96"/>
        <v>0</v>
      </c>
      <c r="U1986">
        <f>IF(SQRT(POWER(T1986-F1986,2))+SQRT(POWER(E1986-S1986,2))=0,0,SQRT(POWER(T1986-F1986,2))+SQRT(POWER(E1986-S1986,2))+DATOS!$H$20)</f>
        <v>0</v>
      </c>
    </row>
    <row r="1987" spans="18:21">
      <c r="R1987" t="e">
        <f t="shared" si="94"/>
        <v>#VALUE!</v>
      </c>
      <c r="S1987">
        <f t="shared" si="95"/>
        <v>0</v>
      </c>
      <c r="T1987">
        <f t="shared" si="96"/>
        <v>0</v>
      </c>
      <c r="U1987">
        <f>IF(SQRT(POWER(T1987-F1987,2))+SQRT(POWER(E1987-S1987,2))=0,0,SQRT(POWER(T1987-F1987,2))+SQRT(POWER(E1987-S1987,2))+DATOS!$H$20)</f>
        <v>0</v>
      </c>
    </row>
    <row r="1988" spans="18:21">
      <c r="R1988" t="e">
        <f t="shared" si="94"/>
        <v>#VALUE!</v>
      </c>
      <c r="S1988">
        <f t="shared" si="95"/>
        <v>0</v>
      </c>
      <c r="T1988">
        <f t="shared" si="96"/>
        <v>0</v>
      </c>
      <c r="U1988">
        <f>IF(SQRT(POWER(T1988-F1988,2))+SQRT(POWER(E1988-S1988,2))=0,0,SQRT(POWER(T1988-F1988,2))+SQRT(POWER(E1988-S1988,2))+DATOS!$H$20)</f>
        <v>0</v>
      </c>
    </row>
    <row r="1989" spans="18:21">
      <c r="R1989" t="e">
        <f t="shared" si="94"/>
        <v>#VALUE!</v>
      </c>
      <c r="S1989">
        <f t="shared" si="95"/>
        <v>0</v>
      </c>
      <c r="T1989">
        <f t="shared" si="96"/>
        <v>0</v>
      </c>
      <c r="U1989">
        <f>IF(SQRT(POWER(T1989-F1989,2))+SQRT(POWER(E1989-S1989,2))=0,0,SQRT(POWER(T1989-F1989,2))+SQRT(POWER(E1989-S1989,2))+DATOS!$H$20)</f>
        <v>0</v>
      </c>
    </row>
    <row r="1990" spans="18:21">
      <c r="R1990" t="e">
        <f t="shared" si="94"/>
        <v>#VALUE!</v>
      </c>
      <c r="S1990">
        <f t="shared" si="95"/>
        <v>0</v>
      </c>
      <c r="T1990">
        <f t="shared" si="96"/>
        <v>0</v>
      </c>
      <c r="U1990">
        <f>IF(SQRT(POWER(T1990-F1990,2))+SQRT(POWER(E1990-S1990,2))=0,0,SQRT(POWER(T1990-F1990,2))+SQRT(POWER(E1990-S1990,2))+DATOS!$H$20)</f>
        <v>0</v>
      </c>
    </row>
    <row r="1991" spans="18:21">
      <c r="R1991" t="e">
        <f t="shared" si="94"/>
        <v>#VALUE!</v>
      </c>
      <c r="S1991">
        <f t="shared" si="95"/>
        <v>0</v>
      </c>
      <c r="T1991">
        <f t="shared" si="96"/>
        <v>0</v>
      </c>
      <c r="U1991">
        <f>IF(SQRT(POWER(T1991-F1991,2))+SQRT(POWER(E1991-S1991,2))=0,0,SQRT(POWER(T1991-F1991,2))+SQRT(POWER(E1991-S1991,2))+DATOS!$H$20)</f>
        <v>0</v>
      </c>
    </row>
    <row r="1992" spans="18:21">
      <c r="R1992" t="e">
        <f t="shared" si="94"/>
        <v>#VALUE!</v>
      </c>
      <c r="S1992">
        <f t="shared" si="95"/>
        <v>0</v>
      </c>
      <c r="T1992">
        <f t="shared" si="96"/>
        <v>0</v>
      </c>
      <c r="U1992">
        <f>IF(SQRT(POWER(T1992-F1992,2))+SQRT(POWER(E1992-S1992,2))=0,0,SQRT(POWER(T1992-F1992,2))+SQRT(POWER(E1992-S1992,2))+DATOS!$H$20)</f>
        <v>0</v>
      </c>
    </row>
    <row r="1993" spans="18:21">
      <c r="R1993" t="e">
        <f t="shared" si="94"/>
        <v>#VALUE!</v>
      </c>
      <c r="S1993">
        <f t="shared" si="95"/>
        <v>0</v>
      </c>
      <c r="T1993">
        <f t="shared" si="96"/>
        <v>0</v>
      </c>
      <c r="U1993">
        <f>IF(SQRT(POWER(T1993-F1993,2))+SQRT(POWER(E1993-S1993,2))=0,0,SQRT(POWER(T1993-F1993,2))+SQRT(POWER(E1993-S1993,2))+DATOS!$H$20)</f>
        <v>0</v>
      </c>
    </row>
    <row r="1994" spans="18:21">
      <c r="R1994" t="e">
        <f t="shared" si="94"/>
        <v>#VALUE!</v>
      </c>
      <c r="S1994">
        <f t="shared" si="95"/>
        <v>0</v>
      </c>
      <c r="T1994">
        <f t="shared" si="96"/>
        <v>0</v>
      </c>
      <c r="U1994">
        <f>IF(SQRT(POWER(T1994-F1994,2))+SQRT(POWER(E1994-S1994,2))=0,0,SQRT(POWER(T1994-F1994,2))+SQRT(POWER(E1994-S1994,2))+DATOS!$H$20)</f>
        <v>0</v>
      </c>
    </row>
    <row r="1995" spans="18:21">
      <c r="R1995" t="e">
        <f t="shared" si="94"/>
        <v>#VALUE!</v>
      </c>
      <c r="S1995">
        <f t="shared" si="95"/>
        <v>0</v>
      </c>
      <c r="T1995">
        <f t="shared" si="96"/>
        <v>0</v>
      </c>
      <c r="U1995">
        <f>IF(SQRT(POWER(T1995-F1995,2))+SQRT(POWER(E1995-S1995,2))=0,0,SQRT(POWER(T1995-F1995,2))+SQRT(POWER(E1995-S1995,2))+DATOS!$H$20)</f>
        <v>0</v>
      </c>
    </row>
    <row r="1996" spans="18:21">
      <c r="R1996" t="e">
        <f t="shared" si="94"/>
        <v>#VALUE!</v>
      </c>
      <c r="S1996">
        <f t="shared" si="95"/>
        <v>0</v>
      </c>
      <c r="T1996">
        <f t="shared" si="96"/>
        <v>0</v>
      </c>
      <c r="U1996">
        <f>IF(SQRT(POWER(T1996-F1996,2))+SQRT(POWER(E1996-S1996,2))=0,0,SQRT(POWER(T1996-F1996,2))+SQRT(POWER(E1996-S1996,2))+DATOS!$H$20)</f>
        <v>0</v>
      </c>
    </row>
    <row r="1997" spans="18:21">
      <c r="R1997" t="e">
        <f t="shared" si="94"/>
        <v>#VALUE!</v>
      </c>
      <c r="S1997">
        <f t="shared" si="95"/>
        <v>0</v>
      </c>
      <c r="T1997">
        <f t="shared" si="96"/>
        <v>0</v>
      </c>
      <c r="U1997">
        <f>IF(SQRT(POWER(T1997-F1997,2))+SQRT(POWER(E1997-S1997,2))=0,0,SQRT(POWER(T1997-F1997,2))+SQRT(POWER(E1997-S1997,2))+DATOS!$H$20)</f>
        <v>0</v>
      </c>
    </row>
    <row r="1998" spans="18:21">
      <c r="R1998" t="e">
        <f t="shared" si="94"/>
        <v>#VALUE!</v>
      </c>
      <c r="S1998">
        <f t="shared" si="95"/>
        <v>0</v>
      </c>
      <c r="T1998">
        <f t="shared" si="96"/>
        <v>0</v>
      </c>
      <c r="U1998">
        <f>IF(SQRT(POWER(T1998-F1998,2))+SQRT(POWER(E1998-S1998,2))=0,0,SQRT(POWER(T1998-F1998,2))+SQRT(POWER(E1998-S1998,2))+DATOS!$H$20)</f>
        <v>0</v>
      </c>
    </row>
    <row r="1999" spans="18:21">
      <c r="R1999" t="e">
        <f t="shared" si="94"/>
        <v>#VALUE!</v>
      </c>
      <c r="S1999">
        <f t="shared" si="95"/>
        <v>0</v>
      </c>
      <c r="T1999">
        <f t="shared" si="96"/>
        <v>0</v>
      </c>
      <c r="U1999">
        <f>IF(SQRT(POWER(T1999-F1999,2))+SQRT(POWER(E1999-S1999,2))=0,0,SQRT(POWER(T1999-F1999,2))+SQRT(POWER(E1999-S1999,2))+DATOS!$H$20)</f>
        <v>0</v>
      </c>
    </row>
    <row r="2000" spans="18:21">
      <c r="R2000" t="e">
        <f t="shared" si="94"/>
        <v>#VALUE!</v>
      </c>
      <c r="S2000">
        <f t="shared" si="95"/>
        <v>0</v>
      </c>
      <c r="T2000">
        <f t="shared" si="96"/>
        <v>0</v>
      </c>
      <c r="U2000">
        <f>IF(SQRT(POWER(T2000-F2000,2))+SQRT(POWER(E2000-S2000,2))=0,0,SQRT(POWER(T2000-F2000,2))+SQRT(POWER(E2000-S2000,2))+DATOS!$H$20)</f>
        <v>0</v>
      </c>
    </row>
    <row r="2001" spans="18:21">
      <c r="R2001" t="e">
        <f t="shared" si="94"/>
        <v>#VALUE!</v>
      </c>
      <c r="S2001">
        <f t="shared" si="95"/>
        <v>0</v>
      </c>
      <c r="T2001">
        <f t="shared" si="96"/>
        <v>0</v>
      </c>
      <c r="U2001">
        <f>IF(SQRT(POWER(T2001-F2001,2))+SQRT(POWER(E2001-S2001,2))=0,0,SQRT(POWER(T2001-F2001,2))+SQRT(POWER(E2001-S2001,2))+DATOS!$H$20)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B3:AN188"/>
  <sheetViews>
    <sheetView topLeftCell="A58" workbookViewId="0">
      <selection activeCell="B18" sqref="B18"/>
    </sheetView>
  </sheetViews>
  <sheetFormatPr baseColWidth="10" defaultColWidth="11.44140625" defaultRowHeight="13.2"/>
  <cols>
    <col min="2" max="2" width="20" bestFit="1" customWidth="1"/>
    <col min="3" max="4" width="20" customWidth="1"/>
    <col min="5" max="30" width="20.5546875" bestFit="1" customWidth="1"/>
    <col min="31" max="31" width="11.33203125" bestFit="1" customWidth="1"/>
  </cols>
  <sheetData>
    <row r="3" spans="2:39">
      <c r="B3" t="s">
        <v>351</v>
      </c>
      <c r="D3" t="s">
        <v>352</v>
      </c>
      <c r="E3" t="s">
        <v>14</v>
      </c>
    </row>
    <row r="4" spans="2:39">
      <c r="B4" t="s">
        <v>4</v>
      </c>
      <c r="E4" t="s">
        <v>39</v>
      </c>
      <c r="F4" t="s">
        <v>120</v>
      </c>
      <c r="G4" t="s">
        <v>179</v>
      </c>
      <c r="H4" t="s">
        <v>268</v>
      </c>
      <c r="I4" t="s">
        <v>172</v>
      </c>
      <c r="J4" t="s">
        <v>85</v>
      </c>
      <c r="K4" t="s">
        <v>68</v>
      </c>
      <c r="L4" t="s">
        <v>95</v>
      </c>
      <c r="M4" t="s">
        <v>63</v>
      </c>
      <c r="N4" t="s">
        <v>112</v>
      </c>
      <c r="O4" t="s">
        <v>109</v>
      </c>
      <c r="P4" t="s">
        <v>213</v>
      </c>
      <c r="Q4" t="s">
        <v>60</v>
      </c>
      <c r="R4" t="s">
        <v>89</v>
      </c>
      <c r="S4" t="s">
        <v>127</v>
      </c>
      <c r="T4" t="s">
        <v>124</v>
      </c>
      <c r="U4" t="s">
        <v>237</v>
      </c>
      <c r="V4" t="s">
        <v>210</v>
      </c>
      <c r="W4" t="s">
        <v>286</v>
      </c>
      <c r="X4" t="s">
        <v>200</v>
      </c>
      <c r="Y4" t="s">
        <v>290</v>
      </c>
      <c r="Z4" t="s">
        <v>74</v>
      </c>
      <c r="AA4" t="s">
        <v>66</v>
      </c>
      <c r="AB4" t="s">
        <v>31</v>
      </c>
      <c r="AC4" t="s">
        <v>34</v>
      </c>
      <c r="AD4" t="s">
        <v>45</v>
      </c>
      <c r="AE4" t="s">
        <v>353</v>
      </c>
    </row>
    <row r="5" spans="2:39">
      <c r="E5" s="189">
        <f>IF(E$4="","",IF(VLOOKUP(E$4,'Base de Datos'!$B$2:$M$2000,7,0)=0,0,VLOOKUP(E$4,'Base de Datos'!$B$2:$M$2000,7,0)))</f>
        <v>762</v>
      </c>
      <c r="F5" s="189">
        <f>IF(F$4="","",IF(VLOOKUP(F$4,'Base de Datos'!$B$2:$M$2000,7,0)=0,0,VLOOKUP(F$4,'Base de Datos'!$B$2:$M$2000,7,0)))</f>
        <v>0</v>
      </c>
      <c r="G5" s="189">
        <f>IF(G$4="","",IF(VLOOKUP(G$4,'Base de Datos'!$B$2:$M$2000,7,0)=0,0,VLOOKUP(G$4,'Base de Datos'!$B$2:$M$2000,7,0)))</f>
        <v>1056</v>
      </c>
      <c r="H5" s="189">
        <f>IF(H$4="","",IF(VLOOKUP(H$4,'Base de Datos'!$B$2:$M$2000,7,0)=0,0,VLOOKUP(H$4,'Base de Datos'!$B$2:$M$2000,7,0)))</f>
        <v>0</v>
      </c>
      <c r="I5" s="189">
        <f>IF(I$4="","",IF(VLOOKUP(I$4,'Base de Datos'!$B$2:$M$2000,7,0)=0,0,VLOOKUP(I$4,'Base de Datos'!$B$2:$M$2000,7,0)))</f>
        <v>180</v>
      </c>
      <c r="J5" s="189">
        <f>IF(J$4="","",IF(VLOOKUP(J$4,'Base de Datos'!$B$2:$M$2000,7,0)=0,0,VLOOKUP(J$4,'Base de Datos'!$B$2:$M$2000,7,0)))</f>
        <v>0</v>
      </c>
      <c r="K5" s="189">
        <f>IF(K$4="","",IF(VLOOKUP(K$4,'Base de Datos'!$B$2:$M$2000,7,0)=0,0,VLOOKUP(K$4,'Base de Datos'!$B$2:$M$2000,7,0)))</f>
        <v>0</v>
      </c>
      <c r="L5" s="189">
        <f>IF(L$4="","",IF(VLOOKUP(L$4,'Base de Datos'!$B$2:$M$2000,7,0)=0,0,VLOOKUP(L$4,'Base de Datos'!$B$2:$M$2000,7,0)))</f>
        <v>0</v>
      </c>
      <c r="M5" s="189">
        <f>IF(M$4="","",IF(VLOOKUP(M$4,'Base de Datos'!$B$2:$M$2000,7,0)=0,0,VLOOKUP(M$4,'Base de Datos'!$B$2:$M$2000,7,0)))</f>
        <v>0</v>
      </c>
      <c r="N5" s="189">
        <f>IF(N$4="","",IF(VLOOKUP(N$4,'Base de Datos'!$B$2:$M$2000,7,0)=0,0,VLOOKUP(N$4,'Base de Datos'!$B$2:$M$2000,7,0)))</f>
        <v>0</v>
      </c>
      <c r="O5" s="189">
        <f>IF(O$4="","",IF(VLOOKUP(O$4,'Base de Datos'!$B$2:$M$2000,7,0)=0,0,VLOOKUP(O$4,'Base de Datos'!$B$2:$M$2000,7,0)))</f>
        <v>0</v>
      </c>
      <c r="P5" s="189">
        <f>IF(P$4="","",IF(VLOOKUP(P$4,'Base de Datos'!$B$2:$M$2000,7,0)=0,0,VLOOKUP(P$4,'Base de Datos'!$B$2:$M$2000,7,0)))</f>
        <v>0</v>
      </c>
      <c r="Q5" s="189">
        <f>IF(Q$4="","",IF(VLOOKUP(Q$4,'Base de Datos'!$B$2:$M$2000,7,0)=0,0,VLOOKUP(Q$4,'Base de Datos'!$B$2:$M$2000,7,0)))</f>
        <v>180</v>
      </c>
      <c r="R5" s="189">
        <f>IF(R$4="","",IF(VLOOKUP(R$4,'Base de Datos'!$B$2:$M$2000,7,0)=0,0,VLOOKUP(R$4,'Base de Datos'!$B$2:$M$2000,7,0)))</f>
        <v>0</v>
      </c>
      <c r="S5" s="189">
        <f>IF(S$4="","",IF(VLOOKUP(S$4,'Base de Datos'!$B$2:$M$2000,7,0)=0,0,VLOOKUP(S$4,'Base de Datos'!$B$2:$M$2000,7,0)))</f>
        <v>180</v>
      </c>
      <c r="T5" s="189">
        <f>IF(T$4="","",IF(VLOOKUP(T$4,'Base de Datos'!$B$2:$M$2000,7,0)=0,0,VLOOKUP(T$4,'Base de Datos'!$B$2:$M$2000,7,0)))</f>
        <v>0</v>
      </c>
      <c r="U5" s="189">
        <f>IF(U$4="","",IF(VLOOKUP(U$4,'Base de Datos'!$B$2:$M$2000,7,0)=0,0,VLOOKUP(U$4,'Base de Datos'!$B$2:$M$2000,7,0)))</f>
        <v>0</v>
      </c>
      <c r="V5" s="189">
        <f>IF(V$4="","",IF(VLOOKUP(V$4,'Base de Datos'!$B$2:$M$2000,7,0)=0,0,VLOOKUP(V$4,'Base de Datos'!$B$2:$M$2000,7,0)))</f>
        <v>0</v>
      </c>
      <c r="W5" s="189">
        <f>IF(W$4="","",IF(VLOOKUP(W$4,'Base de Datos'!$B$2:$M$2000,7,0)=0,0,VLOOKUP(W$4,'Base de Datos'!$B$2:$M$2000,7,0)))</f>
        <v>0</v>
      </c>
      <c r="X5" s="189">
        <f>IF(X$4="","",IF(VLOOKUP(X$4,'Base de Datos'!$B$2:$M$2000,7,0)=0,0,VLOOKUP(X$4,'Base de Datos'!$B$2:$M$2000,7,0)))</f>
        <v>0</v>
      </c>
      <c r="Y5" s="189">
        <f>IF(Y$4="","",IF(VLOOKUP(Y$4,'Base de Datos'!$B$2:$M$2000,7,0)=0,0,VLOOKUP(Y$4,'Base de Datos'!$B$2:$M$2000,7,0)))</f>
        <v>0</v>
      </c>
      <c r="Z5" s="189">
        <f>IF(Z$4="","",IF(VLOOKUP(Z$4,'Base de Datos'!$B$2:$M$2000,7,0)=0,0,VLOOKUP(Z$4,'Base de Datos'!$B$2:$M$2000,7,0)))</f>
        <v>0</v>
      </c>
      <c r="AA5" s="189">
        <f>IF(AA$4="","",IF(VLOOKUP(AA$4,'Base de Datos'!$B$2:$M$2000,7,0)=0,0,VLOOKUP(AA$4,'Base de Datos'!$B$2:$M$2000,7,0)))</f>
        <v>0</v>
      </c>
      <c r="AB5" s="189">
        <f>IF(AB$4="","",IF(VLOOKUP(AB$4,'Base de Datos'!$B$2:$M$2000,7,0)=0,0,VLOOKUP(AB$4,'Base de Datos'!$B$2:$M$2000,7,0)))</f>
        <v>0</v>
      </c>
      <c r="AC5" s="189">
        <f>IF(AC$4="","",IF(VLOOKUP(AC$4,'Base de Datos'!$B$2:$M$2000,7,0)=0,0,VLOOKUP(AC$4,'Base de Datos'!$B$2:$M$2000,7,0)))</f>
        <v>0</v>
      </c>
      <c r="AD5" s="189">
        <f>IF(AD$4="","",IF(VLOOKUP(AD$4,'Base de Datos'!$B$2:$M$2000,7,0)=0,0,VLOOKUP(AD$4,'Base de Datos'!$B$2:$M$2000,7,0)))</f>
        <v>0</v>
      </c>
    </row>
    <row r="6" spans="2:39">
      <c r="E6" s="189">
        <f>IF(E$4="","",IF(VLOOKUP(E$4,'Base de Datos'!$B$2:$M$2000,8,0)="",0,VLOOKUP(E$4,'Base de Datos'!$B$2:$M$2000,8,0)))</f>
        <v>762</v>
      </c>
      <c r="F6" s="189">
        <f>IF(F$4="","",IF(VLOOKUP(F$4,'Base de Datos'!$B$2:$M$2000,8,0)="",0,VLOOKUP(F$4,'Base de Datos'!$B$2:$M$2000,8,0)))</f>
        <v>180</v>
      </c>
      <c r="G6" s="189">
        <f>IF(G$4="","",IF(VLOOKUP(G$4,'Base de Datos'!$B$2:$M$2000,8,0)="",0,VLOOKUP(G$4,'Base de Datos'!$B$2:$M$2000,8,0)))</f>
        <v>1056</v>
      </c>
      <c r="H6" s="189">
        <f>IF(H$4="","",IF(VLOOKUP(H$4,'Base de Datos'!$B$2:$M$2000,8,0)="",0,VLOOKUP(H$4,'Base de Datos'!$B$2:$M$2000,8,0)))</f>
        <v>180</v>
      </c>
      <c r="I6" s="189">
        <f>IF(I$4="","",IF(VLOOKUP(I$4,'Base de Datos'!$B$2:$M$2000,8,0)="",0,VLOOKUP(I$4,'Base de Datos'!$B$2:$M$2000,8,0)))</f>
        <v>0</v>
      </c>
      <c r="J6" s="189">
        <f>IF(J$4="","",IF(VLOOKUP(J$4,'Base de Datos'!$B$2:$M$2000,8,0)="",0,VLOOKUP(J$4,'Base de Datos'!$B$2:$M$2000,8,0)))</f>
        <v>1461</v>
      </c>
      <c r="K6" s="189">
        <f>IF(K$4="","",IF(VLOOKUP(K$4,'Base de Datos'!$B$2:$M$2000,8,0)="",0,VLOOKUP(K$4,'Base de Datos'!$B$2:$M$2000,8,0)))</f>
        <v>0</v>
      </c>
      <c r="L6" s="189">
        <f>IF(L$4="","",IF(VLOOKUP(L$4,'Base de Datos'!$B$2:$M$2000,8,0)="",0,VLOOKUP(L$4,'Base de Datos'!$B$2:$M$2000,8,0)))</f>
        <v>1540</v>
      </c>
      <c r="M6" s="189">
        <f>IF(M$4="","",IF(VLOOKUP(M$4,'Base de Datos'!$B$2:$M$2000,8,0)="",0,VLOOKUP(M$4,'Base de Datos'!$B$2:$M$2000,8,0)))</f>
        <v>826</v>
      </c>
      <c r="N6" s="189">
        <f>IF(N$4="","",IF(VLOOKUP(N$4,'Base de Datos'!$B$2:$M$2000,8,0)="",0,VLOOKUP(N$4,'Base de Datos'!$B$2:$M$2000,8,0)))</f>
        <v>967</v>
      </c>
      <c r="O6" s="189">
        <f>IF(O$4="","",IF(VLOOKUP(O$4,'Base de Datos'!$B$2:$M$2000,8,0)="",0,VLOOKUP(O$4,'Base de Datos'!$B$2:$M$2000,8,0)))</f>
        <v>384</v>
      </c>
      <c r="P6" s="189">
        <f>IF(P$4="","",IF(VLOOKUP(P$4,'Base de Datos'!$B$2:$M$2000,8,0)="",0,VLOOKUP(P$4,'Base de Datos'!$B$2:$M$2000,8,0)))</f>
        <v>3000</v>
      </c>
      <c r="Q6" s="189">
        <f>IF(Q$4="","",IF(VLOOKUP(Q$4,'Base de Datos'!$B$2:$M$2000,8,0)="",0,VLOOKUP(Q$4,'Base de Datos'!$B$2:$M$2000,8,0)))</f>
        <v>0</v>
      </c>
      <c r="R6" s="189">
        <f>IF(R$4="","",IF(VLOOKUP(R$4,'Base de Datos'!$B$2:$M$2000,8,0)="",0,VLOOKUP(R$4,'Base de Datos'!$B$2:$M$2000,8,0)))</f>
        <v>180</v>
      </c>
      <c r="S6" s="189">
        <f>IF(S$4="","",IF(VLOOKUP(S$4,'Base de Datos'!$B$2:$M$2000,8,0)="",0,VLOOKUP(S$4,'Base de Datos'!$B$2:$M$2000,8,0)))</f>
        <v>0</v>
      </c>
      <c r="T6" s="189">
        <f>IF(T$4="","",IF(VLOOKUP(T$4,'Base de Datos'!$B$2:$M$2000,8,0)="",0,VLOOKUP(T$4,'Base de Datos'!$B$2:$M$2000,8,0)))</f>
        <v>180</v>
      </c>
      <c r="U6" s="189">
        <f>IF(U$4="","",IF(VLOOKUP(U$4,'Base de Datos'!$B$2:$M$2000,8,0)="",0,VLOOKUP(U$4,'Base de Datos'!$B$2:$M$2000,8,0)))</f>
        <v>180</v>
      </c>
      <c r="V6" s="189">
        <f>IF(V$4="","",IF(VLOOKUP(V$4,'Base de Datos'!$B$2:$M$2000,8,0)="",0,VLOOKUP(V$4,'Base de Datos'!$B$2:$M$2000,8,0)))</f>
        <v>149</v>
      </c>
      <c r="W6" s="189">
        <f>IF(W$4="","",IF(VLOOKUP(W$4,'Base de Datos'!$B$2:$M$2000,8,0)="",0,VLOOKUP(W$4,'Base de Datos'!$B$2:$M$2000,8,0)))</f>
        <v>635</v>
      </c>
      <c r="X6" s="189">
        <f>IF(X$4="","",IF(VLOOKUP(X$4,'Base de Datos'!$B$2:$M$2000,8,0)="",0,VLOOKUP(X$4,'Base de Datos'!$B$2:$M$2000,8,0)))</f>
        <v>2000</v>
      </c>
      <c r="Y6" s="189">
        <f>IF(Y$4="","",IF(VLOOKUP(Y$4,'Base de Datos'!$B$2:$M$2000,8,0)="",0,VLOOKUP(Y$4,'Base de Datos'!$B$2:$M$2000,8,0)))</f>
        <v>400</v>
      </c>
      <c r="Z6" s="189">
        <f>IF(Z$4="","",IF(VLOOKUP(Z$4,'Base de Datos'!$B$2:$M$2000,8,0)="",0,VLOOKUP(Z$4,'Base de Datos'!$B$2:$M$2000,8,0)))</f>
        <v>500</v>
      </c>
      <c r="AA6" s="189">
        <f>IF(AA$4="","",IF(VLOOKUP(AA$4,'Base de Datos'!$B$2:$M$2000,8,0)="",0,VLOOKUP(AA$4,'Base de Datos'!$B$2:$M$2000,8,0)))</f>
        <v>6222</v>
      </c>
      <c r="AB6" s="189">
        <f>IF(AB$4="","",IF(VLOOKUP(AB$4,'Base de Datos'!$B$2:$M$2000,8,0)="",0,VLOOKUP(AB$4,'Base de Datos'!$B$2:$M$2000,8,0)))</f>
        <v>0</v>
      </c>
      <c r="AC6" s="189">
        <f>IF(AC$4="","",IF(VLOOKUP(AC$4,'Base de Datos'!$B$2:$M$2000,8,0)="",0,VLOOKUP(AC$4,'Base de Datos'!$B$2:$M$2000,8,0)))</f>
        <v>0</v>
      </c>
      <c r="AD6" s="189">
        <f>IF(AD$4="","",IF(VLOOKUP(AD$4,'Base de Datos'!$B$2:$M$2000,8,0)="",0,VLOOKUP(AD$4,'Base de Datos'!$B$2:$M$2000,8,0)))</f>
        <v>0</v>
      </c>
    </row>
    <row r="7" spans="2:39">
      <c r="E7" s="189" t="str">
        <f>IF(E$4="","",IF(E8="","",VLOOKUP(E$4,'Base de Datos'!$B$2:$M$2000,12,0)))</f>
        <v/>
      </c>
      <c r="F7" s="189" t="str">
        <f>IF(F$4="","",IF(F8="","",VLOOKUP(F$4,'Base de Datos'!$B$2:$M$2000,12,0)))</f>
        <v/>
      </c>
      <c r="G7" s="189" t="str">
        <f>IF(G$4="","",IF(G8="","",VLOOKUP(G$4,'Base de Datos'!$B$2:$M$2000,12,0)))</f>
        <v/>
      </c>
      <c r="H7" s="189" t="str">
        <f>IF(H$4="","",IF(H8="","",VLOOKUP(H$4,'Base de Datos'!$B$2:$M$2000,12,0)))</f>
        <v/>
      </c>
      <c r="I7" s="189" t="str">
        <f>IF(I$4="","",IF(I8="","",VLOOKUP(I$4,'Base de Datos'!$B$2:$M$2000,12,0)))</f>
        <v/>
      </c>
      <c r="J7" s="189" t="str">
        <f>IF(J$4="","",IF(J8="","",VLOOKUP(J$4,'Base de Datos'!$B$2:$M$2000,12,0)))</f>
        <v/>
      </c>
      <c r="K7" s="189" t="str">
        <f>IF(K$4="","",IF(K8="","",VLOOKUP(K$4,'Base de Datos'!$B$2:$M$2000,12,0)))</f>
        <v/>
      </c>
      <c r="L7" s="189" t="str">
        <f>IF(L$4="","",IF(L8="","",VLOOKUP(L$4,'Base de Datos'!$B$2:$M$2000,12,0)))</f>
        <v/>
      </c>
      <c r="M7" s="189" t="str">
        <f>IF(M$4="","",IF(M8="","",VLOOKUP(M$4,'Base de Datos'!$B$2:$M$2000,12,0)))</f>
        <v/>
      </c>
      <c r="N7" s="189" t="str">
        <f>IF(N$4="","",IF(N8="","",VLOOKUP(N$4,'Base de Datos'!$B$2:$M$2000,12,0)))</f>
        <v/>
      </c>
      <c r="O7" s="189" t="str">
        <f>IF(O$4="","",IF(O8="","",VLOOKUP(O$4,'Base de Datos'!$B$2:$M$2000,12,0)))</f>
        <v/>
      </c>
      <c r="P7" s="189" t="str">
        <f>IF(P$4="","",IF(P8="","",VLOOKUP(P$4,'Base de Datos'!$B$2:$M$2000,12,0)))</f>
        <v/>
      </c>
      <c r="Q7" s="189" t="str">
        <f>IF(Q$4="","",IF(Q8="","",VLOOKUP(Q$4,'Base de Datos'!$B$2:$M$2000,12,0)))</f>
        <v/>
      </c>
      <c r="R7" s="189" t="str">
        <f>IF(R$4="","",IF(R8="","",VLOOKUP(R$4,'Base de Datos'!$B$2:$M$2000,12,0)))</f>
        <v/>
      </c>
      <c r="S7" s="189" t="str">
        <f>IF(S$4="","",IF(S8="","",VLOOKUP(S$4,'Base de Datos'!$B$2:$M$2000,12,0)))</f>
        <v/>
      </c>
      <c r="T7" s="189" t="str">
        <f>IF(T$4="","",IF(T8="","",VLOOKUP(T$4,'Base de Datos'!$B$2:$M$2000,12,0)))</f>
        <v/>
      </c>
      <c r="U7" s="189" t="str">
        <f>IF(U$4="","",IF(U8="","",VLOOKUP(U$4,'Base de Datos'!$B$2:$M$2000,12,0)))</f>
        <v/>
      </c>
      <c r="V7" s="189" t="str">
        <f>IF(V$4="","",IF(V8="","",VLOOKUP(V$4,'Base de Datos'!$B$2:$M$2000,12,0)))</f>
        <v/>
      </c>
      <c r="W7" s="189" t="str">
        <f>IF(W$4="","",IF(W8="","",VLOOKUP(W$4,'Base de Datos'!$B$2:$M$2000,12,0)))</f>
        <v/>
      </c>
      <c r="X7" s="189" t="str">
        <f>IF(X$4="","",IF(X8="","",VLOOKUP(X$4,'Base de Datos'!$B$2:$M$2000,12,0)))</f>
        <v/>
      </c>
      <c r="Y7" s="189" t="str">
        <f>IF(Y$4="","",IF(Y8="","",VLOOKUP(Y$4,'Base de Datos'!$B$2:$M$2000,12,0)))</f>
        <v/>
      </c>
      <c r="Z7" s="189" t="str">
        <f>IF(Z$4="","",IF(Z8="","",VLOOKUP(Z$4,'Base de Datos'!$B$2:$M$2000,12,0)))</f>
        <v/>
      </c>
      <c r="AA7" s="189" t="str">
        <f>IF(AA$4="","",IF(AA8="","",VLOOKUP(AA$4,'Base de Datos'!$B$2:$M$2000,12,0)))</f>
        <v/>
      </c>
      <c r="AB7" s="189" t="str">
        <f>IF(AB$4="","",IF(AB8="","",VLOOKUP(AB$4,'Base de Datos'!$B$2:$M$2000,12,0)))</f>
        <v/>
      </c>
      <c r="AC7" s="189" t="str">
        <f>IF(AC$4="","",IF(AC8="","",VLOOKUP(AC$4,'Base de Datos'!$B$2:$M$2000,12,0)))</f>
        <v/>
      </c>
      <c r="AD7" s="189" t="str">
        <f>IF(AD$4="","",IF(AD8="","",VLOOKUP(AD$4,'Base de Datos'!$B$2:$M$2000,12,0)))</f>
        <v/>
      </c>
    </row>
    <row r="8" spans="2:39">
      <c r="E8" s="190" t="str">
        <f>IF(E$4="","",IF(VLOOKUP(E$4,'Base de Datos'!$B$2:$M$2000,9,0)=0,"",VLOOKUP(E$4,'Base de Datos'!$B$2:$M$2000,9,0)))</f>
        <v/>
      </c>
      <c r="F8" s="190" t="str">
        <f>IF(F$4="","",IF(VLOOKUP(F$4,'Base de Datos'!$B$2:$M$2000,9,0)=0,"",VLOOKUP(F$4,'Base de Datos'!$B$2:$M$2000,9,0)))</f>
        <v/>
      </c>
      <c r="G8" s="190" t="str">
        <f>IF(G$4="","",IF(VLOOKUP(G$4,'Base de Datos'!$B$2:$M$2000,9,0)=0,"",VLOOKUP(G$4,'Base de Datos'!$B$2:$M$2000,9,0)))</f>
        <v/>
      </c>
      <c r="H8" s="190" t="str">
        <f>IF(H$4="","",IF(VLOOKUP(H$4,'Base de Datos'!$B$2:$M$2000,9,0)=0,"",VLOOKUP(H$4,'Base de Datos'!$B$2:$M$2000,9,0)))</f>
        <v/>
      </c>
      <c r="I8" s="190" t="str">
        <f>IF(I$4="","",IF(VLOOKUP(I$4,'Base de Datos'!$B$2:$M$2000,9,0)=0,"",VLOOKUP(I$4,'Base de Datos'!$B$2:$M$2000,9,0)))</f>
        <v/>
      </c>
      <c r="J8" s="190" t="str">
        <f>IF(J$4="","",IF(VLOOKUP(J$4,'Base de Datos'!$B$2:$M$2000,9,0)=0,"",VLOOKUP(J$4,'Base de Datos'!$B$2:$M$2000,9,0)))</f>
        <v/>
      </c>
      <c r="K8" s="190" t="str">
        <f>IF(K$4="","",IF(VLOOKUP(K$4,'Base de Datos'!$B$2:$M$2000,9,0)=0,"",VLOOKUP(K$4,'Base de Datos'!$B$2:$M$2000,9,0)))</f>
        <v/>
      </c>
      <c r="L8" s="190" t="str">
        <f>IF(L$4="","",IF(VLOOKUP(L$4,'Base de Datos'!$B$2:$M$2000,9,0)=0,"",VLOOKUP(L$4,'Base de Datos'!$B$2:$M$2000,9,0)))</f>
        <v/>
      </c>
      <c r="M8" s="190" t="str">
        <f>IF(M$4="","",IF(VLOOKUP(M$4,'Base de Datos'!$B$2:$M$2000,9,0)=0,"",VLOOKUP(M$4,'Base de Datos'!$B$2:$M$2000,9,0)))</f>
        <v/>
      </c>
      <c r="N8" s="190" t="str">
        <f>IF(N$4="","",IF(VLOOKUP(N$4,'Base de Datos'!$B$2:$M$2000,9,0)=0,"",VLOOKUP(N$4,'Base de Datos'!$B$2:$M$2000,9,0)))</f>
        <v/>
      </c>
      <c r="O8" s="190" t="str">
        <f>IF(O$4="","",IF(VLOOKUP(O$4,'Base de Datos'!$B$2:$M$2000,9,0)=0,"",VLOOKUP(O$4,'Base de Datos'!$B$2:$M$2000,9,0)))</f>
        <v/>
      </c>
      <c r="P8" s="190" t="str">
        <f>IF(P$4="","",IF(VLOOKUP(P$4,'Base de Datos'!$B$2:$M$2000,9,0)=0,"",VLOOKUP(P$4,'Base de Datos'!$B$2:$M$2000,9,0)))</f>
        <v/>
      </c>
      <c r="Q8" s="190" t="str">
        <f>IF(Q$4="","",IF(VLOOKUP(Q$4,'Base de Datos'!$B$2:$M$2000,9,0)=0,"",VLOOKUP(Q$4,'Base de Datos'!$B$2:$M$2000,9,0)))</f>
        <v/>
      </c>
      <c r="R8" s="190" t="str">
        <f>IF(R$4="","",IF(VLOOKUP(R$4,'Base de Datos'!$B$2:$M$2000,9,0)=0,"",VLOOKUP(R$4,'Base de Datos'!$B$2:$M$2000,9,0)))</f>
        <v/>
      </c>
      <c r="S8" s="190" t="str">
        <f>IF(S$4="","",IF(VLOOKUP(S$4,'Base de Datos'!$B$2:$M$2000,9,0)=0,"",VLOOKUP(S$4,'Base de Datos'!$B$2:$M$2000,9,0)))</f>
        <v/>
      </c>
      <c r="T8" s="190" t="str">
        <f>IF(T$4="","",IF(VLOOKUP(T$4,'Base de Datos'!$B$2:$M$2000,9,0)=0,"",VLOOKUP(T$4,'Base de Datos'!$B$2:$M$2000,9,0)))</f>
        <v/>
      </c>
      <c r="U8" s="190" t="str">
        <f>IF(U$4="","",IF(VLOOKUP(U$4,'Base de Datos'!$B$2:$M$2000,9,0)=0,"",VLOOKUP(U$4,'Base de Datos'!$B$2:$M$2000,9,0)))</f>
        <v/>
      </c>
      <c r="V8" s="190" t="str">
        <f>IF(V$4="","",IF(VLOOKUP(V$4,'Base de Datos'!$B$2:$M$2000,9,0)=0,"",VLOOKUP(V$4,'Base de Datos'!$B$2:$M$2000,9,0)))</f>
        <v/>
      </c>
      <c r="W8" s="190" t="str">
        <f>IF(W$4="","",IF(VLOOKUP(W$4,'Base de Datos'!$B$2:$M$2000,9,0)=0,"",VLOOKUP(W$4,'Base de Datos'!$B$2:$M$2000,9,0)))</f>
        <v/>
      </c>
      <c r="X8" s="190" t="str">
        <f>IF(X$4="","",IF(VLOOKUP(X$4,'Base de Datos'!$B$2:$M$2000,9,0)=0,"",VLOOKUP(X$4,'Base de Datos'!$B$2:$M$2000,9,0)))</f>
        <v/>
      </c>
      <c r="Y8" s="190" t="str">
        <f>IF(Y$4="","",IF(VLOOKUP(Y$4,'Base de Datos'!$B$2:$M$2000,9,0)=0,"",VLOOKUP(Y$4,'Base de Datos'!$B$2:$M$2000,9,0)))</f>
        <v/>
      </c>
      <c r="Z8" s="190" t="str">
        <f>IF(Z$4="","",IF(VLOOKUP(Z$4,'Base de Datos'!$B$2:$M$2000,9,0)=0,"",VLOOKUP(Z$4,'Base de Datos'!$B$2:$M$2000,9,0)))</f>
        <v/>
      </c>
      <c r="AA8" s="190" t="str">
        <f>IF(AA$4="","",IF(VLOOKUP(AA$4,'Base de Datos'!$B$2:$M$2000,9,0)=0,"",VLOOKUP(AA$4,'Base de Datos'!$B$2:$M$2000,9,0)))</f>
        <v/>
      </c>
      <c r="AB8" s="190" t="str">
        <f>IF(AB$4="","",IF(VLOOKUP(AB$4,'Base de Datos'!$B$2:$M$2000,9,0)=0,"",VLOOKUP(AB$4,'Base de Datos'!$B$2:$M$2000,9,0)))</f>
        <v/>
      </c>
      <c r="AC8" s="190" t="str">
        <f>IF(AC$4="","",IF(VLOOKUP(AC$4,'Base de Datos'!$B$2:$M$2000,9,0)=0,"",VLOOKUP(AC$4,'Base de Datos'!$B$2:$M$2000,9,0)))</f>
        <v/>
      </c>
      <c r="AD8" s="190" t="str">
        <f>IF(AD$4="","",IF(VLOOKUP(AD$4,'Base de Datos'!$B$2:$M$2000,9,0)=0,"",VLOOKUP(AD$4,'Base de Datos'!$B$2:$M$2000,9,0)))</f>
        <v/>
      </c>
    </row>
    <row r="11" spans="2:39">
      <c r="B11" t="s">
        <v>320</v>
      </c>
      <c r="C11" t="s">
        <v>321</v>
      </c>
      <c r="D11" s="1">
        <f>ROUNDUP(AVERAGEIF('Base de Datos'!$A$2:$A$2229,$B11,'Base de Datos'!$U$2:$U$2229),0)</f>
        <v>44</v>
      </c>
      <c r="M11">
        <v>1</v>
      </c>
      <c r="AE11">
        <v>1</v>
      </c>
      <c r="AF11" t="s">
        <v>321</v>
      </c>
    </row>
    <row r="12" spans="2:39">
      <c r="B12" t="s">
        <v>319</v>
      </c>
      <c r="C12" t="s">
        <v>315</v>
      </c>
      <c r="D12" s="1">
        <f>ROUNDUP(AVERAGEIF('Base de Datos'!$A$2:$A$2229,$B12,'Base de Datos'!$U$2:$U$2229),0)</f>
        <v>52</v>
      </c>
      <c r="Q12">
        <v>8</v>
      </c>
      <c r="AE12">
        <v>8</v>
      </c>
      <c r="AF12" t="s">
        <v>315</v>
      </c>
      <c r="AG12" t="s">
        <v>315</v>
      </c>
      <c r="AH12" t="s">
        <v>315</v>
      </c>
      <c r="AI12" t="s">
        <v>315</v>
      </c>
      <c r="AJ12" t="s">
        <v>315</v>
      </c>
      <c r="AK12" t="s">
        <v>315</v>
      </c>
      <c r="AL12" t="s">
        <v>315</v>
      </c>
      <c r="AM12" t="s">
        <v>315</v>
      </c>
    </row>
    <row r="13" spans="2:39">
      <c r="B13" t="s">
        <v>318</v>
      </c>
      <c r="C13" t="s">
        <v>315</v>
      </c>
      <c r="D13" s="1">
        <f>ROUNDUP(AVERAGEIF('Base de Datos'!$A$2:$A$2229,$B13,'Base de Datos'!$U$2:$U$2229),0)</f>
        <v>46</v>
      </c>
      <c r="Q13">
        <v>8</v>
      </c>
      <c r="AE13">
        <v>8</v>
      </c>
      <c r="AF13" t="s">
        <v>315</v>
      </c>
      <c r="AG13" t="s">
        <v>315</v>
      </c>
      <c r="AH13" t="s">
        <v>315</v>
      </c>
      <c r="AI13" t="s">
        <v>315</v>
      </c>
      <c r="AJ13" t="s">
        <v>315</v>
      </c>
      <c r="AK13" t="s">
        <v>315</v>
      </c>
      <c r="AL13" t="s">
        <v>315</v>
      </c>
      <c r="AM13" t="s">
        <v>315</v>
      </c>
    </row>
    <row r="14" spans="2:39">
      <c r="B14" t="s">
        <v>317</v>
      </c>
      <c r="C14" t="s">
        <v>315</v>
      </c>
      <c r="D14" s="1">
        <f>ROUNDUP(AVERAGEIF('Base de Datos'!$A$2:$A$2229,$B14,'Base de Datos'!$U$2:$U$2229),0)</f>
        <v>35</v>
      </c>
      <c r="M14">
        <v>1</v>
      </c>
      <c r="AE14">
        <v>1</v>
      </c>
      <c r="AF14" t="s">
        <v>315</v>
      </c>
    </row>
    <row r="15" spans="2:39">
      <c r="B15" t="s">
        <v>316</v>
      </c>
      <c r="C15" t="s">
        <v>315</v>
      </c>
      <c r="D15" s="1">
        <f>ROUNDUP(AVERAGEIF('Base de Datos'!$A$2:$A$2229,$B15,'Base de Datos'!$U$2:$U$2229),0)</f>
        <v>39</v>
      </c>
      <c r="Q15">
        <v>8</v>
      </c>
      <c r="AE15">
        <v>8</v>
      </c>
      <c r="AF15" t="s">
        <v>315</v>
      </c>
      <c r="AG15" t="s">
        <v>315</v>
      </c>
      <c r="AH15" t="s">
        <v>315</v>
      </c>
      <c r="AI15" t="s">
        <v>315</v>
      </c>
      <c r="AJ15" t="s">
        <v>315</v>
      </c>
      <c r="AK15" t="s">
        <v>315</v>
      </c>
      <c r="AL15" t="s">
        <v>315</v>
      </c>
      <c r="AM15" t="s">
        <v>315</v>
      </c>
    </row>
    <row r="16" spans="2:39">
      <c r="B16" t="s">
        <v>308</v>
      </c>
      <c r="C16" t="s">
        <v>309</v>
      </c>
      <c r="D16" s="1">
        <f>ROUNDUP(AVERAGEIF('Base de Datos'!$A$2:$A$2229,$B16,'Base de Datos'!$U$2:$U$2229),0)</f>
        <v>26</v>
      </c>
      <c r="M16">
        <v>1</v>
      </c>
      <c r="Q16">
        <v>6</v>
      </c>
      <c r="AE16">
        <v>7</v>
      </c>
      <c r="AF16" t="s">
        <v>309</v>
      </c>
      <c r="AG16" t="s">
        <v>309</v>
      </c>
      <c r="AH16" t="s">
        <v>309</v>
      </c>
      <c r="AI16" t="s">
        <v>315</v>
      </c>
      <c r="AJ16" t="s">
        <v>315</v>
      </c>
      <c r="AK16" t="s">
        <v>315</v>
      </c>
      <c r="AL16" t="s">
        <v>315</v>
      </c>
    </row>
    <row r="17" spans="2:39">
      <c r="B17" t="s">
        <v>312</v>
      </c>
      <c r="C17" t="s">
        <v>311</v>
      </c>
      <c r="D17" s="1">
        <f>ROUNDUP(AVERAGEIF('Base de Datos'!$A$2:$A$2229,$B17,'Base de Datos'!$U$2:$U$2229),0)</f>
        <v>31</v>
      </c>
      <c r="Q17">
        <v>8</v>
      </c>
      <c r="AE17">
        <v>8</v>
      </c>
      <c r="AF17" t="s">
        <v>311</v>
      </c>
      <c r="AG17" t="s">
        <v>311</v>
      </c>
      <c r="AH17" t="s">
        <v>311</v>
      </c>
      <c r="AI17" t="s">
        <v>311</v>
      </c>
      <c r="AJ17" t="s">
        <v>311</v>
      </c>
      <c r="AK17" t="s">
        <v>311</v>
      </c>
      <c r="AL17" t="s">
        <v>311</v>
      </c>
      <c r="AM17" t="s">
        <v>311</v>
      </c>
    </row>
    <row r="18" spans="2:39">
      <c r="B18" t="s">
        <v>313</v>
      </c>
      <c r="C18" t="s">
        <v>314</v>
      </c>
      <c r="D18" s="1">
        <f>ROUNDUP(AVERAGEIF('Base de Datos'!$A$2:$A$2229,$B18,'Base de Datos'!$U$2:$U$2229),0)</f>
        <v>41</v>
      </c>
      <c r="M18">
        <v>1</v>
      </c>
      <c r="AE18">
        <v>1</v>
      </c>
      <c r="AF18" t="s">
        <v>314</v>
      </c>
    </row>
    <row r="19" spans="2:39">
      <c r="B19" t="s">
        <v>310</v>
      </c>
      <c r="C19" t="s">
        <v>311</v>
      </c>
      <c r="D19" s="1">
        <f>ROUNDUP(AVERAGEIF('Base de Datos'!$A$2:$A$2229,$B19,'Base de Datos'!$U$2:$U$2229),0)</f>
        <v>27</v>
      </c>
      <c r="Q19">
        <v>6</v>
      </c>
      <c r="R19">
        <v>2</v>
      </c>
      <c r="AE19">
        <v>8</v>
      </c>
      <c r="AF19" t="s">
        <v>311</v>
      </c>
      <c r="AG19" t="s">
        <v>311</v>
      </c>
      <c r="AH19" t="s">
        <v>311</v>
      </c>
      <c r="AI19" t="s">
        <v>311</v>
      </c>
      <c r="AJ19" t="s">
        <v>311</v>
      </c>
      <c r="AK19" t="s">
        <v>311</v>
      </c>
      <c r="AL19" t="s">
        <v>311</v>
      </c>
      <c r="AM19" t="s">
        <v>311</v>
      </c>
    </row>
    <row r="20" spans="2:39">
      <c r="B20" t="s">
        <v>306</v>
      </c>
      <c r="C20" t="s">
        <v>307</v>
      </c>
      <c r="D20" s="1">
        <f>ROUNDUP(AVERAGEIF('Base de Datos'!$A$2:$A$2229,$B20,'Base de Datos'!$U$2:$U$2229),0)</f>
        <v>17</v>
      </c>
      <c r="M20">
        <v>2</v>
      </c>
      <c r="Q20">
        <v>4</v>
      </c>
      <c r="R20">
        <v>1</v>
      </c>
      <c r="AE20">
        <v>7</v>
      </c>
      <c r="AF20" t="s">
        <v>307</v>
      </c>
      <c r="AG20" t="s">
        <v>307</v>
      </c>
      <c r="AH20" t="s">
        <v>307</v>
      </c>
      <c r="AI20" t="s">
        <v>307</v>
      </c>
      <c r="AJ20" t="s">
        <v>307</v>
      </c>
      <c r="AK20" t="s">
        <v>307</v>
      </c>
      <c r="AL20" t="s">
        <v>307</v>
      </c>
    </row>
    <row r="21" spans="2:39">
      <c r="B21" t="s">
        <v>305</v>
      </c>
      <c r="C21" t="s">
        <v>304</v>
      </c>
      <c r="D21" s="1">
        <f>ROUNDUP(AVERAGEIF('Base de Datos'!$A$2:$A$2229,$B21,'Base de Datos'!$U$2:$U$2229),0)</f>
        <v>45</v>
      </c>
      <c r="Q21">
        <v>8</v>
      </c>
      <c r="AE21">
        <v>8</v>
      </c>
      <c r="AF21" t="s">
        <v>304</v>
      </c>
      <c r="AG21" t="s">
        <v>304</v>
      </c>
      <c r="AH21" t="s">
        <v>304</v>
      </c>
      <c r="AI21" t="s">
        <v>304</v>
      </c>
      <c r="AJ21" t="s">
        <v>304</v>
      </c>
      <c r="AK21" t="s">
        <v>304</v>
      </c>
      <c r="AL21" t="s">
        <v>304</v>
      </c>
      <c r="AM21" t="s">
        <v>304</v>
      </c>
    </row>
    <row r="22" spans="2:39">
      <c r="B22" t="s">
        <v>303</v>
      </c>
      <c r="C22" t="s">
        <v>304</v>
      </c>
      <c r="D22" s="1">
        <f>ROUNDUP(AVERAGEIF('Base de Datos'!$A$2:$A$2229,$B22,'Base de Datos'!$U$2:$U$2229),0)</f>
        <v>43</v>
      </c>
      <c r="Q22">
        <v>8</v>
      </c>
      <c r="AE22">
        <v>8</v>
      </c>
      <c r="AF22" t="s">
        <v>304</v>
      </c>
      <c r="AG22" t="s">
        <v>304</v>
      </c>
      <c r="AH22" t="s">
        <v>304</v>
      </c>
      <c r="AI22" t="s">
        <v>304</v>
      </c>
      <c r="AJ22" t="s">
        <v>304</v>
      </c>
      <c r="AK22" t="s">
        <v>304</v>
      </c>
      <c r="AL22" t="s">
        <v>304</v>
      </c>
      <c r="AM22" t="s">
        <v>304</v>
      </c>
    </row>
    <row r="23" spans="2:39">
      <c r="B23" t="s">
        <v>301</v>
      </c>
      <c r="C23" t="s">
        <v>302</v>
      </c>
      <c r="D23" s="1">
        <f>ROUNDUP(AVERAGEIF('Base de Datos'!$A$2:$A$2229,$B23,'Base de Datos'!$U$2:$U$2229),0)</f>
        <v>35</v>
      </c>
      <c r="Q23">
        <v>8</v>
      </c>
      <c r="AE23">
        <v>8</v>
      </c>
      <c r="AF23" t="s">
        <v>302</v>
      </c>
      <c r="AG23" t="s">
        <v>302</v>
      </c>
      <c r="AH23" t="s">
        <v>302</v>
      </c>
      <c r="AI23" t="s">
        <v>302</v>
      </c>
      <c r="AJ23" t="s">
        <v>302</v>
      </c>
      <c r="AK23" t="s">
        <v>302</v>
      </c>
      <c r="AL23" t="s">
        <v>302</v>
      </c>
      <c r="AM23" t="s">
        <v>302</v>
      </c>
    </row>
    <row r="24" spans="2:39">
      <c r="B24" t="s">
        <v>297</v>
      </c>
      <c r="C24" t="s">
        <v>298</v>
      </c>
      <c r="D24" s="1">
        <f>ROUNDUP(AVERAGEIF('Base de Datos'!$A$2:$A$2229,$B24,'Base de Datos'!$U$2:$U$2229),0)</f>
        <v>27</v>
      </c>
      <c r="Q24">
        <v>8</v>
      </c>
      <c r="AE24">
        <v>8</v>
      </c>
      <c r="AF24" t="s">
        <v>298</v>
      </c>
      <c r="AG24" t="s">
        <v>298</v>
      </c>
      <c r="AH24" t="s">
        <v>298</v>
      </c>
      <c r="AI24" t="s">
        <v>298</v>
      </c>
      <c r="AJ24" t="s">
        <v>298</v>
      </c>
      <c r="AK24" t="s">
        <v>298</v>
      </c>
      <c r="AL24" t="s">
        <v>298</v>
      </c>
      <c r="AM24" t="s">
        <v>298</v>
      </c>
    </row>
    <row r="25" spans="2:39">
      <c r="B25" t="s">
        <v>299</v>
      </c>
      <c r="C25" t="s">
        <v>300</v>
      </c>
      <c r="D25" s="1">
        <f>ROUNDUP(AVERAGEIF('Base de Datos'!$A$2:$A$2229,$B25,'Base de Datos'!$U$2:$U$2229),0)</f>
        <v>29</v>
      </c>
      <c r="M25">
        <v>1</v>
      </c>
      <c r="AE25">
        <v>1</v>
      </c>
      <c r="AF25" t="s">
        <v>300</v>
      </c>
    </row>
    <row r="26" spans="2:39">
      <c r="B26" t="s">
        <v>295</v>
      </c>
      <c r="C26" t="s">
        <v>296</v>
      </c>
      <c r="D26" s="1">
        <f>ROUNDUP(AVERAGEIF('Base de Datos'!$A$2:$A$2229,$B26,'Base de Datos'!$U$2:$U$2229),0)</f>
        <v>24</v>
      </c>
      <c r="Q26">
        <v>8</v>
      </c>
      <c r="AE26">
        <v>8</v>
      </c>
      <c r="AF26" t="s">
        <v>296</v>
      </c>
      <c r="AG26" t="s">
        <v>296</v>
      </c>
      <c r="AH26" t="s">
        <v>296</v>
      </c>
      <c r="AI26" t="s">
        <v>296</v>
      </c>
      <c r="AJ26" t="s">
        <v>296</v>
      </c>
      <c r="AK26" t="s">
        <v>296</v>
      </c>
      <c r="AL26" t="s">
        <v>296</v>
      </c>
      <c r="AM26" t="s">
        <v>296</v>
      </c>
    </row>
    <row r="27" spans="2:39">
      <c r="B27" t="s">
        <v>322</v>
      </c>
      <c r="C27" t="s">
        <v>323</v>
      </c>
      <c r="D27" s="1">
        <f>ROUNDUP(AVERAGEIF('Base de Datos'!$A$2:$A$2229,$B27,'Base de Datos'!$U$2:$U$2229),0)</f>
        <v>61</v>
      </c>
      <c r="F27">
        <v>6</v>
      </c>
      <c r="AE27">
        <v>6</v>
      </c>
      <c r="AF27" t="s">
        <v>323</v>
      </c>
      <c r="AG27" t="s">
        <v>323</v>
      </c>
      <c r="AH27" t="s">
        <v>323</v>
      </c>
      <c r="AI27" t="s">
        <v>323</v>
      </c>
      <c r="AJ27" t="s">
        <v>323</v>
      </c>
      <c r="AK27" t="s">
        <v>323</v>
      </c>
    </row>
    <row r="28" spans="2:39">
      <c r="B28" t="s">
        <v>338</v>
      </c>
      <c r="C28" t="s">
        <v>336</v>
      </c>
      <c r="D28" s="1">
        <f>ROUNDUP(AVERAGEIF('Base de Datos'!$A$2:$A$2229,$B28,'Base de Datos'!$U$2:$U$2229),0)</f>
        <v>54</v>
      </c>
      <c r="F28">
        <v>4</v>
      </c>
      <c r="AE28">
        <v>4</v>
      </c>
      <c r="AF28" t="s">
        <v>336</v>
      </c>
      <c r="AG28" t="s">
        <v>336</v>
      </c>
      <c r="AH28" t="s">
        <v>336</v>
      </c>
      <c r="AI28" t="s">
        <v>336</v>
      </c>
    </row>
    <row r="29" spans="2:39">
      <c r="B29" t="s">
        <v>334</v>
      </c>
      <c r="C29" t="s">
        <v>315</v>
      </c>
      <c r="D29" s="1">
        <f>ROUNDUP(AVERAGEIF('Base de Datos'!$A$2:$A$2229,$B29,'Base de Datos'!$U$2:$U$2229),0)</f>
        <v>53</v>
      </c>
      <c r="I29">
        <v>8</v>
      </c>
      <c r="AE29">
        <v>8</v>
      </c>
      <c r="AF29" t="s">
        <v>315</v>
      </c>
      <c r="AG29" t="s">
        <v>315</v>
      </c>
      <c r="AH29" t="s">
        <v>315</v>
      </c>
      <c r="AI29" t="s">
        <v>315</v>
      </c>
      <c r="AJ29" t="s">
        <v>315</v>
      </c>
      <c r="AK29" t="s">
        <v>315</v>
      </c>
      <c r="AL29" t="s">
        <v>315</v>
      </c>
      <c r="AM29" t="s">
        <v>315</v>
      </c>
    </row>
    <row r="30" spans="2:39">
      <c r="B30" t="s">
        <v>344</v>
      </c>
      <c r="C30" t="s">
        <v>345</v>
      </c>
      <c r="D30" s="1">
        <f>ROUNDUP(AVERAGEIF('Base de Datos'!$A$2:$A$2229,$B30,'Base de Datos'!$U$2:$U$2229),0)</f>
        <v>35</v>
      </c>
      <c r="F30">
        <v>1</v>
      </c>
      <c r="H30">
        <v>1</v>
      </c>
      <c r="I30">
        <v>6</v>
      </c>
      <c r="AE30">
        <v>8</v>
      </c>
      <c r="AF30" t="s">
        <v>345</v>
      </c>
      <c r="AH30" t="s">
        <v>345</v>
      </c>
      <c r="AI30" t="s">
        <v>345</v>
      </c>
      <c r="AJ30" t="s">
        <v>345</v>
      </c>
      <c r="AK30" t="s">
        <v>345</v>
      </c>
      <c r="AL30" t="s">
        <v>345</v>
      </c>
      <c r="AM30" t="s">
        <v>345</v>
      </c>
    </row>
    <row r="31" spans="2:39">
      <c r="B31" t="s">
        <v>349</v>
      </c>
      <c r="C31" t="s">
        <v>302</v>
      </c>
      <c r="D31" s="1">
        <f>ROUNDUP(AVERAGEIF('Base de Datos'!$A$2:$A$2229,$B31,'Base de Datos'!$U$2:$U$2229),0)</f>
        <v>38</v>
      </c>
      <c r="I31">
        <v>8</v>
      </c>
      <c r="AE31">
        <v>8</v>
      </c>
      <c r="AF31" t="s">
        <v>302</v>
      </c>
      <c r="AG31" t="s">
        <v>302</v>
      </c>
      <c r="AH31" t="s">
        <v>302</v>
      </c>
      <c r="AI31" t="s">
        <v>302</v>
      </c>
      <c r="AJ31" t="s">
        <v>302</v>
      </c>
      <c r="AK31" t="s">
        <v>302</v>
      </c>
      <c r="AL31" t="s">
        <v>302</v>
      </c>
      <c r="AM31" t="s">
        <v>302</v>
      </c>
    </row>
    <row r="32" spans="2:39">
      <c r="B32" t="s">
        <v>348</v>
      </c>
      <c r="C32" t="s">
        <v>304</v>
      </c>
      <c r="D32" s="1">
        <f>ROUNDUP(AVERAGEIF('Base de Datos'!$A$2:$A$2229,$B32,'Base de Datos'!$U$2:$U$2229),0)</f>
        <v>46</v>
      </c>
      <c r="I32">
        <v>8</v>
      </c>
      <c r="AE32">
        <v>8</v>
      </c>
      <c r="AF32" t="s">
        <v>304</v>
      </c>
      <c r="AG32" t="s">
        <v>304</v>
      </c>
      <c r="AH32" t="s">
        <v>304</v>
      </c>
      <c r="AI32" t="s">
        <v>304</v>
      </c>
      <c r="AJ32" t="s">
        <v>304</v>
      </c>
      <c r="AK32" t="s">
        <v>304</v>
      </c>
      <c r="AL32" t="s">
        <v>304</v>
      </c>
      <c r="AM32" t="s">
        <v>304</v>
      </c>
    </row>
    <row r="33" spans="2:39">
      <c r="B33" t="s">
        <v>346</v>
      </c>
      <c r="C33" t="s">
        <v>347</v>
      </c>
      <c r="D33" s="1">
        <f>ROUNDUP(AVERAGEIF('Base de Datos'!$A$2:$A$2229,$B33,'Base de Datos'!$U$2:$U$2229),0)</f>
        <v>45</v>
      </c>
      <c r="F33">
        <v>2</v>
      </c>
      <c r="I33">
        <v>6</v>
      </c>
      <c r="AE33">
        <v>8</v>
      </c>
      <c r="AF33" t="s">
        <v>347</v>
      </c>
      <c r="AG33" t="s">
        <v>347</v>
      </c>
      <c r="AH33" t="s">
        <v>347</v>
      </c>
      <c r="AI33" t="s">
        <v>347</v>
      </c>
      <c r="AJ33" t="s">
        <v>347</v>
      </c>
      <c r="AK33" t="s">
        <v>347</v>
      </c>
      <c r="AL33" t="s">
        <v>347</v>
      </c>
      <c r="AM33" t="s">
        <v>347</v>
      </c>
    </row>
    <row r="34" spans="2:39">
      <c r="B34" t="s">
        <v>342</v>
      </c>
      <c r="C34" t="s">
        <v>343</v>
      </c>
      <c r="D34" s="1">
        <f>ROUNDUP(AVERAGEIF('Base de Datos'!$A$2:$A$2229,$B34,'Base de Datos'!$U$2:$U$2229),0)</f>
        <v>28</v>
      </c>
      <c r="F34">
        <v>4</v>
      </c>
      <c r="G34">
        <v>2</v>
      </c>
      <c r="I34">
        <v>2</v>
      </c>
      <c r="AE34">
        <v>8</v>
      </c>
      <c r="AF34" t="s">
        <v>343</v>
      </c>
      <c r="AG34" t="s">
        <v>343</v>
      </c>
      <c r="AH34" t="s">
        <v>343</v>
      </c>
      <c r="AI34" t="s">
        <v>343</v>
      </c>
      <c r="AJ34" t="s">
        <v>343</v>
      </c>
      <c r="AK34" t="s">
        <v>343</v>
      </c>
      <c r="AL34" t="s">
        <v>343</v>
      </c>
      <c r="AM34" t="s">
        <v>343</v>
      </c>
    </row>
    <row r="35" spans="2:39">
      <c r="B35" t="s">
        <v>339</v>
      </c>
      <c r="C35" t="s">
        <v>340</v>
      </c>
      <c r="D35" s="1">
        <f>ROUNDUP(AVERAGEIF('Base de Datos'!$A$2:$A$2229,$B35,'Base de Datos'!$U$2:$U$2229),0)</f>
        <v>19</v>
      </c>
      <c r="F35">
        <v>6</v>
      </c>
      <c r="I35">
        <v>2</v>
      </c>
      <c r="AE35">
        <v>8</v>
      </c>
      <c r="AF35" t="s">
        <v>340</v>
      </c>
      <c r="AG35" t="s">
        <v>340</v>
      </c>
      <c r="AH35" t="s">
        <v>340</v>
      </c>
      <c r="AI35" t="s">
        <v>340</v>
      </c>
      <c r="AJ35" t="s">
        <v>340</v>
      </c>
      <c r="AK35" t="s">
        <v>340</v>
      </c>
      <c r="AL35" t="s">
        <v>340</v>
      </c>
      <c r="AM35" t="s">
        <v>340</v>
      </c>
    </row>
    <row r="36" spans="2:39">
      <c r="B36" t="s">
        <v>341</v>
      </c>
      <c r="C36" t="s">
        <v>296</v>
      </c>
      <c r="D36" s="1">
        <f>ROUNDUP(AVERAGEIF('Base de Datos'!$A$2:$A$2229,$B36,'Base de Datos'!$U$2:$U$2229),0)</f>
        <v>26</v>
      </c>
      <c r="I36">
        <v>8</v>
      </c>
      <c r="AE36">
        <v>8</v>
      </c>
      <c r="AF36" t="s">
        <v>296</v>
      </c>
      <c r="AG36" t="s">
        <v>296</v>
      </c>
      <c r="AH36" t="s">
        <v>296</v>
      </c>
      <c r="AI36" t="s">
        <v>296</v>
      </c>
      <c r="AJ36" t="s">
        <v>296</v>
      </c>
      <c r="AK36" t="s">
        <v>296</v>
      </c>
      <c r="AL36" t="s">
        <v>296</v>
      </c>
      <c r="AM36" t="s">
        <v>296</v>
      </c>
    </row>
    <row r="37" spans="2:39">
      <c r="B37" t="s">
        <v>350</v>
      </c>
      <c r="C37" t="s">
        <v>336</v>
      </c>
      <c r="D37" s="1">
        <f>ROUNDUP(AVERAGEIF('Base de Datos'!$A$2:$A$2229,$B37,'Base de Datos'!$U$2:$U$2229),0)</f>
        <v>52</v>
      </c>
      <c r="F37">
        <v>5</v>
      </c>
      <c r="AE37">
        <v>5</v>
      </c>
      <c r="AF37" t="s">
        <v>336</v>
      </c>
      <c r="AG37" t="s">
        <v>336</v>
      </c>
      <c r="AH37" t="s">
        <v>336</v>
      </c>
      <c r="AI37" t="s">
        <v>336</v>
      </c>
      <c r="AJ37" t="s">
        <v>336</v>
      </c>
    </row>
    <row r="38" spans="2:39">
      <c r="B38" t="s">
        <v>337</v>
      </c>
      <c r="C38" t="s">
        <v>315</v>
      </c>
      <c r="D38" s="1">
        <f>ROUNDUP(AVERAGEIF('Base de Datos'!$A$2:$A$2229,$B38,'Base de Datos'!$U$2:$U$2229),0)</f>
        <v>49</v>
      </c>
      <c r="I38">
        <v>8</v>
      </c>
      <c r="AE38">
        <v>8</v>
      </c>
      <c r="AF38" t="s">
        <v>315</v>
      </c>
      <c r="AG38" t="s">
        <v>315</v>
      </c>
      <c r="AH38" t="s">
        <v>315</v>
      </c>
      <c r="AI38" t="s">
        <v>315</v>
      </c>
      <c r="AJ38" t="s">
        <v>315</v>
      </c>
      <c r="AK38" t="s">
        <v>315</v>
      </c>
      <c r="AL38" t="s">
        <v>315</v>
      </c>
      <c r="AM38" t="s">
        <v>315</v>
      </c>
    </row>
    <row r="39" spans="2:39">
      <c r="B39" t="s">
        <v>330</v>
      </c>
      <c r="C39" t="s">
        <v>315</v>
      </c>
      <c r="D39" s="1">
        <f>ROUNDUP(AVERAGEIF('Base de Datos'!$A$2:$A$2229,$B39,'Base de Datos'!$U$2:$U$2229),0)</f>
        <v>40</v>
      </c>
      <c r="I39">
        <v>8</v>
      </c>
      <c r="AE39">
        <v>8</v>
      </c>
      <c r="AF39" t="s">
        <v>315</v>
      </c>
      <c r="AG39" t="s">
        <v>315</v>
      </c>
      <c r="AH39" t="s">
        <v>315</v>
      </c>
      <c r="AI39" t="s">
        <v>315</v>
      </c>
      <c r="AJ39" t="s">
        <v>315</v>
      </c>
      <c r="AK39" t="s">
        <v>315</v>
      </c>
      <c r="AL39" t="s">
        <v>315</v>
      </c>
      <c r="AM39" t="s">
        <v>315</v>
      </c>
    </row>
    <row r="40" spans="2:39">
      <c r="B40" t="s">
        <v>333</v>
      </c>
      <c r="C40" t="s">
        <v>315</v>
      </c>
      <c r="D40" s="1">
        <f>ROUNDUP(AVERAGEIF('Base de Datos'!$A$2:$A$2229,$B40,'Base de Datos'!$U$2:$U$2229),0)</f>
        <v>40</v>
      </c>
      <c r="G40">
        <v>2</v>
      </c>
      <c r="AE40">
        <v>2</v>
      </c>
      <c r="AF40" t="s">
        <v>315</v>
      </c>
      <c r="AG40" t="s">
        <v>315</v>
      </c>
    </row>
    <row r="41" spans="2:39">
      <c r="B41" t="s">
        <v>332</v>
      </c>
      <c r="C41" t="s">
        <v>315</v>
      </c>
      <c r="D41" s="1">
        <f>ROUNDUP(AVERAGEIF('Base de Datos'!$A$2:$A$2229,$B41,'Base de Datos'!$U$2:$U$2229),0)</f>
        <v>33</v>
      </c>
      <c r="F41">
        <v>3</v>
      </c>
      <c r="I41">
        <v>4</v>
      </c>
      <c r="AE41">
        <v>7</v>
      </c>
      <c r="AF41" t="s">
        <v>315</v>
      </c>
      <c r="AG41" t="s">
        <v>315</v>
      </c>
      <c r="AH41" t="s">
        <v>315</v>
      </c>
      <c r="AI41" t="s">
        <v>315</v>
      </c>
      <c r="AJ41" t="s">
        <v>315</v>
      </c>
      <c r="AK41" t="s">
        <v>315</v>
      </c>
      <c r="AL41" t="s">
        <v>315</v>
      </c>
    </row>
    <row r="42" spans="2:39">
      <c r="B42" t="s">
        <v>331</v>
      </c>
      <c r="C42" t="s">
        <v>315</v>
      </c>
      <c r="D42" s="1">
        <f>ROUNDUP(AVERAGEIF('Base de Datos'!$A$2:$A$2229,$B42,'Base de Datos'!$U$2:$U$2229),0)</f>
        <v>41</v>
      </c>
      <c r="F42">
        <v>6</v>
      </c>
      <c r="G42">
        <v>2</v>
      </c>
      <c r="AE42">
        <v>8</v>
      </c>
      <c r="AF42" t="s">
        <v>315</v>
      </c>
      <c r="AG42" t="s">
        <v>315</v>
      </c>
      <c r="AH42" t="s">
        <v>315</v>
      </c>
      <c r="AI42" t="s">
        <v>315</v>
      </c>
      <c r="AJ42" t="s">
        <v>315</v>
      </c>
      <c r="AK42" t="s">
        <v>315</v>
      </c>
      <c r="AL42" t="s">
        <v>315</v>
      </c>
      <c r="AM42" t="s">
        <v>315</v>
      </c>
    </row>
    <row r="43" spans="2:39">
      <c r="B43" t="s">
        <v>329</v>
      </c>
      <c r="C43" t="s">
        <v>311</v>
      </c>
      <c r="D43" s="1">
        <f>ROUNDUP(AVERAGEIF('Base de Datos'!$A$2:$A$2229,$B43,'Base de Datos'!$U$2:$U$2229),0)</f>
        <v>33</v>
      </c>
      <c r="F43">
        <v>2</v>
      </c>
      <c r="I43">
        <v>6</v>
      </c>
      <c r="AE43">
        <v>8</v>
      </c>
      <c r="AF43" t="s">
        <v>311</v>
      </c>
      <c r="AG43" t="s">
        <v>311</v>
      </c>
      <c r="AH43" t="s">
        <v>311</v>
      </c>
      <c r="AI43" t="s">
        <v>311</v>
      </c>
      <c r="AJ43" t="s">
        <v>311</v>
      </c>
      <c r="AK43" t="s">
        <v>311</v>
      </c>
      <c r="AL43" t="s">
        <v>311</v>
      </c>
      <c r="AM43" t="s">
        <v>311</v>
      </c>
    </row>
    <row r="44" spans="2:39">
      <c r="B44" t="s">
        <v>328</v>
      </c>
      <c r="C44" t="s">
        <v>311</v>
      </c>
      <c r="D44" s="1">
        <f>ROUNDUP(AVERAGEIF('Base de Datos'!$A$2:$A$2229,$B44,'Base de Datos'!$U$2:$U$2229),0)</f>
        <v>27</v>
      </c>
      <c r="I44">
        <v>8</v>
      </c>
      <c r="AE44">
        <v>8</v>
      </c>
      <c r="AF44" t="s">
        <v>311</v>
      </c>
      <c r="AG44" t="s">
        <v>311</v>
      </c>
      <c r="AH44" t="s">
        <v>311</v>
      </c>
      <c r="AI44" t="s">
        <v>311</v>
      </c>
      <c r="AJ44" t="s">
        <v>311</v>
      </c>
      <c r="AK44" t="s">
        <v>311</v>
      </c>
      <c r="AL44" t="s">
        <v>311</v>
      </c>
      <c r="AM44" t="s">
        <v>311</v>
      </c>
    </row>
    <row r="45" spans="2:39">
      <c r="B45" t="s">
        <v>326</v>
      </c>
      <c r="C45" t="s">
        <v>327</v>
      </c>
      <c r="D45" s="1">
        <f>ROUNDUP(AVERAGEIF('Base de Datos'!$A$2:$A$2229,$B45,'Base de Datos'!$U$2:$U$2229),0)</f>
        <v>18</v>
      </c>
      <c r="F45">
        <v>2</v>
      </c>
      <c r="I45">
        <v>6</v>
      </c>
      <c r="AE45">
        <v>8</v>
      </c>
      <c r="AF45" t="s">
        <v>327</v>
      </c>
      <c r="AG45" t="s">
        <v>327</v>
      </c>
      <c r="AH45" t="s">
        <v>327</v>
      </c>
      <c r="AI45" t="s">
        <v>327</v>
      </c>
      <c r="AJ45" t="s">
        <v>327</v>
      </c>
      <c r="AK45" t="s">
        <v>327</v>
      </c>
      <c r="AL45" t="s">
        <v>327</v>
      </c>
      <c r="AM45" t="s">
        <v>327</v>
      </c>
    </row>
    <row r="46" spans="2:39">
      <c r="B46" t="s">
        <v>335</v>
      </c>
      <c r="C46" t="s">
        <v>336</v>
      </c>
      <c r="D46" s="1">
        <f>ROUNDUP(AVERAGEIF('Base de Datos'!$A$2:$A$2229,$B46,'Base de Datos'!$U$2:$U$2229),0)</f>
        <v>50</v>
      </c>
      <c r="G46">
        <v>1</v>
      </c>
      <c r="AE46">
        <v>1</v>
      </c>
      <c r="AF46" t="s">
        <v>336</v>
      </c>
    </row>
    <row r="47" spans="2:39">
      <c r="B47" t="s">
        <v>324</v>
      </c>
      <c r="C47" t="s">
        <v>325</v>
      </c>
      <c r="D47" s="1">
        <f>ROUNDUP(AVERAGEIF('Base de Datos'!$A$2:$A$2229,$B47,'Base de Datos'!$U$2:$U$2229),0)</f>
        <v>12</v>
      </c>
      <c r="F47">
        <v>6</v>
      </c>
      <c r="AE47">
        <v>6</v>
      </c>
      <c r="AF47" t="s">
        <v>325</v>
      </c>
      <c r="AH47" t="s">
        <v>325</v>
      </c>
      <c r="AI47" t="s">
        <v>325</v>
      </c>
      <c r="AJ47" t="s">
        <v>325</v>
      </c>
      <c r="AK47" t="s">
        <v>325</v>
      </c>
    </row>
    <row r="48" spans="2:39">
      <c r="B48" t="s">
        <v>294</v>
      </c>
      <c r="C48" t="s">
        <v>293</v>
      </c>
      <c r="D48" s="1">
        <f>ROUNDUP(AVERAGEIF('Base de Datos'!$A$2:$A$2229,$B48,'Base de Datos'!$U$2:$U$2229),0)</f>
        <v>53</v>
      </c>
      <c r="E48">
        <v>1</v>
      </c>
      <c r="AE48">
        <v>1</v>
      </c>
      <c r="AF48" t="s">
        <v>293</v>
      </c>
    </row>
    <row r="49" spans="2:39">
      <c r="B49" t="s">
        <v>292</v>
      </c>
      <c r="C49" t="s">
        <v>293</v>
      </c>
      <c r="D49" s="1">
        <f>ROUNDUP(AVERAGEIF('Base de Datos'!$A$2:$A$2229,$B49,'Base de Datos'!$U$2:$U$2229),0)</f>
        <v>59</v>
      </c>
      <c r="E49">
        <v>1</v>
      </c>
      <c r="AE49">
        <v>1</v>
      </c>
      <c r="AF49" t="s">
        <v>293</v>
      </c>
    </row>
    <row r="50" spans="2:39">
      <c r="B50" t="s">
        <v>289</v>
      </c>
      <c r="C50" t="s">
        <v>291</v>
      </c>
      <c r="D50" s="1">
        <f>ROUNDUP(AVERAGEIF('Base de Datos'!$A$2:$A$2229,$B50,'Base de Datos'!$U$2:$U$2229),0)</f>
        <v>40</v>
      </c>
      <c r="Y50">
        <v>1</v>
      </c>
      <c r="AE50">
        <v>1</v>
      </c>
      <c r="AF50" t="s">
        <v>291</v>
      </c>
    </row>
    <row r="51" spans="2:39">
      <c r="B51" t="s">
        <v>287</v>
      </c>
      <c r="C51" t="s">
        <v>288</v>
      </c>
      <c r="D51" s="1">
        <f>ROUNDUP(AVERAGEIF('Base de Datos'!$A$2:$A$2229,$B51,'Base de Datos'!$U$2:$U$2229),0)</f>
        <v>20</v>
      </c>
      <c r="E51">
        <v>1</v>
      </c>
      <c r="AE51">
        <v>1</v>
      </c>
      <c r="AF51" t="s">
        <v>288</v>
      </c>
    </row>
    <row r="52" spans="2:39">
      <c r="B52" t="s">
        <v>151</v>
      </c>
      <c r="D52" s="1">
        <f>ROUNDUP(AVERAGEIF('Base de Datos'!$A$2:$A$2229,$B52,'Base de Datos'!$U$2:$U$2229),0)</f>
        <v>32</v>
      </c>
      <c r="M52">
        <v>1</v>
      </c>
      <c r="N52">
        <v>1</v>
      </c>
      <c r="O52">
        <v>3</v>
      </c>
      <c r="Z52">
        <v>1</v>
      </c>
      <c r="AE52">
        <v>6</v>
      </c>
      <c r="AG52" t="s">
        <v>160</v>
      </c>
      <c r="AH52" t="s">
        <v>161</v>
      </c>
      <c r="AI52" t="s">
        <v>164</v>
      </c>
      <c r="AJ52" t="s">
        <v>164</v>
      </c>
      <c r="AK52" t="s">
        <v>164</v>
      </c>
    </row>
    <row r="53" spans="2:39">
      <c r="B53" t="s">
        <v>165</v>
      </c>
      <c r="C53" t="s">
        <v>164</v>
      </c>
      <c r="D53" s="1">
        <f>ROUNDUP(AVERAGEIF('Base de Datos'!$A$2:$A$2229,$B53,'Base de Datos'!$U$2:$U$2229),0)</f>
        <v>35</v>
      </c>
      <c r="O53">
        <v>1</v>
      </c>
      <c r="AE53">
        <v>1</v>
      </c>
      <c r="AF53" t="s">
        <v>164</v>
      </c>
    </row>
    <row r="54" spans="2:39">
      <c r="B54" t="s">
        <v>154</v>
      </c>
      <c r="C54" t="s">
        <v>153</v>
      </c>
      <c r="D54" s="1">
        <f>ROUNDUP(AVERAGEIF('Base de Datos'!$A$2:$A$2229,$B54,'Base de Datos'!$U$2:$U$2229),0)</f>
        <v>35</v>
      </c>
      <c r="M54">
        <v>1</v>
      </c>
      <c r="N54">
        <v>1</v>
      </c>
      <c r="AE54">
        <v>2</v>
      </c>
      <c r="AF54" t="s">
        <v>153</v>
      </c>
      <c r="AG54" t="s">
        <v>153</v>
      </c>
    </row>
    <row r="55" spans="2:39">
      <c r="B55" t="s">
        <v>156</v>
      </c>
      <c r="C55" t="s">
        <v>153</v>
      </c>
      <c r="D55" s="1">
        <f>ROUNDUP(AVERAGEIF('Base de Datos'!$A$2:$A$2229,$B55,'Base de Datos'!$U$2:$U$2229),0)</f>
        <v>36</v>
      </c>
      <c r="O55">
        <v>1</v>
      </c>
      <c r="AE55">
        <v>1</v>
      </c>
      <c r="AF55" t="s">
        <v>153</v>
      </c>
    </row>
    <row r="56" spans="2:39">
      <c r="B56" t="s">
        <v>155</v>
      </c>
      <c r="C56" t="s">
        <v>153</v>
      </c>
      <c r="D56" s="1">
        <f>ROUNDUP(AVERAGEIF('Base de Datos'!$A$2:$A$2229,$B56,'Base de Datos'!$U$2:$U$2229),0)</f>
        <v>35</v>
      </c>
      <c r="O56">
        <v>1</v>
      </c>
      <c r="AE56">
        <v>1</v>
      </c>
      <c r="AF56" t="s">
        <v>153</v>
      </c>
    </row>
    <row r="57" spans="2:39">
      <c r="B57" t="s">
        <v>152</v>
      </c>
      <c r="C57" t="s">
        <v>153</v>
      </c>
      <c r="D57" s="1">
        <f>ROUNDUP(AVERAGEIF('Base de Datos'!$A$2:$A$2229,$B57,'Base de Datos'!$U$2:$U$2229),0)</f>
        <v>33</v>
      </c>
      <c r="N57">
        <v>1</v>
      </c>
      <c r="O57">
        <v>1</v>
      </c>
      <c r="AE57">
        <v>2</v>
      </c>
      <c r="AF57" t="s">
        <v>153</v>
      </c>
      <c r="AG57" t="s">
        <v>153</v>
      </c>
    </row>
    <row r="58" spans="2:39">
      <c r="B58" t="s">
        <v>149</v>
      </c>
      <c r="C58" t="s">
        <v>150</v>
      </c>
      <c r="D58" s="1">
        <f>ROUNDUP(AVERAGEIF('Base de Datos'!$A$2:$A$2229,$B58,'Base de Datos'!$U$2:$U$2229),0)</f>
        <v>29</v>
      </c>
      <c r="M58">
        <v>1</v>
      </c>
      <c r="N58">
        <v>2</v>
      </c>
      <c r="AE58">
        <v>3</v>
      </c>
      <c r="AF58" t="s">
        <v>150</v>
      </c>
      <c r="AG58" t="s">
        <v>150</v>
      </c>
      <c r="AH58" t="s">
        <v>150</v>
      </c>
    </row>
    <row r="59" spans="2:39">
      <c r="B59" t="s">
        <v>148</v>
      </c>
      <c r="C59" t="s">
        <v>145</v>
      </c>
      <c r="D59" s="1">
        <f>ROUNDUP(AVERAGEIF('Base de Datos'!$A$2:$A$2229,$B59,'Base de Datos'!$U$2:$U$2229),0)</f>
        <v>29</v>
      </c>
      <c r="M59">
        <v>1</v>
      </c>
      <c r="N59">
        <v>2</v>
      </c>
      <c r="AE59">
        <v>3</v>
      </c>
      <c r="AF59" t="s">
        <v>145</v>
      </c>
      <c r="AG59" t="s">
        <v>145</v>
      </c>
      <c r="AH59" t="s">
        <v>145</v>
      </c>
    </row>
    <row r="60" spans="2:39">
      <c r="B60" t="s">
        <v>146</v>
      </c>
      <c r="C60" t="s">
        <v>147</v>
      </c>
      <c r="D60" s="1">
        <f>ROUNDUP(AVERAGEIF('Base de Datos'!$A$2:$A$2229,$B60,'Base de Datos'!$U$2:$U$2229),0)</f>
        <v>27</v>
      </c>
      <c r="M60">
        <v>1</v>
      </c>
      <c r="AE60">
        <v>1</v>
      </c>
      <c r="AF60" t="s">
        <v>147</v>
      </c>
    </row>
    <row r="61" spans="2:39">
      <c r="B61" t="s">
        <v>143</v>
      </c>
      <c r="C61" t="s">
        <v>144</v>
      </c>
      <c r="D61" s="1">
        <f>ROUNDUP(AVERAGEIF('Base de Datos'!$A$2:$A$2229,$B61,'Base de Datos'!$U$2:$U$2229),0)</f>
        <v>26</v>
      </c>
      <c r="N61">
        <v>4</v>
      </c>
      <c r="AE61">
        <v>4</v>
      </c>
      <c r="AF61" t="s">
        <v>144</v>
      </c>
      <c r="AG61" t="s">
        <v>145</v>
      </c>
      <c r="AH61" t="s">
        <v>145</v>
      </c>
      <c r="AI61" t="s">
        <v>144</v>
      </c>
    </row>
    <row r="62" spans="2:39">
      <c r="B62" t="s">
        <v>141</v>
      </c>
      <c r="C62" t="s">
        <v>139</v>
      </c>
      <c r="D62" s="1">
        <f>ROUNDUP(AVERAGEIF('Base de Datos'!$A$2:$A$2229,$B62,'Base de Datos'!$U$2:$U$2229),0)</f>
        <v>28</v>
      </c>
      <c r="M62">
        <v>3</v>
      </c>
      <c r="Q62">
        <v>5</v>
      </c>
      <c r="AE62">
        <v>8</v>
      </c>
      <c r="AF62" t="s">
        <v>139</v>
      </c>
      <c r="AG62" t="s">
        <v>139</v>
      </c>
      <c r="AH62" t="s">
        <v>139</v>
      </c>
      <c r="AI62" t="s">
        <v>139</v>
      </c>
      <c r="AJ62" t="s">
        <v>139</v>
      </c>
      <c r="AK62" t="s">
        <v>142</v>
      </c>
      <c r="AL62" t="s">
        <v>142</v>
      </c>
      <c r="AM62" t="s">
        <v>140</v>
      </c>
    </row>
    <row r="63" spans="2:39">
      <c r="B63" t="s">
        <v>168</v>
      </c>
      <c r="C63" t="s">
        <v>163</v>
      </c>
      <c r="D63" s="1">
        <f>ROUNDUP(AVERAGEIF('Base de Datos'!$A$2:$A$2229,$B63,'Base de Datos'!$U$2:$U$2229),0)</f>
        <v>27</v>
      </c>
      <c r="M63">
        <v>1</v>
      </c>
      <c r="AE63">
        <v>1</v>
      </c>
      <c r="AF63" t="s">
        <v>163</v>
      </c>
    </row>
    <row r="64" spans="2:39">
      <c r="B64" t="s">
        <v>138</v>
      </c>
      <c r="C64" t="s">
        <v>139</v>
      </c>
      <c r="D64" s="1">
        <f>ROUNDUP(AVERAGEIF('Base de Datos'!$A$2:$A$2229,$B64,'Base de Datos'!$U$2:$U$2229),0)</f>
        <v>14</v>
      </c>
      <c r="M64">
        <v>1</v>
      </c>
      <c r="Q64">
        <v>1</v>
      </c>
      <c r="AE64">
        <v>2</v>
      </c>
      <c r="AF64" t="s">
        <v>139</v>
      </c>
      <c r="AG64" t="s">
        <v>140</v>
      </c>
    </row>
    <row r="65" spans="2:40">
      <c r="B65" t="s">
        <v>162</v>
      </c>
      <c r="C65" t="s">
        <v>163</v>
      </c>
      <c r="D65" s="1">
        <f>ROUNDUP(AVERAGEIF('Base de Datos'!$A$2:$A$2229,$B65,'Base de Datos'!$U$2:$U$2229),0)</f>
        <v>30</v>
      </c>
      <c r="K65">
        <v>1</v>
      </c>
      <c r="AE65">
        <v>1</v>
      </c>
      <c r="AF65" t="s">
        <v>163</v>
      </c>
    </row>
    <row r="66" spans="2:40">
      <c r="B66" t="s">
        <v>157</v>
      </c>
      <c r="C66" t="s">
        <v>159</v>
      </c>
      <c r="D66" s="1">
        <f>ROUNDUP(AVERAGEIF('Base de Datos'!$A$2:$A$2229,$B66,'Base de Datos'!$U$2:$U$2229),0)</f>
        <v>35</v>
      </c>
      <c r="Z66">
        <v>1</v>
      </c>
      <c r="AE66">
        <v>1</v>
      </c>
      <c r="AF66" t="s">
        <v>159</v>
      </c>
    </row>
    <row r="67" spans="2:40">
      <c r="B67" t="s">
        <v>283</v>
      </c>
      <c r="C67" t="s">
        <v>284</v>
      </c>
      <c r="D67" s="1">
        <f>ROUNDUP(AVERAGEIF('Base de Datos'!$A$2:$A$2229,$B67,'Base de Datos'!$U$2:$U$2229),0)</f>
        <v>35</v>
      </c>
      <c r="F67">
        <v>6</v>
      </c>
      <c r="G67">
        <v>3</v>
      </c>
      <c r="AE67">
        <v>9</v>
      </c>
      <c r="AF67" t="s">
        <v>284</v>
      </c>
      <c r="AG67" t="s">
        <v>284</v>
      </c>
      <c r="AH67" t="s">
        <v>284</v>
      </c>
      <c r="AI67" t="s">
        <v>284</v>
      </c>
      <c r="AJ67" t="s">
        <v>284</v>
      </c>
      <c r="AK67" t="s">
        <v>284</v>
      </c>
      <c r="AL67" t="s">
        <v>284</v>
      </c>
      <c r="AM67" t="s">
        <v>284</v>
      </c>
      <c r="AN67" t="s">
        <v>284</v>
      </c>
    </row>
    <row r="68" spans="2:40">
      <c r="B68" t="s">
        <v>285</v>
      </c>
      <c r="C68" t="s">
        <v>163</v>
      </c>
      <c r="D68" s="1">
        <f>ROUNDUP(AVERAGEIF('Base de Datos'!$A$2:$A$2229,$B68,'Base de Datos'!$U$2:$U$2229),0)</f>
        <v>30</v>
      </c>
      <c r="W68">
        <v>1</v>
      </c>
      <c r="AE68">
        <v>1</v>
      </c>
      <c r="AF68" t="s">
        <v>163</v>
      </c>
    </row>
    <row r="69" spans="2:40">
      <c r="B69" t="s">
        <v>280</v>
      </c>
      <c r="C69" t="s">
        <v>281</v>
      </c>
      <c r="D69" s="1">
        <f>ROUNDUP(AVERAGEIF('Base de Datos'!$A$2:$A$2229,$B69,'Base de Datos'!$U$2:$U$2229),0)</f>
        <v>27</v>
      </c>
      <c r="F69">
        <v>4</v>
      </c>
      <c r="X69">
        <v>4</v>
      </c>
      <c r="AE69">
        <v>8</v>
      </c>
      <c r="AF69" t="s">
        <v>281</v>
      </c>
      <c r="AG69" t="s">
        <v>281</v>
      </c>
      <c r="AH69" t="s">
        <v>281</v>
      </c>
      <c r="AI69" t="s">
        <v>281</v>
      </c>
      <c r="AJ69" t="s">
        <v>282</v>
      </c>
      <c r="AK69" t="s">
        <v>282</v>
      </c>
      <c r="AL69" t="s">
        <v>282</v>
      </c>
      <c r="AM69" t="s">
        <v>282</v>
      </c>
    </row>
    <row r="70" spans="2:40">
      <c r="B70" t="s">
        <v>278</v>
      </c>
      <c r="C70" t="s">
        <v>279</v>
      </c>
      <c r="D70" s="1">
        <f>ROUNDUP(AVERAGEIF('Base de Datos'!$A$2:$A$2229,$B70,'Base de Datos'!$U$2:$U$2229),0)</f>
        <v>25</v>
      </c>
      <c r="X70">
        <v>8</v>
      </c>
      <c r="AE70">
        <v>8</v>
      </c>
      <c r="AF70" t="s">
        <v>279</v>
      </c>
      <c r="AG70" t="s">
        <v>279</v>
      </c>
      <c r="AH70" t="s">
        <v>279</v>
      </c>
      <c r="AI70" t="s">
        <v>279</v>
      </c>
      <c r="AJ70" t="s">
        <v>279</v>
      </c>
      <c r="AK70" t="s">
        <v>279</v>
      </c>
      <c r="AL70" t="s">
        <v>279</v>
      </c>
      <c r="AM70" t="s">
        <v>279</v>
      </c>
    </row>
    <row r="71" spans="2:40">
      <c r="B71" t="s">
        <v>276</v>
      </c>
      <c r="C71" t="s">
        <v>277</v>
      </c>
      <c r="D71" s="1">
        <f>ROUNDUP(AVERAGEIF('Base de Datos'!$A$2:$A$2229,$B71,'Base de Datos'!$U$2:$U$2229),0)</f>
        <v>15</v>
      </c>
      <c r="F71">
        <v>8</v>
      </c>
      <c r="AE71">
        <v>8</v>
      </c>
      <c r="AF71" t="s">
        <v>277</v>
      </c>
      <c r="AG71" t="s">
        <v>277</v>
      </c>
      <c r="AH71" t="s">
        <v>277</v>
      </c>
      <c r="AI71" t="s">
        <v>277</v>
      </c>
      <c r="AJ71" t="s">
        <v>277</v>
      </c>
      <c r="AK71" t="s">
        <v>277</v>
      </c>
      <c r="AL71" t="s">
        <v>277</v>
      </c>
      <c r="AM71" t="s">
        <v>277</v>
      </c>
    </row>
    <row r="72" spans="2:40">
      <c r="B72" t="s">
        <v>274</v>
      </c>
      <c r="C72" t="s">
        <v>275</v>
      </c>
      <c r="D72" s="1">
        <f>ROUNDUP(AVERAGEIF('Base de Datos'!$A$2:$A$2229,$B72,'Base de Datos'!$U$2:$U$2229),0)</f>
        <v>16</v>
      </c>
      <c r="F72">
        <v>6</v>
      </c>
      <c r="G72">
        <v>2</v>
      </c>
      <c r="AE72">
        <v>8</v>
      </c>
      <c r="AF72" t="s">
        <v>275</v>
      </c>
      <c r="AG72" t="s">
        <v>275</v>
      </c>
      <c r="AH72" t="s">
        <v>275</v>
      </c>
      <c r="AI72" t="s">
        <v>275</v>
      </c>
      <c r="AJ72" t="s">
        <v>275</v>
      </c>
      <c r="AK72" t="s">
        <v>275</v>
      </c>
      <c r="AL72" t="s">
        <v>275</v>
      </c>
      <c r="AM72" t="s">
        <v>275</v>
      </c>
    </row>
    <row r="73" spans="2:40">
      <c r="B73" t="s">
        <v>272</v>
      </c>
      <c r="C73" t="s">
        <v>273</v>
      </c>
      <c r="D73" s="1">
        <f>ROUNDUP(AVERAGEIF('Base de Datos'!$A$2:$A$2229,$B73,'Base de Datos'!$U$2:$U$2229),0)</f>
        <v>41</v>
      </c>
      <c r="F73">
        <v>8</v>
      </c>
      <c r="AE73">
        <v>8</v>
      </c>
      <c r="AF73" t="s">
        <v>273</v>
      </c>
      <c r="AG73" t="s">
        <v>273</v>
      </c>
      <c r="AH73" t="s">
        <v>273</v>
      </c>
      <c r="AI73" t="s">
        <v>273</v>
      </c>
      <c r="AJ73" t="s">
        <v>273</v>
      </c>
      <c r="AK73" t="s">
        <v>273</v>
      </c>
      <c r="AL73" t="s">
        <v>273</v>
      </c>
      <c r="AM73" t="s">
        <v>273</v>
      </c>
    </row>
    <row r="74" spans="2:40">
      <c r="B74" t="s">
        <v>270</v>
      </c>
      <c r="C74" t="s">
        <v>271</v>
      </c>
      <c r="D74" s="1">
        <f>ROUNDUP(AVERAGEIF('Base de Datos'!$A$2:$A$2229,$B74,'Base de Datos'!$U$2:$U$2229),0)</f>
        <v>35</v>
      </c>
      <c r="F74">
        <v>8</v>
      </c>
      <c r="AE74">
        <v>8</v>
      </c>
      <c r="AF74" t="s">
        <v>271</v>
      </c>
      <c r="AG74" t="s">
        <v>271</v>
      </c>
      <c r="AH74" t="s">
        <v>271</v>
      </c>
      <c r="AI74" t="s">
        <v>271</v>
      </c>
      <c r="AJ74" t="s">
        <v>271</v>
      </c>
      <c r="AK74" t="s">
        <v>271</v>
      </c>
      <c r="AL74" t="s">
        <v>271</v>
      </c>
      <c r="AM74" t="s">
        <v>271</v>
      </c>
    </row>
    <row r="75" spans="2:40">
      <c r="B75" t="s">
        <v>262</v>
      </c>
      <c r="C75" t="s">
        <v>263</v>
      </c>
      <c r="D75" s="1">
        <f>ROUNDUP(AVERAGEIF('Base de Datos'!$A$2:$A$2229,$B75,'Base de Datos'!$U$2:$U$2229),0)</f>
        <v>23</v>
      </c>
      <c r="F75">
        <v>6</v>
      </c>
      <c r="I75">
        <v>3</v>
      </c>
      <c r="AE75">
        <v>9</v>
      </c>
      <c r="AF75" t="s">
        <v>263</v>
      </c>
      <c r="AG75" t="s">
        <v>263</v>
      </c>
      <c r="AH75" t="s">
        <v>263</v>
      </c>
      <c r="AI75" t="s">
        <v>263</v>
      </c>
      <c r="AJ75" t="s">
        <v>263</v>
      </c>
      <c r="AK75" t="s">
        <v>263</v>
      </c>
      <c r="AL75" t="s">
        <v>263</v>
      </c>
      <c r="AM75" t="s">
        <v>263</v>
      </c>
      <c r="AN75" t="s">
        <v>263</v>
      </c>
    </row>
    <row r="76" spans="2:40">
      <c r="B76" t="s">
        <v>266</v>
      </c>
      <c r="C76" t="s">
        <v>267</v>
      </c>
      <c r="D76" s="1">
        <f>ROUNDUP(AVERAGEIF('Base de Datos'!$A$2:$A$2229,$B76,'Base de Datos'!$U$2:$U$2229),0)</f>
        <v>34</v>
      </c>
      <c r="F76">
        <v>4</v>
      </c>
      <c r="H76">
        <v>2</v>
      </c>
      <c r="I76">
        <v>2</v>
      </c>
      <c r="AE76">
        <v>8</v>
      </c>
      <c r="AF76" t="s">
        <v>267</v>
      </c>
      <c r="AG76" t="s">
        <v>267</v>
      </c>
      <c r="AH76" t="s">
        <v>267</v>
      </c>
      <c r="AI76" t="s">
        <v>267</v>
      </c>
      <c r="AJ76" t="s">
        <v>267</v>
      </c>
      <c r="AK76" t="s">
        <v>267</v>
      </c>
      <c r="AL76" t="s">
        <v>267</v>
      </c>
      <c r="AM76" t="s">
        <v>267</v>
      </c>
    </row>
    <row r="77" spans="2:40">
      <c r="B77" t="s">
        <v>264</v>
      </c>
      <c r="C77" t="s">
        <v>265</v>
      </c>
      <c r="D77" s="1">
        <f>ROUNDUP(AVERAGEIF('Base de Datos'!$A$2:$A$2229,$B77,'Base de Datos'!$U$2:$U$2229),0)</f>
        <v>26</v>
      </c>
      <c r="F77">
        <v>4</v>
      </c>
      <c r="I77">
        <v>4</v>
      </c>
      <c r="AE77">
        <v>8</v>
      </c>
      <c r="AF77" t="s">
        <v>265</v>
      </c>
      <c r="AG77" t="s">
        <v>265</v>
      </c>
      <c r="AH77" t="s">
        <v>265</v>
      </c>
      <c r="AI77" t="s">
        <v>265</v>
      </c>
      <c r="AJ77" t="s">
        <v>265</v>
      </c>
      <c r="AK77" t="s">
        <v>265</v>
      </c>
      <c r="AL77" t="s">
        <v>265</v>
      </c>
      <c r="AM77" t="s">
        <v>265</v>
      </c>
    </row>
    <row r="78" spans="2:40">
      <c r="B78" t="s">
        <v>119</v>
      </c>
      <c r="C78" t="s">
        <v>122</v>
      </c>
      <c r="D78" s="1">
        <f>ROUNDUP(AVERAGEIF('Base de Datos'!$A$2:$A$2229,$B78,'Base de Datos'!$U$2:$U$2229),0)</f>
        <v>18</v>
      </c>
      <c r="F78">
        <v>5</v>
      </c>
      <c r="G78">
        <v>1</v>
      </c>
      <c r="I78">
        <v>2</v>
      </c>
      <c r="AE78">
        <v>8</v>
      </c>
      <c r="AF78" t="s">
        <v>122</v>
      </c>
      <c r="AG78" t="s">
        <v>122</v>
      </c>
      <c r="AH78" t="s">
        <v>122</v>
      </c>
      <c r="AI78" t="s">
        <v>122</v>
      </c>
      <c r="AJ78" t="s">
        <v>122</v>
      </c>
      <c r="AK78" t="s">
        <v>122</v>
      </c>
      <c r="AL78" t="s">
        <v>122</v>
      </c>
      <c r="AM78" t="s">
        <v>122</v>
      </c>
    </row>
    <row r="79" spans="2:40">
      <c r="B79" t="s">
        <v>58</v>
      </c>
      <c r="C79" t="s">
        <v>41</v>
      </c>
      <c r="D79" s="1">
        <f>ROUNDUP(AVERAGEIF('Base de Datos'!$A$2:$A$2229,$B79,'Base de Datos'!$U$2:$U$2229),0)</f>
        <v>26</v>
      </c>
      <c r="E79">
        <v>1</v>
      </c>
      <c r="AE79">
        <v>1</v>
      </c>
      <c r="AF79" t="s">
        <v>41</v>
      </c>
    </row>
    <row r="80" spans="2:40">
      <c r="B80" t="s">
        <v>57</v>
      </c>
      <c r="C80" t="s">
        <v>41</v>
      </c>
      <c r="D80" s="1">
        <f>ROUNDUP(AVERAGEIF('Base de Datos'!$A$2:$A$2229,$B80,'Base de Datos'!$U$2:$U$2229),0)</f>
        <v>30</v>
      </c>
      <c r="E80">
        <v>1</v>
      </c>
      <c r="AE80">
        <v>1</v>
      </c>
      <c r="AF80" t="s">
        <v>41</v>
      </c>
    </row>
    <row r="81" spans="2:40">
      <c r="B81" t="s">
        <v>136</v>
      </c>
      <c r="C81" t="s">
        <v>137</v>
      </c>
      <c r="D81" s="1">
        <f>ROUNDUP(AVERAGEIF('Base de Datos'!$A$2:$A$2229,$B81,'Base de Datos'!$U$2:$U$2229),0)</f>
        <v>49</v>
      </c>
      <c r="M81">
        <v>1</v>
      </c>
      <c r="AE81">
        <v>1</v>
      </c>
      <c r="AF81" t="s">
        <v>137</v>
      </c>
    </row>
    <row r="82" spans="2:40">
      <c r="B82" t="s">
        <v>135</v>
      </c>
      <c r="C82" t="s">
        <v>133</v>
      </c>
      <c r="D82" s="1">
        <f>ROUNDUP(AVERAGEIF('Base de Datos'!$A$2:$A$2229,$B82,'Base de Datos'!$U$2:$U$2229),0)</f>
        <v>52</v>
      </c>
      <c r="M82">
        <v>1</v>
      </c>
      <c r="AE82">
        <v>1</v>
      </c>
      <c r="AF82" t="s">
        <v>133</v>
      </c>
    </row>
    <row r="83" spans="2:40">
      <c r="B83" t="s">
        <v>134</v>
      </c>
      <c r="C83" t="s">
        <v>133</v>
      </c>
      <c r="D83" s="1">
        <f>ROUNDUP(AVERAGEIF('Base de Datos'!$A$2:$A$2229,$B83,'Base de Datos'!$U$2:$U$2229),0)</f>
        <v>30</v>
      </c>
      <c r="M83">
        <v>1</v>
      </c>
      <c r="AE83">
        <v>1</v>
      </c>
      <c r="AF83" t="s">
        <v>133</v>
      </c>
    </row>
    <row r="84" spans="2:40">
      <c r="B84" t="s">
        <v>132</v>
      </c>
      <c r="C84" t="s">
        <v>133</v>
      </c>
      <c r="D84" s="1">
        <f>ROUNDUP(AVERAGEIF('Base de Datos'!$A$2:$A$2229,$B84,'Base de Datos'!$U$2:$U$2229),0)</f>
        <v>29</v>
      </c>
      <c r="M84">
        <v>1</v>
      </c>
      <c r="AE84">
        <v>1</v>
      </c>
      <c r="AF84" t="s">
        <v>133</v>
      </c>
    </row>
    <row r="85" spans="2:40">
      <c r="B85" t="s">
        <v>126</v>
      </c>
      <c r="C85" t="s">
        <v>128</v>
      </c>
      <c r="D85" s="1">
        <f>ROUNDUP(AVERAGEIF('Base de Datos'!$A$2:$A$2229,$B85,'Base de Datos'!$U$2:$U$2229),0)</f>
        <v>36</v>
      </c>
      <c r="M85">
        <v>1</v>
      </c>
      <c r="Q85">
        <v>4</v>
      </c>
      <c r="R85">
        <v>1</v>
      </c>
      <c r="S85">
        <v>3</v>
      </c>
      <c r="AE85">
        <v>9</v>
      </c>
      <c r="AF85" t="s">
        <v>128</v>
      </c>
      <c r="AG85" t="s">
        <v>128</v>
      </c>
      <c r="AH85" t="s">
        <v>129</v>
      </c>
      <c r="AI85" t="s">
        <v>128</v>
      </c>
      <c r="AJ85" t="s">
        <v>130</v>
      </c>
      <c r="AK85" t="s">
        <v>131</v>
      </c>
      <c r="AL85" t="s">
        <v>130</v>
      </c>
      <c r="AM85" t="s">
        <v>130</v>
      </c>
      <c r="AN85" t="s">
        <v>130</v>
      </c>
    </row>
    <row r="86" spans="2:40">
      <c r="B86" t="s">
        <v>115</v>
      </c>
      <c r="C86" t="s">
        <v>114</v>
      </c>
      <c r="D86" s="1">
        <f>ROUNDUP(AVERAGEIF('Base de Datos'!$A$2:$A$2229,$B86,'Base de Datos'!$U$2:$U$2229),0)</f>
        <v>49</v>
      </c>
      <c r="M86">
        <v>1</v>
      </c>
      <c r="N86">
        <v>4</v>
      </c>
      <c r="AE86">
        <v>5</v>
      </c>
      <c r="AF86" t="s">
        <v>114</v>
      </c>
      <c r="AG86" t="s">
        <v>114</v>
      </c>
      <c r="AH86" t="s">
        <v>114</v>
      </c>
      <c r="AI86" t="s">
        <v>118</v>
      </c>
      <c r="AJ86" t="s">
        <v>114</v>
      </c>
    </row>
    <row r="87" spans="2:40">
      <c r="B87" t="s">
        <v>117</v>
      </c>
      <c r="C87" t="s">
        <v>113</v>
      </c>
      <c r="D87" s="1">
        <f>ROUNDUP(AVERAGEIF('Base de Datos'!$A$2:$A$2229,$B87,'Base de Datos'!$U$2:$U$2229),0)</f>
        <v>49</v>
      </c>
      <c r="N87">
        <v>1</v>
      </c>
      <c r="AE87">
        <v>1</v>
      </c>
      <c r="AF87" t="s">
        <v>113</v>
      </c>
    </row>
    <row r="88" spans="2:40">
      <c r="B88" t="s">
        <v>116</v>
      </c>
      <c r="C88" t="s">
        <v>113</v>
      </c>
      <c r="D88" s="1">
        <f>ROUNDUP(AVERAGEIF('Base de Datos'!$A$2:$A$2229,$B88,'Base de Datos'!$U$2:$U$2229),0)</f>
        <v>44</v>
      </c>
      <c r="M88">
        <v>1</v>
      </c>
      <c r="N88">
        <v>2</v>
      </c>
      <c r="AE88">
        <v>3</v>
      </c>
      <c r="AF88" t="s">
        <v>113</v>
      </c>
      <c r="AG88" t="s">
        <v>113</v>
      </c>
      <c r="AH88" t="s">
        <v>113</v>
      </c>
    </row>
    <row r="89" spans="2:40">
      <c r="B89" t="s">
        <v>111</v>
      </c>
      <c r="C89" t="s">
        <v>113</v>
      </c>
      <c r="D89" s="1">
        <f>ROUNDUP(AVERAGEIF('Base de Datos'!$A$2:$A$2229,$B89,'Base de Datos'!$U$2:$U$2229),0)</f>
        <v>47</v>
      </c>
      <c r="N89">
        <v>3</v>
      </c>
      <c r="AE89">
        <v>3</v>
      </c>
      <c r="AF89" t="s">
        <v>113</v>
      </c>
      <c r="AG89" t="s">
        <v>114</v>
      </c>
      <c r="AH89" t="s">
        <v>114</v>
      </c>
    </row>
    <row r="90" spans="2:40">
      <c r="B90" t="s">
        <v>88</v>
      </c>
      <c r="C90" t="s">
        <v>90</v>
      </c>
      <c r="D90" s="1">
        <f>ROUNDUP(AVERAGEIF('Base de Datos'!$A$2:$A$2229,$B90,'Base de Datos'!$U$2:$U$2229),0)</f>
        <v>23</v>
      </c>
      <c r="O90">
        <v>1</v>
      </c>
      <c r="Q90">
        <v>3</v>
      </c>
      <c r="R90">
        <v>4</v>
      </c>
      <c r="AE90">
        <v>8</v>
      </c>
      <c r="AF90" t="s">
        <v>90</v>
      </c>
      <c r="AG90" t="s">
        <v>90</v>
      </c>
      <c r="AH90" t="s">
        <v>90</v>
      </c>
      <c r="AI90" t="s">
        <v>90</v>
      </c>
      <c r="AJ90" t="s">
        <v>91</v>
      </c>
      <c r="AK90" t="s">
        <v>91</v>
      </c>
      <c r="AL90" t="s">
        <v>91</v>
      </c>
      <c r="AM90" t="s">
        <v>110</v>
      </c>
    </row>
    <row r="91" spans="2:40">
      <c r="B91" t="s">
        <v>92</v>
      </c>
      <c r="C91" t="s">
        <v>93</v>
      </c>
      <c r="D91" s="1">
        <f>ROUNDUP(AVERAGEIF('Base de Datos'!$A$2:$A$2229,$B91,'Base de Datos'!$U$2:$U$2229),0)</f>
        <v>17</v>
      </c>
      <c r="M91">
        <v>2</v>
      </c>
      <c r="AE91">
        <v>2</v>
      </c>
      <c r="AF91" t="s">
        <v>93</v>
      </c>
      <c r="AG91" t="s">
        <v>93</v>
      </c>
    </row>
    <row r="92" spans="2:40">
      <c r="B92" t="s">
        <v>240</v>
      </c>
      <c r="C92" t="s">
        <v>241</v>
      </c>
      <c r="D92" s="1">
        <f>ROUNDUP(AVERAGEIF('Base de Datos'!$A$2:$A$2229,$B92,'Base de Datos'!$U$2:$U$2229),0)</f>
        <v>46</v>
      </c>
      <c r="F92">
        <v>3</v>
      </c>
      <c r="I92">
        <v>3</v>
      </c>
      <c r="AE92">
        <v>6</v>
      </c>
      <c r="AF92" t="s">
        <v>241</v>
      </c>
      <c r="AG92" t="s">
        <v>241</v>
      </c>
      <c r="AH92" t="s">
        <v>241</v>
      </c>
      <c r="AI92" t="s">
        <v>241</v>
      </c>
      <c r="AJ92" t="s">
        <v>241</v>
      </c>
      <c r="AK92" t="s">
        <v>241</v>
      </c>
    </row>
    <row r="93" spans="2:40">
      <c r="B93" t="s">
        <v>238</v>
      </c>
      <c r="C93" t="s">
        <v>239</v>
      </c>
      <c r="D93" s="1">
        <f>ROUNDUP(AVERAGEIF('Base de Datos'!$A$2:$A$2229,$B93,'Base de Datos'!$U$2:$U$2229),0)</f>
        <v>35</v>
      </c>
      <c r="F93">
        <v>3</v>
      </c>
      <c r="G93">
        <v>1</v>
      </c>
      <c r="I93">
        <v>1</v>
      </c>
      <c r="T93">
        <v>3</v>
      </c>
      <c r="AE93">
        <v>8</v>
      </c>
      <c r="AF93" t="s">
        <v>239</v>
      </c>
      <c r="AG93" t="s">
        <v>239</v>
      </c>
      <c r="AH93" t="s">
        <v>239</v>
      </c>
      <c r="AI93" t="s">
        <v>239</v>
      </c>
      <c r="AJ93" t="s">
        <v>239</v>
      </c>
      <c r="AK93" t="s">
        <v>239</v>
      </c>
      <c r="AL93" t="s">
        <v>239</v>
      </c>
      <c r="AM93" t="s">
        <v>239</v>
      </c>
    </row>
    <row r="94" spans="2:40">
      <c r="B94" t="s">
        <v>123</v>
      </c>
      <c r="C94" t="s">
        <v>125</v>
      </c>
      <c r="D94" s="1">
        <f>ROUNDUP(AVERAGEIF('Base de Datos'!$A$2:$A$2229,$B94,'Base de Datos'!$U$2:$U$2229),0)</f>
        <v>30</v>
      </c>
      <c r="F94">
        <v>1</v>
      </c>
      <c r="T94">
        <v>4</v>
      </c>
      <c r="U94">
        <v>2</v>
      </c>
      <c r="AE94">
        <v>7</v>
      </c>
      <c r="AF94" t="s">
        <v>125</v>
      </c>
      <c r="AG94" t="s">
        <v>125</v>
      </c>
      <c r="AH94" t="s">
        <v>125</v>
      </c>
      <c r="AI94" t="s">
        <v>125</v>
      </c>
      <c r="AJ94" t="s">
        <v>125</v>
      </c>
      <c r="AK94" t="s">
        <v>125</v>
      </c>
      <c r="AL94" t="s">
        <v>125</v>
      </c>
    </row>
    <row r="95" spans="2:40">
      <c r="B95" t="s">
        <v>236</v>
      </c>
      <c r="C95" t="s">
        <v>106</v>
      </c>
      <c r="D95" s="1">
        <f>ROUNDUP(AVERAGEIF('Base de Datos'!$A$2:$A$2229,$B95,'Base de Datos'!$U$2:$U$2229),0)</f>
        <v>43</v>
      </c>
      <c r="F95">
        <v>8</v>
      </c>
      <c r="AE95">
        <v>8</v>
      </c>
      <c r="AF95" t="s">
        <v>106</v>
      </c>
      <c r="AG95" t="s">
        <v>106</v>
      </c>
      <c r="AH95" t="s">
        <v>106</v>
      </c>
      <c r="AI95" t="s">
        <v>106</v>
      </c>
      <c r="AJ95" t="s">
        <v>106</v>
      </c>
      <c r="AK95" t="s">
        <v>106</v>
      </c>
      <c r="AL95" t="s">
        <v>106</v>
      </c>
      <c r="AM95" t="s">
        <v>106</v>
      </c>
    </row>
    <row r="96" spans="2:40">
      <c r="B96" t="s">
        <v>233</v>
      </c>
      <c r="C96" t="s">
        <v>234</v>
      </c>
      <c r="D96" s="1">
        <f>ROUNDUP(AVERAGEIF('Base de Datos'!$A$2:$A$2229,$B96,'Base de Datos'!$U$2:$U$2229),0)</f>
        <v>32</v>
      </c>
      <c r="F96">
        <v>4</v>
      </c>
      <c r="G96">
        <v>4</v>
      </c>
      <c r="AE96">
        <v>8</v>
      </c>
      <c r="AF96" t="s">
        <v>234</v>
      </c>
      <c r="AG96" t="s">
        <v>235</v>
      </c>
      <c r="AH96" t="s">
        <v>235</v>
      </c>
      <c r="AI96" t="s">
        <v>235</v>
      </c>
      <c r="AJ96" t="s">
        <v>235</v>
      </c>
      <c r="AK96" t="s">
        <v>235</v>
      </c>
      <c r="AL96" t="s">
        <v>235</v>
      </c>
      <c r="AM96" t="s">
        <v>235</v>
      </c>
    </row>
    <row r="97" spans="2:40">
      <c r="B97" t="s">
        <v>232</v>
      </c>
      <c r="C97" t="s">
        <v>91</v>
      </c>
      <c r="D97" s="1">
        <f>ROUNDUP(AVERAGEIF('Base de Datos'!$A$2:$A$2229,$B97,'Base de Datos'!$U$2:$U$2229),0)</f>
        <v>23</v>
      </c>
      <c r="F97">
        <v>5</v>
      </c>
      <c r="G97">
        <v>1</v>
      </c>
      <c r="I97">
        <v>2</v>
      </c>
      <c r="AE97">
        <v>8</v>
      </c>
      <c r="AF97" t="s">
        <v>91</v>
      </c>
      <c r="AG97" t="s">
        <v>91</v>
      </c>
      <c r="AH97" t="s">
        <v>91</v>
      </c>
      <c r="AI97" t="s">
        <v>91</v>
      </c>
      <c r="AJ97" t="s">
        <v>91</v>
      </c>
      <c r="AK97" t="s">
        <v>91</v>
      </c>
      <c r="AL97" t="s">
        <v>91</v>
      </c>
      <c r="AM97" t="s">
        <v>91</v>
      </c>
    </row>
    <row r="98" spans="2:40">
      <c r="B98" t="s">
        <v>230</v>
      </c>
      <c r="C98" t="s">
        <v>231</v>
      </c>
      <c r="D98" s="1">
        <f>ROUNDUP(AVERAGEIF('Base de Datos'!$A$2:$A$2229,$B98,'Base de Datos'!$U$2:$U$2229),0)</f>
        <v>29</v>
      </c>
      <c r="F98">
        <v>6</v>
      </c>
      <c r="T98">
        <v>2</v>
      </c>
      <c r="AE98">
        <v>8</v>
      </c>
      <c r="AF98" t="s">
        <v>231</v>
      </c>
      <c r="AG98" t="s">
        <v>231</v>
      </c>
      <c r="AH98" t="s">
        <v>231</v>
      </c>
      <c r="AI98" t="s">
        <v>231</v>
      </c>
      <c r="AJ98" t="s">
        <v>231</v>
      </c>
      <c r="AK98" t="s">
        <v>231</v>
      </c>
      <c r="AL98" t="s">
        <v>231</v>
      </c>
      <c r="AM98" t="s">
        <v>231</v>
      </c>
    </row>
    <row r="99" spans="2:40">
      <c r="B99" t="s">
        <v>228</v>
      </c>
      <c r="C99" t="s">
        <v>229</v>
      </c>
      <c r="D99" s="1">
        <f>ROUNDUP(AVERAGEIF('Base de Datos'!$A$2:$A$2229,$B99,'Base de Datos'!$U$2:$U$2229),0)</f>
        <v>17</v>
      </c>
      <c r="F99">
        <v>3</v>
      </c>
      <c r="G99">
        <v>1</v>
      </c>
      <c r="T99">
        <v>4</v>
      </c>
      <c r="AE99">
        <v>8</v>
      </c>
      <c r="AF99" t="s">
        <v>229</v>
      </c>
      <c r="AG99" t="s">
        <v>229</v>
      </c>
      <c r="AH99" t="s">
        <v>229</v>
      </c>
      <c r="AI99" t="s">
        <v>229</v>
      </c>
      <c r="AJ99" t="s">
        <v>229</v>
      </c>
      <c r="AK99" t="s">
        <v>229</v>
      </c>
      <c r="AL99" t="s">
        <v>229</v>
      </c>
      <c r="AM99" t="s">
        <v>229</v>
      </c>
    </row>
    <row r="100" spans="2:40">
      <c r="B100" t="s">
        <v>227</v>
      </c>
      <c r="C100" t="s">
        <v>226</v>
      </c>
      <c r="D100" s="1">
        <f>ROUNDUP(AVERAGEIF('Base de Datos'!$A$2:$A$2229,$B100,'Base de Datos'!$U$2:$U$2229),0)</f>
        <v>56</v>
      </c>
      <c r="F100">
        <v>8</v>
      </c>
      <c r="AE100">
        <v>8</v>
      </c>
      <c r="AF100" t="s">
        <v>226</v>
      </c>
      <c r="AG100" t="s">
        <v>226</v>
      </c>
      <c r="AH100" t="s">
        <v>226</v>
      </c>
      <c r="AI100" t="s">
        <v>226</v>
      </c>
      <c r="AJ100" t="s">
        <v>226</v>
      </c>
      <c r="AK100" t="s">
        <v>226</v>
      </c>
      <c r="AL100" t="s">
        <v>226</v>
      </c>
      <c r="AM100" t="s">
        <v>226</v>
      </c>
    </row>
    <row r="101" spans="2:40">
      <c r="B101" t="s">
        <v>225</v>
      </c>
      <c r="C101" t="s">
        <v>226</v>
      </c>
      <c r="D101" s="1">
        <f>ROUNDUP(AVERAGEIF('Base de Datos'!$A$2:$A$2229,$B101,'Base de Datos'!$U$2:$U$2229),0)</f>
        <v>32</v>
      </c>
      <c r="F101">
        <v>8</v>
      </c>
      <c r="AE101">
        <v>8</v>
      </c>
      <c r="AF101" t="s">
        <v>226</v>
      </c>
      <c r="AG101" t="s">
        <v>226</v>
      </c>
      <c r="AH101" t="s">
        <v>226</v>
      </c>
      <c r="AI101" t="s">
        <v>226</v>
      </c>
      <c r="AJ101" t="s">
        <v>226</v>
      </c>
      <c r="AK101" t="s">
        <v>226</v>
      </c>
      <c r="AL101" t="s">
        <v>226</v>
      </c>
      <c r="AM101" t="s">
        <v>226</v>
      </c>
    </row>
    <row r="102" spans="2:40">
      <c r="B102" t="s">
        <v>223</v>
      </c>
      <c r="C102" t="s">
        <v>224</v>
      </c>
      <c r="D102" s="1">
        <f>ROUNDUP(AVERAGEIF('Base de Datos'!$A$2:$A$2229,$B102,'Base de Datos'!$U$2:$U$2229),0)</f>
        <v>9</v>
      </c>
      <c r="F102">
        <v>1</v>
      </c>
      <c r="G102">
        <v>1</v>
      </c>
      <c r="T102">
        <v>3</v>
      </c>
      <c r="AE102">
        <v>5</v>
      </c>
      <c r="AF102" t="s">
        <v>224</v>
      </c>
      <c r="AG102" t="s">
        <v>224</v>
      </c>
      <c r="AH102" t="s">
        <v>224</v>
      </c>
      <c r="AI102" t="s">
        <v>224</v>
      </c>
      <c r="AJ102" t="s">
        <v>224</v>
      </c>
    </row>
    <row r="103" spans="2:40">
      <c r="B103" t="s">
        <v>183</v>
      </c>
      <c r="C103" t="s">
        <v>181</v>
      </c>
      <c r="D103" s="1">
        <f>ROUNDUP(AVERAGEIF('Base de Datos'!$A$2:$A$2229,$B103,'Base de Datos'!$U$2:$U$2229),0)</f>
        <v>48</v>
      </c>
      <c r="G103">
        <v>2</v>
      </c>
      <c r="AE103">
        <v>2</v>
      </c>
      <c r="AF103" t="s">
        <v>181</v>
      </c>
      <c r="AG103" t="s">
        <v>181</v>
      </c>
    </row>
    <row r="104" spans="2:40">
      <c r="B104" t="s">
        <v>182</v>
      </c>
      <c r="C104" t="s">
        <v>181</v>
      </c>
      <c r="D104" s="1">
        <f>ROUNDUP(AVERAGEIF('Base de Datos'!$A$2:$A$2229,$B104,'Base de Datos'!$U$2:$U$2229),0)</f>
        <v>47</v>
      </c>
      <c r="G104">
        <v>2</v>
      </c>
      <c r="AE104">
        <v>2</v>
      </c>
      <c r="AF104" t="s">
        <v>181</v>
      </c>
      <c r="AG104" t="s">
        <v>113</v>
      </c>
    </row>
    <row r="105" spans="2:40">
      <c r="B105" t="s">
        <v>178</v>
      </c>
      <c r="C105" t="s">
        <v>181</v>
      </c>
      <c r="D105" s="1">
        <f>ROUNDUP(AVERAGEIF('Base de Datos'!$A$2:$A$2229,$B105,'Base de Datos'!$U$2:$U$2229),0)</f>
        <v>44</v>
      </c>
      <c r="G105">
        <v>2</v>
      </c>
      <c r="AE105">
        <v>2</v>
      </c>
      <c r="AF105" t="s">
        <v>181</v>
      </c>
      <c r="AG105" t="s">
        <v>113</v>
      </c>
    </row>
    <row r="106" spans="2:40">
      <c r="B106" t="s">
        <v>42</v>
      </c>
      <c r="C106" t="s">
        <v>41</v>
      </c>
      <c r="D106" s="1">
        <f>ROUNDUP(AVERAGEIF('Base de Datos'!$A$2:$A$2229,$B106,'Base de Datos'!$U$2:$U$2229),0)</f>
        <v>26</v>
      </c>
      <c r="E106">
        <v>1</v>
      </c>
      <c r="AE106">
        <v>1</v>
      </c>
      <c r="AF106" t="s">
        <v>41</v>
      </c>
    </row>
    <row r="107" spans="2:40">
      <c r="B107" t="s">
        <v>38</v>
      </c>
      <c r="C107" t="s">
        <v>41</v>
      </c>
      <c r="D107" s="1">
        <f>ROUNDUP(AVERAGEIF('Base de Datos'!$A$2:$A$2229,$B107,'Base de Datos'!$U$2:$U$2229),0)</f>
        <v>25</v>
      </c>
      <c r="E107">
        <v>1</v>
      </c>
      <c r="AE107">
        <v>1</v>
      </c>
      <c r="AF107" t="s">
        <v>41</v>
      </c>
    </row>
    <row r="108" spans="2:40">
      <c r="B108" t="s">
        <v>59</v>
      </c>
      <c r="C108" t="s">
        <v>61</v>
      </c>
      <c r="D108" s="1">
        <f>ROUNDUP(AVERAGEIF('Base de Datos'!$A$2:$A$2229,$B108,'Base de Datos'!$U$2:$U$2229),0)</f>
        <v>20</v>
      </c>
      <c r="E108">
        <v>1</v>
      </c>
      <c r="Q108">
        <v>2</v>
      </c>
      <c r="AE108">
        <v>3</v>
      </c>
      <c r="AF108" t="s">
        <v>61</v>
      </c>
      <c r="AG108" t="s">
        <v>61</v>
      </c>
      <c r="AH108" t="s">
        <v>61</v>
      </c>
    </row>
    <row r="109" spans="2:40">
      <c r="B109" t="s">
        <v>186</v>
      </c>
      <c r="C109" t="s">
        <v>185</v>
      </c>
      <c r="D109" s="1">
        <f>ROUNDUP(AVERAGEIF('Base de Datos'!$A$2:$A$2229,$B109,'Base de Datos'!$U$2:$U$2229),0)</f>
        <v>16</v>
      </c>
      <c r="F109">
        <v>8</v>
      </c>
      <c r="AE109">
        <v>8</v>
      </c>
      <c r="AF109" t="s">
        <v>185</v>
      </c>
      <c r="AG109" t="s">
        <v>185</v>
      </c>
      <c r="AH109" t="s">
        <v>185</v>
      </c>
      <c r="AI109" t="s">
        <v>185</v>
      </c>
      <c r="AJ109" t="s">
        <v>185</v>
      </c>
      <c r="AK109" t="s">
        <v>185</v>
      </c>
      <c r="AL109" t="s">
        <v>185</v>
      </c>
      <c r="AM109" t="s">
        <v>185</v>
      </c>
    </row>
    <row r="110" spans="2:40">
      <c r="B110" t="s">
        <v>184</v>
      </c>
      <c r="C110" t="s">
        <v>185</v>
      </c>
      <c r="D110" s="1">
        <f>ROUNDUP(AVERAGEIF('Base de Datos'!$A$2:$A$2229,$B110,'Base de Datos'!$U$2:$U$2229),0)</f>
        <v>15</v>
      </c>
      <c r="F110">
        <v>9</v>
      </c>
      <c r="AE110">
        <v>9</v>
      </c>
      <c r="AF110" t="s">
        <v>185</v>
      </c>
      <c r="AG110" t="s">
        <v>185</v>
      </c>
      <c r="AH110" t="s">
        <v>185</v>
      </c>
      <c r="AI110" t="s">
        <v>185</v>
      </c>
      <c r="AJ110" t="s">
        <v>185</v>
      </c>
      <c r="AK110" t="s">
        <v>185</v>
      </c>
      <c r="AL110" t="s">
        <v>185</v>
      </c>
      <c r="AM110" t="s">
        <v>185</v>
      </c>
      <c r="AN110" t="s">
        <v>185</v>
      </c>
    </row>
    <row r="111" spans="2:40">
      <c r="B111" t="s">
        <v>176</v>
      </c>
      <c r="C111" t="s">
        <v>177</v>
      </c>
      <c r="D111" s="1">
        <f>ROUNDUP(AVERAGEIF('Base de Datos'!$A$2:$A$2229,$B111,'Base de Datos'!$U$2:$U$2229),0)</f>
        <v>23</v>
      </c>
      <c r="F111">
        <v>8</v>
      </c>
      <c r="AE111">
        <v>8</v>
      </c>
      <c r="AF111" t="s">
        <v>177</v>
      </c>
      <c r="AG111" t="s">
        <v>177</v>
      </c>
      <c r="AH111" t="s">
        <v>177</v>
      </c>
      <c r="AI111" t="s">
        <v>177</v>
      </c>
      <c r="AJ111" t="s">
        <v>177</v>
      </c>
      <c r="AK111" t="s">
        <v>177</v>
      </c>
      <c r="AL111" t="s">
        <v>177</v>
      </c>
      <c r="AM111" t="s">
        <v>177</v>
      </c>
    </row>
    <row r="112" spans="2:40">
      <c r="B112" t="s">
        <v>175</v>
      </c>
      <c r="C112" t="s">
        <v>170</v>
      </c>
      <c r="D112" s="1">
        <f>ROUNDUP(AVERAGEIF('Base de Datos'!$A$2:$A$2229,$B112,'Base de Datos'!$U$2:$U$2229),0)</f>
        <v>20</v>
      </c>
      <c r="F112">
        <v>8</v>
      </c>
      <c r="AE112">
        <v>8</v>
      </c>
      <c r="AF112" t="s">
        <v>170</v>
      </c>
      <c r="AG112" t="s">
        <v>170</v>
      </c>
      <c r="AH112" t="s">
        <v>170</v>
      </c>
      <c r="AI112" t="s">
        <v>170</v>
      </c>
      <c r="AJ112" t="s">
        <v>170</v>
      </c>
      <c r="AK112" t="s">
        <v>170</v>
      </c>
      <c r="AL112" t="s">
        <v>170</v>
      </c>
      <c r="AM112" t="s">
        <v>170</v>
      </c>
    </row>
    <row r="113" spans="2:39">
      <c r="B113" t="s">
        <v>174</v>
      </c>
      <c r="C113" t="s">
        <v>170</v>
      </c>
      <c r="D113" s="1">
        <f>ROUNDUP(AVERAGEIF('Base de Datos'!$A$2:$A$2229,$B113,'Base de Datos'!$U$2:$U$2229),0)</f>
        <v>14</v>
      </c>
      <c r="F113">
        <v>1</v>
      </c>
      <c r="AE113">
        <v>1</v>
      </c>
      <c r="AF113" t="s">
        <v>170</v>
      </c>
    </row>
    <row r="114" spans="2:39">
      <c r="B114" t="s">
        <v>169</v>
      </c>
      <c r="C114" t="s">
        <v>170</v>
      </c>
      <c r="D114" s="1">
        <f>ROUNDUP(AVERAGEIF('Base de Datos'!$A$2:$A$2229,$B114,'Base de Datos'!$U$2:$U$2229),0)</f>
        <v>13</v>
      </c>
      <c r="F114">
        <v>8</v>
      </c>
      <c r="AE114">
        <v>8</v>
      </c>
      <c r="AF114" t="s">
        <v>170</v>
      </c>
      <c r="AG114" t="s">
        <v>170</v>
      </c>
      <c r="AH114" t="s">
        <v>170</v>
      </c>
      <c r="AI114" t="s">
        <v>170</v>
      </c>
      <c r="AJ114" t="s">
        <v>170</v>
      </c>
      <c r="AK114" t="s">
        <v>170</v>
      </c>
      <c r="AL114" t="s">
        <v>170</v>
      </c>
      <c r="AM114" t="s">
        <v>170</v>
      </c>
    </row>
    <row r="115" spans="2:39">
      <c r="B115" t="s">
        <v>171</v>
      </c>
      <c r="C115" t="s">
        <v>173</v>
      </c>
      <c r="D115" s="1">
        <f>ROUNDUP(AVERAGEIF('Base de Datos'!$A$2:$A$2229,$B115,'Base de Datos'!$U$2:$U$2229),0)</f>
        <v>18</v>
      </c>
      <c r="F115">
        <v>5</v>
      </c>
      <c r="I115">
        <v>2</v>
      </c>
      <c r="AE115">
        <v>7</v>
      </c>
      <c r="AF115" t="s">
        <v>173</v>
      </c>
      <c r="AG115" t="s">
        <v>173</v>
      </c>
      <c r="AH115" t="s">
        <v>173</v>
      </c>
      <c r="AI115" t="s">
        <v>173</v>
      </c>
      <c r="AJ115" t="s">
        <v>173</v>
      </c>
      <c r="AK115" t="s">
        <v>173</v>
      </c>
      <c r="AL115" t="s">
        <v>173</v>
      </c>
    </row>
    <row r="116" spans="2:39">
      <c r="B116" t="s">
        <v>82</v>
      </c>
      <c r="C116" t="s">
        <v>83</v>
      </c>
      <c r="D116" s="1">
        <f>ROUNDUP(AVERAGEIF('Base de Datos'!$A$2:$A$2229,$B116,'Base de Datos'!$U$2:$U$2229),0)</f>
        <v>22</v>
      </c>
      <c r="M116">
        <v>1</v>
      </c>
      <c r="AE116">
        <v>1</v>
      </c>
      <c r="AF116" t="s">
        <v>83</v>
      </c>
    </row>
    <row r="117" spans="2:39">
      <c r="B117" t="s">
        <v>81</v>
      </c>
      <c r="C117" t="s">
        <v>80</v>
      </c>
      <c r="D117" s="1">
        <f>ROUNDUP(AVERAGEIF('Base de Datos'!$A$2:$A$2229,$B117,'Base de Datos'!$U$2:$U$2229),0)</f>
        <v>12</v>
      </c>
      <c r="M117">
        <v>1</v>
      </c>
      <c r="AE117">
        <v>1</v>
      </c>
      <c r="AF117" t="s">
        <v>80</v>
      </c>
    </row>
    <row r="118" spans="2:39">
      <c r="B118" t="s">
        <v>79</v>
      </c>
      <c r="C118" t="s">
        <v>80</v>
      </c>
      <c r="D118" s="1">
        <f>ROUNDUP(AVERAGEIF('Base de Datos'!$A$2:$A$2229,$B118,'Base de Datos'!$U$2:$U$2229),0)</f>
        <v>11</v>
      </c>
      <c r="M118">
        <v>1</v>
      </c>
      <c r="AE118">
        <v>1</v>
      </c>
      <c r="AF118" t="s">
        <v>80</v>
      </c>
    </row>
    <row r="119" spans="2:39">
      <c r="B119" t="s">
        <v>78</v>
      </c>
      <c r="C119" t="s">
        <v>77</v>
      </c>
      <c r="D119" s="1">
        <f>ROUNDUP(AVERAGEIF('Base de Datos'!$A$2:$A$2229,$B119,'Base de Datos'!$U$2:$U$2229),0)</f>
        <v>19</v>
      </c>
      <c r="M119">
        <v>1</v>
      </c>
      <c r="AE119">
        <v>1</v>
      </c>
      <c r="AF119" t="s">
        <v>77</v>
      </c>
    </row>
    <row r="120" spans="2:39">
      <c r="B120" t="s">
        <v>73</v>
      </c>
      <c r="C120" t="s">
        <v>75</v>
      </c>
      <c r="D120" s="1">
        <f>ROUNDUP(AVERAGEIF('Base de Datos'!$A$2:$A$2229,$B120,'Base de Datos'!$U$2:$U$2229),0)</f>
        <v>9</v>
      </c>
      <c r="Z120">
        <v>1</v>
      </c>
      <c r="AE120">
        <v>1</v>
      </c>
      <c r="AF120" t="s">
        <v>75</v>
      </c>
    </row>
    <row r="121" spans="2:39">
      <c r="B121" t="s">
        <v>87</v>
      </c>
      <c r="C121" t="s">
        <v>86</v>
      </c>
      <c r="D121" s="1">
        <f>ROUNDUP(AVERAGEIF('Base de Datos'!$A$2:$A$2229,$B121,'Base de Datos'!$U$2:$U$2229),0)</f>
        <v>24</v>
      </c>
      <c r="J121">
        <v>1</v>
      </c>
      <c r="AE121">
        <v>1</v>
      </c>
      <c r="AF121" t="s">
        <v>86</v>
      </c>
    </row>
    <row r="122" spans="2:39">
      <c r="B122" t="s">
        <v>71</v>
      </c>
      <c r="C122" t="s">
        <v>72</v>
      </c>
      <c r="D122" s="1">
        <f>ROUNDUP(AVERAGEIF('Base de Datos'!$A$2:$A$2229,$B122,'Base de Datos'!$U$2:$U$2229),0)</f>
        <v>19</v>
      </c>
      <c r="M122">
        <v>1</v>
      </c>
      <c r="AE122">
        <v>1</v>
      </c>
      <c r="AF122" t="s">
        <v>72</v>
      </c>
    </row>
    <row r="123" spans="2:39">
      <c r="B123" t="s">
        <v>62</v>
      </c>
      <c r="C123" t="s">
        <v>64</v>
      </c>
      <c r="D123" s="1">
        <f>ROUNDUP(AVERAGEIF('Base de Datos'!$A$2:$A$2229,$B123,'Base de Datos'!$U$2:$U$2229),0)</f>
        <v>10</v>
      </c>
      <c r="M123">
        <v>2</v>
      </c>
      <c r="AE123">
        <v>2</v>
      </c>
      <c r="AF123" t="s">
        <v>64</v>
      </c>
      <c r="AG123" t="s">
        <v>64</v>
      </c>
    </row>
    <row r="124" spans="2:39">
      <c r="B124" t="s">
        <v>69</v>
      </c>
      <c r="C124" t="s">
        <v>70</v>
      </c>
      <c r="D124" s="1">
        <f>ROUNDUP(AVERAGEIF('Base de Datos'!$A$2:$A$2229,$B124,'Base de Datos'!$U$2:$U$2229),0)</f>
        <v>8</v>
      </c>
      <c r="AA124">
        <v>1</v>
      </c>
      <c r="AE124">
        <v>1</v>
      </c>
      <c r="AF124" t="s">
        <v>70</v>
      </c>
    </row>
    <row r="125" spans="2:39">
      <c r="B125" t="s">
        <v>65</v>
      </c>
      <c r="C125" t="s">
        <v>67</v>
      </c>
      <c r="D125" s="1">
        <f>ROUNDUP(AVERAGEIF('Base de Datos'!$A$2:$A$2229,$B125,'Base de Datos'!$U$2:$U$2229),0)</f>
        <v>12</v>
      </c>
      <c r="AA125">
        <v>1</v>
      </c>
      <c r="AE125">
        <v>1</v>
      </c>
      <c r="AF125" t="s">
        <v>67</v>
      </c>
    </row>
    <row r="126" spans="2:39">
      <c r="B126" t="s">
        <v>84</v>
      </c>
      <c r="C126" t="s">
        <v>86</v>
      </c>
      <c r="D126" s="1">
        <f>ROUNDUP(AVERAGEIF('Base de Datos'!$A$2:$A$2229,$B126,'Base de Datos'!$U$2:$U$2229),0)</f>
        <v>23</v>
      </c>
      <c r="J126">
        <v>1</v>
      </c>
      <c r="AE126">
        <v>1</v>
      </c>
      <c r="AF126" t="s">
        <v>86</v>
      </c>
    </row>
    <row r="127" spans="2:39">
      <c r="B127" t="s">
        <v>76</v>
      </c>
      <c r="C127" t="s">
        <v>77</v>
      </c>
      <c r="D127" s="1">
        <f>ROUNDUP(AVERAGEIF('Base de Datos'!$A$2:$A$2229,$B127,'Base de Datos'!$U$2:$U$2229),0)</f>
        <v>14</v>
      </c>
      <c r="M127">
        <v>1</v>
      </c>
      <c r="AE127">
        <v>1</v>
      </c>
      <c r="AF127" t="s">
        <v>77</v>
      </c>
    </row>
    <row r="128" spans="2:39">
      <c r="B128" t="s">
        <v>221</v>
      </c>
      <c r="C128" t="s">
        <v>222</v>
      </c>
      <c r="D128" s="1">
        <f>ROUNDUP(AVERAGEIF('Base de Datos'!$A$2:$A$2229,$B128,'Base de Datos'!$U$2:$U$2229),0)</f>
        <v>32</v>
      </c>
      <c r="F128">
        <v>6</v>
      </c>
      <c r="G128">
        <v>2</v>
      </c>
      <c r="AE128">
        <v>8</v>
      </c>
      <c r="AF128" t="s">
        <v>222</v>
      </c>
      <c r="AG128" t="s">
        <v>222</v>
      </c>
      <c r="AH128" t="s">
        <v>222</v>
      </c>
      <c r="AI128" t="s">
        <v>222</v>
      </c>
      <c r="AJ128" t="s">
        <v>222</v>
      </c>
      <c r="AK128" t="s">
        <v>222</v>
      </c>
      <c r="AL128" t="s">
        <v>222</v>
      </c>
      <c r="AM128" t="s">
        <v>222</v>
      </c>
    </row>
    <row r="129" spans="2:39">
      <c r="B129" t="s">
        <v>219</v>
      </c>
      <c r="C129" t="s">
        <v>220</v>
      </c>
      <c r="D129" s="1">
        <f>ROUNDUP(AVERAGEIF('Base de Datos'!$A$2:$A$2229,$B129,'Base de Datos'!$U$2:$U$2229),0)</f>
        <v>23</v>
      </c>
      <c r="F129">
        <v>8</v>
      </c>
      <c r="AE129">
        <v>8</v>
      </c>
      <c r="AF129" t="s">
        <v>220</v>
      </c>
      <c r="AG129" t="s">
        <v>220</v>
      </c>
      <c r="AH129" t="s">
        <v>220</v>
      </c>
      <c r="AI129" t="s">
        <v>220</v>
      </c>
      <c r="AJ129" t="s">
        <v>220</v>
      </c>
      <c r="AK129" t="s">
        <v>220</v>
      </c>
      <c r="AL129" t="s">
        <v>220</v>
      </c>
      <c r="AM129" t="s">
        <v>220</v>
      </c>
    </row>
    <row r="130" spans="2:39">
      <c r="B130" t="s">
        <v>218</v>
      </c>
      <c r="C130" t="s">
        <v>208</v>
      </c>
      <c r="D130" s="1">
        <f>ROUNDUP(AVERAGEIF('Base de Datos'!$A$2:$A$2229,$B130,'Base de Datos'!$U$2:$U$2229),0)</f>
        <v>34</v>
      </c>
      <c r="F130">
        <v>2</v>
      </c>
      <c r="G130">
        <v>6</v>
      </c>
      <c r="AE130">
        <v>8</v>
      </c>
      <c r="AF130" t="s">
        <v>208</v>
      </c>
      <c r="AG130" t="s">
        <v>208</v>
      </c>
      <c r="AH130" t="s">
        <v>208</v>
      </c>
      <c r="AI130" t="s">
        <v>208</v>
      </c>
      <c r="AJ130" t="s">
        <v>208</v>
      </c>
      <c r="AK130" t="s">
        <v>208</v>
      </c>
      <c r="AL130" t="s">
        <v>208</v>
      </c>
      <c r="AM130" t="s">
        <v>208</v>
      </c>
    </row>
    <row r="131" spans="2:39">
      <c r="B131" t="s">
        <v>207</v>
      </c>
      <c r="C131" t="s">
        <v>208</v>
      </c>
      <c r="D131" s="1">
        <f>ROUNDUP(AVERAGEIF('Base de Datos'!$A$2:$A$2229,$B131,'Base de Datos'!$U$2:$U$2229),0)</f>
        <v>15</v>
      </c>
      <c r="F131">
        <v>1</v>
      </c>
      <c r="G131">
        <v>7</v>
      </c>
      <c r="AE131">
        <v>8</v>
      </c>
      <c r="AF131" t="s">
        <v>208</v>
      </c>
      <c r="AG131" t="s">
        <v>206</v>
      </c>
      <c r="AH131" t="s">
        <v>206</v>
      </c>
      <c r="AI131" t="s">
        <v>206</v>
      </c>
      <c r="AJ131" t="s">
        <v>206</v>
      </c>
      <c r="AK131" t="s">
        <v>206</v>
      </c>
      <c r="AL131" t="s">
        <v>206</v>
      </c>
      <c r="AM131" t="s">
        <v>206</v>
      </c>
    </row>
    <row r="132" spans="2:39">
      <c r="B132" t="s">
        <v>212</v>
      </c>
      <c r="C132" t="s">
        <v>211</v>
      </c>
      <c r="D132" s="1">
        <f>ROUNDUP(AVERAGEIF('Base de Datos'!$A$2:$A$2229,$B132,'Base de Datos'!$U$2:$U$2229),0)</f>
        <v>17</v>
      </c>
      <c r="P132">
        <v>1</v>
      </c>
      <c r="AE132">
        <v>1</v>
      </c>
      <c r="AF132" t="s">
        <v>211</v>
      </c>
    </row>
    <row r="133" spans="2:39">
      <c r="B133" t="s">
        <v>204</v>
      </c>
      <c r="C133" t="s">
        <v>203</v>
      </c>
      <c r="D133" s="1">
        <f>ROUNDUP(AVERAGEIF('Base de Datos'!$A$2:$A$2229,$B133,'Base de Datos'!$U$2:$U$2229),0)</f>
        <v>10</v>
      </c>
      <c r="X133">
        <v>1</v>
      </c>
      <c r="AE133">
        <v>1</v>
      </c>
      <c r="AF133" t="s">
        <v>203</v>
      </c>
    </row>
    <row r="134" spans="2:39">
      <c r="B134" t="s">
        <v>202</v>
      </c>
      <c r="C134" t="s">
        <v>203</v>
      </c>
      <c r="D134" s="1">
        <f>ROUNDUP(AVERAGEIF('Base de Datos'!$A$2:$A$2229,$B134,'Base de Datos'!$U$2:$U$2229),0)</f>
        <v>9</v>
      </c>
      <c r="X134">
        <v>1</v>
      </c>
      <c r="AE134">
        <v>1</v>
      </c>
      <c r="AF134" t="s">
        <v>203</v>
      </c>
    </row>
    <row r="135" spans="2:39">
      <c r="B135" t="s">
        <v>201</v>
      </c>
      <c r="C135" t="s">
        <v>64</v>
      </c>
      <c r="D135" s="1">
        <f>ROUNDUP(AVERAGEIF('Base de Datos'!$A$2:$A$2229,$B135,'Base de Datos'!$U$2:$U$2229),0)</f>
        <v>16</v>
      </c>
      <c r="X135">
        <v>1</v>
      </c>
      <c r="AE135">
        <v>1</v>
      </c>
      <c r="AF135" t="s">
        <v>64</v>
      </c>
    </row>
    <row r="136" spans="2:39">
      <c r="B136" t="s">
        <v>199</v>
      </c>
      <c r="C136" t="s">
        <v>64</v>
      </c>
      <c r="D136" s="1">
        <f>ROUNDUP(AVERAGEIF('Base de Datos'!$A$2:$A$2229,$B136,'Base de Datos'!$U$2:$U$2229),0)</f>
        <v>15</v>
      </c>
      <c r="X136">
        <v>1</v>
      </c>
      <c r="AE136">
        <v>1</v>
      </c>
      <c r="AF136" t="s">
        <v>64</v>
      </c>
    </row>
    <row r="137" spans="2:39">
      <c r="B137" t="s">
        <v>197</v>
      </c>
      <c r="C137" t="s">
        <v>198</v>
      </c>
      <c r="D137" s="1">
        <f>ROUNDUP(AVERAGEIF('Base de Datos'!$A$2:$A$2229,$B137,'Base de Datos'!$U$2:$U$2229),0)</f>
        <v>9</v>
      </c>
      <c r="G137">
        <v>5</v>
      </c>
      <c r="AE137">
        <v>5</v>
      </c>
      <c r="AF137" t="s">
        <v>198</v>
      </c>
      <c r="AG137" t="s">
        <v>198</v>
      </c>
      <c r="AH137" t="s">
        <v>198</v>
      </c>
      <c r="AI137" t="s">
        <v>198</v>
      </c>
      <c r="AJ137" t="s">
        <v>198</v>
      </c>
    </row>
    <row r="138" spans="2:39">
      <c r="B138" t="s">
        <v>195</v>
      </c>
      <c r="C138" t="s">
        <v>196</v>
      </c>
      <c r="D138" s="1">
        <f>ROUNDUP(AVERAGEIF('Base de Datos'!$A$2:$A$2229,$B138,'Base de Datos'!$U$2:$U$2229),0)</f>
        <v>17</v>
      </c>
      <c r="F138">
        <v>6</v>
      </c>
      <c r="G138">
        <v>1</v>
      </c>
      <c r="AE138">
        <v>7</v>
      </c>
      <c r="AF138" t="s">
        <v>196</v>
      </c>
      <c r="AG138" t="s">
        <v>196</v>
      </c>
      <c r="AH138" t="s">
        <v>196</v>
      </c>
      <c r="AI138" t="s">
        <v>196</v>
      </c>
      <c r="AJ138" t="s">
        <v>196</v>
      </c>
      <c r="AK138" t="s">
        <v>196</v>
      </c>
      <c r="AL138" t="s">
        <v>196</v>
      </c>
    </row>
    <row r="139" spans="2:39">
      <c r="B139" t="s">
        <v>194</v>
      </c>
      <c r="C139" t="s">
        <v>190</v>
      </c>
      <c r="D139" s="1">
        <f>ROUNDUP(AVERAGEIF('Base de Datos'!$A$2:$A$2229,$B139,'Base de Datos'!$U$2:$U$2229),0)</f>
        <v>18</v>
      </c>
      <c r="G139">
        <v>1</v>
      </c>
      <c r="AE139">
        <v>1</v>
      </c>
      <c r="AF139" t="s">
        <v>190</v>
      </c>
    </row>
    <row r="140" spans="2:39">
      <c r="B140" t="s">
        <v>193</v>
      </c>
      <c r="C140" t="s">
        <v>190</v>
      </c>
      <c r="D140" s="1">
        <f>ROUNDUP(AVERAGEIF('Base de Datos'!$A$2:$A$2229,$B140,'Base de Datos'!$U$2:$U$2229),0)</f>
        <v>18</v>
      </c>
      <c r="G140">
        <v>1</v>
      </c>
      <c r="AE140">
        <v>1</v>
      </c>
      <c r="AF140" t="s">
        <v>190</v>
      </c>
    </row>
    <row r="141" spans="2:39">
      <c r="B141" t="s">
        <v>189</v>
      </c>
      <c r="C141" t="s">
        <v>190</v>
      </c>
      <c r="D141" s="1">
        <f>ROUNDUP(AVERAGEIF('Base de Datos'!$A$2:$A$2229,$B141,'Base de Datos'!$U$2:$U$2229),0)</f>
        <v>13</v>
      </c>
      <c r="G141">
        <v>2</v>
      </c>
      <c r="AE141">
        <v>2</v>
      </c>
      <c r="AF141" t="s">
        <v>190</v>
      </c>
      <c r="AG141" t="s">
        <v>190</v>
      </c>
    </row>
    <row r="142" spans="2:39">
      <c r="B142" t="s">
        <v>192</v>
      </c>
      <c r="C142" t="s">
        <v>190</v>
      </c>
      <c r="D142" s="1">
        <f>ROUNDUP(AVERAGEIF('Base de Datos'!$A$2:$A$2229,$B142,'Base de Datos'!$U$2:$U$2229),0)</f>
        <v>15</v>
      </c>
      <c r="G142">
        <v>1</v>
      </c>
      <c r="AE142">
        <v>1</v>
      </c>
      <c r="AF142" t="s">
        <v>190</v>
      </c>
    </row>
    <row r="143" spans="2:39">
      <c r="B143" t="s">
        <v>191</v>
      </c>
      <c r="C143" t="s">
        <v>190</v>
      </c>
      <c r="D143" s="1">
        <f>ROUNDUP(AVERAGEIF('Base de Datos'!$A$2:$A$2229,$B143,'Base de Datos'!$U$2:$U$2229),0)</f>
        <v>13</v>
      </c>
      <c r="G143">
        <v>1</v>
      </c>
      <c r="AE143">
        <v>1</v>
      </c>
      <c r="AF143" t="s">
        <v>190</v>
      </c>
    </row>
    <row r="144" spans="2:39">
      <c r="B144" t="s">
        <v>261</v>
      </c>
      <c r="C144" t="s">
        <v>260</v>
      </c>
      <c r="D144" s="1">
        <f>ROUNDUP(AVERAGEIF('Base de Datos'!$A$2:$A$2229,$B144,'Base de Datos'!$U$2:$U$2229),0)</f>
        <v>15</v>
      </c>
      <c r="G144">
        <v>1</v>
      </c>
      <c r="AE144">
        <v>1</v>
      </c>
      <c r="AF144" t="s">
        <v>260</v>
      </c>
    </row>
    <row r="145" spans="2:39">
      <c r="B145" t="s">
        <v>258</v>
      </c>
      <c r="C145" t="s">
        <v>259</v>
      </c>
      <c r="D145" s="1">
        <f>ROUNDUP(AVERAGEIF('Base de Datos'!$A$2:$A$2229,$B145,'Base de Datos'!$U$2:$U$2229),0)</f>
        <v>17</v>
      </c>
      <c r="F145">
        <v>7</v>
      </c>
      <c r="G145">
        <v>1</v>
      </c>
      <c r="AE145">
        <v>8</v>
      </c>
      <c r="AF145" t="s">
        <v>259</v>
      </c>
      <c r="AG145" t="s">
        <v>259</v>
      </c>
      <c r="AH145" t="s">
        <v>259</v>
      </c>
      <c r="AI145" t="s">
        <v>260</v>
      </c>
      <c r="AJ145" t="s">
        <v>259</v>
      </c>
      <c r="AK145" t="s">
        <v>259</v>
      </c>
      <c r="AL145" t="s">
        <v>259</v>
      </c>
      <c r="AM145" t="s">
        <v>259</v>
      </c>
    </row>
    <row r="146" spans="2:39">
      <c r="B146" t="s">
        <v>256</v>
      </c>
      <c r="C146" t="s">
        <v>257</v>
      </c>
      <c r="D146" s="1">
        <f>ROUNDUP(AVERAGEIF('Base de Datos'!$A$2:$A$2229,$B146,'Base de Datos'!$U$2:$U$2229),0)</f>
        <v>21</v>
      </c>
      <c r="F146">
        <v>8</v>
      </c>
      <c r="AE146">
        <v>8</v>
      </c>
      <c r="AF146" t="s">
        <v>257</v>
      </c>
      <c r="AG146" t="s">
        <v>257</v>
      </c>
      <c r="AH146" t="s">
        <v>257</v>
      </c>
      <c r="AI146" t="s">
        <v>257</v>
      </c>
      <c r="AJ146" t="s">
        <v>257</v>
      </c>
      <c r="AK146" t="s">
        <v>257</v>
      </c>
      <c r="AL146" t="s">
        <v>257</v>
      </c>
      <c r="AM146" t="s">
        <v>257</v>
      </c>
    </row>
    <row r="147" spans="2:39">
      <c r="B147" t="s">
        <v>254</v>
      </c>
      <c r="C147" t="s">
        <v>255</v>
      </c>
      <c r="D147" s="1">
        <f>ROUNDUP(AVERAGEIF('Base de Datos'!$A$2:$A$2229,$B147,'Base de Datos'!$U$2:$U$2229),0)</f>
        <v>15</v>
      </c>
      <c r="F147">
        <v>8</v>
      </c>
      <c r="AE147">
        <v>8</v>
      </c>
      <c r="AF147" t="s">
        <v>255</v>
      </c>
      <c r="AG147" t="s">
        <v>255</v>
      </c>
      <c r="AH147" t="s">
        <v>255</v>
      </c>
      <c r="AI147" t="s">
        <v>255</v>
      </c>
      <c r="AJ147" t="s">
        <v>255</v>
      </c>
      <c r="AK147" t="s">
        <v>255</v>
      </c>
      <c r="AL147" t="s">
        <v>255</v>
      </c>
      <c r="AM147" t="s">
        <v>255</v>
      </c>
    </row>
    <row r="148" spans="2:39">
      <c r="B148" t="s">
        <v>252</v>
      </c>
      <c r="C148" t="s">
        <v>253</v>
      </c>
      <c r="D148" s="1">
        <f>ROUNDUP(AVERAGEIF('Base de Datos'!$A$2:$A$2229,$B148,'Base de Datos'!$U$2:$U$2229),0)</f>
        <v>14</v>
      </c>
      <c r="F148">
        <v>6</v>
      </c>
      <c r="AE148">
        <v>6</v>
      </c>
      <c r="AF148" t="s">
        <v>253</v>
      </c>
      <c r="AG148" t="s">
        <v>253</v>
      </c>
      <c r="AH148" t="s">
        <v>253</v>
      </c>
      <c r="AI148" t="s">
        <v>253</v>
      </c>
      <c r="AJ148" t="s">
        <v>253</v>
      </c>
      <c r="AK148" t="s">
        <v>253</v>
      </c>
    </row>
    <row r="149" spans="2:39">
      <c r="B149" t="s">
        <v>248</v>
      </c>
      <c r="C149" t="s">
        <v>249</v>
      </c>
      <c r="D149" s="1">
        <f>ROUNDUP(AVERAGEIF('Base de Datos'!$A$2:$A$2229,$B149,'Base de Datos'!$U$2:$U$2229),0)</f>
        <v>14</v>
      </c>
      <c r="K149">
        <v>1</v>
      </c>
      <c r="AE149">
        <v>1</v>
      </c>
      <c r="AF149" t="s">
        <v>249</v>
      </c>
    </row>
    <row r="150" spans="2:39">
      <c r="B150" t="s">
        <v>244</v>
      </c>
      <c r="C150" t="s">
        <v>245</v>
      </c>
      <c r="D150" s="1">
        <f>ROUNDUP(AVERAGEIF('Base de Datos'!$A$2:$A$2229,$B150,'Base de Datos'!$U$2:$U$2229),0)</f>
        <v>13</v>
      </c>
      <c r="K150">
        <v>1</v>
      </c>
      <c r="AE150">
        <v>1</v>
      </c>
      <c r="AF150" t="s">
        <v>245</v>
      </c>
    </row>
    <row r="151" spans="2:39">
      <c r="B151" t="s">
        <v>242</v>
      </c>
      <c r="C151" t="s">
        <v>243</v>
      </c>
      <c r="D151" s="1">
        <f>ROUNDUP(AVERAGEIF('Base de Datos'!$A$2:$A$2229,$B151,'Base de Datos'!$U$2:$U$2229),0)</f>
        <v>16</v>
      </c>
      <c r="K151">
        <v>2</v>
      </c>
      <c r="AE151">
        <v>2</v>
      </c>
      <c r="AF151" t="s">
        <v>243</v>
      </c>
      <c r="AG151" t="s">
        <v>243</v>
      </c>
    </row>
    <row r="152" spans="2:39">
      <c r="B152" t="s">
        <v>250</v>
      </c>
      <c r="C152" t="s">
        <v>251</v>
      </c>
      <c r="D152" s="1">
        <f>ROUNDUP(AVERAGEIF('Base de Datos'!$A$2:$A$2229,$B152,'Base de Datos'!$U$2:$U$2229),0)</f>
        <v>22</v>
      </c>
      <c r="K152">
        <v>1</v>
      </c>
      <c r="AE152">
        <v>1</v>
      </c>
      <c r="AF152" t="s">
        <v>251</v>
      </c>
    </row>
    <row r="153" spans="2:39">
      <c r="B153" t="s">
        <v>246</v>
      </c>
      <c r="C153" t="s">
        <v>247</v>
      </c>
      <c r="D153" s="1">
        <f>ROUNDUP(AVERAGEIF('Base de Datos'!$A$2:$A$2229,$B153,'Base de Datos'!$U$2:$U$2229),0)</f>
        <v>15</v>
      </c>
      <c r="K153">
        <v>1</v>
      </c>
      <c r="AE153">
        <v>1</v>
      </c>
      <c r="AF153" t="s">
        <v>247</v>
      </c>
    </row>
    <row r="154" spans="2:39">
      <c r="B154" t="s">
        <v>166</v>
      </c>
      <c r="C154" t="s">
        <v>167</v>
      </c>
      <c r="D154" s="1">
        <f>ROUNDUP(AVERAGEIF('Base de Datos'!$A$2:$A$2229,$B154,'Base de Datos'!$U$2:$U$2229),0)</f>
        <v>10</v>
      </c>
      <c r="E154">
        <v>1</v>
      </c>
      <c r="AE154">
        <v>1</v>
      </c>
      <c r="AF154" t="s">
        <v>167</v>
      </c>
    </row>
    <row r="155" spans="2:39">
      <c r="B155" t="s">
        <v>107</v>
      </c>
      <c r="C155" t="s">
        <v>104</v>
      </c>
      <c r="D155" s="1">
        <f>ROUNDUP(AVERAGEIF('Base de Datos'!$A$2:$A$2229,$B155,'Base de Datos'!$U$2:$U$2229),0)</f>
        <v>39</v>
      </c>
      <c r="M155">
        <v>3</v>
      </c>
      <c r="AE155">
        <v>3</v>
      </c>
      <c r="AF155" t="s">
        <v>104</v>
      </c>
      <c r="AG155" t="s">
        <v>104</v>
      </c>
      <c r="AH155" t="s">
        <v>108</v>
      </c>
    </row>
    <row r="156" spans="2:39">
      <c r="B156" t="s">
        <v>105</v>
      </c>
      <c r="C156" t="s">
        <v>106</v>
      </c>
      <c r="D156" s="1">
        <f>ROUNDUP(AVERAGEIF('Base de Datos'!$A$2:$A$2229,$B156,'Base de Datos'!$U$2:$U$2229),0)</f>
        <v>42</v>
      </c>
      <c r="M156">
        <v>2</v>
      </c>
      <c r="AE156">
        <v>2</v>
      </c>
      <c r="AF156" t="s">
        <v>106</v>
      </c>
      <c r="AG156" t="s">
        <v>106</v>
      </c>
    </row>
    <row r="157" spans="2:39">
      <c r="B157" t="s">
        <v>98</v>
      </c>
      <c r="C157" t="s">
        <v>99</v>
      </c>
      <c r="D157" s="1">
        <f>ROUNDUP(AVERAGEIF('Base de Datos'!$A$2:$A$2229,$B157,'Base de Datos'!$U$2:$U$2229),0)</f>
        <v>34</v>
      </c>
      <c r="L157">
        <v>1</v>
      </c>
      <c r="AE157">
        <v>1</v>
      </c>
      <c r="AF157" t="s">
        <v>99</v>
      </c>
    </row>
    <row r="158" spans="2:39">
      <c r="B158" t="s">
        <v>97</v>
      </c>
      <c r="C158" t="s">
        <v>96</v>
      </c>
      <c r="D158" s="1">
        <f>ROUNDUP(AVERAGEIF('Base de Datos'!$A$2:$A$2229,$B158,'Base de Datos'!$U$2:$U$2229),0)</f>
        <v>31</v>
      </c>
      <c r="L158">
        <v>1</v>
      </c>
      <c r="AE158">
        <v>1</v>
      </c>
      <c r="AF158" t="s">
        <v>96</v>
      </c>
    </row>
    <row r="159" spans="2:39">
      <c r="B159" t="s">
        <v>94</v>
      </c>
      <c r="C159" t="s">
        <v>96</v>
      </c>
      <c r="D159" s="1">
        <f>ROUNDUP(AVERAGEIF('Base de Datos'!$A$2:$A$2229,$B159,'Base de Datos'!$U$2:$U$2229),0)</f>
        <v>30</v>
      </c>
      <c r="L159">
        <v>1</v>
      </c>
      <c r="AE159">
        <v>1</v>
      </c>
      <c r="AF159" t="s">
        <v>96</v>
      </c>
    </row>
    <row r="160" spans="2:39">
      <c r="B160" t="s">
        <v>103</v>
      </c>
      <c r="C160" t="s">
        <v>104</v>
      </c>
      <c r="D160" s="1">
        <f>ROUNDUP(AVERAGEIF('Base de Datos'!$A$2:$A$2229,$B160,'Base de Datos'!$U$2:$U$2229),0)</f>
        <v>40</v>
      </c>
      <c r="L160">
        <v>1</v>
      </c>
      <c r="AE160">
        <v>1</v>
      </c>
      <c r="AF160" t="s">
        <v>104</v>
      </c>
    </row>
    <row r="161" spans="2:32">
      <c r="B161" t="s">
        <v>102</v>
      </c>
      <c r="C161" t="s">
        <v>99</v>
      </c>
      <c r="D161" s="1">
        <f>ROUNDUP(AVERAGEIF('Base de Datos'!$A$2:$A$2229,$B161,'Base de Datos'!$U$2:$U$2229),0)</f>
        <v>37</v>
      </c>
      <c r="L161">
        <v>1</v>
      </c>
      <c r="AE161">
        <v>1</v>
      </c>
      <c r="AF161" t="s">
        <v>99</v>
      </c>
    </row>
    <row r="162" spans="2:32">
      <c r="B162" t="s">
        <v>101</v>
      </c>
      <c r="C162" t="s">
        <v>99</v>
      </c>
      <c r="D162" s="1">
        <f>ROUNDUP(AVERAGEIF('Base de Datos'!$A$2:$A$2229,$B162,'Base de Datos'!$U$2:$U$2229),0)</f>
        <v>36</v>
      </c>
      <c r="L162">
        <v>1</v>
      </c>
      <c r="AE162">
        <v>1</v>
      </c>
      <c r="AF162" t="s">
        <v>99</v>
      </c>
    </row>
    <row r="163" spans="2:32">
      <c r="B163" t="s">
        <v>100</v>
      </c>
      <c r="C163" t="s">
        <v>99</v>
      </c>
      <c r="D163" s="1">
        <f>ROUNDUP(AVERAGEIF('Base de Datos'!$A$2:$A$2229,$B163,'Base de Datos'!$U$2:$U$2229),0)</f>
        <v>35</v>
      </c>
      <c r="L163">
        <v>1</v>
      </c>
      <c r="AE163">
        <v>1</v>
      </c>
      <c r="AF163" t="s">
        <v>99</v>
      </c>
    </row>
    <row r="164" spans="2:32">
      <c r="B164" t="s">
        <v>216</v>
      </c>
      <c r="C164" t="s">
        <v>217</v>
      </c>
      <c r="D164" s="1">
        <f>ROUNDUP(AVERAGEIF('Base de Datos'!$A$2:$A$2229,$B164,'Base de Datos'!$U$2:$U$2229),0)</f>
        <v>26</v>
      </c>
      <c r="AA164">
        <v>1</v>
      </c>
      <c r="AE164">
        <v>1</v>
      </c>
      <c r="AF164" t="s">
        <v>217</v>
      </c>
    </row>
    <row r="165" spans="2:32">
      <c r="B165" t="s">
        <v>187</v>
      </c>
      <c r="C165" t="s">
        <v>188</v>
      </c>
      <c r="D165" s="1">
        <f>ROUNDUP(AVERAGEIF('Base de Datos'!$A$2:$A$2229,$B165,'Base de Datos'!$U$2:$U$2229),0)</f>
        <v>12</v>
      </c>
      <c r="AA165">
        <v>1</v>
      </c>
      <c r="AE165">
        <v>1</v>
      </c>
      <c r="AF165" t="s">
        <v>188</v>
      </c>
    </row>
    <row r="166" spans="2:32">
      <c r="B166" t="s">
        <v>214</v>
      </c>
      <c r="C166" t="s">
        <v>215</v>
      </c>
      <c r="D166" s="1">
        <f>ROUNDUP(AVERAGEIF('Base de Datos'!$A$2:$A$2229,$B166,'Base de Datos'!$U$2:$U$2229),0)</f>
        <v>23</v>
      </c>
      <c r="AA166">
        <v>1</v>
      </c>
      <c r="AE166">
        <v>1</v>
      </c>
      <c r="AF166" t="s">
        <v>215</v>
      </c>
    </row>
    <row r="167" spans="2:32">
      <c r="B167" t="s">
        <v>209</v>
      </c>
      <c r="C167" t="s">
        <v>211</v>
      </c>
      <c r="D167" s="1">
        <f>ROUNDUP(AVERAGEIF('Base de Datos'!$A$2:$A$2229,$B167,'Base de Datos'!$U$2:$U$2229),0)</f>
        <v>15</v>
      </c>
      <c r="V167">
        <v>1</v>
      </c>
      <c r="AE167">
        <v>1</v>
      </c>
      <c r="AF167" t="s">
        <v>211</v>
      </c>
    </row>
    <row r="168" spans="2:32">
      <c r="B168" t="s">
        <v>205</v>
      </c>
      <c r="C168" t="s">
        <v>206</v>
      </c>
      <c r="D168" s="1">
        <f>ROUNDUP(AVERAGEIF('Base de Datos'!$A$2:$A$2229,$B168,'Base de Datos'!$U$2:$U$2229),0)</f>
        <v>15</v>
      </c>
      <c r="AA168">
        <v>1</v>
      </c>
      <c r="AE168">
        <v>1</v>
      </c>
      <c r="AF168" t="s">
        <v>206</v>
      </c>
    </row>
    <row r="169" spans="2:32">
      <c r="B169" t="s">
        <v>52</v>
      </c>
      <c r="D169" s="1">
        <f>ROUNDUP(AVERAGEIF('Base de Datos'!$A$2:$A$2229,$B169,'Base de Datos'!$U$2:$U$2229),0)</f>
        <v>0</v>
      </c>
      <c r="AB169">
        <v>1</v>
      </c>
      <c r="AE169">
        <v>1</v>
      </c>
    </row>
    <row r="170" spans="2:32">
      <c r="B170" t="s">
        <v>53</v>
      </c>
      <c r="D170" s="1">
        <f>ROUNDUP(AVERAGEIF('Base de Datos'!$A$2:$A$2229,$B170,'Base de Datos'!$U$2:$U$2229),0)</f>
        <v>0</v>
      </c>
      <c r="AC170">
        <v>1</v>
      </c>
      <c r="AE170">
        <v>1</v>
      </c>
    </row>
    <row r="171" spans="2:32">
      <c r="B171" t="s">
        <v>51</v>
      </c>
      <c r="D171" s="1">
        <f>ROUNDUP(AVERAGEIF('Base de Datos'!$A$2:$A$2229,$B171,'Base de Datos'!$U$2:$U$2229),0)</f>
        <v>0</v>
      </c>
      <c r="AD171">
        <v>1</v>
      </c>
      <c r="AE171">
        <v>1</v>
      </c>
    </row>
    <row r="172" spans="2:32">
      <c r="B172" t="s">
        <v>49</v>
      </c>
      <c r="D172" s="1">
        <f>ROUNDUP(AVERAGEIF('Base de Datos'!$A$2:$A$2229,$B172,'Base de Datos'!$U$2:$U$2229),0)</f>
        <v>0</v>
      </c>
      <c r="AB172">
        <v>1</v>
      </c>
      <c r="AE172">
        <v>1</v>
      </c>
    </row>
    <row r="173" spans="2:32">
      <c r="B173" t="s">
        <v>50</v>
      </c>
      <c r="D173" s="1">
        <f>ROUNDUP(AVERAGEIF('Base de Datos'!$A$2:$A$2229,$B173,'Base de Datos'!$U$2:$U$2229),0)</f>
        <v>0</v>
      </c>
      <c r="AC173">
        <v>1</v>
      </c>
      <c r="AE173">
        <v>1</v>
      </c>
    </row>
    <row r="174" spans="2:32">
      <c r="B174" t="s">
        <v>48</v>
      </c>
      <c r="D174" s="1">
        <f>ROUNDUP(AVERAGEIF('Base de Datos'!$A$2:$A$2229,$B174,'Base de Datos'!$U$2:$U$2229),0)</f>
        <v>0</v>
      </c>
      <c r="AD174">
        <v>1</v>
      </c>
      <c r="AE174">
        <v>1</v>
      </c>
    </row>
    <row r="175" spans="2:32">
      <c r="B175" t="s">
        <v>46</v>
      </c>
      <c r="D175" s="1">
        <f>ROUNDUP(AVERAGEIF('Base de Datos'!$A$2:$A$2229,$B175,'Base de Datos'!$U$2:$U$2229),0)</f>
        <v>0</v>
      </c>
      <c r="AB175">
        <v>1</v>
      </c>
      <c r="AE175">
        <v>1</v>
      </c>
    </row>
    <row r="176" spans="2:32">
      <c r="B176" t="s">
        <v>47</v>
      </c>
      <c r="D176" s="1">
        <f>ROUNDUP(AVERAGEIF('Base de Datos'!$A$2:$A$2229,$B176,'Base de Datos'!$U$2:$U$2229),0)</f>
        <v>0</v>
      </c>
      <c r="AC176">
        <v>1</v>
      </c>
      <c r="AE176">
        <v>1</v>
      </c>
    </row>
    <row r="177" spans="2:31">
      <c r="B177" t="s">
        <v>44</v>
      </c>
      <c r="D177" s="1">
        <f>ROUNDUP(AVERAGEIF('Base de Datos'!$A$2:$A$2229,$B177,'Base de Datos'!$U$2:$U$2229),0)</f>
        <v>0</v>
      </c>
      <c r="AD177">
        <v>1</v>
      </c>
      <c r="AE177">
        <v>1</v>
      </c>
    </row>
    <row r="178" spans="2:31">
      <c r="B178" t="s">
        <v>30</v>
      </c>
      <c r="D178" s="1">
        <f>ROUNDUP(AVERAGEIF('Base de Datos'!$A$2:$A$2229,$B178,'Base de Datos'!$U$2:$U$2229),0)</f>
        <v>0</v>
      </c>
      <c r="AB178">
        <v>1</v>
      </c>
      <c r="AE178">
        <v>1</v>
      </c>
    </row>
    <row r="179" spans="2:31">
      <c r="B179" t="s">
        <v>33</v>
      </c>
      <c r="D179" s="1">
        <f>ROUNDUP(AVERAGEIF('Base de Datos'!$A$2:$A$2229,$B179,'Base de Datos'!$U$2:$U$2229),0)</f>
        <v>0</v>
      </c>
      <c r="AC179">
        <v>1</v>
      </c>
      <c r="AE179">
        <v>1</v>
      </c>
    </row>
    <row r="180" spans="2:31">
      <c r="B180" t="s">
        <v>36</v>
      </c>
      <c r="D180" s="1">
        <f>ROUNDUP(AVERAGEIF('Base de Datos'!$A$2:$A$2229,$B180,'Base de Datos'!$U$2:$U$2229),0)</f>
        <v>0</v>
      </c>
      <c r="AB180">
        <v>1</v>
      </c>
      <c r="AE180">
        <v>1</v>
      </c>
    </row>
    <row r="181" spans="2:31">
      <c r="B181" t="s">
        <v>37</v>
      </c>
      <c r="D181" s="1">
        <f>ROUNDUP(AVERAGEIF('Base de Datos'!$A$2:$A$2229,$B181,'Base de Datos'!$U$2:$U$2229),0)</f>
        <v>0</v>
      </c>
      <c r="AC181">
        <v>1</v>
      </c>
      <c r="AE181">
        <v>1</v>
      </c>
    </row>
    <row r="182" spans="2:31">
      <c r="B182" t="s">
        <v>55</v>
      </c>
      <c r="D182" s="1">
        <f>ROUNDUP(AVERAGEIF('Base de Datos'!$A$2:$A$2229,$B182,'Base de Datos'!$U$2:$U$2229),0)</f>
        <v>0</v>
      </c>
      <c r="AB182">
        <v>1</v>
      </c>
      <c r="AE182">
        <v>1</v>
      </c>
    </row>
    <row r="183" spans="2:31">
      <c r="B183" t="s">
        <v>56</v>
      </c>
      <c r="D183" s="1">
        <f>ROUNDUP(AVERAGEIF('Base de Datos'!$A$2:$A$2229,$B183,'Base de Datos'!$U$2:$U$2229),0)</f>
        <v>0</v>
      </c>
      <c r="AC183">
        <v>1</v>
      </c>
      <c r="AE183">
        <v>1</v>
      </c>
    </row>
    <row r="184" spans="2:31">
      <c r="B184" t="s">
        <v>54</v>
      </c>
      <c r="D184" s="1">
        <f>ROUNDUP(AVERAGEIF('Base de Datos'!$A$2:$A$2229,$B184,'Base de Datos'!$U$2:$U$2229),0)</f>
        <v>0</v>
      </c>
      <c r="AD184">
        <v>1</v>
      </c>
      <c r="AE184">
        <v>1</v>
      </c>
    </row>
    <row r="185" spans="2:31">
      <c r="B185" t="s">
        <v>43</v>
      </c>
      <c r="D185" s="1">
        <f>ROUNDUP(AVERAGEIF('Base de Datos'!$A$2:$A$2229,$B185,'Base de Datos'!$U$2:$U$2229),0)</f>
        <v>0</v>
      </c>
      <c r="AB185">
        <v>1</v>
      </c>
      <c r="AE185">
        <v>1</v>
      </c>
    </row>
    <row r="186" spans="2:31">
      <c r="B186" t="s">
        <v>35</v>
      </c>
      <c r="D186" s="1">
        <f>ROUNDUP(AVERAGEIF('Base de Datos'!$A$2:$A$2229,$B186,'Base de Datos'!$U$2:$U$2229),0)</f>
        <v>0</v>
      </c>
      <c r="AC186">
        <v>1</v>
      </c>
      <c r="AE186">
        <v>1</v>
      </c>
    </row>
    <row r="187" spans="2:31">
      <c r="B187" t="s">
        <v>354</v>
      </c>
      <c r="D187" s="1" t="e">
        <f>ROUNDUP(AVERAGEIF('Base de Datos'!$A$2:$A$2229,$B187,'Base de Datos'!$U$2:$U$2229),0)</f>
        <v>#DIV/0!</v>
      </c>
      <c r="K187">
        <v>4</v>
      </c>
      <c r="AE187">
        <v>4</v>
      </c>
    </row>
    <row r="188" spans="2:31">
      <c r="B188" t="s">
        <v>353</v>
      </c>
      <c r="E188">
        <v>9</v>
      </c>
      <c r="F188">
        <v>255</v>
      </c>
      <c r="G188">
        <v>56</v>
      </c>
      <c r="H188">
        <v>3</v>
      </c>
      <c r="I188">
        <v>107</v>
      </c>
      <c r="J188">
        <v>2</v>
      </c>
      <c r="K188">
        <v>11</v>
      </c>
      <c r="L188">
        <v>7</v>
      </c>
      <c r="M188">
        <v>39</v>
      </c>
      <c r="N188">
        <v>21</v>
      </c>
      <c r="O188">
        <v>8</v>
      </c>
      <c r="P188">
        <v>1</v>
      </c>
      <c r="Q188">
        <v>103</v>
      </c>
      <c r="R188">
        <v>8</v>
      </c>
      <c r="S188">
        <v>3</v>
      </c>
      <c r="T188">
        <v>16</v>
      </c>
      <c r="U188">
        <v>2</v>
      </c>
      <c r="V188">
        <v>1</v>
      </c>
      <c r="W188">
        <v>1</v>
      </c>
      <c r="X188">
        <v>16</v>
      </c>
      <c r="Y188">
        <v>1</v>
      </c>
      <c r="Z188">
        <v>3</v>
      </c>
      <c r="AA188">
        <v>6</v>
      </c>
      <c r="AB188">
        <v>7</v>
      </c>
      <c r="AC188">
        <v>7</v>
      </c>
      <c r="AD188">
        <v>4</v>
      </c>
      <c r="AE188">
        <v>697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DE1979"/>
  <sheetViews>
    <sheetView topLeftCell="A305" workbookViewId="0">
      <selection activeCell="X708" sqref="X708"/>
    </sheetView>
  </sheetViews>
  <sheetFormatPr baseColWidth="10" defaultColWidth="11.44140625" defaultRowHeight="13.2"/>
  <cols>
    <col min="1" max="1" width="11.44140625" style="1"/>
    <col min="2" max="2" width="12.6640625" style="1" customWidth="1"/>
    <col min="3" max="3" width="13.6640625" style="1" customWidth="1"/>
    <col min="4" max="4" width="12.88671875" style="1" customWidth="1"/>
    <col min="5" max="25" width="11.44140625" style="1"/>
    <col min="26" max="46" width="11.44140625" style="50"/>
    <col min="47" max="16384" width="11.44140625" style="1"/>
  </cols>
  <sheetData>
    <row r="1" spans="1:84" ht="13.5" customHeight="1">
      <c r="A1" s="16"/>
      <c r="C1" s="16">
        <f>H1007+6</f>
        <v>6</v>
      </c>
      <c r="D1" s="16">
        <f>I1007</f>
        <v>0</v>
      </c>
      <c r="E1" s="16">
        <f>J1007</f>
        <v>0</v>
      </c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CF1" s="1" t="str">
        <f>E1&amp;"/"&amp;D1&amp;"/"&amp;C1</f>
        <v>0/0/6</v>
      </c>
    </row>
    <row r="3" spans="1:84">
      <c r="A3" s="11" t="s">
        <v>355</v>
      </c>
      <c r="B3" s="12"/>
      <c r="C3" s="12"/>
      <c r="D3" s="12"/>
      <c r="E3" s="12"/>
      <c r="F3" s="12"/>
      <c r="G3" s="12"/>
      <c r="Z3" s="49"/>
      <c r="AA3" s="49"/>
      <c r="AB3" s="49"/>
      <c r="AC3" s="49"/>
      <c r="AD3" s="49"/>
      <c r="AE3" s="49"/>
      <c r="AF3" s="49"/>
      <c r="AG3" s="187" t="str">
        <f>A1007</f>
        <v>A.H.R.</v>
      </c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</row>
    <row r="4" spans="1:84">
      <c r="Z4" s="49"/>
      <c r="AA4" s="49"/>
      <c r="AB4" s="49"/>
      <c r="AC4" s="49"/>
      <c r="AD4" s="49"/>
      <c r="AE4" s="49"/>
      <c r="AF4" s="49"/>
      <c r="AG4" s="49" t="str">
        <f>IF(A1007="A.H.R.","BUENO","")</f>
        <v>BUENO</v>
      </c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49"/>
      <c r="AS4" s="49"/>
      <c r="AT4" s="49"/>
    </row>
    <row r="5" spans="1:84" ht="16.2">
      <c r="A5" s="1">
        <f>AG5</f>
        <v>0</v>
      </c>
      <c r="B5" s="1">
        <f>AH5</f>
        <v>0</v>
      </c>
      <c r="C5" s="1" t="str">
        <f>AI5</f>
        <v>PROYECTO:</v>
      </c>
      <c r="D5" s="1" t="str">
        <f>TABLERO!F5</f>
        <v>VILLAS</v>
      </c>
      <c r="Z5" s="49"/>
      <c r="AA5" s="49">
        <v>0</v>
      </c>
      <c r="AB5" s="49">
        <v>0</v>
      </c>
      <c r="AC5" s="93" t="s">
        <v>356</v>
      </c>
      <c r="AD5" s="49"/>
      <c r="AE5" s="49"/>
      <c r="AF5" s="49"/>
      <c r="AG5" s="49">
        <f>IF($AG$4="BUENO",AA5,0)</f>
        <v>0</v>
      </c>
      <c r="AH5" s="49">
        <f>IF($AG$4="BUENO",AB5,0)</f>
        <v>0</v>
      </c>
      <c r="AI5" s="49" t="str">
        <f>IF($AG$4="BUENO",AC5,0)</f>
        <v>PROYECTO:</v>
      </c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</row>
    <row r="6" spans="1:84" ht="16.2">
      <c r="A6" s="1">
        <f t="shared" ref="A6:A20" si="0">AG6</f>
        <v>0</v>
      </c>
      <c r="B6" s="1">
        <f t="shared" ref="B6:B20" si="1">AH6</f>
        <v>0</v>
      </c>
      <c r="C6" s="1" t="str">
        <f>AI6</f>
        <v>TABLERO:</v>
      </c>
      <c r="D6" s="1" t="str">
        <f>TABLERO!F6</f>
        <v>A</v>
      </c>
      <c r="Z6" s="49"/>
      <c r="AA6" s="49">
        <v>0</v>
      </c>
      <c r="AB6" s="49">
        <v>0</v>
      </c>
      <c r="AC6" s="93" t="s">
        <v>357</v>
      </c>
      <c r="AD6" s="49"/>
      <c r="AE6" s="49"/>
      <c r="AF6" s="49"/>
      <c r="AG6" s="49">
        <f t="shared" ref="AG6:AG69" si="2">IF($AG$4="BUENO",AA6,0)</f>
        <v>0</v>
      </c>
      <c r="AH6" s="49">
        <f t="shared" ref="AH6:AH69" si="3">IF($AG$4="BUENO",AB6,0)</f>
        <v>0</v>
      </c>
      <c r="AI6" s="49" t="str">
        <f t="shared" ref="AI6:AI69" si="4">IF($AG$4="BUENO",AC6,0)</f>
        <v>TABLERO:</v>
      </c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</row>
    <row r="7" spans="1:84">
      <c r="A7" s="1">
        <f t="shared" si="0"/>
        <v>0</v>
      </c>
      <c r="B7" s="1">
        <f t="shared" si="1"/>
        <v>0</v>
      </c>
      <c r="C7" s="1" t="str">
        <f t="shared" ref="C7:C20" si="5">AI7</f>
        <v>UBICACIÓN:</v>
      </c>
      <c r="D7" s="1" t="str">
        <f>TABLERO!F7</f>
        <v>BODEGA</v>
      </c>
      <c r="Z7" s="49"/>
      <c r="AA7" s="49">
        <v>0</v>
      </c>
      <c r="AB7" s="49">
        <v>0</v>
      </c>
      <c r="AC7" s="49" t="s">
        <v>358</v>
      </c>
      <c r="AD7" s="49"/>
      <c r="AE7" s="49"/>
      <c r="AF7" s="49"/>
      <c r="AG7" s="49">
        <f t="shared" si="2"/>
        <v>0</v>
      </c>
      <c r="AH7" s="49">
        <f t="shared" si="3"/>
        <v>0</v>
      </c>
      <c r="AI7" s="49" t="str">
        <f t="shared" si="4"/>
        <v>UBICACIÓN:</v>
      </c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</row>
    <row r="8" spans="1:84">
      <c r="A8" s="1">
        <f t="shared" si="0"/>
        <v>0</v>
      </c>
      <c r="B8" s="1">
        <f t="shared" si="1"/>
        <v>0</v>
      </c>
      <c r="C8" s="1" t="str">
        <f t="shared" si="5"/>
        <v>ALIMENTADO DE:</v>
      </c>
      <c r="D8" s="1" t="str">
        <f>TABLERO!F8</f>
        <v>INT. PPAL</v>
      </c>
      <c r="Z8" s="49"/>
      <c r="AA8" s="49">
        <v>0</v>
      </c>
      <c r="AB8" s="49">
        <v>0</v>
      </c>
      <c r="AC8" s="49" t="s">
        <v>359</v>
      </c>
      <c r="AD8" s="49"/>
      <c r="AE8" s="49"/>
      <c r="AF8" s="49"/>
      <c r="AG8" s="49">
        <f t="shared" si="2"/>
        <v>0</v>
      </c>
      <c r="AH8" s="49">
        <f t="shared" si="3"/>
        <v>0</v>
      </c>
      <c r="AI8" s="49" t="str">
        <f t="shared" si="4"/>
        <v>ALIMENTADO DE:</v>
      </c>
      <c r="AJ8" s="49"/>
      <c r="AK8" s="49"/>
      <c r="AL8" s="49"/>
      <c r="AM8" s="49"/>
      <c r="AN8" s="49"/>
      <c r="AO8" s="49"/>
      <c r="AP8" s="49"/>
      <c r="AQ8" s="49"/>
      <c r="AR8" s="49"/>
      <c r="AS8" s="49"/>
      <c r="AT8" s="49"/>
    </row>
    <row r="9" spans="1:84">
      <c r="A9" s="1">
        <f t="shared" si="0"/>
        <v>0</v>
      </c>
      <c r="B9" s="1">
        <f t="shared" si="1"/>
        <v>0</v>
      </c>
      <c r="C9" s="1" t="str">
        <f t="shared" si="5"/>
        <v>VOLTAJE:</v>
      </c>
      <c r="D9" s="1">
        <f>TABLERO!F9</f>
        <v>220</v>
      </c>
      <c r="J9" s="4" t="str">
        <f>TABLERO!L9</f>
        <v>CANALIZACION (NOM/MT/IN/MC):</v>
      </c>
      <c r="K9" s="1" t="str">
        <f>TABLERO!M9</f>
        <v>NOM</v>
      </c>
      <c r="Z9" s="49"/>
      <c r="AA9" s="49">
        <v>0</v>
      </c>
      <c r="AB9" s="49">
        <v>0</v>
      </c>
      <c r="AC9" s="49" t="s">
        <v>360</v>
      </c>
      <c r="AD9" s="49"/>
      <c r="AE9" s="49"/>
      <c r="AF9" s="49"/>
      <c r="AG9" s="49">
        <f t="shared" si="2"/>
        <v>0</v>
      </c>
      <c r="AH9" s="49">
        <f t="shared" si="3"/>
        <v>0</v>
      </c>
      <c r="AI9" s="49" t="str">
        <f t="shared" si="4"/>
        <v>VOLTAJE:</v>
      </c>
      <c r="AJ9" s="49"/>
      <c r="AK9" s="49"/>
      <c r="AL9" s="49"/>
      <c r="AM9" s="49"/>
      <c r="AN9" s="49"/>
      <c r="AO9" s="49"/>
      <c r="AP9" s="49"/>
      <c r="AQ9" s="49"/>
      <c r="AR9" s="49"/>
      <c r="AS9" s="49"/>
      <c r="AT9" s="49"/>
    </row>
    <row r="10" spans="1:84">
      <c r="A10" s="1">
        <f t="shared" si="0"/>
        <v>0</v>
      </c>
      <c r="B10" s="1">
        <f t="shared" si="1"/>
        <v>0</v>
      </c>
      <c r="C10" s="1" t="str">
        <f t="shared" si="5"/>
        <v>FASES:</v>
      </c>
      <c r="D10" s="1">
        <f>TABLERO!F10</f>
        <v>3</v>
      </c>
      <c r="E10" s="4" t="s">
        <v>361</v>
      </c>
      <c r="F10" s="1">
        <f>TABLERO!H10</f>
        <v>4</v>
      </c>
      <c r="Z10" s="49"/>
      <c r="AA10" s="49">
        <v>0</v>
      </c>
      <c r="AB10" s="49">
        <v>0</v>
      </c>
      <c r="AC10" s="49" t="s">
        <v>362</v>
      </c>
      <c r="AD10" s="49"/>
      <c r="AE10" s="49"/>
      <c r="AF10" s="49"/>
      <c r="AG10" s="49">
        <f t="shared" si="2"/>
        <v>0</v>
      </c>
      <c r="AH10" s="49">
        <f t="shared" si="3"/>
        <v>0</v>
      </c>
      <c r="AI10" s="49" t="str">
        <f t="shared" si="4"/>
        <v>FASES:</v>
      </c>
      <c r="AJ10" s="49"/>
      <c r="AK10" s="49"/>
      <c r="AL10" s="49"/>
      <c r="AM10" s="49"/>
      <c r="AN10" s="49"/>
      <c r="AO10" s="49"/>
      <c r="AP10" s="49"/>
      <c r="AQ10" s="49"/>
      <c r="AR10" s="49"/>
      <c r="AS10" s="49"/>
      <c r="AT10" s="49"/>
    </row>
    <row r="11" spans="1:84">
      <c r="A11" s="1">
        <f t="shared" si="0"/>
        <v>0</v>
      </c>
      <c r="B11" s="1">
        <f t="shared" si="1"/>
        <v>0</v>
      </c>
      <c r="C11" s="1" t="str">
        <f t="shared" si="5"/>
        <v>CA. / C.D:</v>
      </c>
      <c r="D11" s="1" t="str">
        <f>TABLERO!F11</f>
        <v>CA</v>
      </c>
      <c r="Z11" s="49"/>
      <c r="AA11" s="49">
        <v>0</v>
      </c>
      <c r="AB11" s="49">
        <v>0</v>
      </c>
      <c r="AC11" s="49" t="s">
        <v>363</v>
      </c>
      <c r="AD11" s="49"/>
      <c r="AE11" s="49"/>
      <c r="AF11" s="49"/>
      <c r="AG11" s="49">
        <f t="shared" si="2"/>
        <v>0</v>
      </c>
      <c r="AH11" s="49">
        <f t="shared" si="3"/>
        <v>0</v>
      </c>
      <c r="AI11" s="49" t="str">
        <f t="shared" si="4"/>
        <v>CA. / C.D:</v>
      </c>
      <c r="AJ11" s="49"/>
      <c r="AK11" s="49"/>
      <c r="AL11" s="49"/>
      <c r="AM11" s="49"/>
      <c r="AN11" s="49"/>
      <c r="AO11" s="49"/>
      <c r="AP11" s="49"/>
      <c r="AQ11" s="49"/>
      <c r="AR11" s="49"/>
      <c r="AS11" s="49"/>
      <c r="AT11" s="49"/>
    </row>
    <row r="12" spans="1:84">
      <c r="A12" s="1">
        <f t="shared" si="0"/>
        <v>0</v>
      </c>
      <c r="B12" s="1">
        <f t="shared" si="1"/>
        <v>0</v>
      </c>
      <c r="C12" s="1" t="str">
        <f t="shared" si="5"/>
        <v>INTERRUPTOR/ZAPATAS:</v>
      </c>
      <c r="D12" s="1" t="str">
        <f>TABLERO!F12</f>
        <v>I</v>
      </c>
      <c r="Z12" s="49"/>
      <c r="AA12" s="49">
        <v>0</v>
      </c>
      <c r="AB12" s="49">
        <v>0</v>
      </c>
      <c r="AC12" s="49" t="s">
        <v>364</v>
      </c>
      <c r="AD12" s="49"/>
      <c r="AE12" s="49"/>
      <c r="AF12" s="49"/>
      <c r="AG12" s="49">
        <f t="shared" si="2"/>
        <v>0</v>
      </c>
      <c r="AH12" s="49">
        <f t="shared" si="3"/>
        <v>0</v>
      </c>
      <c r="AI12" s="49" t="str">
        <f t="shared" si="4"/>
        <v>INTERRUPTOR/ZAPATAS:</v>
      </c>
      <c r="AJ12" s="49"/>
      <c r="AK12" s="49"/>
      <c r="AL12" s="49"/>
      <c r="AM12" s="49"/>
      <c r="AN12" s="49"/>
      <c r="AO12" s="49"/>
      <c r="AP12" s="49"/>
      <c r="AQ12" s="49"/>
      <c r="AR12" s="49"/>
      <c r="AS12" s="49"/>
      <c r="AT12" s="49"/>
    </row>
    <row r="13" spans="1:84">
      <c r="A13" s="1">
        <f t="shared" si="0"/>
        <v>0</v>
      </c>
      <c r="B13" s="1">
        <f t="shared" si="1"/>
        <v>0</v>
      </c>
      <c r="C13" s="1" t="str">
        <f t="shared" si="5"/>
        <v>TEMP. AMBIENTE:</v>
      </c>
      <c r="D13" s="1">
        <f>TABLERO!F13</f>
        <v>30</v>
      </c>
      <c r="Z13" s="49"/>
      <c r="AA13" s="49">
        <v>0</v>
      </c>
      <c r="AB13" s="49">
        <v>0</v>
      </c>
      <c r="AC13" s="49" t="s">
        <v>365</v>
      </c>
      <c r="AD13" s="49"/>
      <c r="AE13" s="49"/>
      <c r="AF13" s="49"/>
      <c r="AG13" s="49">
        <f t="shared" si="2"/>
        <v>0</v>
      </c>
      <c r="AH13" s="49">
        <f t="shared" si="3"/>
        <v>0</v>
      </c>
      <c r="AI13" s="49" t="str">
        <f t="shared" si="4"/>
        <v>TEMP. AMBIENTE:</v>
      </c>
      <c r="AJ13" s="49"/>
      <c r="AK13" s="49"/>
      <c r="AL13" s="49"/>
      <c r="AM13" s="49"/>
      <c r="AN13" s="49"/>
      <c r="AO13" s="49"/>
      <c r="AP13" s="49"/>
      <c r="AQ13" s="49"/>
      <c r="AR13" s="49"/>
      <c r="AS13" s="49"/>
      <c r="AT13" s="49"/>
    </row>
    <row r="14" spans="1:84">
      <c r="A14" s="1">
        <f t="shared" si="0"/>
        <v>0</v>
      </c>
      <c r="B14" s="1">
        <f t="shared" si="1"/>
        <v>0</v>
      </c>
      <c r="C14" s="1" t="str">
        <f t="shared" si="5"/>
        <v>F.P:</v>
      </c>
      <c r="D14" s="1">
        <f>TABLERO!F14</f>
        <v>0.9</v>
      </c>
      <c r="Z14" s="49"/>
      <c r="AA14" s="49">
        <v>0</v>
      </c>
      <c r="AB14" s="49">
        <v>0</v>
      </c>
      <c r="AC14" s="49" t="s">
        <v>366</v>
      </c>
      <c r="AD14" s="49"/>
      <c r="AE14" s="49"/>
      <c r="AF14" s="49"/>
      <c r="AG14" s="49">
        <f t="shared" si="2"/>
        <v>0</v>
      </c>
      <c r="AH14" s="49">
        <f t="shared" si="3"/>
        <v>0</v>
      </c>
      <c r="AI14" s="49" t="str">
        <f t="shared" si="4"/>
        <v>F.P:</v>
      </c>
      <c r="AJ14" s="49"/>
      <c r="AK14" s="49"/>
      <c r="AL14" s="49"/>
      <c r="AM14" s="49"/>
      <c r="AN14" s="49"/>
      <c r="AO14" s="49"/>
      <c r="AP14" s="49"/>
      <c r="AQ14" s="49"/>
      <c r="AR14" s="49"/>
      <c r="AS14" s="49"/>
      <c r="AT14" s="49"/>
    </row>
    <row r="15" spans="1:84">
      <c r="A15" s="1">
        <f t="shared" si="0"/>
        <v>0</v>
      </c>
      <c r="B15" s="1">
        <f t="shared" si="1"/>
        <v>0</v>
      </c>
      <c r="C15" s="1" t="str">
        <f t="shared" si="5"/>
        <v>CONDUCTOR DERIVADOS:</v>
      </c>
      <c r="D15" s="1" t="str">
        <f>TABLERO!F15</f>
        <v>CU</v>
      </c>
      <c r="Z15" s="49"/>
      <c r="AA15" s="49">
        <v>0</v>
      </c>
      <c r="AB15" s="49">
        <v>0</v>
      </c>
      <c r="AC15" s="49" t="s">
        <v>367</v>
      </c>
      <c r="AD15" s="49"/>
      <c r="AE15" s="49"/>
      <c r="AF15" s="49"/>
      <c r="AG15" s="49">
        <f t="shared" si="2"/>
        <v>0</v>
      </c>
      <c r="AH15" s="49">
        <f t="shared" si="3"/>
        <v>0</v>
      </c>
      <c r="AI15" s="49" t="str">
        <f t="shared" si="4"/>
        <v>CONDUCTOR DERIVADOS:</v>
      </c>
      <c r="AJ15" s="49"/>
      <c r="AK15" s="49"/>
      <c r="AL15" s="49"/>
      <c r="AM15" s="49"/>
      <c r="AN15" s="49"/>
      <c r="AO15" s="49"/>
      <c r="AP15" s="49"/>
      <c r="AQ15" s="49"/>
      <c r="AR15" s="49"/>
      <c r="AS15" s="49"/>
      <c r="AT15" s="49"/>
    </row>
    <row r="16" spans="1:84">
      <c r="A16" s="1">
        <f t="shared" si="0"/>
        <v>0</v>
      </c>
      <c r="B16" s="1">
        <f t="shared" si="1"/>
        <v>0</v>
      </c>
      <c r="C16" s="1" t="str">
        <f t="shared" si="5"/>
        <v>CONDUCTOR ALIMENTADOR:</v>
      </c>
      <c r="D16" s="1" t="str">
        <f>TABLERO!F16</f>
        <v>CU</v>
      </c>
      <c r="Z16" s="49"/>
      <c r="AA16" s="49">
        <v>0</v>
      </c>
      <c r="AB16" s="49">
        <v>0</v>
      </c>
      <c r="AC16" s="49" t="s">
        <v>368</v>
      </c>
      <c r="AD16" s="49"/>
      <c r="AE16" s="49"/>
      <c r="AF16" s="49"/>
      <c r="AG16" s="49">
        <f t="shared" si="2"/>
        <v>0</v>
      </c>
      <c r="AH16" s="49">
        <f t="shared" si="3"/>
        <v>0</v>
      </c>
      <c r="AI16" s="49" t="str">
        <f t="shared" si="4"/>
        <v>CONDUCTOR ALIMENTADOR:</v>
      </c>
      <c r="AJ16" s="49"/>
      <c r="AK16" s="49"/>
      <c r="AL16" s="49"/>
      <c r="AM16" s="49"/>
      <c r="AN16" s="49"/>
      <c r="AO16" s="49"/>
      <c r="AP16" s="49"/>
      <c r="AQ16" s="49"/>
      <c r="AR16" s="49"/>
      <c r="AS16" s="49"/>
      <c r="AT16" s="49"/>
    </row>
    <row r="17" spans="1:35">
      <c r="A17" s="1">
        <f t="shared" si="0"/>
        <v>0</v>
      </c>
      <c r="B17" s="1">
        <f t="shared" si="1"/>
        <v>0</v>
      </c>
      <c r="C17" s="1" t="str">
        <f t="shared" si="5"/>
        <v>CALCULO EN WATTS O VA (KW / KVA):</v>
      </c>
      <c r="D17" s="1" t="str">
        <f>TABLERO!F17</f>
        <v>KW</v>
      </c>
      <c r="Z17" s="49"/>
      <c r="AA17" s="49">
        <v>0</v>
      </c>
      <c r="AB17" s="49">
        <v>0</v>
      </c>
      <c r="AC17" s="49" t="s">
        <v>369</v>
      </c>
      <c r="AD17" s="49"/>
      <c r="AE17" s="49"/>
      <c r="AF17" s="49"/>
      <c r="AG17" s="49">
        <f t="shared" si="2"/>
        <v>0</v>
      </c>
      <c r="AH17" s="49">
        <f t="shared" si="3"/>
        <v>0</v>
      </c>
      <c r="AI17" s="49" t="str">
        <f t="shared" si="4"/>
        <v>CALCULO EN WATTS O VA (KW / KVA):</v>
      </c>
    </row>
    <row r="18" spans="1:35">
      <c r="A18" s="1">
        <f t="shared" si="0"/>
        <v>0</v>
      </c>
      <c r="B18" s="1">
        <f t="shared" si="1"/>
        <v>0</v>
      </c>
      <c r="C18" s="1" t="str">
        <f t="shared" si="5"/>
        <v>PORCENTAJE DE DISPARO PROT. PPAL:</v>
      </c>
      <c r="D18" s="1">
        <f>TABLERO!F18</f>
        <v>100</v>
      </c>
      <c r="Z18" s="49"/>
      <c r="AA18" s="49">
        <v>0</v>
      </c>
      <c r="AB18" s="49">
        <v>0</v>
      </c>
      <c r="AC18" s="49" t="s">
        <v>370</v>
      </c>
      <c r="AD18" s="49"/>
      <c r="AE18" s="49"/>
      <c r="AF18" s="49"/>
      <c r="AG18" s="49">
        <f t="shared" si="2"/>
        <v>0</v>
      </c>
      <c r="AH18" s="49">
        <f t="shared" si="3"/>
        <v>0</v>
      </c>
      <c r="AI18" s="49" t="str">
        <f t="shared" si="4"/>
        <v>PORCENTAJE DE DISPARO PROT. PPAL:</v>
      </c>
    </row>
    <row r="19" spans="1:35">
      <c r="A19" s="1">
        <f t="shared" si="0"/>
        <v>0</v>
      </c>
      <c r="B19" s="1">
        <f t="shared" si="1"/>
        <v>0</v>
      </c>
      <c r="C19" s="1" t="str">
        <f t="shared" si="5"/>
        <v>PORCENTAJE DE DISPARO PROT. DERIVADAS:</v>
      </c>
      <c r="D19" s="1">
        <f>TABLERO!F19</f>
        <v>100</v>
      </c>
      <c r="Z19" s="49"/>
      <c r="AA19" s="49">
        <v>0</v>
      </c>
      <c r="AB19" s="49">
        <v>0</v>
      </c>
      <c r="AC19" s="49" t="s">
        <v>371</v>
      </c>
      <c r="AD19" s="49"/>
      <c r="AE19" s="49"/>
      <c r="AF19" s="49"/>
      <c r="AG19" s="49">
        <f t="shared" si="2"/>
        <v>0</v>
      </c>
      <c r="AH19" s="49">
        <f t="shared" si="3"/>
        <v>0</v>
      </c>
      <c r="AI19" s="49" t="str">
        <f t="shared" si="4"/>
        <v>PORCENTAJE DE DISPARO PROT. DERIVADAS:</v>
      </c>
    </row>
    <row r="20" spans="1:35">
      <c r="A20" s="1">
        <f t="shared" si="0"/>
        <v>0</v>
      </c>
      <c r="B20" s="1">
        <f t="shared" si="1"/>
        <v>0</v>
      </c>
      <c r="C20" s="1" t="str">
        <f t="shared" si="5"/>
        <v>PORCENTAJE DE DISPARO PROT. MOTORES:</v>
      </c>
      <c r="D20" s="1">
        <f>TABLERO!F20</f>
        <v>150</v>
      </c>
      <c r="Z20" s="49"/>
      <c r="AA20" s="49">
        <v>0</v>
      </c>
      <c r="AB20" s="49">
        <v>0</v>
      </c>
      <c r="AC20" s="49" t="s">
        <v>372</v>
      </c>
      <c r="AD20" s="49"/>
      <c r="AE20" s="49"/>
      <c r="AF20" s="49"/>
      <c r="AG20" s="49">
        <f t="shared" si="2"/>
        <v>0</v>
      </c>
      <c r="AH20" s="49">
        <f t="shared" si="3"/>
        <v>0</v>
      </c>
      <c r="AI20" s="49" t="str">
        <f t="shared" si="4"/>
        <v>PORCENTAJE DE DISPARO PROT. MOTORES:</v>
      </c>
    </row>
    <row r="21" spans="1:35">
      <c r="A21" s="11" t="s">
        <v>373</v>
      </c>
      <c r="B21" s="12"/>
      <c r="C21" s="12"/>
      <c r="D21" s="12"/>
      <c r="E21" s="12"/>
      <c r="F21" s="12"/>
      <c r="G21" s="12"/>
      <c r="I21" s="49"/>
      <c r="L21" s="49"/>
      <c r="Z21" s="49"/>
      <c r="AA21" s="49" t="s">
        <v>373</v>
      </c>
      <c r="AB21" s="49">
        <v>0</v>
      </c>
      <c r="AC21" s="49">
        <v>0</v>
      </c>
      <c r="AD21" s="49"/>
      <c r="AE21" s="49"/>
      <c r="AF21" s="49"/>
      <c r="AG21" s="49" t="str">
        <f t="shared" si="2"/>
        <v>FORMATO PARA VALIDAR LAS FASES A LAS QUE ESTA CONECTADO EL CIRCUITO</v>
      </c>
      <c r="AH21" s="49">
        <f t="shared" si="3"/>
        <v>0</v>
      </c>
      <c r="AI21" s="49">
        <f t="shared" si="4"/>
        <v>0</v>
      </c>
    </row>
    <row r="22" spans="1:35">
      <c r="Z22" s="49"/>
      <c r="AA22" s="49">
        <v>0</v>
      </c>
      <c r="AB22" s="49">
        <v>0</v>
      </c>
      <c r="AC22" s="49">
        <v>0</v>
      </c>
      <c r="AD22" s="49"/>
      <c r="AE22" s="49"/>
      <c r="AF22" s="49"/>
      <c r="AG22" s="49">
        <f t="shared" si="2"/>
        <v>0</v>
      </c>
      <c r="AH22" s="49">
        <f t="shared" si="3"/>
        <v>0</v>
      </c>
      <c r="AI22" s="49">
        <f t="shared" si="4"/>
        <v>0</v>
      </c>
    </row>
    <row r="23" spans="1:35" ht="16.2">
      <c r="B23" s="1" t="s">
        <v>374</v>
      </c>
      <c r="C23" s="13" t="s">
        <v>375</v>
      </c>
      <c r="I23" s="49"/>
      <c r="Z23" s="49"/>
      <c r="AA23" s="49">
        <v>0</v>
      </c>
      <c r="AB23" s="49" t="s">
        <v>374</v>
      </c>
      <c r="AC23" s="49" t="s">
        <v>375</v>
      </c>
      <c r="AD23" s="49"/>
      <c r="AE23" s="49"/>
      <c r="AF23" s="49"/>
      <c r="AG23" s="49">
        <f t="shared" si="2"/>
        <v>0</v>
      </c>
      <c r="AH23" s="49" t="str">
        <f t="shared" si="3"/>
        <v>RESULTADO</v>
      </c>
      <c r="AI23" s="49" t="str">
        <f t="shared" si="4"/>
        <v>FASE</v>
      </c>
    </row>
    <row r="24" spans="1:35">
      <c r="A24" s="1">
        <f t="shared" ref="A24:A29" si="6">AG24</f>
        <v>0</v>
      </c>
      <c r="B24" s="1">
        <f t="shared" ref="B24:B29" si="7">AH24</f>
        <v>0</v>
      </c>
      <c r="C24" s="1" t="str">
        <f t="shared" ref="C24:C29" si="8">AI24</f>
        <v>C</v>
      </c>
      <c r="I24" s="49"/>
      <c r="Z24" s="49"/>
      <c r="AA24" s="49">
        <v>0</v>
      </c>
      <c r="AB24" s="49">
        <v>0</v>
      </c>
      <c r="AC24" s="49" t="str">
        <f>IF(D10=3,"C",IF(D10=2,"B","A"))</f>
        <v>C</v>
      </c>
      <c r="AD24" s="49"/>
      <c r="AE24" s="49"/>
      <c r="AF24" s="49"/>
      <c r="AG24" s="49">
        <f t="shared" si="2"/>
        <v>0</v>
      </c>
      <c r="AH24" s="49">
        <f t="shared" si="3"/>
        <v>0</v>
      </c>
      <c r="AI24" s="49" t="str">
        <f t="shared" si="4"/>
        <v>C</v>
      </c>
    </row>
    <row r="25" spans="1:35">
      <c r="A25" s="1">
        <f t="shared" si="6"/>
        <v>0</v>
      </c>
      <c r="B25" s="1">
        <f t="shared" si="7"/>
        <v>1</v>
      </c>
      <c r="C25" s="1" t="str">
        <f t="shared" si="8"/>
        <v>A</v>
      </c>
      <c r="I25" s="49"/>
      <c r="Z25" s="49"/>
      <c r="AA25" s="49">
        <v>0</v>
      </c>
      <c r="AB25" s="49">
        <v>1</v>
      </c>
      <c r="AC25" s="49" t="s">
        <v>12</v>
      </c>
      <c r="AD25" s="49"/>
      <c r="AE25" s="49"/>
      <c r="AF25" s="49"/>
      <c r="AG25" s="49">
        <f t="shared" si="2"/>
        <v>0</v>
      </c>
      <c r="AH25" s="49">
        <f t="shared" si="3"/>
        <v>1</v>
      </c>
      <c r="AI25" s="49" t="str">
        <f t="shared" si="4"/>
        <v>A</v>
      </c>
    </row>
    <row r="26" spans="1:35">
      <c r="A26" s="1">
        <f t="shared" si="6"/>
        <v>0</v>
      </c>
      <c r="B26" s="1">
        <f t="shared" si="7"/>
        <v>2</v>
      </c>
      <c r="C26" s="1" t="str">
        <f t="shared" si="8"/>
        <v>A</v>
      </c>
      <c r="Z26" s="49"/>
      <c r="AA26" s="49">
        <v>0</v>
      </c>
      <c r="AB26" s="49">
        <v>2</v>
      </c>
      <c r="AC26" s="49" t="s">
        <v>12</v>
      </c>
      <c r="AD26" s="49"/>
      <c r="AE26" s="49"/>
      <c r="AF26" s="49"/>
      <c r="AG26" s="49">
        <f t="shared" si="2"/>
        <v>0</v>
      </c>
      <c r="AH26" s="49">
        <f t="shared" si="3"/>
        <v>2</v>
      </c>
      <c r="AI26" s="49" t="str">
        <f t="shared" si="4"/>
        <v>A</v>
      </c>
    </row>
    <row r="27" spans="1:35">
      <c r="A27" s="1">
        <f t="shared" si="6"/>
        <v>0</v>
      </c>
      <c r="B27" s="1">
        <f t="shared" si="7"/>
        <v>3</v>
      </c>
      <c r="C27" s="1" t="str">
        <f t="shared" si="8"/>
        <v>B</v>
      </c>
      <c r="Z27" s="49"/>
      <c r="AA27" s="49">
        <v>0</v>
      </c>
      <c r="AB27" s="49">
        <v>3</v>
      </c>
      <c r="AC27" s="49" t="s">
        <v>11</v>
      </c>
      <c r="AD27" s="49"/>
      <c r="AE27" s="49"/>
      <c r="AF27" s="49"/>
      <c r="AG27" s="49">
        <f t="shared" si="2"/>
        <v>0</v>
      </c>
      <c r="AH27" s="49">
        <f t="shared" si="3"/>
        <v>3</v>
      </c>
      <c r="AI27" s="49" t="str">
        <f t="shared" si="4"/>
        <v>B</v>
      </c>
    </row>
    <row r="28" spans="1:35">
      <c r="A28" s="1">
        <f t="shared" si="6"/>
        <v>0</v>
      </c>
      <c r="B28" s="1">
        <f t="shared" si="7"/>
        <v>4</v>
      </c>
      <c r="C28" s="1" t="str">
        <f t="shared" si="8"/>
        <v>B</v>
      </c>
      <c r="Z28" s="49"/>
      <c r="AA28" s="49">
        <v>0</v>
      </c>
      <c r="AB28" s="49">
        <v>4</v>
      </c>
      <c r="AC28" s="49" t="s">
        <v>11</v>
      </c>
      <c r="AD28" s="49"/>
      <c r="AE28" s="49"/>
      <c r="AF28" s="49"/>
      <c r="AG28" s="49">
        <f t="shared" si="2"/>
        <v>0</v>
      </c>
      <c r="AH28" s="49">
        <f t="shared" si="3"/>
        <v>4</v>
      </c>
      <c r="AI28" s="49" t="str">
        <f t="shared" si="4"/>
        <v>B</v>
      </c>
    </row>
    <row r="29" spans="1:35">
      <c r="A29" s="1">
        <f t="shared" si="6"/>
        <v>0</v>
      </c>
      <c r="B29" s="1">
        <f t="shared" si="7"/>
        <v>5</v>
      </c>
      <c r="C29" s="1" t="str">
        <f t="shared" si="8"/>
        <v>C</v>
      </c>
      <c r="Z29" s="49"/>
      <c r="AA29" s="49">
        <v>0</v>
      </c>
      <c r="AB29" s="49">
        <v>5</v>
      </c>
      <c r="AC29" s="49" t="s">
        <v>10</v>
      </c>
      <c r="AD29" s="49"/>
      <c r="AE29" s="49"/>
      <c r="AF29" s="49"/>
      <c r="AG29" s="49">
        <f t="shared" si="2"/>
        <v>0</v>
      </c>
      <c r="AH29" s="49">
        <f t="shared" si="3"/>
        <v>5</v>
      </c>
      <c r="AI29" s="49" t="str">
        <f t="shared" si="4"/>
        <v>C</v>
      </c>
    </row>
    <row r="30" spans="1:35">
      <c r="Z30" s="49"/>
      <c r="AA30" s="49">
        <v>0</v>
      </c>
      <c r="AB30" s="49">
        <v>0</v>
      </c>
      <c r="AC30" s="49">
        <v>0</v>
      </c>
      <c r="AD30" s="49"/>
      <c r="AE30" s="49"/>
      <c r="AF30" s="49"/>
      <c r="AG30" s="49">
        <f t="shared" si="2"/>
        <v>0</v>
      </c>
      <c r="AH30" s="49">
        <f t="shared" si="3"/>
        <v>0</v>
      </c>
      <c r="AI30" s="49">
        <f t="shared" si="4"/>
        <v>0</v>
      </c>
    </row>
    <row r="31" spans="1:35">
      <c r="Z31" s="49"/>
      <c r="AA31" s="49">
        <v>0</v>
      </c>
      <c r="AB31" s="49">
        <v>0</v>
      </c>
      <c r="AC31" s="49">
        <v>0</v>
      </c>
      <c r="AD31" s="49"/>
      <c r="AE31" s="49"/>
      <c r="AF31" s="49"/>
      <c r="AG31" s="49">
        <f t="shared" si="2"/>
        <v>0</v>
      </c>
      <c r="AH31" s="49">
        <f t="shared" si="3"/>
        <v>0</v>
      </c>
      <c r="AI31" s="49">
        <f t="shared" si="4"/>
        <v>0</v>
      </c>
    </row>
    <row r="32" spans="1:35">
      <c r="A32" s="11" t="s">
        <v>376</v>
      </c>
      <c r="B32" s="12"/>
      <c r="C32" s="12"/>
      <c r="D32" s="12"/>
      <c r="E32" s="12"/>
      <c r="F32" s="12"/>
      <c r="G32" s="12"/>
      <c r="Z32" s="49"/>
      <c r="AA32" s="49" t="s">
        <v>376</v>
      </c>
      <c r="AB32" s="49">
        <v>0</v>
      </c>
      <c r="AC32" s="49">
        <v>0</v>
      </c>
      <c r="AD32" s="49"/>
      <c r="AE32" s="49"/>
      <c r="AF32" s="49"/>
      <c r="AG32" s="49" t="str">
        <f t="shared" si="2"/>
        <v>TABLA DE FACTORES DE CORRECCION POR TEMPERATURA</v>
      </c>
      <c r="AH32" s="49">
        <f t="shared" si="3"/>
        <v>0</v>
      </c>
      <c r="AI32" s="49">
        <f t="shared" si="4"/>
        <v>0</v>
      </c>
    </row>
    <row r="33" spans="1:35">
      <c r="C33" s="180" t="s">
        <v>377</v>
      </c>
      <c r="D33" s="181"/>
      <c r="E33" s="181"/>
      <c r="F33" s="181"/>
      <c r="Z33" s="49"/>
      <c r="AA33" s="49">
        <v>0</v>
      </c>
      <c r="AB33" s="49">
        <v>0</v>
      </c>
      <c r="AC33" s="49">
        <v>0</v>
      </c>
      <c r="AD33" s="49"/>
      <c r="AE33" s="49"/>
      <c r="AF33" s="49"/>
      <c r="AG33" s="49">
        <f t="shared" si="2"/>
        <v>0</v>
      </c>
      <c r="AH33" s="49">
        <f t="shared" si="3"/>
        <v>0</v>
      </c>
      <c r="AI33" s="49">
        <f t="shared" si="4"/>
        <v>0</v>
      </c>
    </row>
    <row r="34" spans="1:35">
      <c r="C34" s="3" t="s">
        <v>378</v>
      </c>
      <c r="D34" s="9" t="s">
        <v>379</v>
      </c>
      <c r="E34" s="9" t="s">
        <v>380</v>
      </c>
      <c r="F34" s="9" t="s">
        <v>381</v>
      </c>
      <c r="Z34" s="49"/>
      <c r="AA34" s="49">
        <v>0</v>
      </c>
      <c r="AB34" s="49">
        <v>0</v>
      </c>
      <c r="AC34" s="49" t="s">
        <v>378</v>
      </c>
      <c r="AD34" s="49"/>
      <c r="AE34" s="49"/>
      <c r="AF34" s="49"/>
      <c r="AG34" s="49">
        <f t="shared" si="2"/>
        <v>0</v>
      </c>
      <c r="AH34" s="49">
        <f t="shared" si="3"/>
        <v>0</v>
      </c>
      <c r="AI34" s="49" t="str">
        <f t="shared" si="4"/>
        <v>RANGO</v>
      </c>
    </row>
    <row r="35" spans="1:35">
      <c r="D35" s="9"/>
      <c r="E35" s="9"/>
      <c r="F35" s="9"/>
      <c r="Z35" s="49"/>
      <c r="AA35" s="49">
        <v>0</v>
      </c>
      <c r="AB35" s="49">
        <v>0</v>
      </c>
      <c r="AC35" s="49">
        <v>0</v>
      </c>
      <c r="AD35" s="49"/>
      <c r="AE35" s="49"/>
      <c r="AF35" s="49"/>
      <c r="AG35" s="49">
        <f t="shared" si="2"/>
        <v>0</v>
      </c>
      <c r="AH35" s="49">
        <f t="shared" si="3"/>
        <v>0</v>
      </c>
      <c r="AI35" s="49">
        <f t="shared" si="4"/>
        <v>0</v>
      </c>
    </row>
    <row r="36" spans="1:35">
      <c r="A36" s="1">
        <f t="shared" ref="A36:A45" si="9">AG36</f>
        <v>0</v>
      </c>
      <c r="B36" s="1" t="str">
        <f t="shared" ref="B36:B45" si="10">AH36</f>
        <v>21-25</v>
      </c>
      <c r="C36" s="178">
        <f t="shared" ref="C36:C45" si="11">AI36</f>
        <v>0</v>
      </c>
      <c r="D36" s="179">
        <v>1.08</v>
      </c>
      <c r="E36" s="179">
        <v>1.05</v>
      </c>
      <c r="F36" s="179">
        <v>1.04</v>
      </c>
      <c r="Z36" s="49"/>
      <c r="AA36" s="49">
        <v>0</v>
      </c>
      <c r="AB36" s="49" t="s">
        <v>382</v>
      </c>
      <c r="AC36" s="49">
        <v>0</v>
      </c>
      <c r="AD36" s="49"/>
      <c r="AE36" s="49"/>
      <c r="AF36" s="49"/>
      <c r="AG36" s="49">
        <f t="shared" si="2"/>
        <v>0</v>
      </c>
      <c r="AH36" s="49" t="str">
        <f t="shared" si="3"/>
        <v>21-25</v>
      </c>
      <c r="AI36" s="49">
        <f t="shared" si="4"/>
        <v>0</v>
      </c>
    </row>
    <row r="37" spans="1:35">
      <c r="A37" s="1">
        <f t="shared" si="9"/>
        <v>0</v>
      </c>
      <c r="B37" s="1" t="str">
        <f t="shared" si="10"/>
        <v>26-30</v>
      </c>
      <c r="C37" s="178">
        <f t="shared" si="11"/>
        <v>0</v>
      </c>
      <c r="D37" s="179">
        <v>1</v>
      </c>
      <c r="E37" s="179">
        <v>1</v>
      </c>
      <c r="F37" s="179">
        <v>1</v>
      </c>
      <c r="Z37" s="49"/>
      <c r="AA37" s="49">
        <v>0</v>
      </c>
      <c r="AB37" s="49" t="s">
        <v>383</v>
      </c>
      <c r="AC37" s="49">
        <v>0</v>
      </c>
      <c r="AD37" s="49"/>
      <c r="AE37" s="49"/>
      <c r="AF37" s="49"/>
      <c r="AG37" s="49">
        <f t="shared" si="2"/>
        <v>0</v>
      </c>
      <c r="AH37" s="49" t="str">
        <f t="shared" si="3"/>
        <v>26-30</v>
      </c>
      <c r="AI37" s="49">
        <f t="shared" si="4"/>
        <v>0</v>
      </c>
    </row>
    <row r="38" spans="1:35">
      <c r="A38" s="1">
        <f t="shared" si="9"/>
        <v>0</v>
      </c>
      <c r="B38" s="1" t="str">
        <f t="shared" si="10"/>
        <v>31-35</v>
      </c>
      <c r="C38" s="178">
        <f t="shared" si="11"/>
        <v>30.1</v>
      </c>
      <c r="D38" s="179">
        <v>0.91</v>
      </c>
      <c r="E38" s="179">
        <v>0.94</v>
      </c>
      <c r="F38" s="179">
        <v>0.96</v>
      </c>
      <c r="Z38" s="49"/>
      <c r="AA38" s="49">
        <v>0</v>
      </c>
      <c r="AB38" s="49" t="s">
        <v>384</v>
      </c>
      <c r="AC38" s="49">
        <v>30.1</v>
      </c>
      <c r="AD38" s="49"/>
      <c r="AE38" s="49"/>
      <c r="AF38" s="49"/>
      <c r="AG38" s="49">
        <f t="shared" si="2"/>
        <v>0</v>
      </c>
      <c r="AH38" s="49" t="str">
        <f t="shared" si="3"/>
        <v>31-35</v>
      </c>
      <c r="AI38" s="49">
        <f t="shared" si="4"/>
        <v>30.1</v>
      </c>
    </row>
    <row r="39" spans="1:35">
      <c r="A39" s="1">
        <f t="shared" si="9"/>
        <v>0</v>
      </c>
      <c r="B39" s="1" t="str">
        <f t="shared" si="10"/>
        <v>36-40</v>
      </c>
      <c r="C39" s="178">
        <f t="shared" si="11"/>
        <v>35.1</v>
      </c>
      <c r="D39" s="179">
        <v>0.82</v>
      </c>
      <c r="E39" s="179">
        <v>0.88</v>
      </c>
      <c r="F39" s="179">
        <v>0.91</v>
      </c>
      <c r="Z39" s="49"/>
      <c r="AA39" s="49">
        <v>0</v>
      </c>
      <c r="AB39" s="49" t="s">
        <v>385</v>
      </c>
      <c r="AC39" s="49">
        <v>35.1</v>
      </c>
      <c r="AD39" s="49"/>
      <c r="AE39" s="49"/>
      <c r="AF39" s="49"/>
      <c r="AG39" s="49">
        <f t="shared" si="2"/>
        <v>0</v>
      </c>
      <c r="AH39" s="49" t="str">
        <f t="shared" si="3"/>
        <v>36-40</v>
      </c>
      <c r="AI39" s="49">
        <f t="shared" si="4"/>
        <v>35.1</v>
      </c>
    </row>
    <row r="40" spans="1:35">
      <c r="A40" s="1">
        <f t="shared" si="9"/>
        <v>0</v>
      </c>
      <c r="B40" s="1" t="str">
        <f t="shared" si="10"/>
        <v>41-45</v>
      </c>
      <c r="C40" s="178">
        <f t="shared" si="11"/>
        <v>40.1</v>
      </c>
      <c r="D40" s="179">
        <v>0.71</v>
      </c>
      <c r="E40" s="179">
        <v>0.82</v>
      </c>
      <c r="F40" s="179">
        <v>0.87</v>
      </c>
      <c r="Z40" s="49"/>
      <c r="AA40" s="49">
        <v>0</v>
      </c>
      <c r="AB40" s="49" t="s">
        <v>386</v>
      </c>
      <c r="AC40" s="49">
        <v>40.1</v>
      </c>
      <c r="AD40" s="49"/>
      <c r="AE40" s="49"/>
      <c r="AF40" s="49"/>
      <c r="AG40" s="49">
        <f t="shared" si="2"/>
        <v>0</v>
      </c>
      <c r="AH40" s="49" t="str">
        <f t="shared" si="3"/>
        <v>41-45</v>
      </c>
      <c r="AI40" s="49">
        <f t="shared" si="4"/>
        <v>40.1</v>
      </c>
    </row>
    <row r="41" spans="1:35">
      <c r="A41" s="1">
        <f t="shared" si="9"/>
        <v>0</v>
      </c>
      <c r="B41" s="1" t="str">
        <f t="shared" si="10"/>
        <v>46-50</v>
      </c>
      <c r="C41" s="178">
        <f t="shared" si="11"/>
        <v>45.1</v>
      </c>
      <c r="D41" s="179">
        <v>0.57999999999999996</v>
      </c>
      <c r="E41" s="179">
        <v>0.75</v>
      </c>
      <c r="F41" s="179">
        <v>0.82</v>
      </c>
      <c r="Z41" s="49"/>
      <c r="AA41" s="49">
        <v>0</v>
      </c>
      <c r="AB41" s="49" t="s">
        <v>387</v>
      </c>
      <c r="AC41" s="49">
        <v>45.1</v>
      </c>
      <c r="AD41" s="49"/>
      <c r="AE41" s="49"/>
      <c r="AF41" s="49"/>
      <c r="AG41" s="49">
        <f t="shared" si="2"/>
        <v>0</v>
      </c>
      <c r="AH41" s="49" t="str">
        <f t="shared" si="3"/>
        <v>46-50</v>
      </c>
      <c r="AI41" s="49">
        <f t="shared" si="4"/>
        <v>45.1</v>
      </c>
    </row>
    <row r="42" spans="1:35">
      <c r="A42" s="1">
        <f t="shared" si="9"/>
        <v>0</v>
      </c>
      <c r="B42" s="1" t="str">
        <f t="shared" si="10"/>
        <v>51-55</v>
      </c>
      <c r="C42" s="178">
        <f t="shared" si="11"/>
        <v>50.1</v>
      </c>
      <c r="D42" s="179">
        <v>0.41</v>
      </c>
      <c r="E42" s="179">
        <v>0.67</v>
      </c>
      <c r="F42" s="179">
        <v>0.76</v>
      </c>
      <c r="Z42" s="49"/>
      <c r="AA42" s="49">
        <v>0</v>
      </c>
      <c r="AB42" s="49" t="s">
        <v>388</v>
      </c>
      <c r="AC42" s="49">
        <v>50.1</v>
      </c>
      <c r="AD42" s="49"/>
      <c r="AE42" s="49"/>
      <c r="AF42" s="49"/>
      <c r="AG42" s="49">
        <f t="shared" si="2"/>
        <v>0</v>
      </c>
      <c r="AH42" s="49" t="str">
        <f t="shared" si="3"/>
        <v>51-55</v>
      </c>
      <c r="AI42" s="49">
        <f t="shared" si="4"/>
        <v>50.1</v>
      </c>
    </row>
    <row r="43" spans="1:35">
      <c r="A43" s="1">
        <f t="shared" si="9"/>
        <v>0</v>
      </c>
      <c r="B43" s="1" t="str">
        <f t="shared" si="10"/>
        <v>56-60</v>
      </c>
      <c r="C43" s="178">
        <f t="shared" si="11"/>
        <v>55.1</v>
      </c>
      <c r="D43" s="179" t="s">
        <v>389</v>
      </c>
      <c r="E43" s="179">
        <v>0.57999999999999996</v>
      </c>
      <c r="F43" s="179">
        <v>0.71</v>
      </c>
      <c r="Z43" s="49"/>
      <c r="AA43" s="49">
        <v>0</v>
      </c>
      <c r="AB43" s="49" t="s">
        <v>390</v>
      </c>
      <c r="AC43" s="49">
        <v>55.1</v>
      </c>
      <c r="AD43" s="49"/>
      <c r="AE43" s="49"/>
      <c r="AF43" s="49"/>
      <c r="AG43" s="49">
        <f t="shared" si="2"/>
        <v>0</v>
      </c>
      <c r="AH43" s="49" t="str">
        <f t="shared" si="3"/>
        <v>56-60</v>
      </c>
      <c r="AI43" s="49">
        <f t="shared" si="4"/>
        <v>55.1</v>
      </c>
    </row>
    <row r="44" spans="1:35">
      <c r="A44" s="1">
        <f t="shared" si="9"/>
        <v>0</v>
      </c>
      <c r="B44" s="1" t="str">
        <f t="shared" si="10"/>
        <v>61-70</v>
      </c>
      <c r="C44" s="178">
        <f t="shared" si="11"/>
        <v>60.1</v>
      </c>
      <c r="D44" s="179" t="s">
        <v>389</v>
      </c>
      <c r="E44" s="179">
        <v>0.33</v>
      </c>
      <c r="F44" s="179">
        <v>0.57999999999999996</v>
      </c>
      <c r="Z44" s="49"/>
      <c r="AA44" s="49">
        <v>0</v>
      </c>
      <c r="AB44" s="49" t="s">
        <v>391</v>
      </c>
      <c r="AC44" s="49">
        <v>60.1</v>
      </c>
      <c r="AD44" s="49"/>
      <c r="AE44" s="49"/>
      <c r="AF44" s="49"/>
      <c r="AG44" s="49">
        <f t="shared" si="2"/>
        <v>0</v>
      </c>
      <c r="AH44" s="49" t="str">
        <f t="shared" si="3"/>
        <v>61-70</v>
      </c>
      <c r="AI44" s="49">
        <f t="shared" si="4"/>
        <v>60.1</v>
      </c>
    </row>
    <row r="45" spans="1:35">
      <c r="A45" s="1">
        <f t="shared" si="9"/>
        <v>0</v>
      </c>
      <c r="B45" s="1" t="str">
        <f t="shared" si="10"/>
        <v>71-80</v>
      </c>
      <c r="C45" s="178">
        <f t="shared" si="11"/>
        <v>0</v>
      </c>
      <c r="D45" s="179" t="s">
        <v>389</v>
      </c>
      <c r="E45" s="179" t="s">
        <v>389</v>
      </c>
      <c r="F45" s="179">
        <v>0.41</v>
      </c>
      <c r="Z45" s="49"/>
      <c r="AA45" s="49">
        <v>0</v>
      </c>
      <c r="AB45" s="49" t="s">
        <v>392</v>
      </c>
      <c r="AC45" s="49">
        <v>0</v>
      </c>
      <c r="AD45" s="49"/>
      <c r="AE45" s="49"/>
      <c r="AF45" s="49"/>
      <c r="AG45" s="49">
        <f t="shared" si="2"/>
        <v>0</v>
      </c>
      <c r="AH45" s="49" t="str">
        <f t="shared" si="3"/>
        <v>71-80</v>
      </c>
      <c r="AI45" s="49">
        <f t="shared" si="4"/>
        <v>0</v>
      </c>
    </row>
    <row r="46" spans="1:35">
      <c r="Z46" s="49"/>
      <c r="AA46" s="49">
        <v>0</v>
      </c>
      <c r="AB46" s="49">
        <v>0</v>
      </c>
      <c r="AC46" s="49">
        <v>0</v>
      </c>
      <c r="AD46" s="49"/>
      <c r="AE46" s="49"/>
      <c r="AF46" s="49"/>
      <c r="AG46" s="49">
        <f t="shared" si="2"/>
        <v>0</v>
      </c>
      <c r="AH46" s="49">
        <f t="shared" si="3"/>
        <v>0</v>
      </c>
      <c r="AI46" s="49">
        <f t="shared" si="4"/>
        <v>0</v>
      </c>
    </row>
    <row r="47" spans="1:35">
      <c r="Z47" s="49"/>
      <c r="AA47" s="49">
        <v>0</v>
      </c>
      <c r="AB47" s="49">
        <v>0</v>
      </c>
      <c r="AC47" s="49">
        <v>0</v>
      </c>
      <c r="AD47" s="49"/>
      <c r="AE47" s="49"/>
      <c r="AF47" s="49"/>
      <c r="AG47" s="49">
        <f t="shared" si="2"/>
        <v>0</v>
      </c>
      <c r="AH47" s="49">
        <f t="shared" si="3"/>
        <v>0</v>
      </c>
      <c r="AI47" s="49">
        <f t="shared" si="4"/>
        <v>0</v>
      </c>
    </row>
    <row r="48" spans="1:35">
      <c r="A48" s="11" t="s">
        <v>393</v>
      </c>
      <c r="B48" s="12"/>
      <c r="C48" s="12"/>
      <c r="D48" s="12"/>
      <c r="E48" s="12"/>
      <c r="F48" s="12"/>
      <c r="G48" s="12"/>
      <c r="Z48" s="49"/>
      <c r="AA48" s="49" t="s">
        <v>393</v>
      </c>
      <c r="AB48" s="49">
        <v>0</v>
      </c>
      <c r="AC48" s="49">
        <v>0</v>
      </c>
      <c r="AD48" s="49"/>
      <c r="AE48" s="49"/>
      <c r="AF48" s="49"/>
      <c r="AG48" s="49" t="str">
        <f t="shared" si="2"/>
        <v>TABLA DE FACTORES DE CORRECCION POR AGRUPAMIENTO PARA TUBERIA</v>
      </c>
      <c r="AH48" s="49">
        <f t="shared" si="3"/>
        <v>0</v>
      </c>
      <c r="AI48" s="49">
        <f t="shared" si="4"/>
        <v>0</v>
      </c>
    </row>
    <row r="49" spans="1:35">
      <c r="Z49" s="49"/>
      <c r="AA49" s="49">
        <v>0</v>
      </c>
      <c r="AB49" s="49">
        <v>0</v>
      </c>
      <c r="AC49" s="49">
        <v>0</v>
      </c>
      <c r="AD49" s="49"/>
      <c r="AE49" s="49"/>
      <c r="AF49" s="49"/>
      <c r="AG49" s="49">
        <f t="shared" si="2"/>
        <v>0</v>
      </c>
      <c r="AH49" s="49">
        <f t="shared" si="3"/>
        <v>0</v>
      </c>
      <c r="AI49" s="49">
        <f t="shared" si="4"/>
        <v>0</v>
      </c>
    </row>
    <row r="50" spans="1:35">
      <c r="D50" s="180" t="s">
        <v>394</v>
      </c>
      <c r="E50" s="181"/>
      <c r="Z50" s="49"/>
      <c r="AA50" s="49">
        <v>0</v>
      </c>
      <c r="AB50" s="49">
        <v>0</v>
      </c>
      <c r="AC50" s="49">
        <v>0</v>
      </c>
      <c r="AD50" s="49"/>
      <c r="AE50" s="49"/>
      <c r="AF50" s="49"/>
      <c r="AG50" s="49">
        <f t="shared" si="2"/>
        <v>0</v>
      </c>
      <c r="AH50" s="49">
        <f t="shared" si="3"/>
        <v>0</v>
      </c>
      <c r="AI50" s="49">
        <f t="shared" si="4"/>
        <v>0</v>
      </c>
    </row>
    <row r="51" spans="1:35">
      <c r="B51" s="4" t="s">
        <v>395</v>
      </c>
      <c r="E51" s="1" t="s">
        <v>396</v>
      </c>
      <c r="Z51" s="49"/>
      <c r="AA51" s="49">
        <v>0</v>
      </c>
      <c r="AB51" s="49" t="s">
        <v>395</v>
      </c>
      <c r="AC51" s="49">
        <v>0</v>
      </c>
      <c r="AD51" s="49"/>
      <c r="AE51" s="49"/>
      <c r="AF51" s="49"/>
      <c r="AG51" s="49">
        <f t="shared" si="2"/>
        <v>0</v>
      </c>
      <c r="AH51" s="49" t="str">
        <f t="shared" si="3"/>
        <v>NUMERO DE CONDUCTORES</v>
      </c>
      <c r="AI51" s="49">
        <f t="shared" si="4"/>
        <v>0</v>
      </c>
    </row>
    <row r="52" spans="1:35">
      <c r="B52" s="4" t="s">
        <v>397</v>
      </c>
      <c r="E52" s="1" t="s">
        <v>398</v>
      </c>
      <c r="Z52" s="49"/>
      <c r="AA52" s="49">
        <v>0</v>
      </c>
      <c r="AB52" s="49" t="s">
        <v>397</v>
      </c>
      <c r="AC52" s="49">
        <v>0</v>
      </c>
      <c r="AD52" s="49"/>
      <c r="AE52" s="49"/>
      <c r="AF52" s="49"/>
      <c r="AG52" s="49">
        <f t="shared" si="2"/>
        <v>0</v>
      </c>
      <c r="AH52" s="49" t="str">
        <f t="shared" si="3"/>
        <v>QUE LLEVAN CORRIENTE</v>
      </c>
      <c r="AI52" s="49">
        <f t="shared" si="4"/>
        <v>0</v>
      </c>
    </row>
    <row r="53" spans="1:35">
      <c r="B53" s="4"/>
      <c r="D53" s="178">
        <v>0</v>
      </c>
      <c r="E53" s="178">
        <v>1</v>
      </c>
      <c r="Z53" s="49"/>
      <c r="AA53" s="49">
        <v>0</v>
      </c>
      <c r="AB53" s="49">
        <v>0</v>
      </c>
      <c r="AC53" s="49">
        <v>0</v>
      </c>
      <c r="AD53" s="49"/>
      <c r="AE53" s="49"/>
      <c r="AF53" s="49"/>
      <c r="AG53" s="49">
        <f t="shared" si="2"/>
        <v>0</v>
      </c>
      <c r="AH53" s="49">
        <f t="shared" si="3"/>
        <v>0</v>
      </c>
      <c r="AI53" s="49">
        <f t="shared" si="4"/>
        <v>0</v>
      </c>
    </row>
    <row r="54" spans="1:35">
      <c r="A54" s="1">
        <f t="shared" ref="A54:A59" si="12">AG54</f>
        <v>0</v>
      </c>
      <c r="B54" s="1" t="str">
        <f t="shared" ref="B54:B59" si="13">AH54</f>
        <v>4 A 6</v>
      </c>
      <c r="C54" s="1">
        <f t="shared" ref="C54:C59" si="14">AI54</f>
        <v>0</v>
      </c>
      <c r="D54" s="178">
        <v>4</v>
      </c>
      <c r="E54" s="178">
        <v>0.8</v>
      </c>
      <c r="Z54" s="49"/>
      <c r="AA54" s="49">
        <v>0</v>
      </c>
      <c r="AB54" s="49" t="s">
        <v>399</v>
      </c>
      <c r="AC54" s="49">
        <v>0</v>
      </c>
      <c r="AD54" s="49"/>
      <c r="AE54" s="49"/>
      <c r="AF54" s="49"/>
      <c r="AG54" s="49">
        <f t="shared" si="2"/>
        <v>0</v>
      </c>
      <c r="AH54" s="49" t="str">
        <f t="shared" si="3"/>
        <v>4 A 6</v>
      </c>
      <c r="AI54" s="49">
        <f t="shared" si="4"/>
        <v>0</v>
      </c>
    </row>
    <row r="55" spans="1:35">
      <c r="A55" s="1">
        <f t="shared" si="12"/>
        <v>0</v>
      </c>
      <c r="B55" s="1" t="str">
        <f t="shared" si="13"/>
        <v>7 A 9</v>
      </c>
      <c r="C55" s="1">
        <f t="shared" si="14"/>
        <v>0</v>
      </c>
      <c r="D55" s="178">
        <v>7</v>
      </c>
      <c r="E55" s="178">
        <v>0.7</v>
      </c>
      <c r="Z55" s="49"/>
      <c r="AA55" s="49">
        <v>0</v>
      </c>
      <c r="AB55" s="49" t="s">
        <v>400</v>
      </c>
      <c r="AC55" s="49">
        <v>0</v>
      </c>
      <c r="AD55" s="49"/>
      <c r="AE55" s="49"/>
      <c r="AF55" s="49"/>
      <c r="AG55" s="49">
        <f t="shared" si="2"/>
        <v>0</v>
      </c>
      <c r="AH55" s="49" t="str">
        <f t="shared" si="3"/>
        <v>7 A 9</v>
      </c>
      <c r="AI55" s="49">
        <f t="shared" si="4"/>
        <v>0</v>
      </c>
    </row>
    <row r="56" spans="1:35">
      <c r="A56" s="1">
        <f t="shared" si="12"/>
        <v>0</v>
      </c>
      <c r="B56" s="1" t="str">
        <f t="shared" si="13"/>
        <v>10 A 20</v>
      </c>
      <c r="C56" s="1">
        <f t="shared" si="14"/>
        <v>0</v>
      </c>
      <c r="D56" s="178">
        <v>10</v>
      </c>
      <c r="E56" s="178">
        <v>0.5</v>
      </c>
      <c r="Z56" s="49"/>
      <c r="AA56" s="49">
        <v>0</v>
      </c>
      <c r="AB56" s="49" t="s">
        <v>401</v>
      </c>
      <c r="AC56" s="49">
        <v>0</v>
      </c>
      <c r="AD56" s="49"/>
      <c r="AE56" s="49"/>
      <c r="AF56" s="49"/>
      <c r="AG56" s="49">
        <f t="shared" si="2"/>
        <v>0</v>
      </c>
      <c r="AH56" s="49" t="str">
        <f t="shared" si="3"/>
        <v>10 A 20</v>
      </c>
      <c r="AI56" s="49">
        <f t="shared" si="4"/>
        <v>0</v>
      </c>
    </row>
    <row r="57" spans="1:35">
      <c r="A57" s="1">
        <f t="shared" si="12"/>
        <v>0</v>
      </c>
      <c r="B57" s="1" t="str">
        <f t="shared" si="13"/>
        <v>21 A 30</v>
      </c>
      <c r="C57" s="1">
        <f t="shared" si="14"/>
        <v>0</v>
      </c>
      <c r="D57" s="178">
        <v>21</v>
      </c>
      <c r="E57" s="178">
        <v>0.45</v>
      </c>
      <c r="Z57" s="49"/>
      <c r="AA57" s="49">
        <v>0</v>
      </c>
      <c r="AB57" s="49" t="s">
        <v>402</v>
      </c>
      <c r="AC57" s="49">
        <v>0</v>
      </c>
      <c r="AD57" s="49"/>
      <c r="AE57" s="49"/>
      <c r="AF57" s="49"/>
      <c r="AG57" s="49">
        <f t="shared" si="2"/>
        <v>0</v>
      </c>
      <c r="AH57" s="49" t="str">
        <f t="shared" si="3"/>
        <v>21 A 30</v>
      </c>
      <c r="AI57" s="49">
        <f t="shared" si="4"/>
        <v>0</v>
      </c>
    </row>
    <row r="58" spans="1:35">
      <c r="A58" s="1">
        <f t="shared" si="12"/>
        <v>0</v>
      </c>
      <c r="B58" s="1" t="str">
        <f t="shared" si="13"/>
        <v>31 A 40</v>
      </c>
      <c r="C58" s="1">
        <f t="shared" si="14"/>
        <v>0</v>
      </c>
      <c r="D58" s="178">
        <v>31</v>
      </c>
      <c r="E58" s="178">
        <v>0.4</v>
      </c>
      <c r="Z58" s="49"/>
      <c r="AA58" s="49">
        <v>0</v>
      </c>
      <c r="AB58" s="49" t="s">
        <v>403</v>
      </c>
      <c r="AC58" s="49">
        <v>0</v>
      </c>
      <c r="AD58" s="49"/>
      <c r="AE58" s="49"/>
      <c r="AF58" s="49"/>
      <c r="AG58" s="49">
        <f t="shared" si="2"/>
        <v>0</v>
      </c>
      <c r="AH58" s="49" t="str">
        <f t="shared" si="3"/>
        <v>31 A 40</v>
      </c>
      <c r="AI58" s="49">
        <f t="shared" si="4"/>
        <v>0</v>
      </c>
    </row>
    <row r="59" spans="1:35">
      <c r="A59" s="1">
        <f t="shared" si="12"/>
        <v>0</v>
      </c>
      <c r="B59" s="1" t="str">
        <f t="shared" si="13"/>
        <v>41 Y MAS</v>
      </c>
      <c r="C59" s="1">
        <f t="shared" si="14"/>
        <v>0</v>
      </c>
      <c r="D59" s="178">
        <v>41</v>
      </c>
      <c r="E59" s="178">
        <v>0.35</v>
      </c>
      <c r="Z59" s="49"/>
      <c r="AA59" s="49">
        <v>0</v>
      </c>
      <c r="AB59" s="49" t="s">
        <v>404</v>
      </c>
      <c r="AC59" s="49">
        <v>0</v>
      </c>
      <c r="AD59" s="49"/>
      <c r="AE59" s="49"/>
      <c r="AF59" s="49"/>
      <c r="AG59" s="49">
        <f t="shared" si="2"/>
        <v>0</v>
      </c>
      <c r="AH59" s="49" t="str">
        <f t="shared" si="3"/>
        <v>41 Y MAS</v>
      </c>
      <c r="AI59" s="49">
        <f t="shared" si="4"/>
        <v>0</v>
      </c>
    </row>
    <row r="60" spans="1:35">
      <c r="Z60" s="49"/>
      <c r="AA60" s="49">
        <v>0</v>
      </c>
      <c r="AB60" s="49">
        <v>0</v>
      </c>
      <c r="AC60" s="49">
        <v>0</v>
      </c>
      <c r="AD60" s="49"/>
      <c r="AE60" s="49"/>
      <c r="AF60" s="49"/>
      <c r="AG60" s="49">
        <f t="shared" si="2"/>
        <v>0</v>
      </c>
      <c r="AH60" s="49">
        <f t="shared" si="3"/>
        <v>0</v>
      </c>
      <c r="AI60" s="49">
        <f t="shared" si="4"/>
        <v>0</v>
      </c>
    </row>
    <row r="61" spans="1:35">
      <c r="Z61" s="49"/>
      <c r="AA61" s="49">
        <v>0</v>
      </c>
      <c r="AB61" s="49">
        <v>0</v>
      </c>
      <c r="AC61" s="49">
        <v>0</v>
      </c>
      <c r="AD61" s="49"/>
      <c r="AE61" s="49"/>
      <c r="AF61" s="49"/>
      <c r="AG61" s="49">
        <f t="shared" si="2"/>
        <v>0</v>
      </c>
      <c r="AH61" s="49">
        <f t="shared" si="3"/>
        <v>0</v>
      </c>
      <c r="AI61" s="49">
        <f t="shared" si="4"/>
        <v>0</v>
      </c>
    </row>
    <row r="62" spans="1:35">
      <c r="A62" s="11" t="s">
        <v>405</v>
      </c>
      <c r="B62" s="12"/>
      <c r="C62" s="12"/>
      <c r="D62" s="12"/>
      <c r="E62" s="12"/>
      <c r="F62" s="12"/>
      <c r="G62" s="12"/>
      <c r="Z62" s="49"/>
      <c r="AA62" s="49" t="s">
        <v>405</v>
      </c>
      <c r="AB62" s="49">
        <v>0</v>
      </c>
      <c r="AC62" s="49">
        <v>0</v>
      </c>
      <c r="AD62" s="49"/>
      <c r="AE62" s="49"/>
      <c r="AF62" s="49"/>
      <c r="AG62" s="49" t="str">
        <f t="shared" si="2"/>
        <v>TABLA DE FACTORES DE CORRECCION POR AGRUPAMIENTO PARA DUCTO CUADRADO</v>
      </c>
      <c r="AH62" s="49">
        <f t="shared" si="3"/>
        <v>0</v>
      </c>
      <c r="AI62" s="49">
        <f t="shared" si="4"/>
        <v>0</v>
      </c>
    </row>
    <row r="63" spans="1:35">
      <c r="Z63" s="49"/>
      <c r="AA63" s="49">
        <v>0</v>
      </c>
      <c r="AB63" s="49">
        <v>0</v>
      </c>
      <c r="AC63" s="49">
        <v>0</v>
      </c>
      <c r="AD63" s="49"/>
      <c r="AE63" s="49"/>
      <c r="AF63" s="49"/>
      <c r="AG63" s="49">
        <f t="shared" si="2"/>
        <v>0</v>
      </c>
      <c r="AH63" s="49">
        <f t="shared" si="3"/>
        <v>0</v>
      </c>
      <c r="AI63" s="49">
        <f t="shared" si="4"/>
        <v>0</v>
      </c>
    </row>
    <row r="64" spans="1:35">
      <c r="D64" s="49" t="s">
        <v>394</v>
      </c>
      <c r="Z64" s="49"/>
      <c r="AA64" s="49">
        <v>0</v>
      </c>
      <c r="AB64" s="49">
        <v>0</v>
      </c>
      <c r="AC64" s="49">
        <v>0</v>
      </c>
      <c r="AD64" s="49"/>
      <c r="AE64" s="49"/>
      <c r="AF64" s="49"/>
      <c r="AG64" s="49">
        <f t="shared" si="2"/>
        <v>0</v>
      </c>
      <c r="AH64" s="49">
        <f t="shared" si="3"/>
        <v>0</v>
      </c>
      <c r="AI64" s="49">
        <f t="shared" si="4"/>
        <v>0</v>
      </c>
    </row>
    <row r="65" spans="1:35">
      <c r="B65" s="4" t="s">
        <v>395</v>
      </c>
      <c r="E65" s="1" t="s">
        <v>396</v>
      </c>
      <c r="Z65" s="49"/>
      <c r="AA65" s="49">
        <v>0</v>
      </c>
      <c r="AB65" s="49" t="s">
        <v>395</v>
      </c>
      <c r="AC65" s="49">
        <v>0</v>
      </c>
      <c r="AD65" s="49"/>
      <c r="AE65" s="49"/>
      <c r="AF65" s="49"/>
      <c r="AG65" s="49">
        <f t="shared" si="2"/>
        <v>0</v>
      </c>
      <c r="AH65" s="49" t="str">
        <f t="shared" si="3"/>
        <v>NUMERO DE CONDUCTORES</v>
      </c>
      <c r="AI65" s="49">
        <f t="shared" si="4"/>
        <v>0</v>
      </c>
    </row>
    <row r="66" spans="1:35">
      <c r="B66" s="4" t="s">
        <v>397</v>
      </c>
      <c r="E66" s="1" t="s">
        <v>398</v>
      </c>
      <c r="Z66" s="49"/>
      <c r="AA66" s="49">
        <v>0</v>
      </c>
      <c r="AB66" s="49" t="s">
        <v>397</v>
      </c>
      <c r="AC66" s="49">
        <v>0</v>
      </c>
      <c r="AD66" s="49"/>
      <c r="AE66" s="49"/>
      <c r="AF66" s="49"/>
      <c r="AG66" s="49">
        <f t="shared" si="2"/>
        <v>0</v>
      </c>
      <c r="AH66" s="49" t="str">
        <f t="shared" si="3"/>
        <v>QUE LLEVAN CORRIENTE</v>
      </c>
      <c r="AI66" s="49">
        <f t="shared" si="4"/>
        <v>0</v>
      </c>
    </row>
    <row r="67" spans="1:35">
      <c r="B67" s="4"/>
      <c r="Z67" s="49"/>
      <c r="AA67" s="49">
        <v>0</v>
      </c>
      <c r="AB67" s="49">
        <v>0</v>
      </c>
      <c r="AC67" s="49">
        <v>0</v>
      </c>
      <c r="AD67" s="49"/>
      <c r="AE67" s="49"/>
      <c r="AF67" s="49"/>
      <c r="AG67" s="49">
        <f t="shared" si="2"/>
        <v>0</v>
      </c>
      <c r="AH67" s="49">
        <f t="shared" si="3"/>
        <v>0</v>
      </c>
      <c r="AI67" s="49">
        <f t="shared" si="4"/>
        <v>0</v>
      </c>
    </row>
    <row r="68" spans="1:35">
      <c r="A68" s="1">
        <f t="shared" ref="A68:C70" si="15">AG68</f>
        <v>0</v>
      </c>
      <c r="B68" s="1" t="str">
        <f t="shared" si="15"/>
        <v>21 A 30</v>
      </c>
      <c r="C68" s="1">
        <f t="shared" si="15"/>
        <v>0</v>
      </c>
      <c r="D68" s="1">
        <v>0</v>
      </c>
      <c r="E68" s="1">
        <v>1</v>
      </c>
      <c r="Z68" s="49"/>
      <c r="AA68" s="49">
        <v>0</v>
      </c>
      <c r="AB68" s="49" t="s">
        <v>402</v>
      </c>
      <c r="AC68" s="49">
        <v>0</v>
      </c>
      <c r="AD68" s="49"/>
      <c r="AE68" s="49"/>
      <c r="AF68" s="49"/>
      <c r="AG68" s="49">
        <f t="shared" si="2"/>
        <v>0</v>
      </c>
      <c r="AH68" s="49" t="str">
        <f t="shared" si="3"/>
        <v>21 A 30</v>
      </c>
      <c r="AI68" s="49">
        <f t="shared" si="4"/>
        <v>0</v>
      </c>
    </row>
    <row r="69" spans="1:35">
      <c r="A69" s="1">
        <f t="shared" si="15"/>
        <v>0</v>
      </c>
      <c r="B69" s="1" t="str">
        <f t="shared" si="15"/>
        <v>31 A 40</v>
      </c>
      <c r="C69" s="1">
        <f t="shared" si="15"/>
        <v>0</v>
      </c>
      <c r="D69" s="1">
        <v>31</v>
      </c>
      <c r="E69" s="1">
        <v>0.4</v>
      </c>
      <c r="Z69" s="49"/>
      <c r="AA69" s="49">
        <v>0</v>
      </c>
      <c r="AB69" s="49" t="s">
        <v>403</v>
      </c>
      <c r="AC69" s="49">
        <v>0</v>
      </c>
      <c r="AD69" s="49"/>
      <c r="AE69" s="49"/>
      <c r="AF69" s="49"/>
      <c r="AG69" s="49">
        <f t="shared" si="2"/>
        <v>0</v>
      </c>
      <c r="AH69" s="49" t="str">
        <f t="shared" si="3"/>
        <v>31 A 40</v>
      </c>
      <c r="AI69" s="49">
        <f t="shared" si="4"/>
        <v>0</v>
      </c>
    </row>
    <row r="70" spans="1:35">
      <c r="A70" s="1">
        <f t="shared" si="15"/>
        <v>0</v>
      </c>
      <c r="B70" s="1" t="str">
        <f t="shared" si="15"/>
        <v>41 Y MAS</v>
      </c>
      <c r="C70" s="1">
        <f t="shared" si="15"/>
        <v>0</v>
      </c>
      <c r="D70" s="1">
        <v>41</v>
      </c>
      <c r="E70" s="1">
        <v>0.35</v>
      </c>
      <c r="Z70" s="49"/>
      <c r="AA70" s="49">
        <v>0</v>
      </c>
      <c r="AB70" s="49" t="s">
        <v>404</v>
      </c>
      <c r="AC70" s="49">
        <v>0</v>
      </c>
      <c r="AD70" s="49"/>
      <c r="AE70" s="49"/>
      <c r="AF70" s="49"/>
      <c r="AG70" s="49">
        <f t="shared" ref="AG70:AG136" si="16">IF($AG$4="BUENO",AA70,0)</f>
        <v>0</v>
      </c>
      <c r="AH70" s="49" t="str">
        <f t="shared" ref="AH70:AH136" si="17">IF($AG$4="BUENO",AB70,0)</f>
        <v>41 Y MAS</v>
      </c>
      <c r="AI70" s="49">
        <f t="shared" ref="AI70:AI136" si="18">IF($AG$4="BUENO",AC70,0)</f>
        <v>0</v>
      </c>
    </row>
    <row r="71" spans="1:35">
      <c r="Z71" s="49"/>
      <c r="AA71" s="49">
        <v>0</v>
      </c>
      <c r="AB71" s="49">
        <v>0</v>
      </c>
      <c r="AC71" s="49">
        <v>0</v>
      </c>
      <c r="AD71" s="49"/>
      <c r="AE71" s="49"/>
      <c r="AF71" s="49"/>
      <c r="AG71" s="49">
        <f t="shared" si="16"/>
        <v>0</v>
      </c>
      <c r="AH71" s="49">
        <f t="shared" si="17"/>
        <v>0</v>
      </c>
      <c r="AI71" s="49">
        <f t="shared" si="18"/>
        <v>0</v>
      </c>
    </row>
    <row r="72" spans="1:35">
      <c r="Z72" s="49"/>
      <c r="AA72" s="49">
        <v>0</v>
      </c>
      <c r="AB72" s="49">
        <v>0</v>
      </c>
      <c r="AC72" s="49">
        <v>0</v>
      </c>
      <c r="AD72" s="49"/>
      <c r="AE72" s="49"/>
      <c r="AF72" s="49"/>
      <c r="AG72" s="49">
        <f t="shared" si="16"/>
        <v>0</v>
      </c>
      <c r="AH72" s="49">
        <f t="shared" si="17"/>
        <v>0</v>
      </c>
      <c r="AI72" s="49">
        <f t="shared" si="18"/>
        <v>0</v>
      </c>
    </row>
    <row r="73" spans="1:35">
      <c r="Z73" s="49"/>
      <c r="AA73" s="49">
        <v>0</v>
      </c>
      <c r="AB73" s="49">
        <v>0</v>
      </c>
      <c r="AC73" s="49">
        <v>0</v>
      </c>
      <c r="AD73" s="49"/>
      <c r="AE73" s="49"/>
      <c r="AF73" s="49"/>
      <c r="AG73" s="49">
        <f t="shared" si="16"/>
        <v>0</v>
      </c>
      <c r="AH73" s="49">
        <f t="shared" si="17"/>
        <v>0</v>
      </c>
      <c r="AI73" s="49">
        <f t="shared" si="18"/>
        <v>0</v>
      </c>
    </row>
    <row r="74" spans="1:35">
      <c r="A74" s="11" t="s">
        <v>406</v>
      </c>
      <c r="B74" s="12"/>
      <c r="C74" s="12"/>
      <c r="D74" s="12"/>
      <c r="E74" s="12"/>
      <c r="F74" s="12"/>
      <c r="G74" s="12"/>
      <c r="H74" s="12"/>
      <c r="Z74" s="49"/>
      <c r="AA74" s="49" t="s">
        <v>406</v>
      </c>
      <c r="AB74" s="49">
        <v>0</v>
      </c>
      <c r="AC74" s="49">
        <v>0</v>
      </c>
      <c r="AD74" s="49"/>
      <c r="AE74" s="49"/>
      <c r="AF74" s="49"/>
      <c r="AG74" s="49" t="str">
        <f t="shared" si="16"/>
        <v>TABLA DE CAPACIDAD DE CORRIENTE DE CONDUCTORES DE COBRE EN TUBO O DUCTO</v>
      </c>
      <c r="AH74" s="49">
        <f t="shared" si="17"/>
        <v>0</v>
      </c>
      <c r="AI74" s="49">
        <f t="shared" si="18"/>
        <v>0</v>
      </c>
    </row>
    <row r="75" spans="1:35">
      <c r="A75" s="11" t="s">
        <v>407</v>
      </c>
      <c r="B75" s="12"/>
      <c r="C75" s="12"/>
      <c r="D75" s="12"/>
      <c r="E75" s="12"/>
      <c r="F75" s="12"/>
      <c r="G75" s="12"/>
      <c r="H75" s="12"/>
      <c r="Z75" s="49"/>
      <c r="AA75" s="49" t="s">
        <v>407</v>
      </c>
      <c r="AB75" s="49">
        <v>0</v>
      </c>
      <c r="AC75" s="49">
        <v>0</v>
      </c>
      <c r="AD75" s="49"/>
      <c r="AE75" s="49"/>
      <c r="AF75" s="49"/>
      <c r="AG75" s="49" t="str">
        <f t="shared" si="16"/>
        <v>CONSIDERANDO CABLEA S 75°C Y CABLES A 90°C PARA COMPARATIVA DE CORRIENTE</v>
      </c>
      <c r="AH75" s="49">
        <f t="shared" si="17"/>
        <v>0</v>
      </c>
      <c r="AI75" s="49">
        <f t="shared" si="18"/>
        <v>0</v>
      </c>
    </row>
    <row r="76" spans="1:35">
      <c r="Z76" s="49"/>
      <c r="AA76" s="49">
        <v>0</v>
      </c>
      <c r="AB76" s="49">
        <v>0</v>
      </c>
      <c r="AC76" s="49">
        <v>0</v>
      </c>
      <c r="AD76" s="49"/>
      <c r="AE76" s="49"/>
      <c r="AF76" s="49"/>
      <c r="AG76" s="49">
        <f t="shared" si="16"/>
        <v>0</v>
      </c>
      <c r="AH76" s="49">
        <f t="shared" si="17"/>
        <v>0</v>
      </c>
      <c r="AI76" s="49">
        <f t="shared" si="18"/>
        <v>0</v>
      </c>
    </row>
    <row r="77" spans="1:35">
      <c r="B77" s="3" t="s">
        <v>378</v>
      </c>
      <c r="C77" s="3" t="s">
        <v>408</v>
      </c>
      <c r="D77" s="3" t="s">
        <v>409</v>
      </c>
      <c r="E77" s="3"/>
      <c r="Z77" s="49"/>
      <c r="AA77" s="49">
        <v>0</v>
      </c>
      <c r="AB77" s="49" t="s">
        <v>378</v>
      </c>
      <c r="AC77" s="49" t="s">
        <v>408</v>
      </c>
      <c r="AD77" s="49"/>
      <c r="AE77" s="49"/>
      <c r="AF77" s="49"/>
      <c r="AG77" s="49">
        <f t="shared" si="16"/>
        <v>0</v>
      </c>
      <c r="AH77" s="49" t="str">
        <f t="shared" si="17"/>
        <v>RANGO</v>
      </c>
      <c r="AI77" s="49" t="str">
        <f t="shared" si="18"/>
        <v>CALIBRE</v>
      </c>
    </row>
    <row r="78" spans="1:35">
      <c r="B78" s="3"/>
      <c r="C78" s="3"/>
      <c r="D78" s="3"/>
      <c r="E78" s="3"/>
      <c r="Z78" s="49"/>
      <c r="AA78" s="49">
        <v>0</v>
      </c>
      <c r="AB78" s="49">
        <v>0</v>
      </c>
      <c r="AC78" s="49">
        <v>0</v>
      </c>
      <c r="AD78" s="49"/>
      <c r="AE78" s="49"/>
      <c r="AF78" s="49"/>
      <c r="AG78" s="49">
        <f t="shared" si="16"/>
        <v>0</v>
      </c>
      <c r="AH78" s="49">
        <f t="shared" si="17"/>
        <v>0</v>
      </c>
      <c r="AI78" s="49">
        <f t="shared" si="18"/>
        <v>0</v>
      </c>
    </row>
    <row r="79" spans="1:35">
      <c r="A79" s="1">
        <f t="shared" ref="A79:A108" si="19">AG79</f>
        <v>0</v>
      </c>
      <c r="B79" s="1">
        <f t="shared" ref="B79:B108" si="20">AH79</f>
        <v>0</v>
      </c>
      <c r="C79" s="1">
        <f t="shared" ref="C79:C108" si="21">AI79</f>
        <v>14</v>
      </c>
      <c r="D79" s="3">
        <v>20</v>
      </c>
      <c r="E79" s="3"/>
      <c r="Z79" s="49"/>
      <c r="AA79" s="49">
        <v>0</v>
      </c>
      <c r="AB79" s="49">
        <v>0</v>
      </c>
      <c r="AC79" s="49">
        <v>14</v>
      </c>
      <c r="AD79" s="49"/>
      <c r="AE79" s="49"/>
      <c r="AF79" s="49"/>
      <c r="AG79" s="49">
        <f t="shared" si="16"/>
        <v>0</v>
      </c>
      <c r="AH79" s="49">
        <f t="shared" si="17"/>
        <v>0</v>
      </c>
      <c r="AI79" s="49">
        <f t="shared" si="18"/>
        <v>14</v>
      </c>
    </row>
    <row r="80" spans="1:35">
      <c r="A80" s="1">
        <f t="shared" si="19"/>
        <v>0</v>
      </c>
      <c r="B80" s="1">
        <f t="shared" si="20"/>
        <v>15.1</v>
      </c>
      <c r="C80" s="1">
        <f t="shared" si="21"/>
        <v>12</v>
      </c>
      <c r="D80" s="3">
        <v>25</v>
      </c>
      <c r="E80" s="3"/>
      <c r="Z80" s="49"/>
      <c r="AA80" s="49">
        <v>0</v>
      </c>
      <c r="AB80" s="49">
        <v>15.1</v>
      </c>
      <c r="AC80" s="49">
        <v>12</v>
      </c>
      <c r="AD80" s="49"/>
      <c r="AE80" s="49"/>
      <c r="AF80" s="49"/>
      <c r="AG80" s="49">
        <f t="shared" si="16"/>
        <v>0</v>
      </c>
      <c r="AH80" s="49">
        <f t="shared" si="17"/>
        <v>15.1</v>
      </c>
      <c r="AI80" s="49">
        <f t="shared" si="18"/>
        <v>12</v>
      </c>
    </row>
    <row r="81" spans="1:35">
      <c r="A81" s="1">
        <f t="shared" si="19"/>
        <v>0</v>
      </c>
      <c r="B81" s="1">
        <f t="shared" si="20"/>
        <v>25.1</v>
      </c>
      <c r="C81" s="1">
        <f t="shared" si="21"/>
        <v>10</v>
      </c>
      <c r="D81" s="3">
        <v>35</v>
      </c>
      <c r="E81" s="3"/>
      <c r="G81" s="3"/>
      <c r="H81" s="3"/>
      <c r="J81" s="3"/>
      <c r="K81" s="3"/>
      <c r="L81" s="3"/>
      <c r="P81" s="3"/>
      <c r="Q81" s="3"/>
      <c r="R81" s="1">
        <f>Q81+0.1</f>
        <v>0.1</v>
      </c>
      <c r="Z81" s="49"/>
      <c r="AA81" s="49">
        <v>0</v>
      </c>
      <c r="AB81" s="49">
        <v>25.1</v>
      </c>
      <c r="AC81" s="49">
        <v>10</v>
      </c>
      <c r="AD81" s="49"/>
      <c r="AE81" s="49"/>
      <c r="AF81" s="49"/>
      <c r="AG81" s="49">
        <f t="shared" si="16"/>
        <v>0</v>
      </c>
      <c r="AH81" s="49">
        <f t="shared" si="17"/>
        <v>25.1</v>
      </c>
      <c r="AI81" s="49">
        <f t="shared" si="18"/>
        <v>10</v>
      </c>
    </row>
    <row r="82" spans="1:35">
      <c r="A82" s="1">
        <f t="shared" si="19"/>
        <v>0</v>
      </c>
      <c r="B82" s="1">
        <f t="shared" si="20"/>
        <v>35.1</v>
      </c>
      <c r="C82" s="1">
        <f t="shared" si="21"/>
        <v>8</v>
      </c>
      <c r="D82" s="3">
        <v>50</v>
      </c>
      <c r="E82" s="3"/>
      <c r="G82" s="3"/>
      <c r="H82" s="3"/>
      <c r="J82" s="3"/>
      <c r="K82" s="3"/>
      <c r="L82" s="3"/>
      <c r="P82" s="3"/>
      <c r="Q82" s="3"/>
      <c r="R82" s="1">
        <f t="shared" ref="R82:R101" si="22">Q82+0.1</f>
        <v>0.1</v>
      </c>
      <c r="Z82" s="49"/>
      <c r="AA82" s="49">
        <v>0</v>
      </c>
      <c r="AB82" s="49">
        <v>35.1</v>
      </c>
      <c r="AC82" s="49">
        <v>8</v>
      </c>
      <c r="AD82" s="49"/>
      <c r="AE82" s="49"/>
      <c r="AF82" s="49"/>
      <c r="AG82" s="49">
        <f t="shared" si="16"/>
        <v>0</v>
      </c>
      <c r="AH82" s="49">
        <f t="shared" si="17"/>
        <v>35.1</v>
      </c>
      <c r="AI82" s="49">
        <f t="shared" si="18"/>
        <v>8</v>
      </c>
    </row>
    <row r="83" spans="1:35">
      <c r="A83" s="1">
        <f t="shared" si="19"/>
        <v>0</v>
      </c>
      <c r="B83" s="1">
        <f t="shared" si="20"/>
        <v>50.1</v>
      </c>
      <c r="C83" s="1">
        <f t="shared" si="21"/>
        <v>6</v>
      </c>
      <c r="D83" s="3">
        <v>65</v>
      </c>
      <c r="E83" s="3"/>
      <c r="G83" s="3"/>
      <c r="H83" s="3"/>
      <c r="J83" s="3"/>
      <c r="K83" s="3"/>
      <c r="L83" s="3"/>
      <c r="P83" s="3"/>
      <c r="Q83" s="3"/>
      <c r="R83" s="1">
        <f t="shared" si="22"/>
        <v>0.1</v>
      </c>
      <c r="Z83" s="49"/>
      <c r="AA83" s="49">
        <v>0</v>
      </c>
      <c r="AB83" s="49">
        <v>50.1</v>
      </c>
      <c r="AC83" s="49">
        <v>6</v>
      </c>
      <c r="AD83" s="49"/>
      <c r="AE83" s="49"/>
      <c r="AF83" s="49"/>
      <c r="AG83" s="49">
        <f t="shared" si="16"/>
        <v>0</v>
      </c>
      <c r="AH83" s="49">
        <f t="shared" si="17"/>
        <v>50.1</v>
      </c>
      <c r="AI83" s="49">
        <f t="shared" si="18"/>
        <v>6</v>
      </c>
    </row>
    <row r="84" spans="1:35">
      <c r="A84" s="1">
        <f t="shared" si="19"/>
        <v>0</v>
      </c>
      <c r="B84" s="1">
        <f t="shared" si="20"/>
        <v>65.099999999999994</v>
      </c>
      <c r="C84" s="1">
        <f t="shared" si="21"/>
        <v>4</v>
      </c>
      <c r="D84" s="3">
        <v>85</v>
      </c>
      <c r="E84" s="3"/>
      <c r="G84" s="3"/>
      <c r="H84" s="3"/>
      <c r="J84" s="3"/>
      <c r="K84" s="3"/>
      <c r="L84" s="3"/>
      <c r="P84" s="3"/>
      <c r="Q84" s="3"/>
      <c r="R84" s="1">
        <f t="shared" si="22"/>
        <v>0.1</v>
      </c>
      <c r="Z84" s="49"/>
      <c r="AA84" s="49">
        <v>0</v>
      </c>
      <c r="AB84" s="49">
        <v>65.099999999999994</v>
      </c>
      <c r="AC84" s="49">
        <v>4</v>
      </c>
      <c r="AD84" s="49"/>
      <c r="AE84" s="49"/>
      <c r="AF84" s="49"/>
      <c r="AG84" s="49">
        <f t="shared" si="16"/>
        <v>0</v>
      </c>
      <c r="AH84" s="49">
        <f t="shared" si="17"/>
        <v>65.099999999999994</v>
      </c>
      <c r="AI84" s="49">
        <f t="shared" si="18"/>
        <v>4</v>
      </c>
    </row>
    <row r="85" spans="1:35">
      <c r="A85" s="1">
        <f t="shared" si="19"/>
        <v>0</v>
      </c>
      <c r="B85" s="1">
        <f t="shared" si="20"/>
        <v>85.1</v>
      </c>
      <c r="C85" s="1">
        <f t="shared" si="21"/>
        <v>2</v>
      </c>
      <c r="D85" s="3">
        <v>115</v>
      </c>
      <c r="E85" s="3"/>
      <c r="G85" s="3"/>
      <c r="H85" s="3"/>
      <c r="J85" s="3"/>
      <c r="K85" s="3"/>
      <c r="L85" s="3"/>
      <c r="P85" s="3"/>
      <c r="Q85" s="3"/>
      <c r="R85" s="1">
        <f t="shared" si="22"/>
        <v>0.1</v>
      </c>
      <c r="Z85" s="49"/>
      <c r="AA85" s="49">
        <v>0</v>
      </c>
      <c r="AB85" s="49">
        <v>85.1</v>
      </c>
      <c r="AC85" s="49">
        <v>2</v>
      </c>
      <c r="AD85" s="49"/>
      <c r="AE85" s="49"/>
      <c r="AF85" s="49"/>
      <c r="AG85" s="49">
        <f t="shared" si="16"/>
        <v>0</v>
      </c>
      <c r="AH85" s="49">
        <f t="shared" si="17"/>
        <v>85.1</v>
      </c>
      <c r="AI85" s="49">
        <f t="shared" si="18"/>
        <v>2</v>
      </c>
    </row>
    <row r="86" spans="1:35">
      <c r="A86" s="1">
        <f t="shared" si="19"/>
        <v>0</v>
      </c>
      <c r="B86" s="1">
        <f t="shared" si="20"/>
        <v>115.1</v>
      </c>
      <c r="C86" s="1" t="str">
        <f t="shared" si="21"/>
        <v>1/0</v>
      </c>
      <c r="D86" s="3">
        <v>170</v>
      </c>
      <c r="E86" s="3"/>
      <c r="G86" s="3"/>
      <c r="H86" s="3"/>
      <c r="J86" s="3"/>
      <c r="K86" s="3"/>
      <c r="L86" s="3"/>
      <c r="P86" s="3"/>
      <c r="Q86" s="3"/>
      <c r="R86" s="1">
        <f t="shared" si="22"/>
        <v>0.1</v>
      </c>
      <c r="Z86" s="49"/>
      <c r="AA86" s="49">
        <v>0</v>
      </c>
      <c r="AB86" s="49">
        <v>115.1</v>
      </c>
      <c r="AC86" s="49" t="s">
        <v>0</v>
      </c>
      <c r="AD86" s="49"/>
      <c r="AE86" s="49"/>
      <c r="AF86" s="49"/>
      <c r="AG86" s="49">
        <f t="shared" si="16"/>
        <v>0</v>
      </c>
      <c r="AH86" s="49">
        <f t="shared" si="17"/>
        <v>115.1</v>
      </c>
      <c r="AI86" s="49" t="str">
        <f t="shared" si="18"/>
        <v>1/0</v>
      </c>
    </row>
    <row r="87" spans="1:35">
      <c r="A87" s="1">
        <f t="shared" si="19"/>
        <v>0</v>
      </c>
      <c r="B87" s="1">
        <f t="shared" si="20"/>
        <v>170.1</v>
      </c>
      <c r="C87" s="1" t="str">
        <f t="shared" si="21"/>
        <v>2/0</v>
      </c>
      <c r="D87" s="3">
        <v>195</v>
      </c>
      <c r="E87" s="3"/>
      <c r="G87" s="3"/>
      <c r="H87" s="3"/>
      <c r="J87" s="3"/>
      <c r="K87" s="3"/>
      <c r="L87" s="3"/>
      <c r="P87" s="3"/>
      <c r="Q87" s="3"/>
      <c r="R87" s="1">
        <f t="shared" si="22"/>
        <v>0.1</v>
      </c>
      <c r="Z87" s="49"/>
      <c r="AA87" s="49">
        <v>0</v>
      </c>
      <c r="AB87" s="49">
        <v>170.1</v>
      </c>
      <c r="AC87" s="49" t="s">
        <v>1</v>
      </c>
      <c r="AD87" s="49"/>
      <c r="AE87" s="49"/>
      <c r="AF87" s="49"/>
      <c r="AG87" s="49">
        <f t="shared" si="16"/>
        <v>0</v>
      </c>
      <c r="AH87" s="49">
        <f t="shared" si="17"/>
        <v>170.1</v>
      </c>
      <c r="AI87" s="49" t="str">
        <f t="shared" si="18"/>
        <v>2/0</v>
      </c>
    </row>
    <row r="88" spans="1:35">
      <c r="A88" s="1">
        <f t="shared" si="19"/>
        <v>0</v>
      </c>
      <c r="B88" s="1">
        <f t="shared" si="20"/>
        <v>195.1</v>
      </c>
      <c r="C88" s="1" t="str">
        <f t="shared" si="21"/>
        <v>3/0</v>
      </c>
      <c r="D88" s="3">
        <v>225</v>
      </c>
      <c r="E88" s="3"/>
      <c r="G88" s="3"/>
      <c r="H88" s="3"/>
      <c r="J88" s="3"/>
      <c r="K88" s="3"/>
      <c r="L88" s="3"/>
      <c r="P88" s="3"/>
      <c r="Q88" s="3"/>
      <c r="R88" s="1">
        <f t="shared" si="22"/>
        <v>0.1</v>
      </c>
      <c r="Z88" s="49"/>
      <c r="AA88" s="49">
        <v>0</v>
      </c>
      <c r="AB88" s="49">
        <v>195.1</v>
      </c>
      <c r="AC88" s="49" t="s">
        <v>2</v>
      </c>
      <c r="AD88" s="49"/>
      <c r="AE88" s="49"/>
      <c r="AF88" s="49"/>
      <c r="AG88" s="49">
        <f t="shared" si="16"/>
        <v>0</v>
      </c>
      <c r="AH88" s="49">
        <f t="shared" si="17"/>
        <v>195.1</v>
      </c>
      <c r="AI88" s="49" t="str">
        <f t="shared" si="18"/>
        <v>3/0</v>
      </c>
    </row>
    <row r="89" spans="1:35">
      <c r="A89" s="1">
        <f t="shared" si="19"/>
        <v>0</v>
      </c>
      <c r="B89" s="1">
        <f t="shared" si="20"/>
        <v>225.1</v>
      </c>
      <c r="C89" s="1" t="str">
        <f t="shared" si="21"/>
        <v>4/0</v>
      </c>
      <c r="D89" s="3">
        <v>260</v>
      </c>
      <c r="E89" s="3"/>
      <c r="G89" s="3"/>
      <c r="H89" s="3"/>
      <c r="J89" s="3"/>
      <c r="K89" s="3"/>
      <c r="L89" s="3"/>
      <c r="P89" s="3"/>
      <c r="Q89" s="3"/>
      <c r="R89" s="1">
        <f t="shared" si="22"/>
        <v>0.1</v>
      </c>
      <c r="Z89" s="49"/>
      <c r="AA89" s="49">
        <v>0</v>
      </c>
      <c r="AB89" s="49">
        <v>225.1</v>
      </c>
      <c r="AC89" s="49" t="s">
        <v>3</v>
      </c>
      <c r="AD89" s="49"/>
      <c r="AE89" s="49"/>
      <c r="AF89" s="49"/>
      <c r="AG89" s="49">
        <f t="shared" si="16"/>
        <v>0</v>
      </c>
      <c r="AH89" s="49">
        <f t="shared" si="17"/>
        <v>225.1</v>
      </c>
      <c r="AI89" s="49" t="str">
        <f t="shared" si="18"/>
        <v>4/0</v>
      </c>
    </row>
    <row r="90" spans="1:35">
      <c r="A90" s="1">
        <f t="shared" si="19"/>
        <v>0</v>
      </c>
      <c r="B90" s="1">
        <f t="shared" si="20"/>
        <v>260.10000000000002</v>
      </c>
      <c r="C90" s="1">
        <f t="shared" si="21"/>
        <v>250</v>
      </c>
      <c r="D90" s="3">
        <v>290</v>
      </c>
      <c r="E90" s="3"/>
      <c r="G90" s="3"/>
      <c r="H90" s="3"/>
      <c r="J90" s="3"/>
      <c r="K90" s="3"/>
      <c r="L90" s="3"/>
      <c r="P90" s="3"/>
      <c r="Q90" s="3"/>
      <c r="R90" s="1">
        <f t="shared" si="22"/>
        <v>0.1</v>
      </c>
      <c r="Z90" s="49"/>
      <c r="AA90" s="49">
        <v>0</v>
      </c>
      <c r="AB90" s="49">
        <v>260.10000000000002</v>
      </c>
      <c r="AC90" s="49">
        <v>250</v>
      </c>
      <c r="AD90" s="49"/>
      <c r="AE90" s="49"/>
      <c r="AF90" s="49"/>
      <c r="AG90" s="49">
        <f t="shared" si="16"/>
        <v>0</v>
      </c>
      <c r="AH90" s="49">
        <f t="shared" si="17"/>
        <v>260.10000000000002</v>
      </c>
      <c r="AI90" s="49">
        <f t="shared" si="18"/>
        <v>250</v>
      </c>
    </row>
    <row r="91" spans="1:35">
      <c r="A91" s="1">
        <f t="shared" si="19"/>
        <v>0</v>
      </c>
      <c r="B91" s="1">
        <f t="shared" si="20"/>
        <v>290.10000000000002</v>
      </c>
      <c r="C91" s="1">
        <f t="shared" si="21"/>
        <v>300</v>
      </c>
      <c r="D91" s="3">
        <v>320</v>
      </c>
      <c r="E91" s="3"/>
      <c r="G91" s="3"/>
      <c r="H91" s="3"/>
      <c r="J91" s="3"/>
      <c r="K91" s="3"/>
      <c r="L91" s="3"/>
      <c r="P91" s="3"/>
      <c r="Q91" s="3"/>
      <c r="R91" s="1">
        <f t="shared" si="22"/>
        <v>0.1</v>
      </c>
      <c r="Z91" s="49"/>
      <c r="AA91" s="49">
        <v>0</v>
      </c>
      <c r="AB91" s="49">
        <v>290.10000000000002</v>
      </c>
      <c r="AC91" s="49">
        <v>300</v>
      </c>
      <c r="AD91" s="49"/>
      <c r="AE91" s="49"/>
      <c r="AF91" s="49"/>
      <c r="AG91" s="49">
        <f t="shared" si="16"/>
        <v>0</v>
      </c>
      <c r="AH91" s="49">
        <f t="shared" si="17"/>
        <v>290.10000000000002</v>
      </c>
      <c r="AI91" s="49">
        <f t="shared" si="18"/>
        <v>300</v>
      </c>
    </row>
    <row r="92" spans="1:35">
      <c r="A92" s="1">
        <f t="shared" si="19"/>
        <v>0</v>
      </c>
      <c r="B92" s="1">
        <f t="shared" si="20"/>
        <v>320.10000000000002</v>
      </c>
      <c r="C92" s="1">
        <f t="shared" si="21"/>
        <v>350</v>
      </c>
      <c r="D92" s="3">
        <v>350</v>
      </c>
      <c r="E92" s="3"/>
      <c r="G92" s="3"/>
      <c r="H92" s="3"/>
      <c r="J92" s="3"/>
      <c r="K92" s="3"/>
      <c r="L92" s="3"/>
      <c r="P92" s="3"/>
      <c r="Q92" s="3"/>
      <c r="R92" s="1">
        <f t="shared" si="22"/>
        <v>0.1</v>
      </c>
      <c r="Z92" s="49"/>
      <c r="AA92" s="49">
        <v>0</v>
      </c>
      <c r="AB92" s="49">
        <v>320.10000000000002</v>
      </c>
      <c r="AC92" s="49">
        <v>350</v>
      </c>
      <c r="AD92" s="49"/>
      <c r="AE92" s="49"/>
      <c r="AF92" s="49"/>
      <c r="AG92" s="49">
        <f t="shared" si="16"/>
        <v>0</v>
      </c>
      <c r="AH92" s="49">
        <f t="shared" si="17"/>
        <v>320.10000000000002</v>
      </c>
      <c r="AI92" s="49">
        <f t="shared" si="18"/>
        <v>350</v>
      </c>
    </row>
    <row r="93" spans="1:35">
      <c r="A93" s="1">
        <v>0</v>
      </c>
      <c r="B93" s="1">
        <v>350.1</v>
      </c>
      <c r="C93" s="1">
        <v>400</v>
      </c>
      <c r="D93" s="3">
        <v>380</v>
      </c>
      <c r="E93" s="3"/>
      <c r="G93" s="3"/>
      <c r="H93" s="3"/>
      <c r="J93" s="3"/>
      <c r="K93" s="3"/>
      <c r="L93" s="3"/>
      <c r="P93" s="3"/>
      <c r="Q93" s="3"/>
      <c r="Z93" s="49"/>
      <c r="AA93" s="49"/>
      <c r="AB93" s="49"/>
      <c r="AC93" s="49"/>
      <c r="AD93" s="49"/>
      <c r="AE93" s="49"/>
      <c r="AF93" s="49"/>
      <c r="AG93" s="49"/>
      <c r="AH93" s="49"/>
      <c r="AI93" s="49"/>
    </row>
    <row r="94" spans="1:35">
      <c r="A94" s="1">
        <f t="shared" si="19"/>
        <v>0</v>
      </c>
      <c r="B94" s="1">
        <v>380.1</v>
      </c>
      <c r="C94" s="1">
        <f t="shared" si="21"/>
        <v>500</v>
      </c>
      <c r="D94" s="3">
        <v>430</v>
      </c>
      <c r="E94" s="3"/>
      <c r="G94" s="3"/>
      <c r="H94" s="3"/>
      <c r="J94" s="3"/>
      <c r="K94" s="3"/>
      <c r="L94" s="3"/>
      <c r="P94" s="3"/>
      <c r="Q94" s="3"/>
      <c r="R94" s="1">
        <f t="shared" si="22"/>
        <v>0.1</v>
      </c>
      <c r="Z94" s="49"/>
      <c r="AA94" s="49">
        <v>0</v>
      </c>
      <c r="AB94" s="49">
        <v>350.1</v>
      </c>
      <c r="AC94" s="49">
        <v>500</v>
      </c>
      <c r="AD94" s="49"/>
      <c r="AE94" s="49"/>
      <c r="AF94" s="49"/>
      <c r="AG94" s="49">
        <f t="shared" si="16"/>
        <v>0</v>
      </c>
      <c r="AH94" s="49">
        <f t="shared" si="17"/>
        <v>350.1</v>
      </c>
      <c r="AI94" s="49">
        <f t="shared" si="18"/>
        <v>500</v>
      </c>
    </row>
    <row r="95" spans="1:35">
      <c r="B95" s="1">
        <v>430.1</v>
      </c>
      <c r="C95" s="1">
        <v>600</v>
      </c>
      <c r="D95" s="3">
        <v>475</v>
      </c>
      <c r="E95" s="3"/>
      <c r="G95" s="3"/>
      <c r="H95" s="3"/>
      <c r="J95" s="3"/>
      <c r="K95" s="3"/>
      <c r="L95" s="3"/>
      <c r="P95" s="3"/>
      <c r="Q95" s="3"/>
      <c r="Z95" s="49"/>
      <c r="AA95" s="49"/>
      <c r="AB95" s="49"/>
      <c r="AC95" s="49"/>
      <c r="AD95" s="49"/>
      <c r="AE95" s="49"/>
      <c r="AF95" s="49"/>
      <c r="AG95" s="49"/>
      <c r="AH95" s="49"/>
      <c r="AI95" s="49"/>
    </row>
    <row r="96" spans="1:35">
      <c r="A96" s="1">
        <f t="shared" si="19"/>
        <v>0</v>
      </c>
      <c r="B96" s="1">
        <v>475.1</v>
      </c>
      <c r="C96" s="1">
        <f t="shared" si="21"/>
        <v>750</v>
      </c>
      <c r="D96" s="3">
        <v>535</v>
      </c>
      <c r="E96" s="3"/>
      <c r="G96" s="3"/>
      <c r="H96" s="3"/>
      <c r="J96" s="3"/>
      <c r="K96" s="3"/>
      <c r="L96" s="3"/>
      <c r="P96" s="3"/>
      <c r="Q96" s="3"/>
      <c r="R96" s="1">
        <f t="shared" si="22"/>
        <v>0.1</v>
      </c>
      <c r="Z96" s="49"/>
      <c r="AA96" s="49">
        <v>0</v>
      </c>
      <c r="AB96" s="49">
        <v>430.1</v>
      </c>
      <c r="AC96" s="49">
        <v>750</v>
      </c>
      <c r="AD96" s="49"/>
      <c r="AE96" s="49"/>
      <c r="AF96" s="49"/>
      <c r="AG96" s="49">
        <f t="shared" si="16"/>
        <v>0</v>
      </c>
      <c r="AH96" s="49">
        <f t="shared" si="17"/>
        <v>430.1</v>
      </c>
      <c r="AI96" s="49">
        <f t="shared" si="18"/>
        <v>750</v>
      </c>
    </row>
    <row r="97" spans="1:35">
      <c r="A97" s="1">
        <f t="shared" si="19"/>
        <v>0</v>
      </c>
      <c r="B97" s="1">
        <f t="shared" si="20"/>
        <v>535.1</v>
      </c>
      <c r="C97" s="1" t="str">
        <f t="shared" si="21"/>
        <v>2X250</v>
      </c>
      <c r="D97" s="3">
        <v>580</v>
      </c>
      <c r="E97" s="3"/>
      <c r="G97" s="3"/>
      <c r="H97" s="3"/>
      <c r="J97" s="3"/>
      <c r="K97" s="3"/>
      <c r="L97" s="3"/>
      <c r="P97" s="3"/>
      <c r="Q97" s="3"/>
      <c r="R97" s="1">
        <f t="shared" si="22"/>
        <v>0.1</v>
      </c>
      <c r="Z97" s="49"/>
      <c r="AA97" s="49">
        <v>0</v>
      </c>
      <c r="AB97" s="49">
        <v>535.1</v>
      </c>
      <c r="AC97" s="49" t="s">
        <v>410</v>
      </c>
      <c r="AD97" s="49"/>
      <c r="AE97" s="49"/>
      <c r="AF97" s="49"/>
      <c r="AG97" s="49">
        <f t="shared" si="16"/>
        <v>0</v>
      </c>
      <c r="AH97" s="49">
        <f t="shared" si="17"/>
        <v>535.1</v>
      </c>
      <c r="AI97" s="49" t="str">
        <f t="shared" si="18"/>
        <v>2X250</v>
      </c>
    </row>
    <row r="98" spans="1:35">
      <c r="A98" s="1">
        <f t="shared" si="19"/>
        <v>0</v>
      </c>
      <c r="B98" s="1">
        <f t="shared" si="20"/>
        <v>580.1</v>
      </c>
      <c r="C98" s="1" t="str">
        <f t="shared" si="21"/>
        <v>2X300</v>
      </c>
      <c r="D98" s="3">
        <v>640</v>
      </c>
      <c r="E98" s="3"/>
      <c r="G98" s="3"/>
      <c r="H98" s="3"/>
      <c r="J98" s="3"/>
      <c r="K98" s="3"/>
      <c r="L98" s="3"/>
      <c r="P98" s="3"/>
      <c r="Q98" s="3"/>
      <c r="R98" s="1">
        <f t="shared" si="22"/>
        <v>0.1</v>
      </c>
      <c r="Z98" s="49"/>
      <c r="AA98" s="49">
        <v>0</v>
      </c>
      <c r="AB98" s="49">
        <v>580.1</v>
      </c>
      <c r="AC98" s="49" t="s">
        <v>411</v>
      </c>
      <c r="AD98" s="49"/>
      <c r="AE98" s="49"/>
      <c r="AF98" s="49"/>
      <c r="AG98" s="49">
        <f t="shared" si="16"/>
        <v>0</v>
      </c>
      <c r="AH98" s="49">
        <f t="shared" si="17"/>
        <v>580.1</v>
      </c>
      <c r="AI98" s="49" t="str">
        <f t="shared" si="18"/>
        <v>2X300</v>
      </c>
    </row>
    <row r="99" spans="1:35">
      <c r="A99" s="1">
        <f t="shared" si="19"/>
        <v>0</v>
      </c>
      <c r="B99" s="1">
        <f t="shared" si="20"/>
        <v>640.1</v>
      </c>
      <c r="C99" s="1" t="str">
        <f t="shared" si="21"/>
        <v>2X350</v>
      </c>
      <c r="D99" s="3">
        <v>700</v>
      </c>
      <c r="E99" s="3"/>
      <c r="G99" s="3"/>
      <c r="H99" s="3"/>
      <c r="J99" s="3"/>
      <c r="K99" s="3"/>
      <c r="L99" s="3"/>
      <c r="P99" s="3"/>
      <c r="Q99" s="3"/>
      <c r="R99" s="1">
        <f t="shared" si="22"/>
        <v>0.1</v>
      </c>
      <c r="Z99" s="49"/>
      <c r="AA99" s="49">
        <v>0</v>
      </c>
      <c r="AB99" s="49">
        <v>640.1</v>
      </c>
      <c r="AC99" s="49" t="s">
        <v>412</v>
      </c>
      <c r="AD99" s="49"/>
      <c r="AE99" s="49"/>
      <c r="AF99" s="49"/>
      <c r="AG99" s="49">
        <f t="shared" si="16"/>
        <v>0</v>
      </c>
      <c r="AH99" s="49">
        <f t="shared" si="17"/>
        <v>640.1</v>
      </c>
      <c r="AI99" s="49" t="str">
        <f t="shared" si="18"/>
        <v>2X350</v>
      </c>
    </row>
    <row r="100" spans="1:35">
      <c r="A100" s="1">
        <f t="shared" si="19"/>
        <v>0</v>
      </c>
      <c r="B100" s="1">
        <f t="shared" si="20"/>
        <v>700.1</v>
      </c>
      <c r="C100" s="1" t="str">
        <f t="shared" si="21"/>
        <v>2X500</v>
      </c>
      <c r="D100" s="3">
        <v>860</v>
      </c>
      <c r="E100" s="3"/>
      <c r="G100" s="3"/>
      <c r="H100" s="3"/>
      <c r="J100" s="3"/>
      <c r="K100" s="3"/>
      <c r="L100" s="3"/>
      <c r="P100" s="3"/>
      <c r="Q100" s="3"/>
      <c r="R100" s="1">
        <f t="shared" si="22"/>
        <v>0.1</v>
      </c>
      <c r="Z100" s="49"/>
      <c r="AA100" s="49">
        <v>0</v>
      </c>
      <c r="AB100" s="49">
        <v>700.1</v>
      </c>
      <c r="AC100" s="49" t="s">
        <v>413</v>
      </c>
      <c r="AD100" s="49"/>
      <c r="AE100" s="49"/>
      <c r="AF100" s="49"/>
      <c r="AG100" s="49">
        <f t="shared" si="16"/>
        <v>0</v>
      </c>
      <c r="AH100" s="49">
        <f t="shared" si="17"/>
        <v>700.1</v>
      </c>
      <c r="AI100" s="49" t="str">
        <f t="shared" si="18"/>
        <v>2X500</v>
      </c>
    </row>
    <row r="101" spans="1:35">
      <c r="A101" s="1">
        <f t="shared" si="19"/>
        <v>0</v>
      </c>
      <c r="B101" s="1">
        <f t="shared" si="20"/>
        <v>860.1</v>
      </c>
      <c r="C101" s="1" t="str">
        <f t="shared" si="21"/>
        <v>2X750</v>
      </c>
      <c r="D101" s="3">
        <v>1070</v>
      </c>
      <c r="E101" s="3"/>
      <c r="G101" s="3"/>
      <c r="H101" s="3"/>
      <c r="J101" s="3"/>
      <c r="K101" s="3"/>
      <c r="L101" s="3"/>
      <c r="P101" s="3"/>
      <c r="Q101" s="3"/>
      <c r="R101" s="1">
        <f t="shared" si="22"/>
        <v>0.1</v>
      </c>
      <c r="Z101" s="49"/>
      <c r="AA101" s="49">
        <v>0</v>
      </c>
      <c r="AB101" s="49">
        <v>860.1</v>
      </c>
      <c r="AC101" s="49" t="s">
        <v>414</v>
      </c>
      <c r="AD101" s="49"/>
      <c r="AE101" s="49"/>
      <c r="AF101" s="49"/>
      <c r="AG101" s="49">
        <f t="shared" si="16"/>
        <v>0</v>
      </c>
      <c r="AH101" s="49">
        <f t="shared" si="17"/>
        <v>860.1</v>
      </c>
      <c r="AI101" s="49" t="str">
        <f t="shared" si="18"/>
        <v>2X750</v>
      </c>
    </row>
    <row r="102" spans="1:35">
      <c r="A102" s="1">
        <f t="shared" si="19"/>
        <v>0</v>
      </c>
      <c r="B102" s="1">
        <f t="shared" si="20"/>
        <v>1070.0999999999999</v>
      </c>
      <c r="C102" s="1" t="str">
        <f t="shared" si="21"/>
        <v>3X500</v>
      </c>
      <c r="D102" s="3">
        <v>1290</v>
      </c>
      <c r="E102" s="3"/>
      <c r="Z102" s="49"/>
      <c r="AA102" s="49">
        <v>0</v>
      </c>
      <c r="AB102" s="49">
        <v>1070.0999999999999</v>
      </c>
      <c r="AC102" s="49" t="s">
        <v>415</v>
      </c>
      <c r="AD102" s="49"/>
      <c r="AE102" s="49"/>
      <c r="AF102" s="49"/>
      <c r="AG102" s="49">
        <f t="shared" si="16"/>
        <v>0</v>
      </c>
      <c r="AH102" s="49">
        <f t="shared" si="17"/>
        <v>1070.0999999999999</v>
      </c>
      <c r="AI102" s="49" t="str">
        <f t="shared" si="18"/>
        <v>3X500</v>
      </c>
    </row>
    <row r="103" spans="1:35">
      <c r="A103" s="1">
        <f t="shared" si="19"/>
        <v>0</v>
      </c>
      <c r="B103" s="1">
        <f t="shared" si="20"/>
        <v>1290.0999999999999</v>
      </c>
      <c r="C103" s="1" t="str">
        <f t="shared" si="21"/>
        <v>4X500</v>
      </c>
      <c r="D103" s="3">
        <v>1720</v>
      </c>
      <c r="E103" s="3"/>
      <c r="Z103" s="49"/>
      <c r="AA103" s="49">
        <v>0</v>
      </c>
      <c r="AB103" s="49">
        <v>1290.0999999999999</v>
      </c>
      <c r="AC103" s="49" t="s">
        <v>416</v>
      </c>
      <c r="AD103" s="49"/>
      <c r="AE103" s="49"/>
      <c r="AF103" s="49"/>
      <c r="AG103" s="49">
        <f t="shared" si="16"/>
        <v>0</v>
      </c>
      <c r="AH103" s="49">
        <f t="shared" si="17"/>
        <v>1290.0999999999999</v>
      </c>
      <c r="AI103" s="49" t="str">
        <f t="shared" si="18"/>
        <v>4X500</v>
      </c>
    </row>
    <row r="104" spans="1:35">
      <c r="A104" s="1">
        <f t="shared" si="19"/>
        <v>0</v>
      </c>
      <c r="B104" s="1">
        <f t="shared" si="20"/>
        <v>1720.1</v>
      </c>
      <c r="C104" s="1" t="str">
        <f t="shared" si="21"/>
        <v>5X500</v>
      </c>
      <c r="D104" s="3">
        <v>2150</v>
      </c>
      <c r="E104" s="3"/>
      <c r="Z104" s="49"/>
      <c r="AA104" s="49">
        <v>0</v>
      </c>
      <c r="AB104" s="49">
        <v>1720.1</v>
      </c>
      <c r="AC104" s="49" t="s">
        <v>417</v>
      </c>
      <c r="AD104" s="49"/>
      <c r="AE104" s="49"/>
      <c r="AF104" s="49"/>
      <c r="AG104" s="49">
        <f t="shared" si="16"/>
        <v>0</v>
      </c>
      <c r="AH104" s="49">
        <f t="shared" si="17"/>
        <v>1720.1</v>
      </c>
      <c r="AI104" s="49" t="str">
        <f t="shared" si="18"/>
        <v>5X500</v>
      </c>
    </row>
    <row r="105" spans="1:35">
      <c r="A105" s="1">
        <f t="shared" si="19"/>
        <v>0</v>
      </c>
      <c r="B105" s="1">
        <f t="shared" si="20"/>
        <v>2150.1</v>
      </c>
      <c r="C105" s="1" t="str">
        <f t="shared" si="21"/>
        <v>5X750</v>
      </c>
      <c r="D105" s="3">
        <v>2675</v>
      </c>
      <c r="E105" s="3"/>
      <c r="Z105" s="49"/>
      <c r="AA105" s="49">
        <v>0</v>
      </c>
      <c r="AB105" s="49">
        <v>2150.1</v>
      </c>
      <c r="AC105" s="49" t="s">
        <v>418</v>
      </c>
      <c r="AD105" s="49"/>
      <c r="AE105" s="49"/>
      <c r="AF105" s="49"/>
      <c r="AG105" s="49">
        <f t="shared" si="16"/>
        <v>0</v>
      </c>
      <c r="AH105" s="49">
        <f t="shared" si="17"/>
        <v>2150.1</v>
      </c>
      <c r="AI105" s="49" t="str">
        <f t="shared" si="18"/>
        <v>5X750</v>
      </c>
    </row>
    <row r="106" spans="1:35">
      <c r="A106" s="1">
        <f t="shared" si="19"/>
        <v>0</v>
      </c>
      <c r="B106" s="1">
        <f t="shared" si="20"/>
        <v>2675.1</v>
      </c>
      <c r="C106" s="1" t="str">
        <f t="shared" si="21"/>
        <v>6X750</v>
      </c>
      <c r="D106" s="3">
        <v>3210</v>
      </c>
      <c r="E106" s="3"/>
      <c r="Z106" s="49"/>
      <c r="AA106" s="49">
        <v>0</v>
      </c>
      <c r="AB106" s="49">
        <v>2675.1</v>
      </c>
      <c r="AC106" s="49" t="s">
        <v>419</v>
      </c>
      <c r="AD106" s="49"/>
      <c r="AE106" s="49"/>
      <c r="AF106" s="49"/>
      <c r="AG106" s="49">
        <f t="shared" si="16"/>
        <v>0</v>
      </c>
      <c r="AH106" s="49">
        <f t="shared" si="17"/>
        <v>2675.1</v>
      </c>
      <c r="AI106" s="49" t="str">
        <f t="shared" si="18"/>
        <v>6X750</v>
      </c>
    </row>
    <row r="107" spans="1:35">
      <c r="A107" s="1">
        <f t="shared" si="19"/>
        <v>0</v>
      </c>
      <c r="B107" s="1">
        <f t="shared" si="20"/>
        <v>3210.1</v>
      </c>
      <c r="C107" s="1" t="str">
        <f t="shared" si="21"/>
        <v>7X750</v>
      </c>
      <c r="D107" s="3">
        <v>3745</v>
      </c>
      <c r="E107" s="3"/>
      <c r="Z107" s="49"/>
      <c r="AA107" s="49">
        <v>0</v>
      </c>
      <c r="AB107" s="49">
        <v>3210.1</v>
      </c>
      <c r="AC107" s="49" t="s">
        <v>420</v>
      </c>
      <c r="AD107" s="49"/>
      <c r="AE107" s="49"/>
      <c r="AF107" s="49"/>
      <c r="AG107" s="49">
        <f t="shared" si="16"/>
        <v>0</v>
      </c>
      <c r="AH107" s="49">
        <f t="shared" si="17"/>
        <v>3210.1</v>
      </c>
      <c r="AI107" s="49" t="str">
        <f t="shared" si="18"/>
        <v>7X750</v>
      </c>
    </row>
    <row r="108" spans="1:35">
      <c r="A108" s="1">
        <f t="shared" si="19"/>
        <v>0</v>
      </c>
      <c r="B108" s="1">
        <f t="shared" si="20"/>
        <v>3745.1</v>
      </c>
      <c r="C108" s="1">
        <f t="shared" si="21"/>
        <v>0</v>
      </c>
      <c r="D108" s="3"/>
      <c r="E108" s="3"/>
      <c r="Z108" s="49"/>
      <c r="AA108" s="49">
        <v>0</v>
      </c>
      <c r="AB108" s="49">
        <v>3745.1</v>
      </c>
      <c r="AC108" s="49">
        <v>0</v>
      </c>
      <c r="AD108" s="49"/>
      <c r="AE108" s="49"/>
      <c r="AF108" s="49"/>
      <c r="AG108" s="49">
        <f t="shared" si="16"/>
        <v>0</v>
      </c>
      <c r="AH108" s="49">
        <f t="shared" si="17"/>
        <v>3745.1</v>
      </c>
      <c r="AI108" s="49">
        <f t="shared" si="18"/>
        <v>0</v>
      </c>
    </row>
    <row r="109" spans="1:35">
      <c r="Z109" s="49"/>
      <c r="AA109" s="49">
        <v>0</v>
      </c>
      <c r="AB109" s="49">
        <v>0</v>
      </c>
      <c r="AC109" s="49">
        <v>0</v>
      </c>
      <c r="AD109" s="49"/>
      <c r="AE109" s="49"/>
      <c r="AF109" s="49"/>
      <c r="AG109" s="49">
        <f t="shared" si="16"/>
        <v>0</v>
      </c>
      <c r="AH109" s="49">
        <f t="shared" si="17"/>
        <v>0</v>
      </c>
      <c r="AI109" s="49">
        <f t="shared" si="18"/>
        <v>0</v>
      </c>
    </row>
    <row r="110" spans="1:35">
      <c r="Z110" s="49"/>
      <c r="AA110" s="49">
        <v>0</v>
      </c>
      <c r="AB110" s="49">
        <v>0</v>
      </c>
      <c r="AC110" s="49">
        <v>0</v>
      </c>
      <c r="AD110" s="49"/>
      <c r="AE110" s="49"/>
      <c r="AF110" s="49"/>
      <c r="AG110" s="49">
        <f t="shared" si="16"/>
        <v>0</v>
      </c>
      <c r="AH110" s="49">
        <f t="shared" si="17"/>
        <v>0</v>
      </c>
      <c r="AI110" s="49">
        <f t="shared" si="18"/>
        <v>0</v>
      </c>
    </row>
    <row r="111" spans="1:35">
      <c r="Z111" s="49"/>
      <c r="AA111" s="49">
        <v>0</v>
      </c>
      <c r="AB111" s="49">
        <v>0</v>
      </c>
      <c r="AC111" s="49">
        <v>0</v>
      </c>
      <c r="AD111" s="49"/>
      <c r="AE111" s="49"/>
      <c r="AF111" s="49"/>
      <c r="AG111" s="49">
        <f t="shared" si="16"/>
        <v>0</v>
      </c>
      <c r="AH111" s="49">
        <f t="shared" si="17"/>
        <v>0</v>
      </c>
      <c r="AI111" s="49">
        <f t="shared" si="18"/>
        <v>0</v>
      </c>
    </row>
    <row r="112" spans="1:35">
      <c r="Z112" s="49"/>
      <c r="AA112" s="49">
        <v>0</v>
      </c>
      <c r="AB112" s="49">
        <v>0</v>
      </c>
      <c r="AC112" s="49">
        <v>0</v>
      </c>
      <c r="AD112" s="49"/>
      <c r="AE112" s="49"/>
      <c r="AF112" s="49"/>
      <c r="AG112" s="49">
        <f t="shared" si="16"/>
        <v>0</v>
      </c>
      <c r="AH112" s="49">
        <f t="shared" si="17"/>
        <v>0</v>
      </c>
      <c r="AI112" s="49">
        <f t="shared" si="18"/>
        <v>0</v>
      </c>
    </row>
    <row r="113" spans="1:35">
      <c r="Z113" s="49"/>
      <c r="AA113" s="49">
        <v>0</v>
      </c>
      <c r="AB113" s="49">
        <v>0</v>
      </c>
      <c r="AC113" s="49">
        <v>0</v>
      </c>
      <c r="AD113" s="49"/>
      <c r="AE113" s="49"/>
      <c r="AF113" s="49"/>
      <c r="AG113" s="49">
        <f t="shared" si="16"/>
        <v>0</v>
      </c>
      <c r="AH113" s="49">
        <f t="shared" si="17"/>
        <v>0</v>
      </c>
      <c r="AI113" s="49">
        <f t="shared" si="18"/>
        <v>0</v>
      </c>
    </row>
    <row r="114" spans="1:35">
      <c r="Z114" s="49"/>
      <c r="AA114" s="49">
        <v>0</v>
      </c>
      <c r="AB114" s="49">
        <v>0</v>
      </c>
      <c r="AC114" s="49">
        <v>0</v>
      </c>
      <c r="AD114" s="49"/>
      <c r="AE114" s="49"/>
      <c r="AF114" s="49"/>
      <c r="AG114" s="49">
        <f t="shared" si="16"/>
        <v>0</v>
      </c>
      <c r="AH114" s="49">
        <f t="shared" si="17"/>
        <v>0</v>
      </c>
      <c r="AI114" s="49">
        <f t="shared" si="18"/>
        <v>0</v>
      </c>
    </row>
    <row r="115" spans="1:35">
      <c r="Z115" s="49"/>
      <c r="AA115" s="49">
        <v>0</v>
      </c>
      <c r="AB115" s="49">
        <v>0</v>
      </c>
      <c r="AC115" s="49">
        <v>0</v>
      </c>
      <c r="AD115" s="49"/>
      <c r="AE115" s="49"/>
      <c r="AF115" s="49"/>
      <c r="AG115" s="49">
        <f t="shared" si="16"/>
        <v>0</v>
      </c>
      <c r="AH115" s="49">
        <f t="shared" si="17"/>
        <v>0</v>
      </c>
      <c r="AI115" s="49">
        <f t="shared" si="18"/>
        <v>0</v>
      </c>
    </row>
    <row r="116" spans="1:35">
      <c r="A116" s="11" t="s">
        <v>421</v>
      </c>
      <c r="B116" s="12"/>
      <c r="C116" s="12"/>
      <c r="D116" s="12"/>
      <c r="E116" s="12"/>
      <c r="F116" s="12"/>
      <c r="G116" s="12"/>
      <c r="H116" s="12"/>
      <c r="Z116" s="49"/>
      <c r="AA116" s="49" t="s">
        <v>421</v>
      </c>
      <c r="AB116" s="49">
        <v>0</v>
      </c>
      <c r="AC116" s="49">
        <v>0</v>
      </c>
      <c r="AD116" s="49"/>
      <c r="AE116" s="49"/>
      <c r="AF116" s="49"/>
      <c r="AG116" s="49" t="str">
        <f t="shared" si="16"/>
        <v>TABLA DE CAPACIDAD DE CORRIENTE DE CONDUCTORES DE ALUMINIO EN TUBO O DUCTO</v>
      </c>
      <c r="AH116" s="49">
        <f t="shared" si="17"/>
        <v>0</v>
      </c>
      <c r="AI116" s="49">
        <f t="shared" si="18"/>
        <v>0</v>
      </c>
    </row>
    <row r="117" spans="1:35">
      <c r="A117" s="11" t="s">
        <v>407</v>
      </c>
      <c r="B117" s="12"/>
      <c r="C117" s="12"/>
      <c r="D117" s="12"/>
      <c r="E117" s="12"/>
      <c r="F117" s="12"/>
      <c r="G117" s="12"/>
      <c r="H117" s="12"/>
      <c r="Z117" s="49"/>
      <c r="AA117" s="49" t="s">
        <v>407</v>
      </c>
      <c r="AB117" s="49">
        <v>0</v>
      </c>
      <c r="AC117" s="49">
        <v>0</v>
      </c>
      <c r="AD117" s="49"/>
      <c r="AE117" s="49"/>
      <c r="AF117" s="49"/>
      <c r="AG117" s="49" t="str">
        <f t="shared" si="16"/>
        <v>CONSIDERANDO CABLEA S 75°C Y CABLES A 90°C PARA COMPARATIVA DE CORRIENTE</v>
      </c>
      <c r="AH117" s="49">
        <f t="shared" si="17"/>
        <v>0</v>
      </c>
      <c r="AI117" s="49">
        <f t="shared" si="18"/>
        <v>0</v>
      </c>
    </row>
    <row r="118" spans="1:35">
      <c r="B118" s="1095" t="s">
        <v>422</v>
      </c>
      <c r="C118" s="1095"/>
      <c r="D118" s="1095"/>
      <c r="Z118" s="49"/>
      <c r="AA118" s="49">
        <v>0</v>
      </c>
      <c r="AB118" s="49" t="s">
        <v>422</v>
      </c>
      <c r="AC118" s="49">
        <v>0</v>
      </c>
      <c r="AD118" s="49"/>
      <c r="AE118" s="49"/>
      <c r="AF118" s="49"/>
      <c r="AG118" s="49">
        <f t="shared" si="16"/>
        <v>0</v>
      </c>
      <c r="AH118" s="49" t="str">
        <f t="shared" si="17"/>
        <v>OPCION 1 Y 6</v>
      </c>
      <c r="AI118" s="49">
        <f t="shared" si="18"/>
        <v>0</v>
      </c>
    </row>
    <row r="119" spans="1:35">
      <c r="B119" s="1" t="s">
        <v>378</v>
      </c>
      <c r="C119" s="1" t="s">
        <v>408</v>
      </c>
      <c r="D119" s="1" t="s">
        <v>409</v>
      </c>
      <c r="Z119" s="49"/>
      <c r="AA119" s="49">
        <v>0</v>
      </c>
      <c r="AB119" s="49" t="s">
        <v>378</v>
      </c>
      <c r="AC119" s="49" t="s">
        <v>408</v>
      </c>
      <c r="AD119" s="49"/>
      <c r="AE119" s="49"/>
      <c r="AF119" s="49"/>
      <c r="AG119" s="49">
        <f t="shared" si="16"/>
        <v>0</v>
      </c>
      <c r="AH119" s="49" t="str">
        <f t="shared" si="17"/>
        <v>RANGO</v>
      </c>
      <c r="AI119" s="49" t="str">
        <f t="shared" si="18"/>
        <v>CALIBRE</v>
      </c>
    </row>
    <row r="120" spans="1:35">
      <c r="A120" s="1">
        <f t="shared" ref="A120:A145" si="23">AG120</f>
        <v>0</v>
      </c>
      <c r="B120" s="1">
        <f t="shared" ref="B120:B145" si="24">AH120</f>
        <v>0</v>
      </c>
      <c r="C120" s="1">
        <v>6</v>
      </c>
      <c r="D120" s="3">
        <v>40</v>
      </c>
      <c r="F120" s="1">
        <v>0</v>
      </c>
      <c r="G120" s="1">
        <v>0</v>
      </c>
      <c r="Z120" s="49"/>
      <c r="AA120" s="49">
        <v>0</v>
      </c>
      <c r="AB120" s="49">
        <v>0</v>
      </c>
      <c r="AC120" s="49">
        <v>6</v>
      </c>
      <c r="AD120" s="49"/>
      <c r="AE120" s="49"/>
      <c r="AF120" s="49"/>
      <c r="AG120" s="49">
        <f t="shared" si="16"/>
        <v>0</v>
      </c>
      <c r="AH120" s="49">
        <f t="shared" si="17"/>
        <v>0</v>
      </c>
      <c r="AI120" s="49">
        <f t="shared" si="18"/>
        <v>6</v>
      </c>
    </row>
    <row r="121" spans="1:35">
      <c r="A121" s="1">
        <f t="shared" si="23"/>
        <v>0</v>
      </c>
      <c r="B121" s="1">
        <v>40.1</v>
      </c>
      <c r="C121" s="1">
        <f t="shared" ref="C121:C145" si="25">AI121</f>
        <v>4</v>
      </c>
      <c r="D121" s="3">
        <v>65</v>
      </c>
      <c r="F121" s="1">
        <v>4</v>
      </c>
      <c r="G121" s="1">
        <v>65</v>
      </c>
      <c r="Z121" s="49"/>
      <c r="AA121" s="49">
        <v>0</v>
      </c>
      <c r="AB121" s="49">
        <v>50.1</v>
      </c>
      <c r="AC121" s="49">
        <v>4</v>
      </c>
      <c r="AD121" s="49"/>
      <c r="AE121" s="49"/>
      <c r="AF121" s="49"/>
      <c r="AG121" s="49">
        <f t="shared" si="16"/>
        <v>0</v>
      </c>
      <c r="AH121" s="49">
        <f t="shared" si="17"/>
        <v>50.1</v>
      </c>
      <c r="AI121" s="49">
        <f t="shared" si="18"/>
        <v>4</v>
      </c>
    </row>
    <row r="122" spans="1:35">
      <c r="A122" s="1">
        <f t="shared" si="23"/>
        <v>0</v>
      </c>
      <c r="B122" s="1">
        <v>65.099999999999994</v>
      </c>
      <c r="C122" s="1">
        <f t="shared" si="25"/>
        <v>2</v>
      </c>
      <c r="D122" s="3">
        <v>90</v>
      </c>
      <c r="E122" s="1">
        <v>65.099999999999994</v>
      </c>
      <c r="F122" s="1">
        <v>2</v>
      </c>
      <c r="G122" s="1">
        <v>90</v>
      </c>
      <c r="Z122" s="49"/>
      <c r="AA122" s="49">
        <v>0</v>
      </c>
      <c r="AB122" s="49">
        <v>65.099999999999994</v>
      </c>
      <c r="AC122" s="49">
        <v>2</v>
      </c>
      <c r="AD122" s="49"/>
      <c r="AE122" s="49"/>
      <c r="AF122" s="49"/>
      <c r="AG122" s="49">
        <f t="shared" si="16"/>
        <v>0</v>
      </c>
      <c r="AH122" s="49">
        <f t="shared" si="17"/>
        <v>65.099999999999994</v>
      </c>
      <c r="AI122" s="49">
        <f t="shared" si="18"/>
        <v>2</v>
      </c>
    </row>
    <row r="123" spans="1:35">
      <c r="A123" s="1">
        <f t="shared" si="23"/>
        <v>0</v>
      </c>
      <c r="B123" s="1">
        <v>90.1</v>
      </c>
      <c r="C123" s="1" t="str">
        <f t="shared" si="25"/>
        <v>1/0</v>
      </c>
      <c r="D123" s="3">
        <v>135</v>
      </c>
      <c r="E123" s="1">
        <v>90.5</v>
      </c>
      <c r="Z123" s="49"/>
      <c r="AA123" s="49">
        <v>0</v>
      </c>
      <c r="AB123" s="49">
        <v>90.5</v>
      </c>
      <c r="AC123" s="49" t="s">
        <v>0</v>
      </c>
      <c r="AD123" s="49"/>
      <c r="AE123" s="49"/>
      <c r="AF123" s="49"/>
      <c r="AG123" s="49">
        <f t="shared" si="16"/>
        <v>0</v>
      </c>
      <c r="AH123" s="49">
        <f t="shared" si="17"/>
        <v>90.5</v>
      </c>
      <c r="AI123" s="49" t="str">
        <f t="shared" si="18"/>
        <v>1/0</v>
      </c>
    </row>
    <row r="124" spans="1:35">
      <c r="A124" s="1">
        <f t="shared" si="23"/>
        <v>0</v>
      </c>
      <c r="B124" s="1">
        <f t="shared" si="24"/>
        <v>135.1</v>
      </c>
      <c r="C124" s="1" t="str">
        <f t="shared" si="25"/>
        <v>2/0</v>
      </c>
      <c r="D124" s="3">
        <v>150</v>
      </c>
      <c r="Z124" s="49"/>
      <c r="AA124" s="49">
        <v>0</v>
      </c>
      <c r="AB124" s="49">
        <v>135.1</v>
      </c>
      <c r="AC124" s="49" t="s">
        <v>1</v>
      </c>
      <c r="AD124" s="49"/>
      <c r="AE124" s="49"/>
      <c r="AF124" s="49"/>
      <c r="AG124" s="49">
        <f t="shared" si="16"/>
        <v>0</v>
      </c>
      <c r="AH124" s="49">
        <f t="shared" si="17"/>
        <v>135.1</v>
      </c>
      <c r="AI124" s="49" t="str">
        <f t="shared" si="18"/>
        <v>2/0</v>
      </c>
    </row>
    <row r="125" spans="1:35">
      <c r="A125" s="1">
        <f t="shared" si="23"/>
        <v>0</v>
      </c>
      <c r="B125" s="1">
        <f t="shared" si="24"/>
        <v>150.1</v>
      </c>
      <c r="C125" s="1" t="str">
        <f t="shared" si="25"/>
        <v>3/0</v>
      </c>
      <c r="D125" s="3">
        <v>175</v>
      </c>
      <c r="Z125" s="49"/>
      <c r="AA125" s="49">
        <v>0</v>
      </c>
      <c r="AB125" s="49">
        <v>150.1</v>
      </c>
      <c r="AC125" s="49" t="s">
        <v>2</v>
      </c>
      <c r="AD125" s="49"/>
      <c r="AE125" s="49"/>
      <c r="AF125" s="49"/>
      <c r="AG125" s="49">
        <f t="shared" si="16"/>
        <v>0</v>
      </c>
      <c r="AH125" s="49">
        <f t="shared" si="17"/>
        <v>150.1</v>
      </c>
      <c r="AI125" s="49" t="str">
        <f t="shared" si="18"/>
        <v>3/0</v>
      </c>
    </row>
    <row r="126" spans="1:35">
      <c r="A126" s="1">
        <f t="shared" si="23"/>
        <v>0</v>
      </c>
      <c r="B126" s="1">
        <f t="shared" si="24"/>
        <v>175.1</v>
      </c>
      <c r="C126" s="1" t="str">
        <f t="shared" si="25"/>
        <v>4/0</v>
      </c>
      <c r="D126" s="3">
        <v>205</v>
      </c>
      <c r="Z126" s="49"/>
      <c r="AA126" s="49">
        <v>0</v>
      </c>
      <c r="AB126" s="49">
        <v>175.1</v>
      </c>
      <c r="AC126" s="49" t="s">
        <v>3</v>
      </c>
      <c r="AD126" s="49"/>
      <c r="AE126" s="49"/>
      <c r="AF126" s="49"/>
      <c r="AG126" s="49">
        <f t="shared" si="16"/>
        <v>0</v>
      </c>
      <c r="AH126" s="49">
        <f t="shared" si="17"/>
        <v>175.1</v>
      </c>
      <c r="AI126" s="49" t="str">
        <f t="shared" si="18"/>
        <v>4/0</v>
      </c>
    </row>
    <row r="127" spans="1:35">
      <c r="A127" s="1">
        <f t="shared" si="23"/>
        <v>0</v>
      </c>
      <c r="B127" s="1">
        <f t="shared" si="24"/>
        <v>205.1</v>
      </c>
      <c r="C127" s="1">
        <f t="shared" si="25"/>
        <v>250</v>
      </c>
      <c r="D127" s="3">
        <v>230</v>
      </c>
      <c r="Z127" s="49"/>
      <c r="AA127" s="49">
        <v>0</v>
      </c>
      <c r="AB127" s="49">
        <v>205.1</v>
      </c>
      <c r="AC127" s="49">
        <v>250</v>
      </c>
      <c r="AD127" s="49"/>
      <c r="AE127" s="49"/>
      <c r="AF127" s="49"/>
      <c r="AG127" s="49">
        <f t="shared" si="16"/>
        <v>0</v>
      </c>
      <c r="AH127" s="49">
        <f t="shared" si="17"/>
        <v>205.1</v>
      </c>
      <c r="AI127" s="49">
        <f t="shared" si="18"/>
        <v>250</v>
      </c>
    </row>
    <row r="128" spans="1:35">
      <c r="A128" s="1">
        <f t="shared" si="23"/>
        <v>0</v>
      </c>
      <c r="B128" s="1">
        <f t="shared" si="24"/>
        <v>230.5</v>
      </c>
      <c r="C128" s="1">
        <f t="shared" si="25"/>
        <v>300</v>
      </c>
      <c r="D128" s="3">
        <v>255</v>
      </c>
      <c r="Z128" s="49"/>
      <c r="AA128" s="49">
        <v>0</v>
      </c>
      <c r="AB128" s="49">
        <v>230.5</v>
      </c>
      <c r="AC128" s="49">
        <v>300</v>
      </c>
      <c r="AD128" s="49"/>
      <c r="AE128" s="49"/>
      <c r="AF128" s="49"/>
      <c r="AG128" s="49">
        <f t="shared" si="16"/>
        <v>0</v>
      </c>
      <c r="AH128" s="49">
        <f t="shared" si="17"/>
        <v>230.5</v>
      </c>
      <c r="AI128" s="49">
        <f t="shared" si="18"/>
        <v>300</v>
      </c>
    </row>
    <row r="129" spans="1:35">
      <c r="A129" s="1">
        <f t="shared" si="23"/>
        <v>0</v>
      </c>
      <c r="B129" s="1">
        <f t="shared" si="24"/>
        <v>255.1</v>
      </c>
      <c r="C129" s="1">
        <f t="shared" si="25"/>
        <v>350</v>
      </c>
      <c r="D129" s="3">
        <v>280</v>
      </c>
      <c r="Z129" s="49"/>
      <c r="AA129" s="49">
        <v>0</v>
      </c>
      <c r="AB129" s="49">
        <v>255.1</v>
      </c>
      <c r="AC129" s="49">
        <v>350</v>
      </c>
      <c r="AD129" s="49"/>
      <c r="AE129" s="49"/>
      <c r="AF129" s="49"/>
      <c r="AG129" s="49">
        <f t="shared" si="16"/>
        <v>0</v>
      </c>
      <c r="AH129" s="49">
        <f t="shared" si="17"/>
        <v>255.1</v>
      </c>
      <c r="AI129" s="49">
        <f t="shared" si="18"/>
        <v>350</v>
      </c>
    </row>
    <row r="130" spans="1:35">
      <c r="A130" s="1">
        <f t="shared" si="23"/>
        <v>0</v>
      </c>
      <c r="B130" s="1">
        <f t="shared" si="24"/>
        <v>280.10000000000002</v>
      </c>
      <c r="C130" s="1">
        <f t="shared" si="25"/>
        <v>400</v>
      </c>
      <c r="D130" s="3">
        <v>305</v>
      </c>
      <c r="Z130" s="49"/>
      <c r="AA130" s="49">
        <v>0</v>
      </c>
      <c r="AB130" s="49">
        <v>280.10000000000002</v>
      </c>
      <c r="AC130" s="49">
        <v>400</v>
      </c>
      <c r="AD130" s="49"/>
      <c r="AE130" s="49"/>
      <c r="AF130" s="49"/>
      <c r="AG130" s="49">
        <f t="shared" si="16"/>
        <v>0</v>
      </c>
      <c r="AH130" s="49">
        <f t="shared" si="17"/>
        <v>280.10000000000002</v>
      </c>
      <c r="AI130" s="49">
        <f t="shared" si="18"/>
        <v>400</v>
      </c>
    </row>
    <row r="131" spans="1:35">
      <c r="A131" s="1">
        <f t="shared" si="23"/>
        <v>0</v>
      </c>
      <c r="B131" s="1">
        <f t="shared" si="24"/>
        <v>305.10000000000002</v>
      </c>
      <c r="C131" s="1">
        <f t="shared" si="25"/>
        <v>500</v>
      </c>
      <c r="D131" s="3">
        <v>350</v>
      </c>
      <c r="Z131" s="49"/>
      <c r="AA131" s="49">
        <v>0</v>
      </c>
      <c r="AB131" s="49">
        <v>305.10000000000002</v>
      </c>
      <c r="AC131" s="49">
        <v>500</v>
      </c>
      <c r="AD131" s="49"/>
      <c r="AE131" s="49"/>
      <c r="AF131" s="49"/>
      <c r="AG131" s="49">
        <f t="shared" si="16"/>
        <v>0</v>
      </c>
      <c r="AH131" s="49">
        <f t="shared" si="17"/>
        <v>305.10000000000002</v>
      </c>
      <c r="AI131" s="49">
        <f t="shared" si="18"/>
        <v>500</v>
      </c>
    </row>
    <row r="132" spans="1:35">
      <c r="B132" s="1">
        <v>350.1</v>
      </c>
      <c r="C132" s="1">
        <v>600</v>
      </c>
      <c r="D132" s="3">
        <v>385</v>
      </c>
      <c r="Z132" s="49"/>
      <c r="AA132" s="49"/>
      <c r="AB132" s="49"/>
      <c r="AC132" s="49"/>
      <c r="AD132" s="49"/>
      <c r="AE132" s="49"/>
      <c r="AF132" s="49"/>
      <c r="AG132" s="49"/>
      <c r="AH132" s="49"/>
      <c r="AI132" s="49"/>
    </row>
    <row r="133" spans="1:35">
      <c r="A133" s="1">
        <f t="shared" si="23"/>
        <v>0</v>
      </c>
      <c r="B133" s="1">
        <v>385.1</v>
      </c>
      <c r="C133" s="1">
        <f t="shared" si="25"/>
        <v>750</v>
      </c>
      <c r="D133" s="3">
        <v>435</v>
      </c>
      <c r="Z133" s="49"/>
      <c r="AA133" s="49">
        <v>0</v>
      </c>
      <c r="AB133" s="49">
        <v>350.1</v>
      </c>
      <c r="AC133" s="49">
        <v>750</v>
      </c>
      <c r="AD133" s="49"/>
      <c r="AE133" s="49"/>
      <c r="AF133" s="49"/>
      <c r="AG133" s="49">
        <f t="shared" si="16"/>
        <v>0</v>
      </c>
      <c r="AH133" s="49">
        <f t="shared" si="17"/>
        <v>350.1</v>
      </c>
      <c r="AI133" s="49">
        <f t="shared" si="18"/>
        <v>750</v>
      </c>
    </row>
    <row r="134" spans="1:35">
      <c r="A134" s="1">
        <f t="shared" si="23"/>
        <v>0</v>
      </c>
      <c r="B134" s="1">
        <f t="shared" si="24"/>
        <v>435.1</v>
      </c>
      <c r="C134" s="1" t="str">
        <f t="shared" si="25"/>
        <v>2X250</v>
      </c>
      <c r="D134" s="3">
        <v>460</v>
      </c>
      <c r="Z134" s="49"/>
      <c r="AA134" s="49">
        <v>0</v>
      </c>
      <c r="AB134" s="49">
        <v>435.1</v>
      </c>
      <c r="AC134" s="49" t="s">
        <v>410</v>
      </c>
      <c r="AD134" s="49"/>
      <c r="AE134" s="49"/>
      <c r="AF134" s="49"/>
      <c r="AG134" s="49">
        <f t="shared" si="16"/>
        <v>0</v>
      </c>
      <c r="AH134" s="49">
        <f t="shared" si="17"/>
        <v>435.1</v>
      </c>
      <c r="AI134" s="49" t="str">
        <f t="shared" si="18"/>
        <v>2X250</v>
      </c>
    </row>
    <row r="135" spans="1:35">
      <c r="A135" s="1">
        <f t="shared" si="23"/>
        <v>0</v>
      </c>
      <c r="B135" s="1">
        <f t="shared" si="24"/>
        <v>460.1</v>
      </c>
      <c r="C135" s="1" t="str">
        <f t="shared" si="25"/>
        <v>2X300</v>
      </c>
      <c r="D135" s="3">
        <v>510</v>
      </c>
      <c r="Z135" s="49"/>
      <c r="AA135" s="49">
        <v>0</v>
      </c>
      <c r="AB135" s="49">
        <v>460.1</v>
      </c>
      <c r="AC135" s="49" t="s">
        <v>411</v>
      </c>
      <c r="AD135" s="49"/>
      <c r="AE135" s="49"/>
      <c r="AF135" s="49"/>
      <c r="AG135" s="49">
        <f t="shared" si="16"/>
        <v>0</v>
      </c>
      <c r="AH135" s="49">
        <f t="shared" si="17"/>
        <v>460.1</v>
      </c>
      <c r="AI135" s="49" t="str">
        <f t="shared" si="18"/>
        <v>2X300</v>
      </c>
    </row>
    <row r="136" spans="1:35">
      <c r="A136" s="1">
        <f t="shared" si="23"/>
        <v>0</v>
      </c>
      <c r="B136" s="1">
        <f t="shared" si="24"/>
        <v>510.1</v>
      </c>
      <c r="C136" s="1" t="str">
        <f t="shared" si="25"/>
        <v>2X350</v>
      </c>
      <c r="D136" s="3">
        <v>560</v>
      </c>
      <c r="Z136" s="49"/>
      <c r="AA136" s="49">
        <v>0</v>
      </c>
      <c r="AB136" s="49">
        <v>510.1</v>
      </c>
      <c r="AC136" s="49" t="s">
        <v>412</v>
      </c>
      <c r="AD136" s="49"/>
      <c r="AE136" s="49"/>
      <c r="AF136" s="49"/>
      <c r="AG136" s="49">
        <f t="shared" si="16"/>
        <v>0</v>
      </c>
      <c r="AH136" s="49">
        <f t="shared" si="17"/>
        <v>510.1</v>
      </c>
      <c r="AI136" s="49" t="str">
        <f t="shared" si="18"/>
        <v>2X350</v>
      </c>
    </row>
    <row r="137" spans="1:35">
      <c r="A137" s="1">
        <f t="shared" si="23"/>
        <v>0</v>
      </c>
      <c r="B137" s="1">
        <f t="shared" si="24"/>
        <v>560.1</v>
      </c>
      <c r="C137" s="1" t="str">
        <f t="shared" si="25"/>
        <v>2X500</v>
      </c>
      <c r="D137" s="3">
        <v>700</v>
      </c>
      <c r="Z137" s="49"/>
      <c r="AA137" s="49">
        <v>0</v>
      </c>
      <c r="AB137" s="49">
        <v>560.1</v>
      </c>
      <c r="AC137" s="49" t="s">
        <v>413</v>
      </c>
      <c r="AD137" s="49"/>
      <c r="AE137" s="49"/>
      <c r="AF137" s="49"/>
      <c r="AG137" s="49">
        <f t="shared" ref="AG137:AG202" si="26">IF($AG$4="BUENO",AA137,0)</f>
        <v>0</v>
      </c>
      <c r="AH137" s="49">
        <f t="shared" ref="AH137:AH202" si="27">IF($AG$4="BUENO",AB137,0)</f>
        <v>560.1</v>
      </c>
      <c r="AI137" s="49" t="str">
        <f t="shared" ref="AI137:AI202" si="28">IF($AG$4="BUENO",AC137,0)</f>
        <v>2X500</v>
      </c>
    </row>
    <row r="138" spans="1:35">
      <c r="A138" s="1">
        <f t="shared" si="23"/>
        <v>0</v>
      </c>
      <c r="B138" s="1">
        <f t="shared" si="24"/>
        <v>700.1</v>
      </c>
      <c r="C138" s="1" t="str">
        <f t="shared" si="25"/>
        <v>2X750</v>
      </c>
      <c r="D138" s="3">
        <v>870</v>
      </c>
      <c r="Z138" s="49"/>
      <c r="AA138" s="49">
        <v>0</v>
      </c>
      <c r="AB138" s="49">
        <v>700.1</v>
      </c>
      <c r="AC138" s="49" t="s">
        <v>414</v>
      </c>
      <c r="AD138" s="49"/>
      <c r="AE138" s="49"/>
      <c r="AF138" s="49"/>
      <c r="AG138" s="49">
        <f t="shared" si="26"/>
        <v>0</v>
      </c>
      <c r="AH138" s="49">
        <f t="shared" si="27"/>
        <v>700.1</v>
      </c>
      <c r="AI138" s="49" t="str">
        <f t="shared" si="28"/>
        <v>2X750</v>
      </c>
    </row>
    <row r="139" spans="1:35">
      <c r="A139" s="1">
        <f t="shared" si="23"/>
        <v>0</v>
      </c>
      <c r="B139" s="1">
        <f t="shared" si="24"/>
        <v>870.1</v>
      </c>
      <c r="C139" s="1" t="str">
        <f t="shared" si="25"/>
        <v>3X500</v>
      </c>
      <c r="D139" s="3">
        <v>1050</v>
      </c>
      <c r="Z139" s="49"/>
      <c r="AA139" s="49">
        <v>0</v>
      </c>
      <c r="AB139" s="49">
        <v>870.1</v>
      </c>
      <c r="AC139" s="49" t="s">
        <v>415</v>
      </c>
      <c r="AD139" s="49"/>
      <c r="AE139" s="49"/>
      <c r="AF139" s="49"/>
      <c r="AG139" s="49">
        <f t="shared" si="26"/>
        <v>0</v>
      </c>
      <c r="AH139" s="49">
        <f t="shared" si="27"/>
        <v>870.1</v>
      </c>
      <c r="AI139" s="49" t="str">
        <f t="shared" si="28"/>
        <v>3X500</v>
      </c>
    </row>
    <row r="140" spans="1:35">
      <c r="A140" s="1">
        <f t="shared" si="23"/>
        <v>0</v>
      </c>
      <c r="B140" s="1">
        <f t="shared" si="24"/>
        <v>1050.0999999999999</v>
      </c>
      <c r="C140" s="1" t="str">
        <f t="shared" si="25"/>
        <v>4X500</v>
      </c>
      <c r="D140" s="3">
        <v>1400</v>
      </c>
      <c r="Z140" s="49"/>
      <c r="AA140" s="49">
        <v>0</v>
      </c>
      <c r="AB140" s="49">
        <v>1050.0999999999999</v>
      </c>
      <c r="AC140" s="49" t="s">
        <v>416</v>
      </c>
      <c r="AD140" s="49"/>
      <c r="AE140" s="49"/>
      <c r="AF140" s="49"/>
      <c r="AG140" s="49">
        <f t="shared" si="26"/>
        <v>0</v>
      </c>
      <c r="AH140" s="49">
        <f t="shared" si="27"/>
        <v>1050.0999999999999</v>
      </c>
      <c r="AI140" s="49" t="str">
        <f t="shared" si="28"/>
        <v>4X500</v>
      </c>
    </row>
    <row r="141" spans="1:35">
      <c r="A141" s="1">
        <f t="shared" si="23"/>
        <v>0</v>
      </c>
      <c r="B141" s="1">
        <f t="shared" si="24"/>
        <v>1400.1</v>
      </c>
      <c r="C141" s="1" t="str">
        <f t="shared" si="25"/>
        <v>5X500</v>
      </c>
      <c r="D141" s="3">
        <v>1750</v>
      </c>
      <c r="Z141" s="49"/>
      <c r="AA141" s="49">
        <v>0</v>
      </c>
      <c r="AB141" s="49">
        <v>1400.1</v>
      </c>
      <c r="AC141" s="49" t="s">
        <v>417</v>
      </c>
      <c r="AD141" s="49"/>
      <c r="AE141" s="49"/>
      <c r="AF141" s="49"/>
      <c r="AG141" s="49">
        <f t="shared" si="26"/>
        <v>0</v>
      </c>
      <c r="AH141" s="49">
        <f t="shared" si="27"/>
        <v>1400.1</v>
      </c>
      <c r="AI141" s="49" t="str">
        <f t="shared" si="28"/>
        <v>5X500</v>
      </c>
    </row>
    <row r="142" spans="1:35">
      <c r="A142" s="1">
        <f t="shared" si="23"/>
        <v>0</v>
      </c>
      <c r="B142" s="1">
        <f t="shared" si="24"/>
        <v>1750.1</v>
      </c>
      <c r="C142" s="1" t="str">
        <f t="shared" si="25"/>
        <v>5X750</v>
      </c>
      <c r="D142" s="3">
        <v>2175</v>
      </c>
      <c r="Z142" s="49"/>
      <c r="AA142" s="49">
        <v>0</v>
      </c>
      <c r="AB142" s="49">
        <v>1750.1</v>
      </c>
      <c r="AC142" s="49" t="s">
        <v>418</v>
      </c>
      <c r="AD142" s="49"/>
      <c r="AE142" s="49"/>
      <c r="AF142" s="49"/>
      <c r="AG142" s="49">
        <f t="shared" si="26"/>
        <v>0</v>
      </c>
      <c r="AH142" s="49">
        <f t="shared" si="27"/>
        <v>1750.1</v>
      </c>
      <c r="AI142" s="49" t="str">
        <f t="shared" si="28"/>
        <v>5X750</v>
      </c>
    </row>
    <row r="143" spans="1:35">
      <c r="A143" s="1">
        <f t="shared" si="23"/>
        <v>0</v>
      </c>
      <c r="B143" s="1">
        <f t="shared" si="24"/>
        <v>2175.1</v>
      </c>
      <c r="C143" s="1" t="str">
        <f t="shared" si="25"/>
        <v>6X750</v>
      </c>
      <c r="D143" s="3">
        <v>2610</v>
      </c>
      <c r="Z143" s="49"/>
      <c r="AA143" s="49">
        <v>0</v>
      </c>
      <c r="AB143" s="49">
        <v>2175.1</v>
      </c>
      <c r="AC143" s="49" t="s">
        <v>419</v>
      </c>
      <c r="AD143" s="49"/>
      <c r="AE143" s="49"/>
      <c r="AF143" s="49"/>
      <c r="AG143" s="49">
        <f t="shared" si="26"/>
        <v>0</v>
      </c>
      <c r="AH143" s="49">
        <f t="shared" si="27"/>
        <v>2175.1</v>
      </c>
      <c r="AI143" s="49" t="str">
        <f t="shared" si="28"/>
        <v>6X750</v>
      </c>
    </row>
    <row r="144" spans="1:35">
      <c r="A144" s="1">
        <f t="shared" si="23"/>
        <v>0</v>
      </c>
      <c r="B144" s="1">
        <f t="shared" si="24"/>
        <v>2610.1</v>
      </c>
      <c r="C144" s="1" t="str">
        <f t="shared" si="25"/>
        <v>7X750</v>
      </c>
      <c r="D144" s="3">
        <v>3045</v>
      </c>
      <c r="Z144" s="49"/>
      <c r="AA144" s="49">
        <v>0</v>
      </c>
      <c r="AB144" s="49">
        <v>2610.1</v>
      </c>
      <c r="AC144" s="49" t="s">
        <v>420</v>
      </c>
      <c r="AD144" s="49"/>
      <c r="AE144" s="49"/>
      <c r="AF144" s="49"/>
      <c r="AG144" s="49">
        <f t="shared" si="26"/>
        <v>0</v>
      </c>
      <c r="AH144" s="49">
        <f t="shared" si="27"/>
        <v>2610.1</v>
      </c>
      <c r="AI144" s="49" t="str">
        <f t="shared" si="28"/>
        <v>7X750</v>
      </c>
    </row>
    <row r="145" spans="1:35">
      <c r="A145" s="1">
        <f t="shared" si="23"/>
        <v>0</v>
      </c>
      <c r="B145" s="1">
        <f t="shared" si="24"/>
        <v>3045.1</v>
      </c>
      <c r="C145" s="1">
        <f t="shared" si="25"/>
        <v>0</v>
      </c>
      <c r="D145" s="3"/>
      <c r="Z145" s="49"/>
      <c r="AA145" s="49">
        <v>0</v>
      </c>
      <c r="AB145" s="49">
        <v>3045.1</v>
      </c>
      <c r="AC145" s="49">
        <v>0</v>
      </c>
      <c r="AD145" s="49"/>
      <c r="AE145" s="49"/>
      <c r="AF145" s="49"/>
      <c r="AG145" s="49">
        <f t="shared" si="26"/>
        <v>0</v>
      </c>
      <c r="AH145" s="49">
        <f t="shared" si="27"/>
        <v>3045.1</v>
      </c>
      <c r="AI145" s="49">
        <f t="shared" si="28"/>
        <v>0</v>
      </c>
    </row>
    <row r="146" spans="1:35">
      <c r="Z146" s="49"/>
      <c r="AA146" s="49">
        <v>0</v>
      </c>
      <c r="AB146" s="49">
        <v>0</v>
      </c>
      <c r="AC146" s="49">
        <v>0</v>
      </c>
      <c r="AD146" s="49"/>
      <c r="AE146" s="49"/>
      <c r="AF146" s="49"/>
      <c r="AG146" s="49">
        <f t="shared" si="26"/>
        <v>0</v>
      </c>
      <c r="AH146" s="49">
        <f t="shared" si="27"/>
        <v>0</v>
      </c>
      <c r="AI146" s="49">
        <f t="shared" si="28"/>
        <v>0</v>
      </c>
    </row>
    <row r="147" spans="1:35">
      <c r="A147" s="11" t="s">
        <v>423</v>
      </c>
      <c r="B147" s="12"/>
      <c r="C147" s="12"/>
      <c r="D147" s="12"/>
      <c r="E147" s="12"/>
      <c r="F147" s="12"/>
      <c r="G147" s="12"/>
      <c r="H147" s="12"/>
      <c r="Z147" s="49"/>
      <c r="AA147" s="49" t="s">
        <v>423</v>
      </c>
      <c r="AB147" s="49">
        <v>0</v>
      </c>
      <c r="AC147" s="49">
        <v>0</v>
      </c>
      <c r="AD147" s="49"/>
      <c r="AE147" s="49"/>
      <c r="AF147" s="49"/>
      <c r="AG147" s="49" t="str">
        <f t="shared" si="26"/>
        <v>TABLA DE CAPACIDAD DE CORRIENTE DE CONDUCTORES DE COBRE EN CHAROLA</v>
      </c>
      <c r="AH147" s="49">
        <f t="shared" si="27"/>
        <v>0</v>
      </c>
      <c r="AI147" s="49">
        <f t="shared" si="28"/>
        <v>0</v>
      </c>
    </row>
    <row r="148" spans="1:35">
      <c r="A148" s="11" t="s">
        <v>407</v>
      </c>
      <c r="B148" s="12"/>
      <c r="C148" s="12"/>
      <c r="D148" s="12"/>
      <c r="E148" s="12"/>
      <c r="F148" s="12"/>
      <c r="G148" s="12"/>
      <c r="H148" s="12"/>
      <c r="Z148" s="49"/>
      <c r="AA148" s="49" t="s">
        <v>407</v>
      </c>
      <c r="AB148" s="49">
        <v>0</v>
      </c>
      <c r="AC148" s="49">
        <v>0</v>
      </c>
      <c r="AD148" s="49"/>
      <c r="AE148" s="49"/>
      <c r="AF148" s="49"/>
      <c r="AG148" s="49" t="str">
        <f t="shared" si="26"/>
        <v>CONSIDERANDO CABLEA S 75°C Y CABLES A 90°C PARA COMPARATIVA DE CORRIENTE</v>
      </c>
      <c r="AH148" s="49">
        <f t="shared" si="27"/>
        <v>0</v>
      </c>
      <c r="AI148" s="49">
        <f t="shared" si="28"/>
        <v>0</v>
      </c>
    </row>
    <row r="149" spans="1:35">
      <c r="Z149" s="49"/>
      <c r="AA149" s="49">
        <v>0</v>
      </c>
      <c r="AB149" s="49">
        <v>0</v>
      </c>
      <c r="AC149" s="49">
        <v>0</v>
      </c>
      <c r="AD149" s="49"/>
      <c r="AE149" s="49"/>
      <c r="AF149" s="49"/>
      <c r="AG149" s="49">
        <f t="shared" si="26"/>
        <v>0</v>
      </c>
      <c r="AH149" s="49">
        <f t="shared" si="27"/>
        <v>0</v>
      </c>
      <c r="AI149" s="49">
        <f t="shared" si="28"/>
        <v>0</v>
      </c>
    </row>
    <row r="150" spans="1:35">
      <c r="A150" s="1096" t="s">
        <v>424</v>
      </c>
      <c r="B150" s="1096"/>
      <c r="C150" s="1096"/>
      <c r="D150" s="1096"/>
      <c r="E150" s="1098" t="s">
        <v>425</v>
      </c>
      <c r="F150" s="1098"/>
      <c r="G150" s="1098"/>
      <c r="H150" s="1098"/>
      <c r="I150" s="1101" t="s">
        <v>426</v>
      </c>
      <c r="J150" s="1101"/>
      <c r="K150" s="1101"/>
      <c r="L150" s="1101"/>
      <c r="M150" s="14" t="s">
        <v>427</v>
      </c>
      <c r="N150" s="14"/>
      <c r="O150" s="14"/>
      <c r="Z150" s="49"/>
      <c r="AA150" s="49" t="s">
        <v>424</v>
      </c>
      <c r="AB150" s="49">
        <v>0</v>
      </c>
      <c r="AC150" s="49">
        <v>0</v>
      </c>
      <c r="AD150" s="49"/>
      <c r="AE150" s="49"/>
      <c r="AF150" s="49"/>
      <c r="AG150" s="49" t="str">
        <f t="shared" si="26"/>
        <v>OPCION 5</v>
      </c>
      <c r="AH150" s="49">
        <f t="shared" si="27"/>
        <v>0</v>
      </c>
      <c r="AI150" s="49">
        <f t="shared" si="28"/>
        <v>0</v>
      </c>
    </row>
    <row r="151" spans="1:35">
      <c r="Z151" s="49"/>
      <c r="AA151" s="49">
        <v>0</v>
      </c>
      <c r="AB151" s="49">
        <v>0</v>
      </c>
      <c r="AC151" s="49">
        <v>0</v>
      </c>
      <c r="AD151" s="49"/>
      <c r="AE151" s="49"/>
      <c r="AF151" s="49"/>
      <c r="AG151" s="49">
        <f t="shared" si="26"/>
        <v>0</v>
      </c>
      <c r="AH151" s="49">
        <f t="shared" si="27"/>
        <v>0</v>
      </c>
      <c r="AI151" s="49">
        <f t="shared" si="28"/>
        <v>0</v>
      </c>
    </row>
    <row r="152" spans="1:35">
      <c r="B152" s="146" t="s">
        <v>428</v>
      </c>
      <c r="C152" s="3"/>
      <c r="D152" s="3"/>
      <c r="F152" s="146" t="s">
        <v>429</v>
      </c>
      <c r="G152" s="3"/>
      <c r="H152" s="3"/>
      <c r="J152" s="146" t="s">
        <v>430</v>
      </c>
      <c r="K152" s="3"/>
      <c r="L152" s="3"/>
      <c r="N152" s="146" t="s">
        <v>431</v>
      </c>
      <c r="O152" s="3"/>
      <c r="P152" s="3"/>
      <c r="Q152" s="3"/>
      <c r="R152" s="3"/>
      <c r="Z152" s="49"/>
      <c r="AA152" s="49">
        <v>0</v>
      </c>
      <c r="AB152" s="49" t="s">
        <v>432</v>
      </c>
      <c r="AC152" s="49">
        <v>0</v>
      </c>
      <c r="AD152" s="49"/>
      <c r="AE152" s="49"/>
      <c r="AF152" s="49"/>
      <c r="AG152" s="49">
        <f t="shared" si="26"/>
        <v>0</v>
      </c>
      <c r="AH152" s="49" t="str">
        <f t="shared" si="27"/>
        <v>TABLA 310-17</v>
      </c>
      <c r="AI152" s="49">
        <f t="shared" si="28"/>
        <v>0</v>
      </c>
    </row>
    <row r="153" spans="1:35">
      <c r="A153" s="3" t="s">
        <v>378</v>
      </c>
      <c r="B153" s="3" t="s">
        <v>433</v>
      </c>
      <c r="C153" s="3" t="s">
        <v>409</v>
      </c>
      <c r="D153" s="3"/>
      <c r="E153" s="3" t="s">
        <v>378</v>
      </c>
      <c r="F153" s="3" t="s">
        <v>433</v>
      </c>
      <c r="G153" s="3" t="s">
        <v>409</v>
      </c>
      <c r="H153" s="3"/>
      <c r="I153" s="3" t="s">
        <v>378</v>
      </c>
      <c r="J153" s="3" t="s">
        <v>433</v>
      </c>
      <c r="K153" s="3" t="s">
        <v>409</v>
      </c>
      <c r="L153" s="3"/>
      <c r="M153" s="3" t="s">
        <v>378</v>
      </c>
      <c r="N153" s="3" t="s">
        <v>433</v>
      </c>
      <c r="O153" s="3" t="s">
        <v>409</v>
      </c>
      <c r="P153" s="3"/>
      <c r="Q153" s="3"/>
      <c r="R153" s="3"/>
      <c r="Z153" s="49"/>
      <c r="AA153" s="49" t="s">
        <v>378</v>
      </c>
      <c r="AB153" s="49" t="s">
        <v>433</v>
      </c>
      <c r="AC153" s="49" t="s">
        <v>409</v>
      </c>
      <c r="AD153" s="49"/>
      <c r="AE153" s="49"/>
      <c r="AF153" s="49"/>
      <c r="AG153" s="49" t="str">
        <f t="shared" si="26"/>
        <v>RANGO</v>
      </c>
      <c r="AH153" s="49" t="str">
        <f t="shared" si="27"/>
        <v>calibre</v>
      </c>
      <c r="AI153" s="49" t="str">
        <f t="shared" si="28"/>
        <v>CAPACIDAD</v>
      </c>
    </row>
    <row r="154" spans="1:3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Z154" s="49"/>
      <c r="AA154" s="49">
        <v>0</v>
      </c>
      <c r="AB154" s="49">
        <v>0</v>
      </c>
      <c r="AC154" s="49">
        <v>0</v>
      </c>
      <c r="AD154" s="49"/>
      <c r="AE154" s="49"/>
      <c r="AF154" s="49"/>
      <c r="AG154" s="49">
        <f t="shared" si="26"/>
        <v>0</v>
      </c>
      <c r="AH154" s="49">
        <f t="shared" si="27"/>
        <v>0</v>
      </c>
      <c r="AI154" s="49">
        <f t="shared" si="28"/>
        <v>0</v>
      </c>
    </row>
    <row r="155" spans="1:35">
      <c r="A155" s="1">
        <f t="shared" ref="A155:A183" si="29">AG155</f>
        <v>0</v>
      </c>
      <c r="B155" s="1">
        <f t="shared" ref="B155:B183" si="30">AH155</f>
        <v>14</v>
      </c>
      <c r="C155" s="1">
        <f t="shared" ref="C155:C183" si="31">AI155</f>
        <v>30</v>
      </c>
      <c r="D155" s="3"/>
      <c r="E155" s="3">
        <v>0</v>
      </c>
      <c r="F155" s="3">
        <v>14</v>
      </c>
      <c r="G155" s="3">
        <v>30</v>
      </c>
      <c r="H155" s="3"/>
      <c r="I155" s="3">
        <v>0</v>
      </c>
      <c r="J155" s="3">
        <v>14</v>
      </c>
      <c r="K155" s="3">
        <v>18</v>
      </c>
      <c r="L155" s="3"/>
      <c r="M155" s="3">
        <v>0</v>
      </c>
      <c r="N155" s="3">
        <v>14</v>
      </c>
      <c r="O155" s="3">
        <v>30</v>
      </c>
      <c r="P155" s="3"/>
      <c r="Q155" s="3"/>
      <c r="R155" s="3"/>
      <c r="Z155" s="49"/>
      <c r="AA155" s="49">
        <v>0</v>
      </c>
      <c r="AB155" s="49">
        <v>14</v>
      </c>
      <c r="AC155" s="49">
        <v>30</v>
      </c>
      <c r="AD155" s="49"/>
      <c r="AE155" s="49"/>
      <c r="AF155" s="49"/>
      <c r="AG155" s="49">
        <f t="shared" si="26"/>
        <v>0</v>
      </c>
      <c r="AH155" s="49">
        <f t="shared" si="27"/>
        <v>14</v>
      </c>
      <c r="AI155" s="49">
        <f t="shared" si="28"/>
        <v>30</v>
      </c>
    </row>
    <row r="156" spans="1:35">
      <c r="A156" s="1">
        <f t="shared" si="29"/>
        <v>0</v>
      </c>
      <c r="B156" s="1">
        <f t="shared" si="30"/>
        <v>12</v>
      </c>
      <c r="C156" s="1">
        <f t="shared" si="31"/>
        <v>20</v>
      </c>
      <c r="D156" s="3">
        <v>20.100000000000001</v>
      </c>
      <c r="E156" s="3">
        <v>0</v>
      </c>
      <c r="F156" s="3">
        <v>12</v>
      </c>
      <c r="G156" s="3">
        <v>20</v>
      </c>
      <c r="H156" s="3">
        <v>20.100000000000001</v>
      </c>
      <c r="I156" s="3">
        <v>0</v>
      </c>
      <c r="J156" s="3">
        <v>12</v>
      </c>
      <c r="K156" s="3">
        <v>12</v>
      </c>
      <c r="L156" s="3">
        <v>20.100000000000001</v>
      </c>
      <c r="M156" s="3">
        <v>0</v>
      </c>
      <c r="N156" s="3">
        <v>12</v>
      </c>
      <c r="O156" s="3">
        <v>20</v>
      </c>
      <c r="P156" s="3">
        <v>20.100000000000001</v>
      </c>
      <c r="Q156" s="3"/>
      <c r="R156" s="3"/>
      <c r="Z156" s="49"/>
      <c r="AA156" s="49">
        <v>0</v>
      </c>
      <c r="AB156" s="49">
        <v>12</v>
      </c>
      <c r="AC156" s="49">
        <v>20</v>
      </c>
      <c r="AD156" s="49"/>
      <c r="AE156" s="49"/>
      <c r="AF156" s="49"/>
      <c r="AG156" s="49">
        <f t="shared" si="26"/>
        <v>0</v>
      </c>
      <c r="AH156" s="49">
        <f t="shared" si="27"/>
        <v>12</v>
      </c>
      <c r="AI156" s="49">
        <f t="shared" si="28"/>
        <v>20</v>
      </c>
    </row>
    <row r="157" spans="1:35">
      <c r="A157" s="1">
        <f t="shared" si="29"/>
        <v>0</v>
      </c>
      <c r="B157" s="1">
        <f t="shared" si="30"/>
        <v>10</v>
      </c>
      <c r="C157" s="1">
        <f t="shared" si="31"/>
        <v>30</v>
      </c>
      <c r="D157" s="3">
        <v>30.1</v>
      </c>
      <c r="E157" s="3">
        <v>0</v>
      </c>
      <c r="F157" s="3">
        <v>10</v>
      </c>
      <c r="G157" s="3">
        <v>30</v>
      </c>
      <c r="H157" s="3">
        <v>30.1</v>
      </c>
      <c r="I157" s="3">
        <v>0</v>
      </c>
      <c r="J157" s="3">
        <v>10</v>
      </c>
      <c r="K157" s="3">
        <v>18</v>
      </c>
      <c r="L157" s="3">
        <v>30.1</v>
      </c>
      <c r="M157" s="3">
        <v>0</v>
      </c>
      <c r="N157" s="3">
        <v>10</v>
      </c>
      <c r="O157" s="3">
        <v>30</v>
      </c>
      <c r="P157" s="3">
        <v>30.1</v>
      </c>
      <c r="Q157" s="3"/>
      <c r="R157" s="3"/>
      <c r="Z157" s="49"/>
      <c r="AA157" s="49">
        <v>0</v>
      </c>
      <c r="AB157" s="49">
        <v>10</v>
      </c>
      <c r="AC157" s="49">
        <v>30</v>
      </c>
      <c r="AD157" s="49"/>
      <c r="AE157" s="49"/>
      <c r="AF157" s="49"/>
      <c r="AG157" s="49">
        <f t="shared" si="26"/>
        <v>0</v>
      </c>
      <c r="AH157" s="49">
        <f t="shared" si="27"/>
        <v>10</v>
      </c>
      <c r="AI157" s="49">
        <f t="shared" si="28"/>
        <v>30</v>
      </c>
    </row>
    <row r="158" spans="1:35">
      <c r="A158" s="1">
        <f t="shared" si="29"/>
        <v>0</v>
      </c>
      <c r="B158" s="1">
        <f t="shared" si="30"/>
        <v>8</v>
      </c>
      <c r="C158" s="1">
        <f t="shared" si="31"/>
        <v>70</v>
      </c>
      <c r="D158" s="3">
        <v>70.099999999999994</v>
      </c>
      <c r="E158" s="3">
        <v>0</v>
      </c>
      <c r="F158" s="3">
        <v>8</v>
      </c>
      <c r="G158" s="3">
        <v>70</v>
      </c>
      <c r="H158" s="3">
        <v>70.099999999999994</v>
      </c>
      <c r="I158" s="3">
        <v>0</v>
      </c>
      <c r="J158" s="3">
        <v>8</v>
      </c>
      <c r="K158" s="3">
        <v>42</v>
      </c>
      <c r="L158" s="3">
        <v>70.099999999999994</v>
      </c>
      <c r="M158" s="3">
        <v>0</v>
      </c>
      <c r="N158" s="3">
        <v>8</v>
      </c>
      <c r="O158" s="3">
        <v>70</v>
      </c>
      <c r="P158" s="3">
        <v>70.099999999999994</v>
      </c>
      <c r="Q158" s="3"/>
      <c r="R158" s="3"/>
      <c r="Z158" s="49"/>
      <c r="AA158" s="49">
        <v>0</v>
      </c>
      <c r="AB158" s="49">
        <v>8</v>
      </c>
      <c r="AC158" s="49">
        <v>70</v>
      </c>
      <c r="AD158" s="49"/>
      <c r="AE158" s="49"/>
      <c r="AF158" s="49"/>
      <c r="AG158" s="49">
        <f t="shared" si="26"/>
        <v>0</v>
      </c>
      <c r="AH158" s="49">
        <f t="shared" si="27"/>
        <v>8</v>
      </c>
      <c r="AI158" s="49">
        <f t="shared" si="28"/>
        <v>70</v>
      </c>
    </row>
    <row r="159" spans="1:35">
      <c r="A159" s="1">
        <f t="shared" si="29"/>
        <v>0</v>
      </c>
      <c r="B159" s="1">
        <f t="shared" si="30"/>
        <v>6</v>
      </c>
      <c r="C159" s="1">
        <f t="shared" si="31"/>
        <v>95</v>
      </c>
      <c r="D159" s="3">
        <v>95.1</v>
      </c>
      <c r="E159" s="3">
        <v>0</v>
      </c>
      <c r="F159" s="3">
        <v>6</v>
      </c>
      <c r="G159" s="3">
        <v>95</v>
      </c>
      <c r="H159" s="3">
        <v>95.1</v>
      </c>
      <c r="I159" s="3">
        <v>0</v>
      </c>
      <c r="J159" s="3">
        <v>6</v>
      </c>
      <c r="K159" s="3">
        <v>57</v>
      </c>
      <c r="L159" s="3">
        <v>95.1</v>
      </c>
      <c r="M159" s="3">
        <v>0</v>
      </c>
      <c r="N159" s="3">
        <v>6</v>
      </c>
      <c r="O159" s="3">
        <v>95</v>
      </c>
      <c r="P159" s="3">
        <v>95.1</v>
      </c>
      <c r="Q159" s="3"/>
      <c r="R159" s="3"/>
      <c r="Z159" s="49"/>
      <c r="AA159" s="49">
        <v>0</v>
      </c>
      <c r="AB159" s="49">
        <v>6</v>
      </c>
      <c r="AC159" s="49">
        <v>95</v>
      </c>
      <c r="AD159" s="49"/>
      <c r="AE159" s="49"/>
      <c r="AF159" s="49"/>
      <c r="AG159" s="49">
        <f t="shared" si="26"/>
        <v>0</v>
      </c>
      <c r="AH159" s="49">
        <f t="shared" si="27"/>
        <v>6</v>
      </c>
      <c r="AI159" s="49">
        <f t="shared" si="28"/>
        <v>95</v>
      </c>
    </row>
    <row r="160" spans="1:35">
      <c r="A160" s="1">
        <f t="shared" si="29"/>
        <v>0</v>
      </c>
      <c r="B160" s="1">
        <f t="shared" si="30"/>
        <v>4</v>
      </c>
      <c r="C160" s="1">
        <f t="shared" si="31"/>
        <v>125</v>
      </c>
      <c r="D160" s="3">
        <v>125.1</v>
      </c>
      <c r="E160" s="3">
        <v>0</v>
      </c>
      <c r="F160" s="3">
        <v>4</v>
      </c>
      <c r="G160" s="3">
        <v>81.25</v>
      </c>
      <c r="H160" s="3">
        <v>81.349999999999994</v>
      </c>
      <c r="I160" s="3">
        <v>0</v>
      </c>
      <c r="J160" s="3">
        <v>4</v>
      </c>
      <c r="K160" s="3">
        <v>75</v>
      </c>
      <c r="L160" s="3">
        <v>75.099999999999994</v>
      </c>
      <c r="M160" s="3">
        <v>0</v>
      </c>
      <c r="N160" s="3">
        <v>4</v>
      </c>
      <c r="O160" s="3">
        <v>101</v>
      </c>
      <c r="P160" s="3">
        <v>101.1</v>
      </c>
      <c r="Q160" s="3"/>
      <c r="R160" s="3"/>
      <c r="Z160" s="49"/>
      <c r="AA160" s="49">
        <v>0</v>
      </c>
      <c r="AB160" s="49">
        <v>4</v>
      </c>
      <c r="AC160" s="49">
        <v>125</v>
      </c>
      <c r="AD160" s="49"/>
      <c r="AE160" s="49"/>
      <c r="AF160" s="49"/>
      <c r="AG160" s="49">
        <f t="shared" si="26"/>
        <v>0</v>
      </c>
      <c r="AH160" s="49">
        <f t="shared" si="27"/>
        <v>4</v>
      </c>
      <c r="AI160" s="49">
        <f t="shared" si="28"/>
        <v>125</v>
      </c>
    </row>
    <row r="161" spans="1:35">
      <c r="A161" s="1">
        <f t="shared" si="29"/>
        <v>125.1</v>
      </c>
      <c r="B161" s="1">
        <f t="shared" si="30"/>
        <v>2</v>
      </c>
      <c r="C161" s="1">
        <f t="shared" si="31"/>
        <v>170</v>
      </c>
      <c r="D161" s="3">
        <v>170.1</v>
      </c>
      <c r="E161" s="3">
        <v>81.349999999999994</v>
      </c>
      <c r="F161" s="3">
        <v>2</v>
      </c>
      <c r="G161" s="3">
        <v>110.5</v>
      </c>
      <c r="H161" s="3">
        <v>110.6</v>
      </c>
      <c r="I161" s="3">
        <v>75.099999999999994</v>
      </c>
      <c r="J161" s="3">
        <v>2</v>
      </c>
      <c r="K161" s="3">
        <v>102</v>
      </c>
      <c r="L161" s="3">
        <v>110.6</v>
      </c>
      <c r="M161" s="3">
        <v>101.1</v>
      </c>
      <c r="N161" s="3">
        <v>2</v>
      </c>
      <c r="O161" s="3">
        <v>135</v>
      </c>
      <c r="P161" s="3">
        <v>135.1</v>
      </c>
      <c r="Q161" s="3"/>
      <c r="R161" s="3"/>
      <c r="Z161" s="49"/>
      <c r="AA161" s="49">
        <v>125.1</v>
      </c>
      <c r="AB161" s="49">
        <v>2</v>
      </c>
      <c r="AC161" s="49">
        <v>170</v>
      </c>
      <c r="AD161" s="49"/>
      <c r="AE161" s="49"/>
      <c r="AF161" s="49"/>
      <c r="AG161" s="49">
        <f t="shared" si="26"/>
        <v>125.1</v>
      </c>
      <c r="AH161" s="49">
        <f t="shared" si="27"/>
        <v>2</v>
      </c>
      <c r="AI161" s="49">
        <f t="shared" si="28"/>
        <v>170</v>
      </c>
    </row>
    <row r="162" spans="1:35">
      <c r="A162" s="1">
        <f t="shared" si="29"/>
        <v>170.1</v>
      </c>
      <c r="B162" s="1" t="str">
        <f t="shared" si="30"/>
        <v>1/0</v>
      </c>
      <c r="C162" s="1">
        <f t="shared" si="31"/>
        <v>230</v>
      </c>
      <c r="D162" s="3">
        <v>230.1</v>
      </c>
      <c r="E162" s="3">
        <v>110.6</v>
      </c>
      <c r="F162" s="3" t="s">
        <v>0</v>
      </c>
      <c r="G162" s="3">
        <v>149.5</v>
      </c>
      <c r="H162" s="3">
        <v>149.6</v>
      </c>
      <c r="I162" s="3">
        <v>102.1</v>
      </c>
      <c r="J162" s="3" t="s">
        <v>0</v>
      </c>
      <c r="K162" s="3">
        <v>138</v>
      </c>
      <c r="L162" s="3">
        <v>149.6</v>
      </c>
      <c r="M162" s="3">
        <v>135.1</v>
      </c>
      <c r="N162" s="3" t="s">
        <v>0</v>
      </c>
      <c r="O162" s="3">
        <v>183</v>
      </c>
      <c r="P162" s="3">
        <v>183.1</v>
      </c>
      <c r="Q162" s="3"/>
      <c r="R162" s="3"/>
      <c r="Z162" s="49"/>
      <c r="AA162" s="49">
        <v>170.1</v>
      </c>
      <c r="AB162" s="49" t="s">
        <v>0</v>
      </c>
      <c r="AC162" s="49">
        <v>230</v>
      </c>
      <c r="AD162" s="49"/>
      <c r="AE162" s="49"/>
      <c r="AF162" s="49"/>
      <c r="AG162" s="49">
        <f t="shared" si="26"/>
        <v>170.1</v>
      </c>
      <c r="AH162" s="49" t="str">
        <f t="shared" si="27"/>
        <v>1/0</v>
      </c>
      <c r="AI162" s="49">
        <f t="shared" si="28"/>
        <v>230</v>
      </c>
    </row>
    <row r="163" spans="1:35">
      <c r="A163" s="1">
        <f t="shared" si="29"/>
        <v>230.1</v>
      </c>
      <c r="B163" s="1" t="str">
        <f t="shared" si="30"/>
        <v>2/0</v>
      </c>
      <c r="C163" s="1">
        <f t="shared" si="31"/>
        <v>265</v>
      </c>
      <c r="D163" s="3">
        <v>265.10000000000002</v>
      </c>
      <c r="E163" s="3">
        <v>149.6</v>
      </c>
      <c r="F163" s="3" t="s">
        <v>1</v>
      </c>
      <c r="G163" s="3">
        <v>172.25</v>
      </c>
      <c r="H163" s="3">
        <v>172.35</v>
      </c>
      <c r="I163" s="3">
        <v>138.1</v>
      </c>
      <c r="J163" s="3" t="s">
        <v>1</v>
      </c>
      <c r="K163" s="3">
        <v>159</v>
      </c>
      <c r="L163" s="3">
        <v>172.35</v>
      </c>
      <c r="M163" s="3">
        <v>183.1</v>
      </c>
      <c r="N163" s="3" t="s">
        <v>1</v>
      </c>
      <c r="O163" s="3">
        <v>212</v>
      </c>
      <c r="P163" s="3">
        <v>212.1</v>
      </c>
      <c r="Q163" s="3"/>
      <c r="R163" s="3"/>
      <c r="Z163" s="49"/>
      <c r="AA163" s="49">
        <v>230.1</v>
      </c>
      <c r="AB163" s="49" t="s">
        <v>1</v>
      </c>
      <c r="AC163" s="49">
        <v>265</v>
      </c>
      <c r="AD163" s="49"/>
      <c r="AE163" s="49"/>
      <c r="AF163" s="49"/>
      <c r="AG163" s="49">
        <f t="shared" si="26"/>
        <v>230.1</v>
      </c>
      <c r="AH163" s="49" t="str">
        <f t="shared" si="27"/>
        <v>2/0</v>
      </c>
      <c r="AI163" s="49">
        <f t="shared" si="28"/>
        <v>265</v>
      </c>
    </row>
    <row r="164" spans="1:35">
      <c r="A164" s="1">
        <f t="shared" si="29"/>
        <v>265.10000000000002</v>
      </c>
      <c r="B164" s="1" t="str">
        <f t="shared" si="30"/>
        <v>3/0</v>
      </c>
      <c r="C164" s="1">
        <f t="shared" si="31"/>
        <v>310</v>
      </c>
      <c r="D164" s="3">
        <v>310.10000000000002</v>
      </c>
      <c r="E164" s="3">
        <v>172.35</v>
      </c>
      <c r="F164" s="3" t="s">
        <v>2</v>
      </c>
      <c r="G164" s="3">
        <v>201.5</v>
      </c>
      <c r="H164" s="3">
        <v>201.6</v>
      </c>
      <c r="I164" s="3">
        <v>159.1</v>
      </c>
      <c r="J164" s="3" t="s">
        <v>2</v>
      </c>
      <c r="K164" s="3">
        <v>186</v>
      </c>
      <c r="L164" s="3">
        <v>201.6</v>
      </c>
      <c r="M164" s="3">
        <v>212.1</v>
      </c>
      <c r="N164" s="3" t="s">
        <v>2</v>
      </c>
      <c r="O164" s="3">
        <v>245</v>
      </c>
      <c r="P164" s="3">
        <v>245.1</v>
      </c>
      <c r="Q164" s="3"/>
      <c r="R164" s="3"/>
      <c r="Z164" s="49"/>
      <c r="AA164" s="49">
        <v>265.10000000000002</v>
      </c>
      <c r="AB164" s="49" t="s">
        <v>2</v>
      </c>
      <c r="AC164" s="49">
        <v>310</v>
      </c>
      <c r="AD164" s="49"/>
      <c r="AE164" s="49"/>
      <c r="AF164" s="49"/>
      <c r="AG164" s="49">
        <f t="shared" si="26"/>
        <v>265.10000000000002</v>
      </c>
      <c r="AH164" s="49" t="str">
        <f t="shared" si="27"/>
        <v>3/0</v>
      </c>
      <c r="AI164" s="49">
        <f t="shared" si="28"/>
        <v>310</v>
      </c>
    </row>
    <row r="165" spans="1:35">
      <c r="A165" s="1">
        <f t="shared" si="29"/>
        <v>310.10000000000002</v>
      </c>
      <c r="B165" s="1" t="str">
        <f t="shared" si="30"/>
        <v>4/0</v>
      </c>
      <c r="C165" s="1">
        <f t="shared" si="31"/>
        <v>360</v>
      </c>
      <c r="D165" s="3">
        <v>360.1</v>
      </c>
      <c r="E165" s="3">
        <v>201.6</v>
      </c>
      <c r="F165" s="3" t="s">
        <v>3</v>
      </c>
      <c r="G165" s="3">
        <v>234</v>
      </c>
      <c r="H165" s="3">
        <v>234.1</v>
      </c>
      <c r="I165" s="3">
        <v>186.1</v>
      </c>
      <c r="J165" s="3" t="s">
        <v>3</v>
      </c>
      <c r="K165" s="3">
        <v>216</v>
      </c>
      <c r="L165" s="3">
        <v>234.1</v>
      </c>
      <c r="M165" s="3">
        <v>245.1</v>
      </c>
      <c r="N165" s="3" t="s">
        <v>3</v>
      </c>
      <c r="O165" s="3">
        <v>287</v>
      </c>
      <c r="P165" s="3">
        <v>287.10000000000002</v>
      </c>
      <c r="Q165" s="3"/>
      <c r="R165" s="3"/>
      <c r="Z165" s="49"/>
      <c r="AA165" s="49">
        <v>310.10000000000002</v>
      </c>
      <c r="AB165" s="49" t="s">
        <v>3</v>
      </c>
      <c r="AC165" s="49">
        <v>360</v>
      </c>
      <c r="AD165" s="49"/>
      <c r="AE165" s="49"/>
      <c r="AF165" s="49"/>
      <c r="AG165" s="49">
        <f t="shared" si="26"/>
        <v>310.10000000000002</v>
      </c>
      <c r="AH165" s="49" t="str">
        <f t="shared" si="27"/>
        <v>4/0</v>
      </c>
      <c r="AI165" s="49">
        <f t="shared" si="28"/>
        <v>360</v>
      </c>
    </row>
    <row r="166" spans="1:35">
      <c r="A166" s="1">
        <f t="shared" si="29"/>
        <v>360.1</v>
      </c>
      <c r="B166" s="1">
        <f t="shared" si="30"/>
        <v>250</v>
      </c>
      <c r="C166" s="1">
        <f t="shared" si="31"/>
        <v>405</v>
      </c>
      <c r="D166" s="3">
        <v>405.1</v>
      </c>
      <c r="E166" s="3">
        <v>234.1</v>
      </c>
      <c r="F166" s="3">
        <v>250</v>
      </c>
      <c r="G166" s="3">
        <v>263.25</v>
      </c>
      <c r="H166" s="3">
        <v>263.35000000000002</v>
      </c>
      <c r="I166" s="3">
        <v>216.1</v>
      </c>
      <c r="J166" s="3">
        <v>250</v>
      </c>
      <c r="K166" s="3">
        <v>243</v>
      </c>
      <c r="L166" s="3">
        <v>263.35000000000002</v>
      </c>
      <c r="M166" s="3">
        <v>287.10000000000002</v>
      </c>
      <c r="N166" s="3">
        <v>250</v>
      </c>
      <c r="O166" s="3">
        <v>320</v>
      </c>
      <c r="P166" s="3">
        <v>320.10000000000002</v>
      </c>
      <c r="Q166" s="3"/>
      <c r="R166" s="3"/>
      <c r="Z166" s="49"/>
      <c r="AA166" s="49">
        <v>360.1</v>
      </c>
      <c r="AB166" s="49">
        <v>250</v>
      </c>
      <c r="AC166" s="49">
        <v>405</v>
      </c>
      <c r="AD166" s="49"/>
      <c r="AE166" s="49"/>
      <c r="AF166" s="49"/>
      <c r="AG166" s="49">
        <f t="shared" si="26"/>
        <v>360.1</v>
      </c>
      <c r="AH166" s="49">
        <f t="shared" si="27"/>
        <v>250</v>
      </c>
      <c r="AI166" s="49">
        <f t="shared" si="28"/>
        <v>405</v>
      </c>
    </row>
    <row r="167" spans="1:35">
      <c r="A167" s="1">
        <f t="shared" si="29"/>
        <v>405.1</v>
      </c>
      <c r="B167" s="1">
        <f t="shared" si="30"/>
        <v>300</v>
      </c>
      <c r="C167" s="1">
        <f t="shared" si="31"/>
        <v>445</v>
      </c>
      <c r="D167" s="3">
        <v>445.1</v>
      </c>
      <c r="E167" s="3">
        <v>263.35000000000002</v>
      </c>
      <c r="F167" s="3">
        <v>300</v>
      </c>
      <c r="G167" s="3">
        <v>289.25</v>
      </c>
      <c r="H167" s="3">
        <v>289.35000000000002</v>
      </c>
      <c r="I167" s="3">
        <v>243.1</v>
      </c>
      <c r="J167" s="3">
        <v>300</v>
      </c>
      <c r="K167" s="3">
        <v>267</v>
      </c>
      <c r="L167" s="3">
        <v>289.35000000000002</v>
      </c>
      <c r="M167" s="3">
        <v>320.10000000000002</v>
      </c>
      <c r="N167" s="3">
        <v>300</v>
      </c>
      <c r="O167" s="3">
        <v>359</v>
      </c>
      <c r="P167" s="3">
        <v>359.1</v>
      </c>
      <c r="Q167" s="3"/>
      <c r="R167" s="3"/>
      <c r="Z167" s="49"/>
      <c r="AA167" s="49">
        <v>405.1</v>
      </c>
      <c r="AB167" s="49">
        <v>300</v>
      </c>
      <c r="AC167" s="49">
        <v>445</v>
      </c>
      <c r="AD167" s="49"/>
      <c r="AE167" s="49"/>
      <c r="AF167" s="49"/>
      <c r="AG167" s="49">
        <f t="shared" si="26"/>
        <v>405.1</v>
      </c>
      <c r="AH167" s="49">
        <f t="shared" si="27"/>
        <v>300</v>
      </c>
      <c r="AI167" s="49">
        <f t="shared" si="28"/>
        <v>445</v>
      </c>
    </row>
    <row r="168" spans="1:35">
      <c r="A168" s="1">
        <f t="shared" si="29"/>
        <v>445.1</v>
      </c>
      <c r="B168" s="1">
        <f t="shared" si="30"/>
        <v>350</v>
      </c>
      <c r="C168" s="1">
        <f t="shared" si="31"/>
        <v>505</v>
      </c>
      <c r="D168" s="3">
        <v>505.1</v>
      </c>
      <c r="E168" s="3">
        <v>289.35000000000002</v>
      </c>
      <c r="F168" s="3">
        <v>350</v>
      </c>
      <c r="G168" s="3">
        <v>328.25</v>
      </c>
      <c r="H168" s="3">
        <v>328.35</v>
      </c>
      <c r="I168" s="3">
        <v>267.10000000000002</v>
      </c>
      <c r="J168" s="3">
        <v>350</v>
      </c>
      <c r="K168" s="3">
        <v>303</v>
      </c>
      <c r="L168" s="3">
        <v>328.35</v>
      </c>
      <c r="M168" s="3">
        <v>359.1</v>
      </c>
      <c r="N168" s="3">
        <v>350</v>
      </c>
      <c r="O168" s="3">
        <v>397</v>
      </c>
      <c r="P168" s="3">
        <v>397.1</v>
      </c>
      <c r="Q168" s="3"/>
      <c r="R168" s="3"/>
      <c r="Z168" s="49"/>
      <c r="AA168" s="49">
        <v>445.1</v>
      </c>
      <c r="AB168" s="49">
        <v>350</v>
      </c>
      <c r="AC168" s="49">
        <v>505</v>
      </c>
      <c r="AD168" s="49"/>
      <c r="AE168" s="49"/>
      <c r="AF168" s="49"/>
      <c r="AG168" s="49">
        <f t="shared" si="26"/>
        <v>445.1</v>
      </c>
      <c r="AH168" s="49">
        <f t="shared" si="27"/>
        <v>350</v>
      </c>
      <c r="AI168" s="49">
        <f t="shared" si="28"/>
        <v>505</v>
      </c>
    </row>
    <row r="169" spans="1:35">
      <c r="A169" s="1">
        <v>505.1</v>
      </c>
      <c r="B169" s="1">
        <v>400</v>
      </c>
      <c r="C169" s="1">
        <v>545</v>
      </c>
      <c r="D169" s="3"/>
      <c r="E169" s="3">
        <v>328.35</v>
      </c>
      <c r="F169" s="3">
        <v>400</v>
      </c>
      <c r="G169" s="3">
        <v>354.25</v>
      </c>
      <c r="H169" s="3"/>
      <c r="I169" s="3">
        <v>303.10000000000002</v>
      </c>
      <c r="J169" s="3">
        <v>400</v>
      </c>
      <c r="K169" s="3">
        <v>327</v>
      </c>
      <c r="L169" s="3"/>
      <c r="M169" s="3">
        <v>397.1</v>
      </c>
      <c r="N169" s="3">
        <v>400</v>
      </c>
      <c r="O169" s="3">
        <v>430</v>
      </c>
      <c r="P169" s="3"/>
      <c r="Q169" s="3"/>
      <c r="R169" s="3"/>
      <c r="Z169" s="49"/>
      <c r="AA169" s="49"/>
      <c r="AB169" s="49"/>
      <c r="AC169" s="49"/>
      <c r="AD169" s="49"/>
      <c r="AE169" s="49"/>
      <c r="AF169" s="49"/>
      <c r="AG169" s="49"/>
      <c r="AH169" s="49"/>
      <c r="AI169" s="49"/>
    </row>
    <row r="170" spans="1:35">
      <c r="A170" s="1">
        <v>545.1</v>
      </c>
      <c r="B170" s="1">
        <f t="shared" si="30"/>
        <v>500</v>
      </c>
      <c r="C170" s="1">
        <f t="shared" si="31"/>
        <v>650</v>
      </c>
      <c r="D170" s="3">
        <v>650.1</v>
      </c>
      <c r="E170" s="3">
        <v>354.26</v>
      </c>
      <c r="F170" s="3">
        <v>500</v>
      </c>
      <c r="G170" s="3">
        <v>422.5</v>
      </c>
      <c r="H170" s="3">
        <v>422.6</v>
      </c>
      <c r="I170" s="3">
        <v>327.10000000000002</v>
      </c>
      <c r="J170" s="3">
        <v>500</v>
      </c>
      <c r="K170" s="3">
        <v>390</v>
      </c>
      <c r="L170" s="3">
        <v>422.6</v>
      </c>
      <c r="M170" s="3">
        <v>430.1</v>
      </c>
      <c r="N170" s="3">
        <v>500</v>
      </c>
      <c r="O170" s="3">
        <v>496</v>
      </c>
      <c r="P170" s="3">
        <v>496.1</v>
      </c>
      <c r="Q170" s="3"/>
      <c r="R170" s="3"/>
      <c r="Z170" s="49"/>
      <c r="AA170" s="49">
        <v>505.1</v>
      </c>
      <c r="AB170" s="49">
        <v>500</v>
      </c>
      <c r="AC170" s="49">
        <v>650</v>
      </c>
      <c r="AD170" s="49"/>
      <c r="AE170" s="49"/>
      <c r="AF170" s="49"/>
      <c r="AG170" s="49">
        <f t="shared" si="26"/>
        <v>505.1</v>
      </c>
      <c r="AH170" s="49">
        <f t="shared" si="27"/>
        <v>500</v>
      </c>
      <c r="AI170" s="49">
        <f t="shared" si="28"/>
        <v>650</v>
      </c>
    </row>
    <row r="171" spans="1:35">
      <c r="A171" s="1">
        <v>650.1</v>
      </c>
      <c r="B171" s="1">
        <v>600</v>
      </c>
      <c r="C171" s="1">
        <v>690</v>
      </c>
      <c r="D171" s="3"/>
      <c r="E171" s="3">
        <v>422.6</v>
      </c>
      <c r="F171" s="3">
        <v>600</v>
      </c>
      <c r="G171" s="3">
        <v>448.5</v>
      </c>
      <c r="H171" s="3"/>
      <c r="I171" s="3">
        <v>390.1</v>
      </c>
      <c r="J171" s="3">
        <v>600</v>
      </c>
      <c r="K171" s="3">
        <v>414</v>
      </c>
      <c r="L171" s="3"/>
      <c r="M171" s="3">
        <v>496.1</v>
      </c>
      <c r="N171" s="3">
        <v>600</v>
      </c>
      <c r="O171" s="3">
        <v>553</v>
      </c>
      <c r="P171" s="3"/>
      <c r="Q171" s="3"/>
      <c r="R171" s="3"/>
      <c r="Z171" s="49"/>
      <c r="AA171" s="49"/>
      <c r="AB171" s="49"/>
      <c r="AC171" s="49"/>
      <c r="AD171" s="49"/>
      <c r="AE171" s="49"/>
      <c r="AF171" s="49"/>
      <c r="AG171" s="49"/>
      <c r="AH171" s="49"/>
      <c r="AI171" s="49"/>
    </row>
    <row r="172" spans="1:35">
      <c r="A172" s="1">
        <v>690.1</v>
      </c>
      <c r="B172" s="1">
        <f t="shared" si="30"/>
        <v>750</v>
      </c>
      <c r="C172" s="1">
        <f t="shared" si="31"/>
        <v>785</v>
      </c>
      <c r="D172" s="3">
        <v>785.1</v>
      </c>
      <c r="E172" s="3">
        <v>448.6</v>
      </c>
      <c r="F172" s="3">
        <v>750</v>
      </c>
      <c r="G172" s="3">
        <v>510.25</v>
      </c>
      <c r="H172" s="3">
        <v>510.35</v>
      </c>
      <c r="I172" s="3">
        <v>414.1</v>
      </c>
      <c r="J172" s="3">
        <v>750</v>
      </c>
      <c r="K172" s="3">
        <v>471</v>
      </c>
      <c r="L172" s="3">
        <v>510.35</v>
      </c>
      <c r="M172" s="3">
        <v>553.1</v>
      </c>
      <c r="N172" s="3">
        <v>750</v>
      </c>
      <c r="O172" s="3">
        <v>638</v>
      </c>
      <c r="P172" s="3">
        <v>638.1</v>
      </c>
      <c r="Q172" s="3"/>
      <c r="R172" s="3"/>
      <c r="Z172" s="49"/>
      <c r="AA172" s="49">
        <v>650.1</v>
      </c>
      <c r="AB172" s="49">
        <v>750</v>
      </c>
      <c r="AC172" s="49">
        <v>785</v>
      </c>
      <c r="AD172" s="49"/>
      <c r="AE172" s="49"/>
      <c r="AF172" s="49"/>
      <c r="AG172" s="49">
        <f t="shared" si="26"/>
        <v>650.1</v>
      </c>
      <c r="AH172" s="49">
        <f t="shared" si="27"/>
        <v>750</v>
      </c>
      <c r="AI172" s="49">
        <f t="shared" si="28"/>
        <v>785</v>
      </c>
    </row>
    <row r="173" spans="1:35">
      <c r="A173" s="1">
        <f t="shared" si="29"/>
        <v>785.1</v>
      </c>
      <c r="B173" s="1" t="str">
        <f t="shared" si="30"/>
        <v>2X250</v>
      </c>
      <c r="C173" s="1">
        <f t="shared" si="31"/>
        <v>810</v>
      </c>
      <c r="D173" s="3">
        <v>810.1</v>
      </c>
      <c r="E173" s="3">
        <v>510.35</v>
      </c>
      <c r="F173" s="3" t="s">
        <v>410</v>
      </c>
      <c r="G173" s="3">
        <v>526.5</v>
      </c>
      <c r="H173" s="3">
        <v>526.6</v>
      </c>
      <c r="I173" s="3">
        <v>471.1</v>
      </c>
      <c r="J173" s="3" t="s">
        <v>410</v>
      </c>
      <c r="K173" s="3">
        <v>486</v>
      </c>
      <c r="L173" s="3">
        <v>526.6</v>
      </c>
      <c r="M173" s="3">
        <v>638.1</v>
      </c>
      <c r="N173" s="3" t="s">
        <v>410</v>
      </c>
      <c r="O173" s="3">
        <v>640</v>
      </c>
      <c r="P173" s="3">
        <v>640.1</v>
      </c>
      <c r="Q173" s="3"/>
      <c r="R173" s="3"/>
      <c r="Z173" s="49"/>
      <c r="AA173" s="49">
        <v>785.1</v>
      </c>
      <c r="AB173" s="49" t="s">
        <v>410</v>
      </c>
      <c r="AC173" s="49">
        <v>810</v>
      </c>
      <c r="AD173" s="49"/>
      <c r="AE173" s="49"/>
      <c r="AF173" s="49"/>
      <c r="AG173" s="49">
        <f t="shared" si="26"/>
        <v>785.1</v>
      </c>
      <c r="AH173" s="49" t="str">
        <f t="shared" si="27"/>
        <v>2X250</v>
      </c>
      <c r="AI173" s="49">
        <f t="shared" si="28"/>
        <v>810</v>
      </c>
    </row>
    <row r="174" spans="1:35">
      <c r="A174" s="1">
        <f t="shared" si="29"/>
        <v>810.1</v>
      </c>
      <c r="B174" s="1" t="str">
        <f t="shared" si="30"/>
        <v>2X300</v>
      </c>
      <c r="C174" s="1">
        <f t="shared" si="31"/>
        <v>890</v>
      </c>
      <c r="D174" s="3">
        <v>890.1</v>
      </c>
      <c r="E174" s="3">
        <v>526.6</v>
      </c>
      <c r="F174" s="3" t="s">
        <v>411</v>
      </c>
      <c r="G174" s="3">
        <v>578.5</v>
      </c>
      <c r="H174" s="3">
        <v>578.6</v>
      </c>
      <c r="I174" s="3">
        <v>486.1</v>
      </c>
      <c r="J174" s="3" t="s">
        <v>411</v>
      </c>
      <c r="K174" s="3">
        <v>534</v>
      </c>
      <c r="L174" s="3">
        <v>578.6</v>
      </c>
      <c r="M174" s="3">
        <v>640.1</v>
      </c>
      <c r="N174" s="3" t="s">
        <v>411</v>
      </c>
      <c r="O174" s="3">
        <v>718</v>
      </c>
      <c r="P174" s="3">
        <v>718.1</v>
      </c>
      <c r="Q174" s="3"/>
      <c r="R174" s="3"/>
      <c r="Z174" s="49"/>
      <c r="AA174" s="49">
        <v>810.1</v>
      </c>
      <c r="AB174" s="49" t="s">
        <v>411</v>
      </c>
      <c r="AC174" s="49">
        <v>890</v>
      </c>
      <c r="AD174" s="49"/>
      <c r="AE174" s="49"/>
      <c r="AF174" s="49"/>
      <c r="AG174" s="49">
        <f t="shared" si="26"/>
        <v>810.1</v>
      </c>
      <c r="AH174" s="49" t="str">
        <f t="shared" si="27"/>
        <v>2X300</v>
      </c>
      <c r="AI174" s="49">
        <f t="shared" si="28"/>
        <v>890</v>
      </c>
    </row>
    <row r="175" spans="1:35">
      <c r="A175" s="1">
        <f t="shared" si="29"/>
        <v>890.1</v>
      </c>
      <c r="B175" s="1" t="str">
        <f t="shared" si="30"/>
        <v>2X350</v>
      </c>
      <c r="C175" s="1">
        <f t="shared" si="31"/>
        <v>1010</v>
      </c>
      <c r="D175" s="3">
        <v>1010.1</v>
      </c>
      <c r="E175" s="3">
        <v>578.6</v>
      </c>
      <c r="F175" s="3" t="s">
        <v>412</v>
      </c>
      <c r="G175" s="3">
        <v>656.5</v>
      </c>
      <c r="H175" s="3">
        <v>656.6</v>
      </c>
      <c r="I175" s="3">
        <v>534.1</v>
      </c>
      <c r="J175" s="3" t="s">
        <v>412</v>
      </c>
      <c r="K175" s="3">
        <v>606</v>
      </c>
      <c r="L175" s="3">
        <v>656.6</v>
      </c>
      <c r="M175" s="3">
        <v>718.1</v>
      </c>
      <c r="N175" s="3" t="s">
        <v>412</v>
      </c>
      <c r="O175" s="3">
        <v>794</v>
      </c>
      <c r="P175" s="3">
        <v>794.1</v>
      </c>
      <c r="Q175" s="3"/>
      <c r="R175" s="3"/>
      <c r="Z175" s="49"/>
      <c r="AA175" s="49">
        <v>890.1</v>
      </c>
      <c r="AB175" s="49" t="s">
        <v>412</v>
      </c>
      <c r="AC175" s="49">
        <v>1010</v>
      </c>
      <c r="AD175" s="49"/>
      <c r="AE175" s="49"/>
      <c r="AF175" s="49"/>
      <c r="AG175" s="49">
        <f t="shared" si="26"/>
        <v>890.1</v>
      </c>
      <c r="AH175" s="49" t="str">
        <f t="shared" si="27"/>
        <v>2X350</v>
      </c>
      <c r="AI175" s="49">
        <f t="shared" si="28"/>
        <v>1010</v>
      </c>
    </row>
    <row r="176" spans="1:35">
      <c r="A176" s="1">
        <f t="shared" si="29"/>
        <v>1010.1</v>
      </c>
      <c r="B176" s="1" t="str">
        <f t="shared" si="30"/>
        <v>2X400</v>
      </c>
      <c r="C176" s="1">
        <f t="shared" si="31"/>
        <v>1090</v>
      </c>
      <c r="D176" s="3">
        <v>1090.0999999999999</v>
      </c>
      <c r="E176" s="3">
        <v>656.6</v>
      </c>
      <c r="F176" s="146" t="s">
        <v>441</v>
      </c>
      <c r="G176" s="3">
        <v>708.5</v>
      </c>
      <c r="H176" s="3">
        <v>708.6</v>
      </c>
      <c r="I176" s="3">
        <v>606.1</v>
      </c>
      <c r="J176" s="146" t="s">
        <v>441</v>
      </c>
      <c r="K176" s="3">
        <v>654</v>
      </c>
      <c r="L176" s="3">
        <v>654.1</v>
      </c>
      <c r="M176" s="3">
        <v>794.1</v>
      </c>
      <c r="N176" s="146" t="s">
        <v>441</v>
      </c>
      <c r="O176" s="3">
        <v>860</v>
      </c>
      <c r="P176" s="3">
        <v>860.1</v>
      </c>
      <c r="Q176" s="3"/>
      <c r="R176" s="3"/>
      <c r="Z176" s="49"/>
      <c r="AA176" s="49">
        <v>1010.1</v>
      </c>
      <c r="AB176" s="49" t="s">
        <v>441</v>
      </c>
      <c r="AC176" s="49">
        <v>1090</v>
      </c>
      <c r="AD176" s="49"/>
      <c r="AE176" s="49"/>
      <c r="AF176" s="49"/>
      <c r="AG176" s="49">
        <f t="shared" si="26"/>
        <v>1010.1</v>
      </c>
      <c r="AH176" s="49" t="str">
        <f t="shared" si="27"/>
        <v>2X400</v>
      </c>
      <c r="AI176" s="49">
        <f t="shared" si="28"/>
        <v>1090</v>
      </c>
    </row>
    <row r="177" spans="1:35">
      <c r="A177" s="1">
        <f t="shared" si="29"/>
        <v>1090.0999999999999</v>
      </c>
      <c r="B177" s="1" t="str">
        <f t="shared" si="30"/>
        <v>2X500</v>
      </c>
      <c r="C177" s="1">
        <f t="shared" si="31"/>
        <v>1300</v>
      </c>
      <c r="D177" s="3">
        <v>1300.0999999999999</v>
      </c>
      <c r="E177" s="3">
        <v>708.6</v>
      </c>
      <c r="F177" s="3" t="s">
        <v>413</v>
      </c>
      <c r="G177" s="3">
        <v>845</v>
      </c>
      <c r="H177" s="3">
        <v>845.1</v>
      </c>
      <c r="I177" s="3">
        <v>654.1</v>
      </c>
      <c r="J177" s="3" t="s">
        <v>413</v>
      </c>
      <c r="K177" s="3">
        <v>780</v>
      </c>
      <c r="L177" s="3">
        <v>845.1</v>
      </c>
      <c r="M177" s="3">
        <v>860.1</v>
      </c>
      <c r="N177" s="3" t="s">
        <v>413</v>
      </c>
      <c r="O177" s="3">
        <v>992</v>
      </c>
      <c r="P177" s="3">
        <v>992.1</v>
      </c>
      <c r="Q177" s="3"/>
      <c r="R177" s="3"/>
      <c r="Z177" s="49"/>
      <c r="AA177" s="49">
        <v>1090.0999999999999</v>
      </c>
      <c r="AB177" s="49" t="s">
        <v>413</v>
      </c>
      <c r="AC177" s="49">
        <v>1300</v>
      </c>
      <c r="AD177" s="49"/>
      <c r="AE177" s="49"/>
      <c r="AF177" s="49"/>
      <c r="AG177" s="49">
        <f t="shared" ref="AG177:AG184" si="32">IF($AG$4="BUENO",AA177,0)</f>
        <v>1090.0999999999999</v>
      </c>
      <c r="AH177" s="49" t="str">
        <f t="shared" ref="AH177:AH184" si="33">IF($AG$4="BUENO",AB177,0)</f>
        <v>2X500</v>
      </c>
      <c r="AI177" s="49">
        <f t="shared" ref="AI177:AI184" si="34">IF($AG$4="BUENO",AC177,0)</f>
        <v>1300</v>
      </c>
    </row>
    <row r="178" spans="1:35">
      <c r="A178" s="1">
        <f t="shared" si="29"/>
        <v>1300.0999999999999</v>
      </c>
      <c r="B178" s="1" t="str">
        <f t="shared" si="30"/>
        <v>2X750</v>
      </c>
      <c r="C178" s="1">
        <f t="shared" si="31"/>
        <v>1570</v>
      </c>
      <c r="D178" s="3">
        <v>1570.1</v>
      </c>
      <c r="E178" s="3">
        <v>845.1</v>
      </c>
      <c r="F178" s="3" t="s">
        <v>414</v>
      </c>
      <c r="G178" s="3">
        <v>1020.5</v>
      </c>
      <c r="H178" s="3">
        <v>1020.6</v>
      </c>
      <c r="I178" s="3">
        <v>780.1</v>
      </c>
      <c r="J178" s="3" t="s">
        <v>414</v>
      </c>
      <c r="K178" s="3">
        <v>942</v>
      </c>
      <c r="L178" s="3">
        <v>1020.6</v>
      </c>
      <c r="M178" s="3">
        <v>992.1</v>
      </c>
      <c r="N178" s="3" t="s">
        <v>414</v>
      </c>
      <c r="O178" s="3">
        <v>1276</v>
      </c>
      <c r="P178" s="3">
        <v>1276.0999999999999</v>
      </c>
      <c r="Q178" s="3"/>
      <c r="R178" s="3"/>
      <c r="Z178" s="49"/>
      <c r="AA178" s="49">
        <v>1300.0999999999999</v>
      </c>
      <c r="AB178" s="49" t="s">
        <v>414</v>
      </c>
      <c r="AC178" s="49">
        <v>1570</v>
      </c>
      <c r="AD178" s="49"/>
      <c r="AE178" s="49"/>
      <c r="AF178" s="49"/>
      <c r="AG178" s="49">
        <f t="shared" si="32"/>
        <v>1300.0999999999999</v>
      </c>
      <c r="AH178" s="49" t="str">
        <f t="shared" si="33"/>
        <v>2X750</v>
      </c>
      <c r="AI178" s="49">
        <f t="shared" si="34"/>
        <v>1570</v>
      </c>
    </row>
    <row r="179" spans="1:35">
      <c r="A179" s="1">
        <f t="shared" si="29"/>
        <v>1570.1</v>
      </c>
      <c r="B179" s="1" t="str">
        <f t="shared" si="30"/>
        <v>3X500</v>
      </c>
      <c r="C179" s="1">
        <f t="shared" si="31"/>
        <v>1950</v>
      </c>
      <c r="D179" s="3">
        <v>1950.1</v>
      </c>
      <c r="E179" s="3">
        <v>1020.6</v>
      </c>
      <c r="F179" s="3" t="s">
        <v>415</v>
      </c>
      <c r="G179" s="3">
        <v>1267.5</v>
      </c>
      <c r="H179" s="3">
        <v>1267.5999999999999</v>
      </c>
      <c r="I179" s="3">
        <v>942.1</v>
      </c>
      <c r="J179" s="3" t="s">
        <v>415</v>
      </c>
      <c r="K179" s="3">
        <v>1170</v>
      </c>
      <c r="L179" s="3">
        <v>1267.5999999999999</v>
      </c>
      <c r="M179" s="3">
        <v>1276.0999999999999</v>
      </c>
      <c r="N179" s="3" t="s">
        <v>415</v>
      </c>
      <c r="O179" s="3">
        <v>1488</v>
      </c>
      <c r="P179" s="3">
        <v>1488.1</v>
      </c>
      <c r="Q179" s="3"/>
      <c r="R179" s="3"/>
      <c r="Z179" s="49"/>
      <c r="AA179" s="49">
        <v>1570.1</v>
      </c>
      <c r="AB179" s="49" t="s">
        <v>415</v>
      </c>
      <c r="AC179" s="49">
        <v>1950</v>
      </c>
      <c r="AD179" s="49"/>
      <c r="AE179" s="49"/>
      <c r="AF179" s="49"/>
      <c r="AG179" s="49">
        <f t="shared" si="32"/>
        <v>1570.1</v>
      </c>
      <c r="AH179" s="49" t="str">
        <f t="shared" si="33"/>
        <v>3X500</v>
      </c>
      <c r="AI179" s="49">
        <f t="shared" si="34"/>
        <v>1950</v>
      </c>
    </row>
    <row r="180" spans="1:35">
      <c r="A180" s="1">
        <f t="shared" si="29"/>
        <v>1950.1</v>
      </c>
      <c r="B180" s="1" t="str">
        <f t="shared" si="30"/>
        <v>4X500</v>
      </c>
      <c r="C180" s="1">
        <f t="shared" si="31"/>
        <v>2600</v>
      </c>
      <c r="D180" s="3">
        <v>2600.1</v>
      </c>
      <c r="E180" s="3">
        <v>1267.5999999999999</v>
      </c>
      <c r="F180" s="3" t="s">
        <v>416</v>
      </c>
      <c r="G180" s="3">
        <v>1690</v>
      </c>
      <c r="H180" s="3">
        <v>1690.1</v>
      </c>
      <c r="I180" s="3">
        <v>1170.0999999999999</v>
      </c>
      <c r="J180" s="3" t="s">
        <v>416</v>
      </c>
      <c r="K180" s="3">
        <v>1560</v>
      </c>
      <c r="L180" s="3">
        <v>1690.1</v>
      </c>
      <c r="M180" s="3">
        <v>1488.1</v>
      </c>
      <c r="N180" s="3" t="s">
        <v>416</v>
      </c>
      <c r="O180" s="3">
        <v>1984</v>
      </c>
      <c r="P180" s="3">
        <v>1984.1</v>
      </c>
      <c r="Q180" s="3"/>
      <c r="R180" s="3"/>
      <c r="Z180" s="49"/>
      <c r="AA180" s="49">
        <v>1950.1</v>
      </c>
      <c r="AB180" s="49" t="s">
        <v>416</v>
      </c>
      <c r="AC180" s="49">
        <v>2600</v>
      </c>
      <c r="AD180" s="49"/>
      <c r="AE180" s="49"/>
      <c r="AF180" s="49"/>
      <c r="AG180" s="49">
        <f t="shared" si="32"/>
        <v>1950.1</v>
      </c>
      <c r="AH180" s="49" t="str">
        <f t="shared" si="33"/>
        <v>4X500</v>
      </c>
      <c r="AI180" s="49">
        <f t="shared" si="34"/>
        <v>2600</v>
      </c>
    </row>
    <row r="181" spans="1:35">
      <c r="A181" s="1">
        <f t="shared" si="29"/>
        <v>2600.1</v>
      </c>
      <c r="B181" s="1" t="str">
        <f t="shared" si="30"/>
        <v>5X500</v>
      </c>
      <c r="C181" s="1">
        <f t="shared" si="31"/>
        <v>3250</v>
      </c>
      <c r="D181" s="3">
        <v>3250.1</v>
      </c>
      <c r="E181" s="3">
        <v>1690.1</v>
      </c>
      <c r="F181" s="3" t="s">
        <v>417</v>
      </c>
      <c r="G181" s="3">
        <v>2112.5</v>
      </c>
      <c r="H181" s="3">
        <v>2112.6</v>
      </c>
      <c r="I181" s="3">
        <v>1560.1</v>
      </c>
      <c r="J181" s="3" t="s">
        <v>417</v>
      </c>
      <c r="K181" s="3">
        <v>1950</v>
      </c>
      <c r="L181" s="3">
        <v>2112.6</v>
      </c>
      <c r="M181" s="3">
        <v>1984.1</v>
      </c>
      <c r="N181" s="3" t="s">
        <v>417</v>
      </c>
      <c r="O181" s="3">
        <v>2480</v>
      </c>
      <c r="P181" s="3">
        <v>2480.1</v>
      </c>
      <c r="Q181" s="3"/>
      <c r="R181" s="3"/>
      <c r="Z181" s="49"/>
      <c r="AA181" s="49">
        <v>2600.1</v>
      </c>
      <c r="AB181" s="49" t="s">
        <v>417</v>
      </c>
      <c r="AC181" s="49">
        <v>3250</v>
      </c>
      <c r="AD181" s="49"/>
      <c r="AE181" s="49"/>
      <c r="AF181" s="49"/>
      <c r="AG181" s="49">
        <f t="shared" si="32"/>
        <v>2600.1</v>
      </c>
      <c r="AH181" s="49" t="str">
        <f t="shared" si="33"/>
        <v>5X500</v>
      </c>
      <c r="AI181" s="49">
        <f t="shared" si="34"/>
        <v>3250</v>
      </c>
    </row>
    <row r="182" spans="1:35">
      <c r="A182" s="1">
        <f t="shared" si="29"/>
        <v>3250.1</v>
      </c>
      <c r="B182" s="1" t="str">
        <f t="shared" si="30"/>
        <v>5X750</v>
      </c>
      <c r="C182" s="1">
        <f t="shared" si="31"/>
        <v>3925</v>
      </c>
      <c r="D182" s="3">
        <v>3925.1</v>
      </c>
      <c r="E182" s="3">
        <v>2112.6</v>
      </c>
      <c r="F182" s="3" t="s">
        <v>418</v>
      </c>
      <c r="G182" s="3">
        <v>2551.25</v>
      </c>
      <c r="H182" s="3">
        <v>2551.35</v>
      </c>
      <c r="I182" s="3">
        <v>1950.1</v>
      </c>
      <c r="J182" s="3" t="s">
        <v>418</v>
      </c>
      <c r="K182" s="3">
        <v>2355</v>
      </c>
      <c r="L182" s="3">
        <v>2551.35</v>
      </c>
      <c r="M182" s="3">
        <v>2480.1</v>
      </c>
      <c r="N182" s="3" t="s">
        <v>418</v>
      </c>
      <c r="O182" s="3">
        <v>3190</v>
      </c>
      <c r="P182" s="3">
        <v>3190.1</v>
      </c>
      <c r="Q182" s="3"/>
      <c r="R182" s="3"/>
      <c r="Z182" s="49"/>
      <c r="AA182" s="49">
        <v>3250.1</v>
      </c>
      <c r="AB182" s="49" t="s">
        <v>418</v>
      </c>
      <c r="AC182" s="49">
        <v>3925</v>
      </c>
      <c r="AD182" s="49"/>
      <c r="AE182" s="49"/>
      <c r="AF182" s="49"/>
      <c r="AG182" s="49">
        <f t="shared" si="32"/>
        <v>3250.1</v>
      </c>
      <c r="AH182" s="49" t="str">
        <f t="shared" si="33"/>
        <v>5X750</v>
      </c>
      <c r="AI182" s="49">
        <f t="shared" si="34"/>
        <v>3925</v>
      </c>
    </row>
    <row r="183" spans="1:35">
      <c r="A183" s="1">
        <f t="shared" si="29"/>
        <v>3925.1</v>
      </c>
      <c r="B183" s="1" t="str">
        <f t="shared" si="30"/>
        <v>6X750</v>
      </c>
      <c r="C183" s="1">
        <f t="shared" si="31"/>
        <v>4710</v>
      </c>
      <c r="D183" s="3">
        <v>4710.1000000000004</v>
      </c>
      <c r="E183" s="3">
        <v>2551.35</v>
      </c>
      <c r="F183" s="3" t="s">
        <v>419</v>
      </c>
      <c r="G183" s="3">
        <v>3061.5</v>
      </c>
      <c r="H183" s="3">
        <v>3061.6</v>
      </c>
      <c r="I183" s="3">
        <v>2355.1</v>
      </c>
      <c r="J183" s="3" t="s">
        <v>419</v>
      </c>
      <c r="K183" s="3">
        <v>2826</v>
      </c>
      <c r="L183" s="3">
        <v>3061.6</v>
      </c>
      <c r="M183" s="3">
        <v>3190.1</v>
      </c>
      <c r="N183" s="3" t="s">
        <v>419</v>
      </c>
      <c r="O183" s="3">
        <v>3828</v>
      </c>
      <c r="P183" s="3">
        <v>3828.1</v>
      </c>
      <c r="Q183" s="3"/>
      <c r="R183" s="3"/>
      <c r="Z183" s="49"/>
      <c r="AA183" s="49">
        <v>3925.1</v>
      </c>
      <c r="AB183" s="49" t="s">
        <v>419</v>
      </c>
      <c r="AC183" s="49">
        <v>4710</v>
      </c>
      <c r="AD183" s="49"/>
      <c r="AE183" s="49"/>
      <c r="AF183" s="49"/>
      <c r="AG183" s="49">
        <f t="shared" si="32"/>
        <v>3925.1</v>
      </c>
      <c r="AH183" s="49" t="str">
        <f t="shared" si="33"/>
        <v>6X750</v>
      </c>
      <c r="AI183" s="49">
        <f t="shared" si="34"/>
        <v>4710</v>
      </c>
    </row>
    <row r="184" spans="1:35">
      <c r="D184" s="3">
        <v>5495.1</v>
      </c>
      <c r="E184" s="3">
        <v>3061.6</v>
      </c>
      <c r="F184" s="3" t="s">
        <v>420</v>
      </c>
      <c r="G184" s="3">
        <v>3571.75</v>
      </c>
      <c r="H184" s="3">
        <v>3571.85</v>
      </c>
      <c r="I184" s="3">
        <v>2826.1</v>
      </c>
      <c r="J184" s="3" t="s">
        <v>420</v>
      </c>
      <c r="K184" s="3">
        <v>3297</v>
      </c>
      <c r="L184" s="3">
        <v>3571.85</v>
      </c>
      <c r="M184" s="3">
        <v>3828.1</v>
      </c>
      <c r="N184" s="3" t="s">
        <v>420</v>
      </c>
      <c r="O184" s="3">
        <v>4466</v>
      </c>
      <c r="P184" s="3">
        <v>4466.1000000000004</v>
      </c>
      <c r="Z184" s="49"/>
      <c r="AA184" s="49">
        <v>4710.1000000000004</v>
      </c>
      <c r="AB184" s="49" t="s">
        <v>420</v>
      </c>
      <c r="AC184" s="49">
        <v>5495</v>
      </c>
      <c r="AD184" s="49"/>
      <c r="AE184" s="49"/>
      <c r="AF184" s="49"/>
      <c r="AG184" s="49">
        <f t="shared" si="32"/>
        <v>4710.1000000000004</v>
      </c>
      <c r="AH184" s="49" t="str">
        <f t="shared" si="33"/>
        <v>7X750</v>
      </c>
      <c r="AI184" s="49">
        <f t="shared" si="34"/>
        <v>5495</v>
      </c>
    </row>
    <row r="185" spans="1:35">
      <c r="Z185" s="49"/>
      <c r="AA185" s="49">
        <v>0</v>
      </c>
      <c r="AB185" s="49">
        <v>0</v>
      </c>
      <c r="AC185" s="49">
        <v>0</v>
      </c>
      <c r="AD185" s="49"/>
      <c r="AE185" s="49"/>
      <c r="AF185" s="49"/>
      <c r="AG185" s="49">
        <f t="shared" si="26"/>
        <v>0</v>
      </c>
      <c r="AH185" s="49">
        <f t="shared" si="27"/>
        <v>0</v>
      </c>
      <c r="AI185" s="49">
        <f t="shared" si="28"/>
        <v>0</v>
      </c>
    </row>
    <row r="186" spans="1:35">
      <c r="Z186" s="49"/>
      <c r="AA186" s="49">
        <v>0</v>
      </c>
      <c r="AB186" s="49">
        <v>0</v>
      </c>
      <c r="AC186" s="49">
        <v>0</v>
      </c>
      <c r="AD186" s="49"/>
      <c r="AE186" s="49"/>
      <c r="AF186" s="49"/>
      <c r="AG186" s="49">
        <f t="shared" si="26"/>
        <v>0</v>
      </c>
      <c r="AH186" s="49">
        <f t="shared" si="27"/>
        <v>0</v>
      </c>
      <c r="AI186" s="49">
        <f t="shared" si="28"/>
        <v>0</v>
      </c>
    </row>
    <row r="187" spans="1:35">
      <c r="Z187" s="49"/>
      <c r="AA187" s="49">
        <v>0</v>
      </c>
      <c r="AB187" s="49">
        <v>0</v>
      </c>
      <c r="AC187" s="49">
        <v>0</v>
      </c>
      <c r="AD187" s="49"/>
      <c r="AE187" s="49"/>
      <c r="AF187" s="49"/>
      <c r="AG187" s="49">
        <f t="shared" si="26"/>
        <v>0</v>
      </c>
      <c r="AH187" s="49">
        <f t="shared" si="27"/>
        <v>0</v>
      </c>
      <c r="AI187" s="49">
        <f t="shared" si="28"/>
        <v>0</v>
      </c>
    </row>
    <row r="188" spans="1:35">
      <c r="Z188" s="49"/>
      <c r="AA188" s="49">
        <v>0</v>
      </c>
      <c r="AB188" s="49">
        <v>0</v>
      </c>
      <c r="AC188" s="49">
        <v>0</v>
      </c>
      <c r="AD188" s="49"/>
      <c r="AE188" s="49"/>
      <c r="AF188" s="49"/>
      <c r="AG188" s="49">
        <f t="shared" si="26"/>
        <v>0</v>
      </c>
      <c r="AH188" s="49">
        <f t="shared" si="27"/>
        <v>0</v>
      </c>
      <c r="AI188" s="49">
        <f t="shared" si="28"/>
        <v>0</v>
      </c>
    </row>
    <row r="189" spans="1:35">
      <c r="A189" s="11" t="s">
        <v>434</v>
      </c>
      <c r="B189" s="12"/>
      <c r="C189" s="12"/>
      <c r="D189" s="12"/>
      <c r="E189" s="12"/>
      <c r="F189" s="12"/>
      <c r="G189" s="12"/>
      <c r="H189" s="12"/>
      <c r="Z189" s="49"/>
      <c r="AA189" s="49" t="s">
        <v>434</v>
      </c>
      <c r="AB189" s="49">
        <v>0</v>
      </c>
      <c r="AC189" s="49">
        <v>0</v>
      </c>
      <c r="AD189" s="49"/>
      <c r="AE189" s="49"/>
      <c r="AF189" s="49"/>
      <c r="AG189" s="49" t="str">
        <f t="shared" si="26"/>
        <v>TABLA DE CAPACIDAD DE CORRIENTE DE CONDUCTORES DE ALUMINIO EN CHAROLA</v>
      </c>
      <c r="AH189" s="49">
        <f t="shared" si="27"/>
        <v>0</v>
      </c>
      <c r="AI189" s="49">
        <f t="shared" si="28"/>
        <v>0</v>
      </c>
    </row>
    <row r="190" spans="1:35">
      <c r="A190" s="11" t="s">
        <v>407</v>
      </c>
      <c r="B190" s="12"/>
      <c r="C190" s="12"/>
      <c r="D190" s="12"/>
      <c r="E190" s="12"/>
      <c r="F190" s="12"/>
      <c r="G190" s="12"/>
      <c r="H190" s="12"/>
      <c r="Z190" s="49"/>
      <c r="AA190" s="49" t="s">
        <v>407</v>
      </c>
      <c r="AB190" s="49">
        <v>0</v>
      </c>
      <c r="AC190" s="49">
        <v>0</v>
      </c>
      <c r="AD190" s="49"/>
      <c r="AE190" s="49"/>
      <c r="AF190" s="49"/>
      <c r="AG190" s="49" t="str">
        <f t="shared" si="26"/>
        <v>CONSIDERANDO CABLEA S 75°C Y CABLES A 90°C PARA COMPARATIVA DE CORRIENTE</v>
      </c>
      <c r="AH190" s="49">
        <f t="shared" si="27"/>
        <v>0</v>
      </c>
      <c r="AI190" s="49">
        <f t="shared" si="28"/>
        <v>0</v>
      </c>
    </row>
    <row r="191" spans="1:35">
      <c r="Z191" s="49"/>
      <c r="AA191" s="49">
        <v>0</v>
      </c>
      <c r="AB191" s="49">
        <v>0</v>
      </c>
      <c r="AC191" s="49">
        <v>0</v>
      </c>
      <c r="AD191" s="49"/>
      <c r="AE191" s="49"/>
      <c r="AF191" s="49"/>
      <c r="AG191" s="49">
        <f t="shared" si="26"/>
        <v>0</v>
      </c>
      <c r="AH191" s="49">
        <f t="shared" si="27"/>
        <v>0</v>
      </c>
      <c r="AI191" s="49">
        <f t="shared" si="28"/>
        <v>0</v>
      </c>
    </row>
    <row r="192" spans="1:35">
      <c r="A192" s="1096" t="s">
        <v>424</v>
      </c>
      <c r="B192" s="1096"/>
      <c r="C192" s="1096"/>
      <c r="D192" s="1098" t="s">
        <v>425</v>
      </c>
      <c r="E192" s="1098"/>
      <c r="F192" s="1098"/>
      <c r="G192" s="1101" t="s">
        <v>426</v>
      </c>
      <c r="H192" s="1101"/>
      <c r="I192" s="1101"/>
      <c r="J192" s="1102" t="s">
        <v>427</v>
      </c>
      <c r="K192" s="1102"/>
      <c r="L192" s="1102"/>
      <c r="Z192" s="49"/>
      <c r="AA192" s="49" t="s">
        <v>424</v>
      </c>
      <c r="AB192" s="49">
        <v>0</v>
      </c>
      <c r="AC192" s="49">
        <v>0</v>
      </c>
      <c r="AD192" s="49"/>
      <c r="AE192" s="49"/>
      <c r="AF192" s="49"/>
      <c r="AG192" s="49" t="str">
        <f t="shared" si="26"/>
        <v>OPCION 5</v>
      </c>
      <c r="AH192" s="49">
        <f t="shared" si="27"/>
        <v>0</v>
      </c>
      <c r="AI192" s="49">
        <f t="shared" si="28"/>
        <v>0</v>
      </c>
    </row>
    <row r="193" spans="1:35">
      <c r="Z193" s="49"/>
      <c r="AA193" s="49">
        <v>0</v>
      </c>
      <c r="AB193" s="49">
        <v>0</v>
      </c>
      <c r="AC193" s="49">
        <v>0</v>
      </c>
      <c r="AD193" s="49"/>
      <c r="AE193" s="49"/>
      <c r="AF193" s="49"/>
      <c r="AG193" s="49">
        <f t="shared" si="26"/>
        <v>0</v>
      </c>
      <c r="AH193" s="49">
        <f t="shared" si="27"/>
        <v>0</v>
      </c>
      <c r="AI193" s="49">
        <f t="shared" si="28"/>
        <v>0</v>
      </c>
    </row>
    <row r="194" spans="1:35">
      <c r="A194" s="1097" t="s">
        <v>428</v>
      </c>
      <c r="B194" s="1097"/>
      <c r="C194" s="1097"/>
      <c r="D194" s="3"/>
      <c r="E194" s="146" t="s">
        <v>429</v>
      </c>
      <c r="F194" s="3"/>
      <c r="H194" s="146" t="s">
        <v>430</v>
      </c>
      <c r="I194" s="3"/>
      <c r="J194" s="3"/>
      <c r="K194" s="146" t="s">
        <v>431</v>
      </c>
      <c r="N194" s="3"/>
      <c r="O194" s="3"/>
      <c r="P194" s="3"/>
      <c r="Q194" s="3"/>
      <c r="R194" s="3"/>
      <c r="Z194" s="49"/>
      <c r="AA194" s="49" t="s">
        <v>432</v>
      </c>
      <c r="AB194" s="49">
        <v>0</v>
      </c>
      <c r="AC194" s="49">
        <v>0</v>
      </c>
      <c r="AD194" s="49"/>
      <c r="AE194" s="49"/>
      <c r="AF194" s="49"/>
      <c r="AG194" s="49" t="str">
        <f t="shared" si="26"/>
        <v>TABLA 310-17</v>
      </c>
      <c r="AH194" s="49">
        <f t="shared" si="27"/>
        <v>0</v>
      </c>
      <c r="AI194" s="49">
        <f t="shared" si="28"/>
        <v>0</v>
      </c>
    </row>
    <row r="195" spans="1:35">
      <c r="A195" s="3" t="s">
        <v>378</v>
      </c>
      <c r="B195" s="3" t="s">
        <v>433</v>
      </c>
      <c r="C195" s="3" t="s">
        <v>409</v>
      </c>
      <c r="D195" s="3" t="s">
        <v>378</v>
      </c>
      <c r="E195" s="3" t="s">
        <v>433</v>
      </c>
      <c r="F195" s="3" t="s">
        <v>409</v>
      </c>
      <c r="G195" s="3" t="s">
        <v>378</v>
      </c>
      <c r="H195" s="3" t="s">
        <v>433</v>
      </c>
      <c r="I195" s="3" t="s">
        <v>409</v>
      </c>
      <c r="J195" s="3" t="s">
        <v>378</v>
      </c>
      <c r="K195" s="3" t="s">
        <v>433</v>
      </c>
      <c r="L195" s="3" t="s">
        <v>409</v>
      </c>
      <c r="M195" s="3"/>
      <c r="N195" s="3"/>
      <c r="O195" s="3"/>
      <c r="P195" s="3"/>
      <c r="Q195" s="3"/>
      <c r="R195" s="3"/>
      <c r="Z195" s="49"/>
      <c r="AA195" s="49" t="s">
        <v>378</v>
      </c>
      <c r="AB195" s="49" t="s">
        <v>433</v>
      </c>
      <c r="AC195" s="49" t="s">
        <v>409</v>
      </c>
      <c r="AD195" s="49"/>
      <c r="AE195" s="49"/>
      <c r="AF195" s="49"/>
      <c r="AG195" s="49" t="str">
        <f t="shared" si="26"/>
        <v>RANGO</v>
      </c>
      <c r="AH195" s="49" t="str">
        <f t="shared" si="27"/>
        <v>calibre</v>
      </c>
      <c r="AI195" s="49" t="str">
        <f t="shared" si="28"/>
        <v>CAPACIDAD</v>
      </c>
    </row>
    <row r="196" spans="1:35">
      <c r="Z196" s="49"/>
      <c r="AA196" s="49">
        <v>0</v>
      </c>
      <c r="AB196" s="49">
        <v>0</v>
      </c>
      <c r="AC196" s="49">
        <v>0</v>
      </c>
      <c r="AD196" s="49"/>
      <c r="AE196" s="49"/>
      <c r="AF196" s="49"/>
      <c r="AG196" s="49">
        <f t="shared" si="26"/>
        <v>0</v>
      </c>
      <c r="AH196" s="49">
        <f t="shared" si="27"/>
        <v>0</v>
      </c>
      <c r="AI196" s="49">
        <f t="shared" si="28"/>
        <v>0</v>
      </c>
    </row>
    <row r="197" spans="1:3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Z197" s="49"/>
      <c r="AA197" s="49">
        <v>0</v>
      </c>
      <c r="AB197" s="49">
        <v>0</v>
      </c>
      <c r="AC197" s="49">
        <v>0</v>
      </c>
      <c r="AD197" s="49"/>
      <c r="AE197" s="49"/>
      <c r="AF197" s="49"/>
      <c r="AG197" s="49">
        <f t="shared" si="26"/>
        <v>0</v>
      </c>
      <c r="AH197" s="49">
        <f t="shared" si="27"/>
        <v>0</v>
      </c>
      <c r="AI197" s="49">
        <f t="shared" si="28"/>
        <v>0</v>
      </c>
    </row>
    <row r="198" spans="1:35">
      <c r="A198" s="3">
        <v>0</v>
      </c>
      <c r="B198" s="3">
        <v>4</v>
      </c>
      <c r="C198" s="3">
        <v>100</v>
      </c>
      <c r="D198" s="3">
        <v>0</v>
      </c>
      <c r="E198" s="3">
        <v>4</v>
      </c>
      <c r="F198" s="3">
        <v>65</v>
      </c>
      <c r="G198" s="3">
        <v>0</v>
      </c>
      <c r="H198" s="3">
        <v>4</v>
      </c>
      <c r="I198" s="3">
        <v>60</v>
      </c>
      <c r="J198" s="3">
        <v>0</v>
      </c>
      <c r="K198" s="3">
        <v>4</v>
      </c>
      <c r="L198" s="3">
        <v>78</v>
      </c>
      <c r="Z198" s="49"/>
      <c r="AA198" s="49">
        <v>0</v>
      </c>
      <c r="AB198" s="49">
        <v>4</v>
      </c>
      <c r="AC198" s="49">
        <v>110</v>
      </c>
      <c r="AD198" s="49"/>
      <c r="AE198" s="49"/>
      <c r="AF198" s="49"/>
      <c r="AG198" s="49">
        <f t="shared" si="26"/>
        <v>0</v>
      </c>
      <c r="AH198" s="49">
        <f t="shared" si="27"/>
        <v>4</v>
      </c>
      <c r="AI198" s="49">
        <f t="shared" si="28"/>
        <v>110</v>
      </c>
    </row>
    <row r="199" spans="1:35">
      <c r="A199" s="3">
        <v>100.1</v>
      </c>
      <c r="B199" s="3">
        <v>2</v>
      </c>
      <c r="C199" s="3">
        <v>110</v>
      </c>
      <c r="D199" s="3">
        <v>65.099999999999994</v>
      </c>
      <c r="E199" s="3">
        <v>2</v>
      </c>
      <c r="F199" s="3">
        <v>71.5</v>
      </c>
      <c r="G199" s="3">
        <v>60.1</v>
      </c>
      <c r="H199" s="3">
        <v>2</v>
      </c>
      <c r="I199" s="3">
        <v>66</v>
      </c>
      <c r="J199" s="3">
        <v>66.06</v>
      </c>
      <c r="K199" s="3">
        <v>2</v>
      </c>
      <c r="L199" s="3">
        <v>106</v>
      </c>
      <c r="Z199" s="49"/>
      <c r="AA199" s="49">
        <v>110.1</v>
      </c>
      <c r="AB199" s="49">
        <v>2</v>
      </c>
      <c r="AC199" s="49">
        <v>150</v>
      </c>
      <c r="AD199" s="49"/>
      <c r="AE199" s="49"/>
      <c r="AF199" s="49"/>
      <c r="AG199" s="49">
        <f t="shared" si="26"/>
        <v>110.1</v>
      </c>
      <c r="AH199" s="49">
        <f t="shared" si="27"/>
        <v>2</v>
      </c>
      <c r="AI199" s="49">
        <f t="shared" si="28"/>
        <v>150</v>
      </c>
    </row>
    <row r="200" spans="1:35">
      <c r="A200" s="3">
        <v>110.1</v>
      </c>
      <c r="B200" s="3" t="s">
        <v>0</v>
      </c>
      <c r="C200" s="3">
        <v>180</v>
      </c>
      <c r="D200" s="3">
        <v>71.599999999999994</v>
      </c>
      <c r="E200" s="3" t="s">
        <v>0</v>
      </c>
      <c r="F200" s="3">
        <v>117</v>
      </c>
      <c r="G200" s="3">
        <v>66.099999999999994</v>
      </c>
      <c r="H200" s="3" t="s">
        <v>0</v>
      </c>
      <c r="I200" s="3">
        <v>108</v>
      </c>
      <c r="J200" s="3">
        <v>90.06</v>
      </c>
      <c r="K200" s="3" t="s">
        <v>0</v>
      </c>
      <c r="L200" s="3">
        <v>143</v>
      </c>
      <c r="Z200" s="49"/>
      <c r="AA200" s="49">
        <v>150.1</v>
      </c>
      <c r="AB200" s="49" t="s">
        <v>0</v>
      </c>
      <c r="AC200" s="49">
        <v>205</v>
      </c>
      <c r="AD200" s="49"/>
      <c r="AE200" s="49"/>
      <c r="AF200" s="49"/>
      <c r="AG200" s="49">
        <f t="shared" si="26"/>
        <v>150.1</v>
      </c>
      <c r="AH200" s="49" t="str">
        <f t="shared" si="27"/>
        <v>1/0</v>
      </c>
      <c r="AI200" s="49">
        <f t="shared" si="28"/>
        <v>205</v>
      </c>
    </row>
    <row r="201" spans="1:35">
      <c r="A201" s="3">
        <v>180.1</v>
      </c>
      <c r="B201" s="3" t="s">
        <v>1</v>
      </c>
      <c r="C201" s="3">
        <v>210</v>
      </c>
      <c r="D201" s="3">
        <v>117.1</v>
      </c>
      <c r="E201" s="3" t="s">
        <v>1</v>
      </c>
      <c r="F201" s="3">
        <v>136.5</v>
      </c>
      <c r="G201" s="3">
        <v>108.1</v>
      </c>
      <c r="H201" s="3" t="s">
        <v>1</v>
      </c>
      <c r="I201" s="3">
        <v>126</v>
      </c>
      <c r="J201" s="3">
        <v>123.06</v>
      </c>
      <c r="K201" s="3" t="s">
        <v>1</v>
      </c>
      <c r="L201" s="3">
        <v>165</v>
      </c>
      <c r="Z201" s="49"/>
      <c r="AA201" s="49">
        <v>205.1</v>
      </c>
      <c r="AB201" s="49" t="s">
        <v>1</v>
      </c>
      <c r="AC201" s="49">
        <v>235</v>
      </c>
      <c r="AD201" s="49"/>
      <c r="AE201" s="49"/>
      <c r="AF201" s="49"/>
      <c r="AG201" s="49">
        <f t="shared" si="26"/>
        <v>205.1</v>
      </c>
      <c r="AH201" s="49" t="str">
        <f t="shared" si="27"/>
        <v>2/0</v>
      </c>
      <c r="AI201" s="49">
        <f t="shared" si="28"/>
        <v>235</v>
      </c>
    </row>
    <row r="202" spans="1:35">
      <c r="A202" s="3">
        <v>210.1</v>
      </c>
      <c r="B202" s="3" t="s">
        <v>2</v>
      </c>
      <c r="C202" s="3">
        <v>240</v>
      </c>
      <c r="D202" s="3">
        <v>136.6</v>
      </c>
      <c r="E202" s="3" t="s">
        <v>2</v>
      </c>
      <c r="F202" s="3">
        <v>156</v>
      </c>
      <c r="G202" s="3">
        <v>126.1</v>
      </c>
      <c r="H202" s="3" t="s">
        <v>2</v>
      </c>
      <c r="I202" s="3">
        <v>144</v>
      </c>
      <c r="J202" s="3">
        <v>141.06</v>
      </c>
      <c r="K202" s="3" t="s">
        <v>2</v>
      </c>
      <c r="L202" s="3">
        <v>192</v>
      </c>
      <c r="Z202" s="49"/>
      <c r="AA202" s="49">
        <v>235.1</v>
      </c>
      <c r="AB202" s="49" t="s">
        <v>2</v>
      </c>
      <c r="AC202" s="49">
        <v>275</v>
      </c>
      <c r="AD202" s="49"/>
      <c r="AE202" s="49"/>
      <c r="AF202" s="49"/>
      <c r="AG202" s="49">
        <f t="shared" si="26"/>
        <v>235.1</v>
      </c>
      <c r="AH202" s="49" t="str">
        <f t="shared" si="27"/>
        <v>3/0</v>
      </c>
      <c r="AI202" s="49">
        <f t="shared" si="28"/>
        <v>275</v>
      </c>
    </row>
    <row r="203" spans="1:35">
      <c r="A203" s="3">
        <v>240.1</v>
      </c>
      <c r="B203" s="3" t="s">
        <v>3</v>
      </c>
      <c r="C203" s="3">
        <v>280</v>
      </c>
      <c r="D203" s="3">
        <v>156.1</v>
      </c>
      <c r="E203" s="3" t="s">
        <v>3</v>
      </c>
      <c r="F203" s="3">
        <v>182</v>
      </c>
      <c r="G203" s="3">
        <v>144.1</v>
      </c>
      <c r="H203" s="3" t="s">
        <v>3</v>
      </c>
      <c r="I203" s="3">
        <v>168</v>
      </c>
      <c r="J203" s="3">
        <v>165.06</v>
      </c>
      <c r="K203" s="3" t="s">
        <v>3</v>
      </c>
      <c r="L203" s="3">
        <v>224</v>
      </c>
      <c r="Z203" s="49"/>
      <c r="AA203" s="49">
        <v>275.10000000000002</v>
      </c>
      <c r="AB203" s="49" t="s">
        <v>3</v>
      </c>
      <c r="AC203" s="49">
        <v>315</v>
      </c>
      <c r="AD203" s="49"/>
      <c r="AE203" s="49"/>
      <c r="AF203" s="49"/>
      <c r="AG203" s="49">
        <f t="shared" ref="AG203:AG267" si="35">IF($AG$4="BUENO",AA203,0)</f>
        <v>275.10000000000002</v>
      </c>
      <c r="AH203" s="49" t="str">
        <f t="shared" ref="AH203:AH267" si="36">IF($AG$4="BUENO",AB203,0)</f>
        <v>4/0</v>
      </c>
      <c r="AI203" s="49">
        <f t="shared" ref="AI203:AI267" si="37">IF($AG$4="BUENO",AC203,0)</f>
        <v>315</v>
      </c>
    </row>
    <row r="204" spans="1:35">
      <c r="A204" s="3">
        <v>280.10000000000002</v>
      </c>
      <c r="B204" s="3">
        <v>250</v>
      </c>
      <c r="C204" s="3">
        <v>315</v>
      </c>
      <c r="D204" s="3">
        <v>182.1</v>
      </c>
      <c r="E204" s="3">
        <v>250</v>
      </c>
      <c r="F204" s="3">
        <v>204.75</v>
      </c>
      <c r="G204" s="3">
        <v>168.1</v>
      </c>
      <c r="H204" s="3">
        <v>250</v>
      </c>
      <c r="I204" s="3">
        <v>189</v>
      </c>
      <c r="J204" s="3">
        <v>189.06</v>
      </c>
      <c r="K204" s="3">
        <v>250</v>
      </c>
      <c r="L204" s="3">
        <v>251</v>
      </c>
      <c r="Z204" s="49"/>
      <c r="AA204" s="49">
        <v>315.10000000000002</v>
      </c>
      <c r="AB204" s="49">
        <v>250</v>
      </c>
      <c r="AC204" s="49">
        <v>355</v>
      </c>
      <c r="AD204" s="49"/>
      <c r="AE204" s="49"/>
      <c r="AF204" s="49"/>
      <c r="AG204" s="49">
        <f t="shared" si="35"/>
        <v>315.10000000000002</v>
      </c>
      <c r="AH204" s="49">
        <f t="shared" si="36"/>
        <v>250</v>
      </c>
      <c r="AI204" s="49">
        <f t="shared" si="37"/>
        <v>355</v>
      </c>
    </row>
    <row r="205" spans="1:35">
      <c r="A205" s="3">
        <v>315.10000000000002</v>
      </c>
      <c r="B205" s="3">
        <v>300</v>
      </c>
      <c r="C205" s="3">
        <v>350</v>
      </c>
      <c r="D205" s="3">
        <v>204.85</v>
      </c>
      <c r="E205" s="3">
        <v>300</v>
      </c>
      <c r="F205" s="3">
        <v>227.5</v>
      </c>
      <c r="G205" s="3">
        <v>189.1</v>
      </c>
      <c r="H205" s="3">
        <v>300</v>
      </c>
      <c r="I205" s="3">
        <v>210</v>
      </c>
      <c r="J205" s="3">
        <v>213.06</v>
      </c>
      <c r="K205" s="3">
        <v>300</v>
      </c>
      <c r="L205" s="3">
        <v>282</v>
      </c>
      <c r="Z205" s="49"/>
      <c r="AA205" s="49">
        <v>355.1</v>
      </c>
      <c r="AB205" s="49">
        <v>300</v>
      </c>
      <c r="AC205" s="49">
        <v>395</v>
      </c>
      <c r="AD205" s="49"/>
      <c r="AE205" s="49"/>
      <c r="AF205" s="49"/>
      <c r="AG205" s="49">
        <f t="shared" si="35"/>
        <v>355.1</v>
      </c>
      <c r="AH205" s="49">
        <f t="shared" si="36"/>
        <v>300</v>
      </c>
      <c r="AI205" s="49">
        <f t="shared" si="37"/>
        <v>395</v>
      </c>
    </row>
    <row r="206" spans="1:35">
      <c r="A206" s="3">
        <v>350.1</v>
      </c>
      <c r="B206" s="3">
        <v>350</v>
      </c>
      <c r="C206" s="3">
        <v>395</v>
      </c>
      <c r="D206" s="3">
        <v>227.6</v>
      </c>
      <c r="E206" s="3">
        <v>350</v>
      </c>
      <c r="F206" s="3">
        <v>256.75</v>
      </c>
      <c r="G206" s="3">
        <v>210.1</v>
      </c>
      <c r="H206" s="3">
        <v>350</v>
      </c>
      <c r="I206" s="3">
        <v>237</v>
      </c>
      <c r="J206" s="3">
        <v>237.06</v>
      </c>
      <c r="K206" s="3">
        <v>350</v>
      </c>
      <c r="L206" s="3">
        <v>312</v>
      </c>
      <c r="Z206" s="49"/>
      <c r="AA206" s="49">
        <v>395.1</v>
      </c>
      <c r="AB206" s="49">
        <v>350</v>
      </c>
      <c r="AC206" s="49">
        <v>445</v>
      </c>
      <c r="AD206" s="49"/>
      <c r="AE206" s="49"/>
      <c r="AF206" s="49"/>
      <c r="AG206" s="49">
        <f t="shared" si="35"/>
        <v>395.1</v>
      </c>
      <c r="AH206" s="49">
        <f t="shared" si="36"/>
        <v>350</v>
      </c>
      <c r="AI206" s="49">
        <f t="shared" si="37"/>
        <v>445</v>
      </c>
    </row>
    <row r="207" spans="1:35">
      <c r="A207" s="3">
        <v>395.1</v>
      </c>
      <c r="B207" s="3">
        <v>400</v>
      </c>
      <c r="C207" s="3">
        <v>425</v>
      </c>
      <c r="D207" s="3">
        <v>256.85000000000002</v>
      </c>
      <c r="E207" s="3">
        <v>400</v>
      </c>
      <c r="F207" s="3">
        <v>276.25</v>
      </c>
      <c r="G207" s="3">
        <v>237.1</v>
      </c>
      <c r="H207" s="3">
        <v>400</v>
      </c>
      <c r="I207" s="3">
        <v>255</v>
      </c>
      <c r="J207" s="3">
        <v>267.06</v>
      </c>
      <c r="K207" s="3">
        <v>400</v>
      </c>
      <c r="L207" s="3">
        <v>339</v>
      </c>
      <c r="Z207" s="49"/>
      <c r="AA207" s="49">
        <v>445.1</v>
      </c>
      <c r="AB207" s="49">
        <v>400</v>
      </c>
      <c r="AC207" s="49">
        <v>480</v>
      </c>
      <c r="AD207" s="49"/>
      <c r="AE207" s="49"/>
      <c r="AF207" s="49"/>
      <c r="AG207" s="49">
        <f t="shared" si="35"/>
        <v>445.1</v>
      </c>
      <c r="AH207" s="49">
        <f t="shared" si="36"/>
        <v>400</v>
      </c>
      <c r="AI207" s="49">
        <f t="shared" si="37"/>
        <v>480</v>
      </c>
    </row>
    <row r="208" spans="1:35">
      <c r="A208" s="3">
        <v>425.1</v>
      </c>
      <c r="B208" s="3">
        <v>500</v>
      </c>
      <c r="C208" s="3">
        <v>485</v>
      </c>
      <c r="D208" s="3">
        <v>276.35000000000002</v>
      </c>
      <c r="E208" s="3">
        <v>500</v>
      </c>
      <c r="F208" s="3">
        <v>315.25</v>
      </c>
      <c r="G208" s="3">
        <v>255.1</v>
      </c>
      <c r="H208" s="3">
        <v>500</v>
      </c>
      <c r="I208" s="3">
        <v>291</v>
      </c>
      <c r="J208" s="3">
        <v>288.06</v>
      </c>
      <c r="K208" s="3">
        <v>500</v>
      </c>
      <c r="L208" s="3">
        <v>392</v>
      </c>
      <c r="Z208" s="49"/>
      <c r="AA208" s="49">
        <v>480.1</v>
      </c>
      <c r="AB208" s="49">
        <v>500</v>
      </c>
      <c r="AC208" s="49">
        <v>545</v>
      </c>
      <c r="AD208" s="49"/>
      <c r="AE208" s="49"/>
      <c r="AF208" s="49"/>
      <c r="AG208" s="49">
        <f t="shared" si="35"/>
        <v>480.1</v>
      </c>
      <c r="AH208" s="49">
        <f t="shared" si="36"/>
        <v>500</v>
      </c>
      <c r="AI208" s="49">
        <f t="shared" si="37"/>
        <v>545</v>
      </c>
    </row>
    <row r="209" spans="1:35">
      <c r="A209" s="3">
        <v>485.1</v>
      </c>
      <c r="B209" s="3">
        <v>600</v>
      </c>
      <c r="C209" s="3">
        <v>545</v>
      </c>
      <c r="D209" s="3">
        <v>315.35000000000002</v>
      </c>
      <c r="E209" s="3">
        <v>600</v>
      </c>
      <c r="F209" s="3">
        <v>354.25</v>
      </c>
      <c r="G209" s="3">
        <v>291.10000000000002</v>
      </c>
      <c r="H209" s="3">
        <v>600</v>
      </c>
      <c r="I209" s="3">
        <v>327</v>
      </c>
      <c r="J209" s="3">
        <v>327.06</v>
      </c>
      <c r="K209" s="3">
        <v>600</v>
      </c>
      <c r="L209" s="3">
        <v>440</v>
      </c>
      <c r="Z209" s="49"/>
      <c r="AA209" s="49"/>
      <c r="AB209" s="49"/>
      <c r="AC209" s="49"/>
      <c r="AD209" s="49"/>
      <c r="AE209" s="49"/>
      <c r="AF209" s="49"/>
      <c r="AG209" s="49"/>
      <c r="AH209" s="49"/>
      <c r="AI209" s="49"/>
    </row>
    <row r="210" spans="1:35">
      <c r="A210" s="3">
        <v>545.1</v>
      </c>
      <c r="B210" s="3">
        <v>750</v>
      </c>
      <c r="C210" s="3">
        <v>620</v>
      </c>
      <c r="D210" s="3">
        <v>354.35</v>
      </c>
      <c r="E210" s="3">
        <v>750</v>
      </c>
      <c r="F210" s="3">
        <v>403</v>
      </c>
      <c r="G210" s="3">
        <v>327.10000000000002</v>
      </c>
      <c r="H210" s="3">
        <v>750</v>
      </c>
      <c r="I210" s="3">
        <v>372</v>
      </c>
      <c r="J210" s="3">
        <v>440.06</v>
      </c>
      <c r="K210" s="3">
        <v>750</v>
      </c>
      <c r="L210" s="3">
        <v>512</v>
      </c>
      <c r="Z210" s="49"/>
      <c r="AA210" s="49">
        <v>545.1</v>
      </c>
      <c r="AB210" s="49">
        <v>750</v>
      </c>
      <c r="AC210" s="49">
        <v>700</v>
      </c>
      <c r="AD210" s="49"/>
      <c r="AE210" s="49"/>
      <c r="AF210" s="49"/>
      <c r="AG210" s="49">
        <f t="shared" si="35"/>
        <v>545.1</v>
      </c>
      <c r="AH210" s="49">
        <f t="shared" si="36"/>
        <v>750</v>
      </c>
      <c r="AI210" s="49">
        <f t="shared" si="37"/>
        <v>700</v>
      </c>
    </row>
    <row r="211" spans="1:35">
      <c r="A211" s="3">
        <v>620.1</v>
      </c>
      <c r="B211" s="3" t="s">
        <v>410</v>
      </c>
      <c r="C211" s="3">
        <v>630</v>
      </c>
      <c r="D211" s="3">
        <v>403.1</v>
      </c>
      <c r="E211" s="3" t="s">
        <v>410</v>
      </c>
      <c r="F211" s="3">
        <v>409.5</v>
      </c>
      <c r="G211" s="3">
        <v>372.1</v>
      </c>
      <c r="H211" s="3" t="s">
        <v>410</v>
      </c>
      <c r="I211" s="3">
        <v>378</v>
      </c>
      <c r="J211" s="3">
        <v>420.06</v>
      </c>
      <c r="K211" s="3" t="s">
        <v>410</v>
      </c>
      <c r="L211" s="3">
        <v>502</v>
      </c>
      <c r="Z211" s="49"/>
      <c r="AA211" s="49">
        <v>700.1</v>
      </c>
      <c r="AB211" s="49" t="s">
        <v>410</v>
      </c>
      <c r="AC211" s="49">
        <v>710</v>
      </c>
      <c r="AD211" s="49"/>
      <c r="AE211" s="49"/>
      <c r="AF211" s="49"/>
      <c r="AG211" s="49">
        <f t="shared" si="35"/>
        <v>700.1</v>
      </c>
      <c r="AH211" s="49" t="str">
        <f t="shared" si="36"/>
        <v>2X250</v>
      </c>
      <c r="AI211" s="49">
        <f t="shared" si="37"/>
        <v>710</v>
      </c>
    </row>
    <row r="212" spans="1:35">
      <c r="A212" s="3">
        <v>630.1</v>
      </c>
      <c r="B212" s="3" t="s">
        <v>411</v>
      </c>
      <c r="C212" s="3">
        <v>700</v>
      </c>
      <c r="D212" s="3">
        <v>409.6</v>
      </c>
      <c r="E212" s="3" t="s">
        <v>411</v>
      </c>
      <c r="F212" s="3">
        <v>455</v>
      </c>
      <c r="G212" s="3">
        <v>378.1</v>
      </c>
      <c r="H212" s="3" t="s">
        <v>411</v>
      </c>
      <c r="I212" s="3">
        <v>420</v>
      </c>
      <c r="J212" s="3">
        <v>426.06</v>
      </c>
      <c r="K212" s="3" t="s">
        <v>411</v>
      </c>
      <c r="L212" s="3">
        <v>564</v>
      </c>
      <c r="Z212" s="49"/>
      <c r="AA212" s="49">
        <v>710.1</v>
      </c>
      <c r="AB212" s="49" t="s">
        <v>411</v>
      </c>
      <c r="AC212" s="49">
        <v>790</v>
      </c>
      <c r="AD212" s="49"/>
      <c r="AE212" s="49"/>
      <c r="AF212" s="49"/>
      <c r="AG212" s="49">
        <f t="shared" si="35"/>
        <v>710.1</v>
      </c>
      <c r="AH212" s="49" t="str">
        <f t="shared" si="36"/>
        <v>2X300</v>
      </c>
      <c r="AI212" s="49">
        <f t="shared" si="37"/>
        <v>790</v>
      </c>
    </row>
    <row r="213" spans="1:35">
      <c r="A213" s="3">
        <v>700.1</v>
      </c>
      <c r="B213" s="3" t="s">
        <v>412</v>
      </c>
      <c r="C213" s="3">
        <v>790</v>
      </c>
      <c r="D213" s="3">
        <v>455.1</v>
      </c>
      <c r="E213" s="3" t="s">
        <v>412</v>
      </c>
      <c r="F213" s="3">
        <v>513.5</v>
      </c>
      <c r="G213" s="3">
        <v>420.1</v>
      </c>
      <c r="H213" s="3" t="s">
        <v>412</v>
      </c>
      <c r="I213" s="3">
        <v>474</v>
      </c>
      <c r="J213" s="3">
        <v>474.06</v>
      </c>
      <c r="K213" s="3" t="s">
        <v>412</v>
      </c>
      <c r="L213" s="3">
        <v>624</v>
      </c>
      <c r="Z213" s="49"/>
      <c r="AA213" s="49">
        <v>790.1</v>
      </c>
      <c r="AB213" s="49" t="s">
        <v>412</v>
      </c>
      <c r="AC213" s="49">
        <v>890</v>
      </c>
      <c r="AD213" s="49"/>
      <c r="AE213" s="49"/>
      <c r="AF213" s="49"/>
      <c r="AG213" s="49">
        <f t="shared" si="35"/>
        <v>790.1</v>
      </c>
      <c r="AH213" s="49" t="str">
        <f t="shared" si="36"/>
        <v>2X350</v>
      </c>
      <c r="AI213" s="49">
        <f t="shared" si="37"/>
        <v>890</v>
      </c>
    </row>
    <row r="214" spans="1:35">
      <c r="A214" s="3">
        <v>790.1</v>
      </c>
      <c r="B214" s="3" t="s">
        <v>413</v>
      </c>
      <c r="C214" s="3">
        <v>850</v>
      </c>
      <c r="D214" s="3">
        <v>513.6</v>
      </c>
      <c r="E214" s="3" t="s">
        <v>413</v>
      </c>
      <c r="F214" s="3">
        <v>552.5</v>
      </c>
      <c r="G214" s="3">
        <v>474.1</v>
      </c>
      <c r="H214" s="3" t="s">
        <v>413</v>
      </c>
      <c r="I214" s="3">
        <v>510</v>
      </c>
      <c r="J214" s="3">
        <v>534.05999999999995</v>
      </c>
      <c r="K214" s="3" t="s">
        <v>413</v>
      </c>
      <c r="L214" s="3">
        <v>784</v>
      </c>
      <c r="Z214" s="49"/>
      <c r="AA214" s="49">
        <v>890.1</v>
      </c>
      <c r="AB214" s="49" t="s">
        <v>413</v>
      </c>
      <c r="AC214" s="49">
        <v>1090</v>
      </c>
      <c r="AD214" s="49"/>
      <c r="AE214" s="49"/>
      <c r="AF214" s="49"/>
      <c r="AG214" s="49">
        <f t="shared" si="35"/>
        <v>890.1</v>
      </c>
      <c r="AH214" s="49" t="str">
        <f t="shared" si="36"/>
        <v>2X500</v>
      </c>
      <c r="AI214" s="49">
        <f t="shared" si="37"/>
        <v>1090</v>
      </c>
    </row>
    <row r="215" spans="1:35">
      <c r="A215" s="3">
        <v>850.1</v>
      </c>
      <c r="B215" s="3" t="s">
        <v>414</v>
      </c>
      <c r="C215" s="3">
        <v>970</v>
      </c>
      <c r="D215" s="3">
        <v>552.6</v>
      </c>
      <c r="E215" s="3" t="s">
        <v>414</v>
      </c>
      <c r="F215" s="3">
        <v>630.5</v>
      </c>
      <c r="G215" s="3">
        <v>510.1</v>
      </c>
      <c r="H215" s="3" t="s">
        <v>414</v>
      </c>
      <c r="I215" s="3">
        <v>582</v>
      </c>
      <c r="J215" s="3">
        <v>654.05999999999995</v>
      </c>
      <c r="K215" s="3" t="s">
        <v>414</v>
      </c>
      <c r="L215" s="3">
        <v>1024</v>
      </c>
      <c r="Z215" s="49"/>
      <c r="AA215" s="49">
        <v>1090.0999999999999</v>
      </c>
      <c r="AB215" s="49" t="s">
        <v>414</v>
      </c>
      <c r="AC215" s="49">
        <v>1400</v>
      </c>
      <c r="AD215" s="49"/>
      <c r="AE215" s="49"/>
      <c r="AF215" s="49"/>
      <c r="AG215" s="49">
        <f t="shared" si="35"/>
        <v>1090.0999999999999</v>
      </c>
      <c r="AH215" s="49" t="str">
        <f t="shared" si="36"/>
        <v>2X750</v>
      </c>
      <c r="AI215" s="49">
        <f t="shared" si="37"/>
        <v>1400</v>
      </c>
    </row>
    <row r="216" spans="1:35">
      <c r="A216" s="3">
        <v>970.1</v>
      </c>
      <c r="B216" s="3" t="s">
        <v>415</v>
      </c>
      <c r="C216" s="3">
        <v>1455</v>
      </c>
      <c r="D216" s="3">
        <v>630.6</v>
      </c>
      <c r="E216" s="3" t="s">
        <v>415</v>
      </c>
      <c r="F216" s="3">
        <v>945.75</v>
      </c>
      <c r="G216" s="3">
        <v>582.1</v>
      </c>
      <c r="H216" s="3" t="s">
        <v>415</v>
      </c>
      <c r="I216" s="3">
        <v>873</v>
      </c>
      <c r="J216" s="3">
        <v>840.06</v>
      </c>
      <c r="K216" s="3" t="s">
        <v>415</v>
      </c>
      <c r="L216" s="3">
        <v>1176</v>
      </c>
      <c r="Z216" s="49"/>
      <c r="AA216" s="49">
        <v>1400.1</v>
      </c>
      <c r="AB216" s="49" t="s">
        <v>415</v>
      </c>
      <c r="AC216" s="49">
        <v>1635</v>
      </c>
      <c r="AD216" s="49"/>
      <c r="AE216" s="49"/>
      <c r="AF216" s="49"/>
      <c r="AG216" s="49">
        <f t="shared" si="35"/>
        <v>1400.1</v>
      </c>
      <c r="AH216" s="49" t="str">
        <f t="shared" si="36"/>
        <v>3X500</v>
      </c>
      <c r="AI216" s="49">
        <f t="shared" si="37"/>
        <v>1635</v>
      </c>
    </row>
    <row r="217" spans="1:35">
      <c r="A217" s="3">
        <v>1455.1</v>
      </c>
      <c r="B217" s="3" t="s">
        <v>416</v>
      </c>
      <c r="C217" s="3">
        <v>1940</v>
      </c>
      <c r="D217" s="3">
        <v>945.85</v>
      </c>
      <c r="E217" s="3" t="s">
        <v>416</v>
      </c>
      <c r="F217" s="3">
        <v>1261</v>
      </c>
      <c r="G217" s="3">
        <v>873.1</v>
      </c>
      <c r="H217" s="3" t="s">
        <v>416</v>
      </c>
      <c r="I217" s="3">
        <v>1164</v>
      </c>
      <c r="J217" s="3">
        <v>981.06</v>
      </c>
      <c r="K217" s="3" t="s">
        <v>416</v>
      </c>
      <c r="L217" s="3">
        <v>1568</v>
      </c>
      <c r="Z217" s="49"/>
      <c r="AA217" s="49">
        <v>1635.1</v>
      </c>
      <c r="AB217" s="49" t="s">
        <v>416</v>
      </c>
      <c r="AC217" s="49">
        <v>2180</v>
      </c>
      <c r="AD217" s="49"/>
      <c r="AE217" s="49"/>
      <c r="AF217" s="49"/>
      <c r="AG217" s="49">
        <f t="shared" si="35"/>
        <v>1635.1</v>
      </c>
      <c r="AH217" s="49" t="str">
        <f t="shared" si="36"/>
        <v>4X500</v>
      </c>
      <c r="AI217" s="49">
        <f t="shared" si="37"/>
        <v>2180</v>
      </c>
    </row>
    <row r="218" spans="1:35">
      <c r="A218" s="3">
        <v>1940.1</v>
      </c>
      <c r="B218" s="3" t="s">
        <v>417</v>
      </c>
      <c r="C218" s="3">
        <v>2425</v>
      </c>
      <c r="D218" s="3">
        <v>1261.0999999999999</v>
      </c>
      <c r="E218" s="3" t="s">
        <v>417</v>
      </c>
      <c r="F218" s="3">
        <v>1576.25</v>
      </c>
      <c r="G218" s="3">
        <v>1164.0999999999999</v>
      </c>
      <c r="H218" s="3" t="s">
        <v>417</v>
      </c>
      <c r="I218" s="3">
        <v>1455</v>
      </c>
      <c r="J218" s="3">
        <v>1308.06</v>
      </c>
      <c r="K218" s="3" t="s">
        <v>417</v>
      </c>
      <c r="L218" s="3">
        <v>1960</v>
      </c>
      <c r="Z218" s="49"/>
      <c r="AA218" s="49">
        <v>2180.1</v>
      </c>
      <c r="AB218" s="49" t="s">
        <v>417</v>
      </c>
      <c r="AC218" s="49">
        <v>2725</v>
      </c>
      <c r="AD218" s="49"/>
      <c r="AE218" s="49"/>
      <c r="AF218" s="49"/>
      <c r="AG218" s="49">
        <f t="shared" si="35"/>
        <v>2180.1</v>
      </c>
      <c r="AH218" s="49" t="str">
        <f t="shared" si="36"/>
        <v>5X500</v>
      </c>
      <c r="AI218" s="49">
        <f t="shared" si="37"/>
        <v>2725</v>
      </c>
    </row>
    <row r="219" spans="1:35">
      <c r="A219" s="3">
        <v>2425.1</v>
      </c>
      <c r="B219" s="3" t="s">
        <v>418</v>
      </c>
      <c r="C219" s="3">
        <v>3100</v>
      </c>
      <c r="D219" s="3">
        <v>1576.35</v>
      </c>
      <c r="E219" s="3" t="s">
        <v>418</v>
      </c>
      <c r="F219" s="3">
        <v>2015</v>
      </c>
      <c r="G219" s="3">
        <v>1455.1</v>
      </c>
      <c r="H219" s="3" t="s">
        <v>418</v>
      </c>
      <c r="I219" s="3">
        <v>1860</v>
      </c>
      <c r="J219" s="3">
        <v>1635.06</v>
      </c>
      <c r="K219" s="3" t="s">
        <v>418</v>
      </c>
      <c r="L219" s="3">
        <v>2560</v>
      </c>
      <c r="Z219" s="49"/>
      <c r="AA219" s="49">
        <v>2725.1</v>
      </c>
      <c r="AB219" s="49" t="s">
        <v>418</v>
      </c>
      <c r="AC219" s="49">
        <v>3500</v>
      </c>
      <c r="AD219" s="49"/>
      <c r="AE219" s="49"/>
      <c r="AF219" s="49"/>
      <c r="AG219" s="49">
        <f t="shared" si="35"/>
        <v>2725.1</v>
      </c>
      <c r="AH219" s="49" t="str">
        <f t="shared" si="36"/>
        <v>5X750</v>
      </c>
      <c r="AI219" s="49">
        <f t="shared" si="37"/>
        <v>3500</v>
      </c>
    </row>
    <row r="220" spans="1:35">
      <c r="A220" s="3">
        <v>3100.1</v>
      </c>
      <c r="B220" s="3" t="s">
        <v>419</v>
      </c>
      <c r="C220" s="3">
        <v>3720</v>
      </c>
      <c r="D220" s="3">
        <v>2015.1</v>
      </c>
      <c r="E220" s="3" t="s">
        <v>419</v>
      </c>
      <c r="F220" s="3">
        <v>2418</v>
      </c>
      <c r="G220" s="3">
        <v>1860.1</v>
      </c>
      <c r="H220" s="3" t="s">
        <v>419</v>
      </c>
      <c r="I220" s="3">
        <v>2232</v>
      </c>
      <c r="J220" s="3">
        <v>2100.06</v>
      </c>
      <c r="K220" s="3" t="s">
        <v>419</v>
      </c>
      <c r="L220" s="3">
        <v>3072</v>
      </c>
      <c r="Z220" s="49"/>
      <c r="AA220" s="49">
        <v>3500.1</v>
      </c>
      <c r="AB220" s="49" t="s">
        <v>419</v>
      </c>
      <c r="AC220" s="49">
        <v>4200</v>
      </c>
      <c r="AD220" s="49"/>
      <c r="AE220" s="49"/>
      <c r="AF220" s="49"/>
      <c r="AG220" s="49">
        <f t="shared" si="35"/>
        <v>3500.1</v>
      </c>
      <c r="AH220" s="49" t="str">
        <f t="shared" si="36"/>
        <v>6X750</v>
      </c>
      <c r="AI220" s="49">
        <f t="shared" si="37"/>
        <v>4200</v>
      </c>
    </row>
    <row r="221" spans="1:35">
      <c r="A221" s="3">
        <v>3720.1</v>
      </c>
      <c r="B221" s="3" t="s">
        <v>420</v>
      </c>
      <c r="C221" s="3">
        <v>4340</v>
      </c>
      <c r="D221" s="3">
        <v>2418.1</v>
      </c>
      <c r="E221" s="3" t="s">
        <v>420</v>
      </c>
      <c r="F221" s="3">
        <v>2821</v>
      </c>
      <c r="G221" s="3">
        <v>2232.1</v>
      </c>
      <c r="H221" s="3" t="s">
        <v>420</v>
      </c>
      <c r="I221" s="3">
        <v>2604</v>
      </c>
      <c r="J221" s="3">
        <v>2520.06</v>
      </c>
      <c r="K221" s="3" t="s">
        <v>420</v>
      </c>
      <c r="L221" s="3">
        <v>3584</v>
      </c>
      <c r="Z221" s="49"/>
      <c r="AA221" s="49">
        <v>4200.1000000000004</v>
      </c>
      <c r="AB221" s="49" t="s">
        <v>420</v>
      </c>
      <c r="AC221" s="49">
        <v>4900</v>
      </c>
      <c r="AD221" s="49"/>
      <c r="AE221" s="49"/>
      <c r="AF221" s="49"/>
      <c r="AG221" s="49">
        <f t="shared" si="35"/>
        <v>4200.1000000000004</v>
      </c>
      <c r="AH221" s="49" t="str">
        <f t="shared" si="36"/>
        <v>7X750</v>
      </c>
      <c r="AI221" s="49">
        <f t="shared" si="37"/>
        <v>4900</v>
      </c>
    </row>
    <row r="222" spans="1:35">
      <c r="Z222" s="49"/>
      <c r="AA222" s="49">
        <v>0</v>
      </c>
      <c r="AB222" s="49">
        <v>0</v>
      </c>
      <c r="AC222" s="49">
        <v>0</v>
      </c>
      <c r="AD222" s="49"/>
      <c r="AE222" s="49"/>
      <c r="AF222" s="49"/>
      <c r="AG222" s="49">
        <f t="shared" si="35"/>
        <v>0</v>
      </c>
      <c r="AH222" s="49">
        <f t="shared" si="36"/>
        <v>0</v>
      </c>
      <c r="AI222" s="49">
        <f t="shared" si="37"/>
        <v>0</v>
      </c>
    </row>
    <row r="223" spans="1:35">
      <c r="Z223" s="49"/>
      <c r="AA223" s="49">
        <v>0</v>
      </c>
      <c r="AB223" s="49">
        <v>0</v>
      </c>
      <c r="AC223" s="49">
        <v>0</v>
      </c>
      <c r="AD223" s="49"/>
      <c r="AE223" s="49"/>
      <c r="AF223" s="49"/>
      <c r="AG223" s="49">
        <f t="shared" si="35"/>
        <v>0</v>
      </c>
      <c r="AH223" s="49">
        <f t="shared" si="36"/>
        <v>0</v>
      </c>
      <c r="AI223" s="49">
        <f t="shared" si="37"/>
        <v>0</v>
      </c>
    </row>
    <row r="224" spans="1:35">
      <c r="Z224" s="49"/>
      <c r="AA224" s="49">
        <v>0</v>
      </c>
      <c r="AB224" s="49">
        <v>0</v>
      </c>
      <c r="AC224" s="49">
        <v>0</v>
      </c>
      <c r="AD224" s="49"/>
      <c r="AE224" s="49"/>
      <c r="AF224" s="49"/>
      <c r="AG224" s="49">
        <f t="shared" si="35"/>
        <v>0</v>
      </c>
      <c r="AH224" s="49">
        <f t="shared" si="36"/>
        <v>0</v>
      </c>
      <c r="AI224" s="49">
        <f t="shared" si="37"/>
        <v>0</v>
      </c>
    </row>
    <row r="225" spans="1:35">
      <c r="Z225" s="49"/>
      <c r="AA225" s="49">
        <v>0</v>
      </c>
      <c r="AB225" s="49">
        <v>0</v>
      </c>
      <c r="AC225" s="49">
        <v>0</v>
      </c>
      <c r="AD225" s="49"/>
      <c r="AE225" s="49"/>
      <c r="AF225" s="49"/>
      <c r="AG225" s="49">
        <f t="shared" si="35"/>
        <v>0</v>
      </c>
      <c r="AH225" s="49">
        <f t="shared" si="36"/>
        <v>0</v>
      </c>
      <c r="AI225" s="49">
        <f t="shared" si="37"/>
        <v>0</v>
      </c>
    </row>
    <row r="226" spans="1:35">
      <c r="A226" s="184" t="s">
        <v>435</v>
      </c>
      <c r="B226" s="184"/>
      <c r="C226" s="184"/>
      <c r="D226" s="184"/>
      <c r="E226" s="184"/>
      <c r="F226" s="184"/>
      <c r="G226" s="184"/>
      <c r="H226" s="184"/>
      <c r="I226" s="184"/>
      <c r="Z226" s="49"/>
      <c r="AA226" s="49" t="s">
        <v>435</v>
      </c>
      <c r="AB226" s="49">
        <v>0</v>
      </c>
      <c r="AC226" s="49">
        <v>0</v>
      </c>
      <c r="AD226" s="49"/>
      <c r="AE226" s="49"/>
      <c r="AF226" s="49"/>
      <c r="AG226" s="49" t="str">
        <f t="shared" si="35"/>
        <v>VALORES DE RESISTENCIA Y REACTANCIA EN OHM/Km PARA CONDUCTORES DE COBRE</v>
      </c>
      <c r="AH226" s="49">
        <f t="shared" si="36"/>
        <v>0</v>
      </c>
      <c r="AI226" s="49">
        <f t="shared" si="37"/>
        <v>0</v>
      </c>
    </row>
    <row r="227" spans="1:35">
      <c r="A227" s="185" t="s">
        <v>433</v>
      </c>
      <c r="B227" s="185" t="s">
        <v>436</v>
      </c>
      <c r="C227" s="185" t="s">
        <v>17</v>
      </c>
      <c r="D227" s="185" t="s">
        <v>437</v>
      </c>
      <c r="E227" s="185" t="s">
        <v>438</v>
      </c>
      <c r="F227" s="185" t="s">
        <v>439</v>
      </c>
      <c r="G227" s="184" t="s">
        <v>440</v>
      </c>
      <c r="H227" s="184" t="s">
        <v>1512</v>
      </c>
      <c r="I227" s="186">
        <v>46388</v>
      </c>
      <c r="P227" s="49" t="s">
        <v>436</v>
      </c>
      <c r="Q227" s="49" t="s">
        <v>17</v>
      </c>
      <c r="Z227" s="49"/>
      <c r="AA227" s="49" t="s">
        <v>433</v>
      </c>
      <c r="AB227" s="49" t="s">
        <v>436</v>
      </c>
      <c r="AC227" s="49" t="s">
        <v>17</v>
      </c>
      <c r="AD227" s="49"/>
      <c r="AE227" s="49"/>
      <c r="AF227" s="49"/>
      <c r="AG227" s="49" t="str">
        <f t="shared" si="35"/>
        <v>calibre</v>
      </c>
      <c r="AH227" s="49" t="str">
        <f t="shared" si="36"/>
        <v>R</v>
      </c>
      <c r="AI227" s="49" t="str">
        <f t="shared" si="37"/>
        <v>X</v>
      </c>
    </row>
    <row r="228" spans="1:35">
      <c r="Z228" s="49"/>
      <c r="AA228" s="49">
        <v>0</v>
      </c>
      <c r="AB228" s="49">
        <v>0</v>
      </c>
      <c r="AC228" s="49">
        <v>0</v>
      </c>
      <c r="AD228" s="49"/>
      <c r="AE228" s="49"/>
      <c r="AF228" s="49"/>
      <c r="AG228" s="49">
        <f t="shared" si="35"/>
        <v>0</v>
      </c>
      <c r="AH228" s="49">
        <f t="shared" si="36"/>
        <v>0</v>
      </c>
      <c r="AI228" s="49">
        <f t="shared" si="37"/>
        <v>0</v>
      </c>
    </row>
    <row r="229" spans="1:35">
      <c r="A229" s="1">
        <f t="shared" ref="A229:A259" si="38">AG229</f>
        <v>2</v>
      </c>
      <c r="B229" s="1">
        <v>0.66</v>
      </c>
      <c r="C229" s="108">
        <v>0.187</v>
      </c>
      <c r="D229" s="4">
        <v>33.619999999999997</v>
      </c>
      <c r="E229" s="4">
        <v>10.5</v>
      </c>
      <c r="F229" s="4">
        <v>95</v>
      </c>
      <c r="G229" s="4">
        <v>95</v>
      </c>
      <c r="H229" s="1">
        <v>115</v>
      </c>
      <c r="I229" s="1">
        <v>1.873942857142857E-2</v>
      </c>
      <c r="J229" s="3" t="s">
        <v>420</v>
      </c>
      <c r="K229" s="1">
        <f>IF(DATOS!$F$26=60,' '!G229,' '!H229)</f>
        <v>95</v>
      </c>
      <c r="L229" s="1">
        <v>9.2589200000000016</v>
      </c>
      <c r="M229" s="3">
        <v>14</v>
      </c>
      <c r="O229" s="129">
        <v>2</v>
      </c>
      <c r="P229" s="1">
        <v>0.66</v>
      </c>
      <c r="Q229" s="108">
        <v>0.187</v>
      </c>
      <c r="Z229" s="49"/>
      <c r="AA229" s="49">
        <v>2</v>
      </c>
      <c r="AB229" s="49">
        <v>0.65610000000000002</v>
      </c>
      <c r="AC229" s="49">
        <v>0.187</v>
      </c>
      <c r="AD229" s="49"/>
      <c r="AE229" s="49"/>
      <c r="AF229" s="49"/>
      <c r="AG229" s="49">
        <f t="shared" si="35"/>
        <v>2</v>
      </c>
      <c r="AH229" s="49">
        <f t="shared" si="36"/>
        <v>0.65610000000000002</v>
      </c>
      <c r="AI229" s="49">
        <f t="shared" si="37"/>
        <v>0.187</v>
      </c>
    </row>
    <row r="230" spans="1:35">
      <c r="A230" s="1">
        <f t="shared" si="38"/>
        <v>4</v>
      </c>
      <c r="B230" s="1">
        <v>1.02</v>
      </c>
      <c r="C230" s="108">
        <v>0.19700000000000001</v>
      </c>
      <c r="D230" s="4">
        <v>21.15</v>
      </c>
      <c r="E230" s="4">
        <v>9</v>
      </c>
      <c r="F230" s="4">
        <v>70</v>
      </c>
      <c r="G230" s="4">
        <v>70</v>
      </c>
      <c r="H230" s="1">
        <v>85</v>
      </c>
      <c r="I230" s="1">
        <v>2.1862666666666669E-2</v>
      </c>
      <c r="J230" s="3" t="s">
        <v>419</v>
      </c>
      <c r="K230" s="1">
        <f>IF(DATOS!$F$26=60,' '!G230,' '!H230)</f>
        <v>70</v>
      </c>
      <c r="L230" s="1">
        <v>6.0035600000000002</v>
      </c>
      <c r="M230" s="3">
        <v>12</v>
      </c>
      <c r="O230" s="129">
        <v>4</v>
      </c>
      <c r="P230" s="1">
        <v>1.02</v>
      </c>
      <c r="Q230" s="108">
        <v>0.19700000000000001</v>
      </c>
      <c r="Z230" s="49"/>
      <c r="AA230" s="49">
        <v>4</v>
      </c>
      <c r="AB230" s="49">
        <v>1.0169999999999999</v>
      </c>
      <c r="AC230" s="49">
        <v>0.1968</v>
      </c>
      <c r="AD230" s="49"/>
      <c r="AE230" s="49"/>
      <c r="AF230" s="49"/>
      <c r="AG230" s="49">
        <f t="shared" si="35"/>
        <v>4</v>
      </c>
      <c r="AH230" s="49">
        <f t="shared" si="36"/>
        <v>1.0169999999999999</v>
      </c>
      <c r="AI230" s="49">
        <f t="shared" si="37"/>
        <v>0.1968</v>
      </c>
    </row>
    <row r="231" spans="1:35">
      <c r="A231" s="1">
        <f t="shared" si="38"/>
        <v>6</v>
      </c>
      <c r="B231" s="1">
        <v>1.61</v>
      </c>
      <c r="C231" s="108">
        <v>0.21</v>
      </c>
      <c r="D231" s="4">
        <v>13.3</v>
      </c>
      <c r="E231" s="4">
        <v>7.8</v>
      </c>
      <c r="F231" s="4">
        <v>55</v>
      </c>
      <c r="G231" s="4">
        <v>55</v>
      </c>
      <c r="H231" s="1">
        <v>65</v>
      </c>
      <c r="I231" s="1">
        <v>2.62352E-2</v>
      </c>
      <c r="J231" s="3" t="s">
        <v>418</v>
      </c>
      <c r="K231" s="1">
        <f>IF(DATOS!$F$26=60,' '!G231,' '!H231)</f>
        <v>55</v>
      </c>
      <c r="L231" s="1">
        <v>3.634204</v>
      </c>
      <c r="M231" s="3">
        <v>10</v>
      </c>
      <c r="O231" s="129">
        <v>6</v>
      </c>
      <c r="P231" s="1">
        <v>1.61</v>
      </c>
      <c r="Q231" s="108">
        <v>0.21</v>
      </c>
      <c r="Z231" s="49"/>
      <c r="AA231" s="49">
        <v>6</v>
      </c>
      <c r="AB231" s="49">
        <v>1.6075999999999999</v>
      </c>
      <c r="AC231" s="49">
        <v>0.2099</v>
      </c>
      <c r="AD231" s="49"/>
      <c r="AE231" s="49"/>
      <c r="AF231" s="49"/>
      <c r="AG231" s="49">
        <f t="shared" si="35"/>
        <v>6</v>
      </c>
      <c r="AH231" s="49">
        <f t="shared" si="36"/>
        <v>1.6075999999999999</v>
      </c>
      <c r="AI231" s="49">
        <f t="shared" si="37"/>
        <v>0.2099</v>
      </c>
    </row>
    <row r="232" spans="1:35">
      <c r="A232" s="1">
        <f t="shared" si="38"/>
        <v>8</v>
      </c>
      <c r="B232" s="1">
        <v>2.56</v>
      </c>
      <c r="C232" s="108">
        <v>0.21299999999999999</v>
      </c>
      <c r="D232" s="4">
        <v>8.3670000000000009</v>
      </c>
      <c r="E232" s="4">
        <v>6</v>
      </c>
      <c r="F232" s="4">
        <v>40</v>
      </c>
      <c r="G232" s="4">
        <v>40</v>
      </c>
      <c r="H232" s="1">
        <v>50</v>
      </c>
      <c r="I232" s="1">
        <v>3.0969200000000002E-2</v>
      </c>
      <c r="J232" s="3" t="s">
        <v>417</v>
      </c>
      <c r="K232" s="1">
        <f>IF(DATOS!$F$26=60,' '!G232,' '!H232)</f>
        <v>40</v>
      </c>
      <c r="L232" s="1">
        <v>2.3969080000000003</v>
      </c>
      <c r="M232" s="3">
        <v>8</v>
      </c>
      <c r="O232" s="129">
        <v>8</v>
      </c>
      <c r="P232" s="1">
        <v>2.56</v>
      </c>
      <c r="Q232" s="108">
        <v>0.21299999999999999</v>
      </c>
      <c r="Z232" s="49"/>
      <c r="AA232" s="49">
        <v>8</v>
      </c>
      <c r="AB232" s="49">
        <v>2.5590000000000002</v>
      </c>
      <c r="AC232" s="49">
        <v>0.2132</v>
      </c>
      <c r="AD232" s="49"/>
      <c r="AE232" s="49"/>
      <c r="AF232" s="49"/>
      <c r="AG232" s="49">
        <f t="shared" si="35"/>
        <v>8</v>
      </c>
      <c r="AH232" s="49">
        <f t="shared" si="36"/>
        <v>2.5590000000000002</v>
      </c>
      <c r="AI232" s="49">
        <f t="shared" si="37"/>
        <v>0.2132</v>
      </c>
    </row>
    <row r="233" spans="1:35">
      <c r="A233" s="1">
        <f t="shared" si="38"/>
        <v>10</v>
      </c>
      <c r="B233" s="1">
        <v>3.9</v>
      </c>
      <c r="C233" s="108">
        <v>0.20699999999999999</v>
      </c>
      <c r="D233" s="4">
        <v>5.26</v>
      </c>
      <c r="E233" s="4">
        <v>4.5999999999999996</v>
      </c>
      <c r="F233" s="4">
        <v>30</v>
      </c>
      <c r="G233" s="4">
        <v>30</v>
      </c>
      <c r="H233" s="1">
        <v>30</v>
      </c>
      <c r="I233" s="1">
        <v>3.8711500000000003E-2</v>
      </c>
      <c r="J233" s="3" t="s">
        <v>416</v>
      </c>
      <c r="K233" s="1">
        <f>IF(DATOS!$F$26=60,' '!G233,' '!H233)</f>
        <v>30</v>
      </c>
      <c r="L233" s="1">
        <v>1.539196</v>
      </c>
      <c r="M233" s="3">
        <v>6</v>
      </c>
      <c r="O233" s="129">
        <v>10</v>
      </c>
      <c r="P233" s="1">
        <v>3.9</v>
      </c>
      <c r="Q233" s="108">
        <v>0.20699999999999999</v>
      </c>
      <c r="Z233" s="49"/>
      <c r="AA233" s="49">
        <v>10</v>
      </c>
      <c r="AB233" s="49">
        <v>3.9369999999999998</v>
      </c>
      <c r="AC233" s="49">
        <v>0.20660000000000001</v>
      </c>
      <c r="AD233" s="49"/>
      <c r="AE233" s="49"/>
      <c r="AF233" s="49"/>
      <c r="AG233" s="49">
        <f t="shared" si="35"/>
        <v>10</v>
      </c>
      <c r="AH233" s="49">
        <f t="shared" si="36"/>
        <v>3.9369999999999998</v>
      </c>
      <c r="AI233" s="49">
        <f t="shared" si="37"/>
        <v>0.20660000000000001</v>
      </c>
    </row>
    <row r="234" spans="1:35">
      <c r="A234" s="1">
        <f t="shared" si="38"/>
        <v>12</v>
      </c>
      <c r="B234" s="1">
        <v>6.6</v>
      </c>
      <c r="C234" s="108">
        <v>0.223</v>
      </c>
      <c r="D234" s="4">
        <v>3.3069999999999999</v>
      </c>
      <c r="E234" s="4">
        <v>4</v>
      </c>
      <c r="F234" s="4">
        <v>25</v>
      </c>
      <c r="G234" s="4">
        <v>20</v>
      </c>
      <c r="H234" s="1">
        <v>20</v>
      </c>
      <c r="I234" s="1">
        <v>5.1615333333333333E-2</v>
      </c>
      <c r="J234" s="3" t="s">
        <v>415</v>
      </c>
      <c r="K234" s="1">
        <f>IF(DATOS!$F$26=60,' '!G234,' '!H234)</f>
        <v>20</v>
      </c>
      <c r="L234" s="1">
        <v>1.0018919999999998</v>
      </c>
      <c r="M234" s="3">
        <v>4</v>
      </c>
      <c r="O234" s="129">
        <v>12</v>
      </c>
      <c r="P234" s="1">
        <v>6.6</v>
      </c>
      <c r="Q234" s="108">
        <v>0.223</v>
      </c>
      <c r="Z234" s="49"/>
      <c r="AA234" s="49">
        <v>12</v>
      </c>
      <c r="AB234" s="49">
        <v>6.5616000000000003</v>
      </c>
      <c r="AC234" s="49">
        <v>0.223</v>
      </c>
      <c r="AD234" s="49"/>
      <c r="AE234" s="49"/>
      <c r="AF234" s="49"/>
      <c r="AG234" s="49">
        <f t="shared" si="35"/>
        <v>12</v>
      </c>
      <c r="AH234" s="49">
        <f t="shared" si="36"/>
        <v>6.5616000000000003</v>
      </c>
      <c r="AI234" s="49">
        <f t="shared" si="37"/>
        <v>0.223</v>
      </c>
    </row>
    <row r="235" spans="1:35">
      <c r="A235" s="1">
        <f t="shared" si="38"/>
        <v>14</v>
      </c>
      <c r="B235" s="1">
        <v>10.199999999999999</v>
      </c>
      <c r="C235" s="108">
        <v>0.24</v>
      </c>
      <c r="D235" s="4">
        <v>2.0819999999999999</v>
      </c>
      <c r="E235" s="4">
        <v>3.5</v>
      </c>
      <c r="F235" s="4">
        <v>20</v>
      </c>
      <c r="G235" s="4">
        <v>15</v>
      </c>
      <c r="H235" s="1">
        <v>15</v>
      </c>
      <c r="I235" s="1">
        <v>6.5588000000000007E-2</v>
      </c>
      <c r="J235" s="3" t="s">
        <v>414</v>
      </c>
      <c r="K235" s="1">
        <f>IF(DATOS!$F$26=60,' '!G235,' '!H235)</f>
        <v>15</v>
      </c>
      <c r="L235" s="1">
        <v>0.67277000000000009</v>
      </c>
      <c r="M235" s="3">
        <v>2</v>
      </c>
      <c r="O235" s="129">
        <v>14</v>
      </c>
      <c r="P235" s="1">
        <v>10.199999999999999</v>
      </c>
      <c r="Q235" s="108">
        <v>0.24</v>
      </c>
      <c r="Z235" s="49"/>
      <c r="AA235" s="49">
        <v>14</v>
      </c>
      <c r="AB235" s="49">
        <v>10.1706</v>
      </c>
      <c r="AC235" s="49">
        <v>0.23949999999999999</v>
      </c>
      <c r="AD235" s="49"/>
      <c r="AE235" s="49"/>
      <c r="AF235" s="49"/>
      <c r="AG235" s="49">
        <f t="shared" si="35"/>
        <v>14</v>
      </c>
      <c r="AH235" s="49">
        <f t="shared" si="36"/>
        <v>10.1706</v>
      </c>
      <c r="AI235" s="49">
        <f t="shared" si="37"/>
        <v>0.23949999999999999</v>
      </c>
    </row>
    <row r="236" spans="1:35">
      <c r="A236" s="1">
        <f t="shared" si="38"/>
        <v>250</v>
      </c>
      <c r="B236" s="1">
        <v>0.17699999999999999</v>
      </c>
      <c r="C236" s="108">
        <v>0.17100000000000001</v>
      </c>
      <c r="D236" s="4">
        <v>126.7</v>
      </c>
      <c r="E236" s="4">
        <v>19.5</v>
      </c>
      <c r="F236" s="4">
        <v>255</v>
      </c>
      <c r="G236" s="4">
        <v>255</v>
      </c>
      <c r="H236" s="4">
        <v>255</v>
      </c>
      <c r="I236" s="1">
        <v>7.7423000000000006E-2</v>
      </c>
      <c r="J236" s="3" t="s">
        <v>413</v>
      </c>
      <c r="K236" s="1">
        <f>IF(DATOS!$F$26=60,' '!G236,' '!H236)</f>
        <v>255</v>
      </c>
      <c r="L236" s="1">
        <v>0.43370599999999998</v>
      </c>
      <c r="M236" s="3" t="s">
        <v>0</v>
      </c>
      <c r="O236" s="129" t="s">
        <v>0</v>
      </c>
      <c r="P236" s="1">
        <v>0.39</v>
      </c>
      <c r="Q236" s="108">
        <v>0.18</v>
      </c>
      <c r="Z236" s="49"/>
      <c r="AA236" s="49">
        <v>250</v>
      </c>
      <c r="AB236" s="49">
        <v>0.17710000000000001</v>
      </c>
      <c r="AC236" s="49">
        <v>0.1706</v>
      </c>
      <c r="AD236" s="49"/>
      <c r="AE236" s="49"/>
      <c r="AF236" s="49"/>
      <c r="AG236" s="49">
        <f t="shared" si="35"/>
        <v>250</v>
      </c>
      <c r="AH236" s="49">
        <f t="shared" si="36"/>
        <v>0.17710000000000001</v>
      </c>
      <c r="AI236" s="49">
        <f t="shared" si="37"/>
        <v>0.1706</v>
      </c>
    </row>
    <row r="237" spans="1:35">
      <c r="A237" s="1">
        <f t="shared" si="38"/>
        <v>300</v>
      </c>
      <c r="B237" s="1">
        <v>0.14799999999999999</v>
      </c>
      <c r="C237" s="108">
        <v>0.16700000000000001</v>
      </c>
      <c r="D237" s="4">
        <v>152</v>
      </c>
      <c r="E237" s="4">
        <v>20.9</v>
      </c>
      <c r="F237" s="4">
        <v>285</v>
      </c>
      <c r="G237" s="4">
        <v>285</v>
      </c>
      <c r="H237" s="4">
        <v>285</v>
      </c>
      <c r="I237" s="1">
        <v>8.7014000000000008E-2</v>
      </c>
      <c r="J237" s="3" t="s">
        <v>441</v>
      </c>
      <c r="K237" s="1">
        <f>IF(DATOS!$F$26=60,' '!G237,' '!H237)</f>
        <v>285</v>
      </c>
      <c r="L237" s="1">
        <v>0.37312400000000001</v>
      </c>
      <c r="M237" s="3" t="s">
        <v>1</v>
      </c>
      <c r="O237" s="129" t="s">
        <v>1</v>
      </c>
      <c r="P237" s="1">
        <v>0.33</v>
      </c>
      <c r="Q237" s="108">
        <v>0.17699999999999999</v>
      </c>
      <c r="Z237" s="49"/>
      <c r="AA237" s="49">
        <v>300</v>
      </c>
      <c r="AB237" s="49">
        <v>0.14760000000000001</v>
      </c>
      <c r="AC237" s="49">
        <v>0.1673</v>
      </c>
      <c r="AD237" s="49"/>
      <c r="AE237" s="49"/>
      <c r="AF237" s="49"/>
      <c r="AG237" s="49">
        <f t="shared" si="35"/>
        <v>300</v>
      </c>
      <c r="AH237" s="49">
        <f t="shared" si="36"/>
        <v>0.14760000000000001</v>
      </c>
      <c r="AI237" s="49">
        <f t="shared" si="37"/>
        <v>0.1673</v>
      </c>
    </row>
    <row r="238" spans="1:35">
      <c r="A238" s="1">
        <f t="shared" si="38"/>
        <v>350</v>
      </c>
      <c r="B238" s="1">
        <v>0.128</v>
      </c>
      <c r="C238" s="108">
        <v>0.16400000000000001</v>
      </c>
      <c r="D238" s="4">
        <v>177.3</v>
      </c>
      <c r="E238" s="4">
        <v>23</v>
      </c>
      <c r="F238" s="4">
        <v>310</v>
      </c>
      <c r="G238" s="4">
        <v>310</v>
      </c>
      <c r="H238" s="4">
        <v>310</v>
      </c>
      <c r="I238" s="1">
        <v>9.363500000000001E-2</v>
      </c>
      <c r="J238" s="3" t="s">
        <v>412</v>
      </c>
      <c r="K238" s="1">
        <f>IF(DATOS!$F$26=60,' '!G238,' '!H238)</f>
        <v>310</v>
      </c>
      <c r="L238" s="1">
        <v>0.30825400000000003</v>
      </c>
      <c r="M238" s="3" t="s">
        <v>2</v>
      </c>
      <c r="O238" s="129" t="s">
        <v>2</v>
      </c>
      <c r="P238" s="1">
        <v>0.25900000000000001</v>
      </c>
      <c r="Q238" s="108">
        <v>0.17100000000000001</v>
      </c>
      <c r="Z238" s="49"/>
      <c r="AA238" s="49">
        <v>350</v>
      </c>
      <c r="AB238" s="49">
        <v>0.12790000000000001</v>
      </c>
      <c r="AC238" s="49">
        <v>0.16400000000000001</v>
      </c>
      <c r="AD238" s="49"/>
      <c r="AE238" s="49"/>
      <c r="AF238" s="49"/>
      <c r="AG238" s="49">
        <f t="shared" si="35"/>
        <v>350</v>
      </c>
      <c r="AH238" s="49">
        <f t="shared" si="36"/>
        <v>0.12790000000000001</v>
      </c>
      <c r="AI238" s="49">
        <f t="shared" si="37"/>
        <v>0.16400000000000001</v>
      </c>
    </row>
    <row r="239" spans="1:35">
      <c r="A239" s="1">
        <f t="shared" si="38"/>
        <v>400</v>
      </c>
      <c r="B239" s="1">
        <v>0.115</v>
      </c>
      <c r="C239" s="108">
        <v>0.161</v>
      </c>
      <c r="D239" s="4">
        <v>202.7</v>
      </c>
      <c r="E239" s="4">
        <v>23.4</v>
      </c>
      <c r="F239" s="4">
        <v>335</v>
      </c>
      <c r="G239" s="4">
        <v>335</v>
      </c>
      <c r="H239" s="4">
        <v>335</v>
      </c>
      <c r="I239" s="1">
        <v>0.10322600000000001</v>
      </c>
      <c r="J239" s="3" t="s">
        <v>411</v>
      </c>
      <c r="K239" s="1">
        <f>IF(DATOS!$F$26=60,' '!G239,' '!H239)</f>
        <v>335</v>
      </c>
      <c r="L239" s="1">
        <v>0.25942000000000004</v>
      </c>
      <c r="M239" s="3" t="s">
        <v>3</v>
      </c>
      <c r="O239" s="129" t="s">
        <v>3</v>
      </c>
      <c r="P239" s="1">
        <v>0.20699999999999999</v>
      </c>
      <c r="Q239" s="108">
        <v>0.16700000000000001</v>
      </c>
      <c r="Z239" s="49"/>
      <c r="AA239" s="49">
        <v>400</v>
      </c>
      <c r="AB239" s="49">
        <v>0.1148</v>
      </c>
      <c r="AC239" s="49">
        <v>0.16070000000000001</v>
      </c>
      <c r="AD239" s="49"/>
      <c r="AE239" s="49"/>
      <c r="AF239" s="49"/>
      <c r="AG239" s="49">
        <f t="shared" si="35"/>
        <v>400</v>
      </c>
      <c r="AH239" s="49">
        <f t="shared" si="36"/>
        <v>0.1148</v>
      </c>
      <c r="AI239" s="49">
        <f t="shared" si="37"/>
        <v>0.16070000000000001</v>
      </c>
    </row>
    <row r="240" spans="1:35">
      <c r="A240" s="1">
        <f t="shared" si="38"/>
        <v>450</v>
      </c>
      <c r="B240" s="1">
        <v>9.5000000000000001E-2</v>
      </c>
      <c r="C240" s="108">
        <v>0.157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1">
        <v>0.117227</v>
      </c>
      <c r="J240" s="3" t="s">
        <v>410</v>
      </c>
      <c r="K240" s="1">
        <f>IF(DATOS!$F$26=60,' '!G240,' '!H240)</f>
        <v>0</v>
      </c>
      <c r="L240" s="1">
        <v>0.234454</v>
      </c>
      <c r="M240" s="3">
        <v>250</v>
      </c>
      <c r="O240" s="129">
        <v>250</v>
      </c>
      <c r="P240" s="1">
        <v>0.17699999999999999</v>
      </c>
      <c r="Q240" s="108">
        <v>0.17100000000000001</v>
      </c>
      <c r="Z240" s="49"/>
      <c r="AA240" s="49">
        <v>450</v>
      </c>
      <c r="AB240" s="49">
        <v>0.1056</v>
      </c>
      <c r="AC240" s="49">
        <v>0.1575</v>
      </c>
      <c r="AD240" s="49"/>
      <c r="AE240" s="49"/>
      <c r="AF240" s="49"/>
      <c r="AG240" s="49">
        <f t="shared" si="35"/>
        <v>450</v>
      </c>
      <c r="AH240" s="49">
        <f t="shared" si="36"/>
        <v>0.1056</v>
      </c>
      <c r="AI240" s="49">
        <f t="shared" si="37"/>
        <v>0.1575</v>
      </c>
    </row>
    <row r="241" spans="1:35">
      <c r="A241" s="1">
        <f t="shared" si="38"/>
        <v>500</v>
      </c>
      <c r="B241" s="1">
        <v>8.2000000000000003E-2</v>
      </c>
      <c r="C241" s="108">
        <v>0.157</v>
      </c>
      <c r="D241" s="4">
        <v>253.4</v>
      </c>
      <c r="E241" s="4">
        <v>25.6</v>
      </c>
      <c r="F241" s="4">
        <v>380</v>
      </c>
      <c r="G241" s="4">
        <v>380</v>
      </c>
      <c r="H241" s="4">
        <v>380</v>
      </c>
      <c r="I241" s="1">
        <v>0.13117600000000001</v>
      </c>
      <c r="J241" s="3">
        <v>750</v>
      </c>
      <c r="K241" s="1">
        <f>IF(DATOS!$F$26=60,' '!G241,' '!H241)</f>
        <v>380</v>
      </c>
      <c r="L241" s="1">
        <v>0.20645200000000002</v>
      </c>
      <c r="M241" s="3">
        <v>300</v>
      </c>
      <c r="O241" s="129">
        <v>300</v>
      </c>
      <c r="P241" s="1">
        <v>0.14799999999999999</v>
      </c>
      <c r="Q241" s="108">
        <v>0.16700000000000001</v>
      </c>
      <c r="Z241" s="49"/>
      <c r="AA241" s="49">
        <v>500</v>
      </c>
      <c r="AB241" s="49">
        <v>9.5100000000000004E-2</v>
      </c>
      <c r="AC241" s="49">
        <v>0.15740000000000001</v>
      </c>
      <c r="AD241" s="49"/>
      <c r="AE241" s="49"/>
      <c r="AF241" s="49"/>
      <c r="AG241" s="49">
        <f t="shared" si="35"/>
        <v>500</v>
      </c>
      <c r="AH241" s="49">
        <f t="shared" si="36"/>
        <v>9.5100000000000004E-2</v>
      </c>
      <c r="AI241" s="49">
        <f t="shared" si="37"/>
        <v>0.15740000000000001</v>
      </c>
    </row>
    <row r="242" spans="1:35">
      <c r="A242" s="1">
        <f t="shared" si="38"/>
        <v>600</v>
      </c>
      <c r="B242" s="1">
        <v>6.9000000000000006E-2</v>
      </c>
      <c r="C242" s="108">
        <v>0.157</v>
      </c>
      <c r="D242" s="4">
        <v>304</v>
      </c>
      <c r="E242" s="4">
        <v>27</v>
      </c>
      <c r="F242" s="4">
        <v>420</v>
      </c>
      <c r="G242" s="4">
        <v>420</v>
      </c>
      <c r="H242" s="4">
        <v>420</v>
      </c>
      <c r="I242" s="1">
        <v>0.14305600000000002</v>
      </c>
      <c r="J242" s="3">
        <v>600</v>
      </c>
      <c r="K242" s="1">
        <f>IF(DATOS!$F$26=60,' '!G242,' '!H242)</f>
        <v>420</v>
      </c>
      <c r="L242" s="1">
        <v>0.18727000000000002</v>
      </c>
      <c r="M242" s="3">
        <v>350</v>
      </c>
      <c r="O242" s="129">
        <v>350</v>
      </c>
      <c r="P242" s="1">
        <v>0.128</v>
      </c>
      <c r="Q242" s="108">
        <v>0.16400000000000001</v>
      </c>
      <c r="Z242" s="49"/>
      <c r="AA242" s="49">
        <v>600</v>
      </c>
      <c r="AB242" s="49">
        <v>8.2000000000000003E-2</v>
      </c>
      <c r="AC242" s="49">
        <v>0.15740000000000001</v>
      </c>
      <c r="AD242" s="49"/>
      <c r="AE242" s="49"/>
      <c r="AF242" s="49"/>
      <c r="AG242" s="49">
        <f t="shared" si="35"/>
        <v>600</v>
      </c>
      <c r="AH242" s="49">
        <f t="shared" si="36"/>
        <v>8.2000000000000003E-2</v>
      </c>
      <c r="AI242" s="49">
        <f t="shared" si="37"/>
        <v>0.15740000000000001</v>
      </c>
    </row>
    <row r="243" spans="1:35">
      <c r="A243" s="1">
        <f t="shared" si="38"/>
        <v>750</v>
      </c>
      <c r="B243" s="1">
        <v>5.8999999999999997E-2</v>
      </c>
      <c r="C243" s="108">
        <v>0.151</v>
      </c>
      <c r="D243" s="4">
        <v>380</v>
      </c>
      <c r="E243" s="4">
        <v>30.6</v>
      </c>
      <c r="F243" s="4">
        <v>475</v>
      </c>
      <c r="G243" s="4">
        <v>475</v>
      </c>
      <c r="H243" s="4">
        <v>475</v>
      </c>
      <c r="I243" s="1">
        <v>0.15484600000000001</v>
      </c>
      <c r="J243" s="3">
        <v>500</v>
      </c>
      <c r="K243" s="1">
        <f>IF(DATOS!$F$26=60,' '!G243,' '!H243)</f>
        <v>475</v>
      </c>
      <c r="L243" s="1">
        <v>0.17402800000000002</v>
      </c>
      <c r="M243" s="3">
        <v>400</v>
      </c>
      <c r="O243" s="129">
        <v>400</v>
      </c>
      <c r="P243" s="1">
        <v>0.115</v>
      </c>
      <c r="Q243" s="108">
        <v>0.161</v>
      </c>
      <c r="Z243" s="49"/>
      <c r="AA243" s="49">
        <v>750</v>
      </c>
      <c r="AB243" s="49">
        <v>6.88E-2</v>
      </c>
      <c r="AC243" s="49">
        <v>0.15740000000000001</v>
      </c>
      <c r="AD243" s="49"/>
      <c r="AE243" s="49"/>
      <c r="AF243" s="49"/>
      <c r="AG243" s="49">
        <f t="shared" si="35"/>
        <v>750</v>
      </c>
      <c r="AH243" s="49">
        <f t="shared" si="36"/>
        <v>6.88E-2</v>
      </c>
      <c r="AI243" s="49">
        <f t="shared" si="37"/>
        <v>0.15740000000000001</v>
      </c>
    </row>
    <row r="244" spans="1:35">
      <c r="A244" s="1" t="str">
        <f t="shared" si="38"/>
        <v>1/0</v>
      </c>
      <c r="B244" s="1">
        <v>0.39</v>
      </c>
      <c r="C244" s="108">
        <v>0.18</v>
      </c>
      <c r="D244" s="4">
        <v>53.48</v>
      </c>
      <c r="E244" s="4">
        <v>13.6</v>
      </c>
      <c r="F244" s="4">
        <v>150</v>
      </c>
      <c r="G244" s="4">
        <v>150</v>
      </c>
      <c r="H244" s="4">
        <v>150</v>
      </c>
      <c r="I244" s="1">
        <v>0.16433999999999999</v>
      </c>
      <c r="J244" s="3">
        <v>450</v>
      </c>
      <c r="K244" s="1">
        <f>IF(DATOS!$F$26=60,' '!G244,' '!H244)</f>
        <v>150</v>
      </c>
      <c r="L244" s="1">
        <v>0.16433999999999999</v>
      </c>
      <c r="M244" s="3">
        <v>450</v>
      </c>
      <c r="O244" s="129">
        <v>500</v>
      </c>
      <c r="P244" s="1">
        <v>9.5000000000000001E-2</v>
      </c>
      <c r="Q244" s="108">
        <v>0.157</v>
      </c>
      <c r="Z244" s="49"/>
      <c r="AA244" s="49" t="s">
        <v>0</v>
      </c>
      <c r="AB244" s="49">
        <v>0.39369999999999999</v>
      </c>
      <c r="AC244" s="49">
        <v>0.1804</v>
      </c>
      <c r="AD244" s="49"/>
      <c r="AE244" s="49"/>
      <c r="AF244" s="49"/>
      <c r="AG244" s="49" t="str">
        <f t="shared" si="35"/>
        <v>1/0</v>
      </c>
      <c r="AH244" s="49">
        <f t="shared" si="36"/>
        <v>0.39369999999999999</v>
      </c>
      <c r="AI244" s="49">
        <f t="shared" si="37"/>
        <v>0.1804</v>
      </c>
    </row>
    <row r="245" spans="1:35">
      <c r="A245" s="1" t="str">
        <f t="shared" si="38"/>
        <v>2/0</v>
      </c>
      <c r="B245" s="1">
        <v>0.33</v>
      </c>
      <c r="C245" s="108">
        <v>0.17699999999999999</v>
      </c>
      <c r="D245" s="4">
        <v>67.430000000000007</v>
      </c>
      <c r="E245" s="4">
        <v>14.8</v>
      </c>
      <c r="F245" s="4">
        <v>175</v>
      </c>
      <c r="G245" s="4">
        <v>175</v>
      </c>
      <c r="H245" s="4">
        <v>175</v>
      </c>
      <c r="I245" s="1">
        <v>0.17402800000000002</v>
      </c>
      <c r="J245" s="3">
        <v>400</v>
      </c>
      <c r="K245" s="1">
        <f>IF(DATOS!$F$26=60,' '!G245,' '!H245)</f>
        <v>175</v>
      </c>
      <c r="L245" s="1">
        <v>0.15484600000000001</v>
      </c>
      <c r="M245" s="3">
        <v>500</v>
      </c>
      <c r="O245" s="129">
        <v>600</v>
      </c>
      <c r="P245" s="1">
        <v>8.2000000000000003E-2</v>
      </c>
      <c r="Q245" s="108">
        <v>0.157</v>
      </c>
      <c r="Z245" s="49"/>
      <c r="AA245" s="49" t="s">
        <v>1</v>
      </c>
      <c r="AB245" s="49">
        <v>0.32800000000000001</v>
      </c>
      <c r="AC245" s="49">
        <v>0.17710000000000001</v>
      </c>
      <c r="AD245" s="49"/>
      <c r="AE245" s="49"/>
      <c r="AF245" s="49"/>
      <c r="AG245" s="49" t="str">
        <f t="shared" si="35"/>
        <v>2/0</v>
      </c>
      <c r="AH245" s="49">
        <f t="shared" si="36"/>
        <v>0.32800000000000001</v>
      </c>
      <c r="AI245" s="49">
        <f t="shared" si="37"/>
        <v>0.17710000000000001</v>
      </c>
    </row>
    <row r="246" spans="1:35">
      <c r="A246" s="1" t="str">
        <f t="shared" si="38"/>
        <v>3/0</v>
      </c>
      <c r="B246" s="1">
        <v>0.25900000000000001</v>
      </c>
      <c r="C246" s="108">
        <v>0.17100000000000001</v>
      </c>
      <c r="D246" s="4">
        <v>85.01</v>
      </c>
      <c r="E246" s="4">
        <v>16.100000000000001</v>
      </c>
      <c r="F246" s="4">
        <v>200</v>
      </c>
      <c r="G246" s="4">
        <v>200</v>
      </c>
      <c r="H246" s="4">
        <v>200</v>
      </c>
      <c r="I246" s="1">
        <v>0.18727000000000002</v>
      </c>
      <c r="J246" s="3">
        <v>350</v>
      </c>
      <c r="K246" s="1">
        <f>IF(DATOS!$F$26=60,' '!G246,' '!H246)</f>
        <v>200</v>
      </c>
      <c r="L246" s="1">
        <v>0.14305600000000002</v>
      </c>
      <c r="M246" s="3">
        <v>600</v>
      </c>
      <c r="O246" s="129">
        <v>750</v>
      </c>
      <c r="P246" s="1">
        <v>6.9000000000000006E-2</v>
      </c>
      <c r="Q246" s="108">
        <v>0.157</v>
      </c>
      <c r="Z246" s="49"/>
      <c r="AA246" s="49" t="s">
        <v>2</v>
      </c>
      <c r="AB246" s="49">
        <v>0.2591</v>
      </c>
      <c r="AC246" s="49">
        <v>0.1706</v>
      </c>
      <c r="AD246" s="49"/>
      <c r="AE246" s="49"/>
      <c r="AF246" s="49"/>
      <c r="AG246" s="49" t="str">
        <f t="shared" si="35"/>
        <v>3/0</v>
      </c>
      <c r="AH246" s="49">
        <f t="shared" si="36"/>
        <v>0.2591</v>
      </c>
      <c r="AI246" s="49">
        <f t="shared" si="37"/>
        <v>0.1706</v>
      </c>
    </row>
    <row r="247" spans="1:35">
      <c r="A247" s="1" t="str">
        <f t="shared" si="38"/>
        <v>4/0</v>
      </c>
      <c r="B247" s="1">
        <v>0.20699999999999999</v>
      </c>
      <c r="C247" s="108">
        <v>0.16700000000000001</v>
      </c>
      <c r="D247" s="4">
        <v>107.2</v>
      </c>
      <c r="E247" s="4">
        <v>17.600000000000001</v>
      </c>
      <c r="F247" s="4">
        <v>230</v>
      </c>
      <c r="G247" s="4">
        <v>230</v>
      </c>
      <c r="H247" s="4">
        <v>230</v>
      </c>
      <c r="I247" s="1">
        <v>0.20645200000000002</v>
      </c>
      <c r="J247" s="3">
        <v>300</v>
      </c>
      <c r="K247" s="1">
        <f>IF(DATOS!$F$26=60,' '!G247,' '!H247)</f>
        <v>230</v>
      </c>
      <c r="L247" s="1">
        <v>0.13117600000000001</v>
      </c>
      <c r="M247" s="3">
        <v>750</v>
      </c>
      <c r="O247" s="129">
        <v>1000</v>
      </c>
      <c r="P247" s="1">
        <v>5.8999999999999997E-2</v>
      </c>
      <c r="Q247" s="108">
        <v>0.151</v>
      </c>
      <c r="Z247" s="49"/>
      <c r="AA247" s="49" t="s">
        <v>3</v>
      </c>
      <c r="AB247" s="49">
        <v>0.20660000000000001</v>
      </c>
      <c r="AC247" s="49">
        <v>0.16700000000000001</v>
      </c>
      <c r="AD247" s="49"/>
      <c r="AE247" s="49"/>
      <c r="AF247" s="49"/>
      <c r="AG247" s="49" t="str">
        <f t="shared" si="35"/>
        <v>4/0</v>
      </c>
      <c r="AH247" s="49">
        <f t="shared" si="36"/>
        <v>0.20660000000000001</v>
      </c>
      <c r="AI247" s="49">
        <f t="shared" si="37"/>
        <v>0.16700000000000001</v>
      </c>
    </row>
    <row r="248" spans="1:35">
      <c r="A248" s="1" t="str">
        <f t="shared" si="38"/>
        <v>2X250</v>
      </c>
      <c r="B248" s="1">
        <f t="shared" ref="B248:B259" si="39">AH248</f>
        <v>8.8550000000000004E-2</v>
      </c>
      <c r="C248" s="1">
        <f t="shared" ref="C248:C259" si="40">AI248</f>
        <v>8.5300000000000001E-2</v>
      </c>
      <c r="D248" s="4">
        <v>253.4</v>
      </c>
      <c r="E248" s="4">
        <v>39</v>
      </c>
      <c r="F248" s="4">
        <v>510</v>
      </c>
      <c r="G248" s="4">
        <v>510</v>
      </c>
      <c r="H248" s="4">
        <v>510</v>
      </c>
      <c r="I248" s="1">
        <v>0.234454</v>
      </c>
      <c r="J248" s="3">
        <v>250</v>
      </c>
      <c r="K248" s="1">
        <f>IF(DATOS!$F$26=60,' '!G248,' '!H248)</f>
        <v>510</v>
      </c>
      <c r="L248" s="1">
        <v>0.117227</v>
      </c>
      <c r="M248" s="3" t="s">
        <v>410</v>
      </c>
      <c r="O248" s="129"/>
      <c r="Q248" s="108"/>
      <c r="Z248" s="49"/>
      <c r="AA248" s="49" t="s">
        <v>410</v>
      </c>
      <c r="AB248" s="49">
        <v>8.8550000000000004E-2</v>
      </c>
      <c r="AC248" s="49">
        <v>8.5300000000000001E-2</v>
      </c>
      <c r="AD248" s="49"/>
      <c r="AE248" s="49"/>
      <c r="AF248" s="49"/>
      <c r="AG248" s="49" t="str">
        <f t="shared" si="35"/>
        <v>2X250</v>
      </c>
      <c r="AH248" s="49">
        <f t="shared" si="36"/>
        <v>8.8550000000000004E-2</v>
      </c>
      <c r="AI248" s="49">
        <f t="shared" si="37"/>
        <v>8.5300000000000001E-2</v>
      </c>
    </row>
    <row r="249" spans="1:35">
      <c r="A249" s="1" t="str">
        <f t="shared" si="38"/>
        <v>2X300</v>
      </c>
      <c r="B249" s="1">
        <f t="shared" si="39"/>
        <v>7.3800000000000004E-2</v>
      </c>
      <c r="C249" s="1">
        <f t="shared" si="40"/>
        <v>8.3650000000000002E-2</v>
      </c>
      <c r="D249" s="4">
        <v>304</v>
      </c>
      <c r="E249" s="4">
        <v>41.8</v>
      </c>
      <c r="F249" s="4">
        <v>570</v>
      </c>
      <c r="G249" s="4">
        <v>570</v>
      </c>
      <c r="H249" s="4">
        <v>570</v>
      </c>
      <c r="I249" s="1">
        <v>0.25942000000000004</v>
      </c>
      <c r="J249" s="3" t="s">
        <v>3</v>
      </c>
      <c r="K249" s="1">
        <f>IF(DATOS!$F$26=60,' '!G249,' '!H249)</f>
        <v>570</v>
      </c>
      <c r="L249" s="1">
        <v>0.10322600000000001</v>
      </c>
      <c r="M249" s="3" t="s">
        <v>411</v>
      </c>
      <c r="O249" s="129"/>
      <c r="Q249" s="108"/>
      <c r="Z249" s="49"/>
      <c r="AA249" s="49" t="s">
        <v>411</v>
      </c>
      <c r="AB249" s="49">
        <v>7.3800000000000004E-2</v>
      </c>
      <c r="AC249" s="49">
        <v>8.3650000000000002E-2</v>
      </c>
      <c r="AD249" s="49"/>
      <c r="AE249" s="49"/>
      <c r="AF249" s="49"/>
      <c r="AG249" s="49" t="str">
        <f t="shared" si="35"/>
        <v>2X300</v>
      </c>
      <c r="AH249" s="49">
        <f t="shared" si="36"/>
        <v>7.3800000000000004E-2</v>
      </c>
      <c r="AI249" s="49">
        <f t="shared" si="37"/>
        <v>8.3650000000000002E-2</v>
      </c>
    </row>
    <row r="250" spans="1:35">
      <c r="A250" s="1" t="str">
        <f t="shared" si="38"/>
        <v>2X350</v>
      </c>
      <c r="B250" s="1">
        <f t="shared" si="39"/>
        <v>6.3950000000000007E-2</v>
      </c>
      <c r="C250" s="1">
        <f t="shared" si="40"/>
        <v>8.2000000000000003E-2</v>
      </c>
      <c r="D250" s="4">
        <v>354.6</v>
      </c>
      <c r="E250" s="4">
        <v>46</v>
      </c>
      <c r="F250" s="4">
        <v>620</v>
      </c>
      <c r="G250" s="4">
        <v>620</v>
      </c>
      <c r="H250" s="4">
        <v>620</v>
      </c>
      <c r="I250" s="1">
        <v>0.30825400000000003</v>
      </c>
      <c r="J250" s="3" t="s">
        <v>2</v>
      </c>
      <c r="K250" s="1">
        <f>IF(DATOS!$F$26=60,' '!G250,' '!H250)</f>
        <v>620</v>
      </c>
      <c r="L250" s="1">
        <v>9.363500000000001E-2</v>
      </c>
      <c r="M250" s="3" t="s">
        <v>412</v>
      </c>
      <c r="Z250" s="49"/>
      <c r="AA250" s="49" t="s">
        <v>412</v>
      </c>
      <c r="AB250" s="49">
        <v>6.3950000000000007E-2</v>
      </c>
      <c r="AC250" s="49">
        <v>8.2000000000000003E-2</v>
      </c>
      <c r="AD250" s="49"/>
      <c r="AE250" s="49"/>
      <c r="AF250" s="49"/>
      <c r="AG250" s="49" t="str">
        <f t="shared" si="35"/>
        <v>2X350</v>
      </c>
      <c r="AH250" s="49">
        <f t="shared" si="36"/>
        <v>6.3950000000000007E-2</v>
      </c>
      <c r="AI250" s="49">
        <f t="shared" si="37"/>
        <v>8.2000000000000003E-2</v>
      </c>
    </row>
    <row r="251" spans="1:35">
      <c r="A251" s="1" t="str">
        <f t="shared" si="38"/>
        <v>2X400</v>
      </c>
      <c r="B251" s="1">
        <f t="shared" si="39"/>
        <v>5.74E-2</v>
      </c>
      <c r="C251" s="1">
        <f t="shared" si="40"/>
        <v>8.0350000000000005E-2</v>
      </c>
      <c r="D251" s="4">
        <v>405.4</v>
      </c>
      <c r="E251" s="4">
        <v>46.8</v>
      </c>
      <c r="F251" s="4">
        <v>670</v>
      </c>
      <c r="G251" s="4">
        <v>670</v>
      </c>
      <c r="H251" s="4">
        <v>670</v>
      </c>
      <c r="I251" s="1">
        <v>0.37312400000000001</v>
      </c>
      <c r="J251" s="3" t="s">
        <v>1</v>
      </c>
      <c r="K251" s="1">
        <f>IF(DATOS!$F$26=60,' '!G251,' '!H251)</f>
        <v>670</v>
      </c>
      <c r="L251" s="1">
        <v>8.7014000000000008E-2</v>
      </c>
      <c r="M251" s="3" t="s">
        <v>441</v>
      </c>
      <c r="Z251" s="49"/>
      <c r="AA251" s="49" t="s">
        <v>441</v>
      </c>
      <c r="AB251" s="49">
        <v>5.74E-2</v>
      </c>
      <c r="AC251" s="49">
        <v>8.0350000000000005E-2</v>
      </c>
      <c r="AD251" s="49"/>
      <c r="AE251" s="49"/>
      <c r="AF251" s="49"/>
      <c r="AG251" s="49" t="str">
        <f t="shared" si="35"/>
        <v>2X400</v>
      </c>
      <c r="AH251" s="49">
        <f t="shared" si="36"/>
        <v>5.74E-2</v>
      </c>
      <c r="AI251" s="49">
        <f t="shared" si="37"/>
        <v>8.0350000000000005E-2</v>
      </c>
    </row>
    <row r="252" spans="1:35">
      <c r="A252" s="1" t="str">
        <f t="shared" si="38"/>
        <v>2X500</v>
      </c>
      <c r="B252" s="1">
        <f t="shared" si="39"/>
        <v>4.7550000000000002E-2</v>
      </c>
      <c r="C252" s="1">
        <f t="shared" si="40"/>
        <v>7.8700000000000006E-2</v>
      </c>
      <c r="D252" s="4">
        <v>506.8</v>
      </c>
      <c r="E252" s="4">
        <v>51.2</v>
      </c>
      <c r="F252" s="4">
        <v>760</v>
      </c>
      <c r="G252" s="4">
        <v>760</v>
      </c>
      <c r="H252" s="4">
        <v>760</v>
      </c>
      <c r="I252" s="1">
        <v>0.43370599999999998</v>
      </c>
      <c r="J252" s="3" t="s">
        <v>0</v>
      </c>
      <c r="K252" s="1">
        <f>IF(DATOS!$F$26=60,' '!G252,' '!H252)</f>
        <v>760</v>
      </c>
      <c r="L252" s="1">
        <v>7.7423000000000006E-2</v>
      </c>
      <c r="M252" s="3" t="s">
        <v>413</v>
      </c>
      <c r="Z252" s="49"/>
      <c r="AA252" s="49" t="s">
        <v>413</v>
      </c>
      <c r="AB252" s="49">
        <v>4.7550000000000002E-2</v>
      </c>
      <c r="AC252" s="49">
        <v>7.8700000000000006E-2</v>
      </c>
      <c r="AD252" s="49"/>
      <c r="AE252" s="49"/>
      <c r="AF252" s="49"/>
      <c r="AG252" s="49" t="str">
        <f t="shared" si="35"/>
        <v>2X500</v>
      </c>
      <c r="AH252" s="49">
        <f t="shared" si="36"/>
        <v>4.7550000000000002E-2</v>
      </c>
      <c r="AI252" s="49">
        <f t="shared" si="37"/>
        <v>7.8700000000000006E-2</v>
      </c>
    </row>
    <row r="253" spans="1:35">
      <c r="A253" s="1" t="str">
        <f t="shared" si="38"/>
        <v>2X750</v>
      </c>
      <c r="B253" s="1">
        <f t="shared" si="39"/>
        <v>3.44E-2</v>
      </c>
      <c r="C253" s="1">
        <f t="shared" si="40"/>
        <v>7.8700000000000006E-2</v>
      </c>
      <c r="D253" s="4">
        <v>760</v>
      </c>
      <c r="E253" s="4">
        <v>61.2</v>
      </c>
      <c r="F253" s="4">
        <v>950</v>
      </c>
      <c r="G253" s="4">
        <v>950</v>
      </c>
      <c r="H253" s="4">
        <v>950</v>
      </c>
      <c r="I253" s="1">
        <v>0.67277000000000009</v>
      </c>
      <c r="J253" s="3">
        <v>2</v>
      </c>
      <c r="K253" s="1">
        <f>IF(DATOS!$F$26=60,' '!G253,' '!H253)</f>
        <v>950</v>
      </c>
      <c r="L253" s="1">
        <v>6.5588000000000007E-2</v>
      </c>
      <c r="M253" s="3" t="s">
        <v>414</v>
      </c>
      <c r="Z253" s="49"/>
      <c r="AA253" s="49" t="s">
        <v>414</v>
      </c>
      <c r="AB253" s="49">
        <v>3.44E-2</v>
      </c>
      <c r="AC253" s="49">
        <v>7.8700000000000006E-2</v>
      </c>
      <c r="AD253" s="49"/>
      <c r="AE253" s="49"/>
      <c r="AF253" s="49"/>
      <c r="AG253" s="49" t="str">
        <f t="shared" si="35"/>
        <v>2X750</v>
      </c>
      <c r="AH253" s="49">
        <f t="shared" si="36"/>
        <v>3.44E-2</v>
      </c>
      <c r="AI253" s="49">
        <f t="shared" si="37"/>
        <v>7.8700000000000006E-2</v>
      </c>
    </row>
    <row r="254" spans="1:35">
      <c r="A254" s="1" t="str">
        <f t="shared" si="38"/>
        <v>3X500</v>
      </c>
      <c r="B254" s="1">
        <f t="shared" si="39"/>
        <v>3.1699999999999999E-2</v>
      </c>
      <c r="C254" s="1">
        <f t="shared" si="40"/>
        <v>5.2466666666666668E-2</v>
      </c>
      <c r="D254" s="4">
        <v>760.2</v>
      </c>
      <c r="E254" s="4">
        <v>76.8</v>
      </c>
      <c r="F254" s="4">
        <v>1140</v>
      </c>
      <c r="G254" s="4">
        <v>1140</v>
      </c>
      <c r="H254" s="4">
        <v>1140</v>
      </c>
      <c r="I254" s="1">
        <v>1.0018919999999998</v>
      </c>
      <c r="J254" s="3">
        <v>4</v>
      </c>
      <c r="K254" s="1">
        <f>IF(DATOS!$F$26=60,' '!G254,' '!H254)</f>
        <v>1140</v>
      </c>
      <c r="L254" s="1">
        <v>5.1615333333333333E-2</v>
      </c>
      <c r="M254" s="3" t="s">
        <v>415</v>
      </c>
      <c r="Z254" s="49"/>
      <c r="AA254" s="49" t="s">
        <v>415</v>
      </c>
      <c r="AB254" s="49">
        <v>3.1699999999999999E-2</v>
      </c>
      <c r="AC254" s="49">
        <v>5.2466666666666668E-2</v>
      </c>
      <c r="AD254" s="49"/>
      <c r="AE254" s="49"/>
      <c r="AF254" s="49"/>
      <c r="AG254" s="49" t="str">
        <f t="shared" si="35"/>
        <v>3X500</v>
      </c>
      <c r="AH254" s="49">
        <f t="shared" si="36"/>
        <v>3.1699999999999999E-2</v>
      </c>
      <c r="AI254" s="49">
        <f t="shared" si="37"/>
        <v>5.2466666666666668E-2</v>
      </c>
    </row>
    <row r="255" spans="1:35">
      <c r="A255" s="1" t="str">
        <f t="shared" si="38"/>
        <v>4X500</v>
      </c>
      <c r="B255" s="1">
        <f t="shared" si="39"/>
        <v>2.3775000000000001E-2</v>
      </c>
      <c r="C255" s="1">
        <f t="shared" si="40"/>
        <v>3.9350000000000003E-2</v>
      </c>
      <c r="D255" s="4">
        <v>1013.6</v>
      </c>
      <c r="E255" s="4">
        <v>102.4</v>
      </c>
      <c r="F255" s="4">
        <v>1520</v>
      </c>
      <c r="G255" s="4">
        <v>1520</v>
      </c>
      <c r="H255" s="4">
        <v>1520</v>
      </c>
      <c r="I255" s="1">
        <v>1.539196</v>
      </c>
      <c r="J255" s="3">
        <v>6</v>
      </c>
      <c r="K255" s="1">
        <f>IF(DATOS!$F$26=60,' '!G255,' '!H255)</f>
        <v>1520</v>
      </c>
      <c r="L255" s="1">
        <v>3.8711500000000003E-2</v>
      </c>
      <c r="M255" s="3" t="s">
        <v>416</v>
      </c>
      <c r="Z255" s="49"/>
      <c r="AA255" s="49" t="s">
        <v>416</v>
      </c>
      <c r="AB255" s="49">
        <v>2.3775000000000001E-2</v>
      </c>
      <c r="AC255" s="49">
        <v>3.9350000000000003E-2</v>
      </c>
      <c r="AD255" s="49"/>
      <c r="AE255" s="49"/>
      <c r="AF255" s="49"/>
      <c r="AG255" s="49" t="str">
        <f t="shared" si="35"/>
        <v>4X500</v>
      </c>
      <c r="AH255" s="49">
        <f t="shared" si="36"/>
        <v>2.3775000000000001E-2</v>
      </c>
      <c r="AI255" s="49">
        <f t="shared" si="37"/>
        <v>3.9350000000000003E-2</v>
      </c>
    </row>
    <row r="256" spans="1:35">
      <c r="A256" s="1" t="str">
        <f t="shared" si="38"/>
        <v>5X500</v>
      </c>
      <c r="B256" s="1">
        <f t="shared" si="39"/>
        <v>1.9020000000000002E-2</v>
      </c>
      <c r="C256" s="1">
        <f t="shared" si="40"/>
        <v>3.1480000000000001E-2</v>
      </c>
      <c r="D256" s="4">
        <v>1267</v>
      </c>
      <c r="E256" s="4">
        <v>128</v>
      </c>
      <c r="F256" s="4">
        <v>1900</v>
      </c>
      <c r="G256" s="4">
        <v>1900</v>
      </c>
      <c r="H256" s="4">
        <v>1900</v>
      </c>
      <c r="I256" s="1">
        <v>2.3969080000000003</v>
      </c>
      <c r="J256" s="3">
        <v>8</v>
      </c>
      <c r="K256" s="1">
        <f>IF(DATOS!$F$26=60,' '!G256,' '!H256)</f>
        <v>1900</v>
      </c>
      <c r="L256" s="1">
        <v>3.0969200000000002E-2</v>
      </c>
      <c r="M256" s="3" t="s">
        <v>417</v>
      </c>
      <c r="Z256" s="49"/>
      <c r="AA256" s="49" t="s">
        <v>417</v>
      </c>
      <c r="AB256" s="49">
        <v>1.9020000000000002E-2</v>
      </c>
      <c r="AC256" s="49">
        <v>3.1480000000000001E-2</v>
      </c>
      <c r="AD256" s="49"/>
      <c r="AE256" s="49"/>
      <c r="AF256" s="49"/>
      <c r="AG256" s="49" t="str">
        <f t="shared" si="35"/>
        <v>5X500</v>
      </c>
      <c r="AH256" s="49">
        <f t="shared" si="36"/>
        <v>1.9020000000000002E-2</v>
      </c>
      <c r="AI256" s="49">
        <f t="shared" si="37"/>
        <v>3.1480000000000001E-2</v>
      </c>
    </row>
    <row r="257" spans="1:35">
      <c r="A257" s="1" t="str">
        <f t="shared" si="38"/>
        <v>5X750</v>
      </c>
      <c r="B257" s="1">
        <f t="shared" si="39"/>
        <v>1.376E-2</v>
      </c>
      <c r="C257" s="1">
        <f t="shared" si="40"/>
        <v>3.1480000000000001E-2</v>
      </c>
      <c r="D257" s="4">
        <v>1900</v>
      </c>
      <c r="E257" s="4">
        <v>0</v>
      </c>
      <c r="F257" s="4">
        <v>2375</v>
      </c>
      <c r="G257" s="4">
        <v>2375</v>
      </c>
      <c r="H257" s="4">
        <v>2375</v>
      </c>
      <c r="I257" s="1">
        <v>3.634204</v>
      </c>
      <c r="J257" s="3">
        <v>10</v>
      </c>
      <c r="K257" s="1">
        <f>IF(DATOS!$F$26=60,' '!G257,' '!H257)</f>
        <v>2375</v>
      </c>
      <c r="L257" s="1">
        <v>2.62352E-2</v>
      </c>
      <c r="M257" s="3" t="s">
        <v>418</v>
      </c>
      <c r="Z257" s="49"/>
      <c r="AA257" s="49" t="s">
        <v>418</v>
      </c>
      <c r="AB257" s="49">
        <v>1.376E-2</v>
      </c>
      <c r="AC257" s="49">
        <v>3.1480000000000001E-2</v>
      </c>
      <c r="AD257" s="49"/>
      <c r="AE257" s="49"/>
      <c r="AF257" s="49"/>
      <c r="AG257" s="49" t="str">
        <f t="shared" si="35"/>
        <v>5X750</v>
      </c>
      <c r="AH257" s="49">
        <f t="shared" si="36"/>
        <v>1.376E-2</v>
      </c>
      <c r="AI257" s="49">
        <f t="shared" si="37"/>
        <v>3.1480000000000001E-2</v>
      </c>
    </row>
    <row r="258" spans="1:35">
      <c r="A258" s="1" t="str">
        <f t="shared" si="38"/>
        <v>6X750</v>
      </c>
      <c r="B258" s="1">
        <f t="shared" si="39"/>
        <v>1.1466666666666667E-2</v>
      </c>
      <c r="C258" s="1">
        <f t="shared" si="40"/>
        <v>2.6233333333333334E-2</v>
      </c>
      <c r="D258" s="4">
        <v>2280</v>
      </c>
      <c r="E258" s="4">
        <v>183.6</v>
      </c>
      <c r="F258" s="4">
        <v>2850</v>
      </c>
      <c r="G258" s="4">
        <v>2850</v>
      </c>
      <c r="H258" s="4">
        <v>2850</v>
      </c>
      <c r="I258" s="1">
        <v>6.0035600000000002</v>
      </c>
      <c r="J258" s="3">
        <v>12</v>
      </c>
      <c r="K258" s="1">
        <f>IF(DATOS!$F$26=60,' '!G258,' '!H258)</f>
        <v>2850</v>
      </c>
      <c r="L258" s="1">
        <v>2.1862666666666669E-2</v>
      </c>
      <c r="M258" s="3" t="s">
        <v>419</v>
      </c>
      <c r="Z258" s="49"/>
      <c r="AA258" s="49" t="s">
        <v>419</v>
      </c>
      <c r="AB258" s="49">
        <v>1.1466666666666667E-2</v>
      </c>
      <c r="AC258" s="49">
        <v>2.6233333333333334E-2</v>
      </c>
      <c r="AD258" s="49"/>
      <c r="AE258" s="49"/>
      <c r="AF258" s="49"/>
      <c r="AG258" s="49" t="str">
        <f t="shared" si="35"/>
        <v>6X750</v>
      </c>
      <c r="AH258" s="49">
        <f t="shared" si="36"/>
        <v>1.1466666666666667E-2</v>
      </c>
      <c r="AI258" s="49">
        <f t="shared" si="37"/>
        <v>2.6233333333333334E-2</v>
      </c>
    </row>
    <row r="259" spans="1:35">
      <c r="A259" s="1" t="str">
        <f t="shared" si="38"/>
        <v>7X750</v>
      </c>
      <c r="B259" s="1">
        <f t="shared" si="39"/>
        <v>9.8285714285714278E-3</v>
      </c>
      <c r="C259" s="1">
        <f t="shared" si="40"/>
        <v>2.2485714285714286E-2</v>
      </c>
      <c r="D259" s="4">
        <v>2660</v>
      </c>
      <c r="E259" s="4">
        <v>214.2</v>
      </c>
      <c r="F259" s="4">
        <v>3325</v>
      </c>
      <c r="G259" s="4">
        <v>3325</v>
      </c>
      <c r="H259" s="4">
        <v>3325</v>
      </c>
      <c r="I259" s="1">
        <v>9.2589200000000016</v>
      </c>
      <c r="J259" s="3">
        <v>14</v>
      </c>
      <c r="K259" s="1">
        <f>IF(DATOS!$F$26=60,' '!G259,' '!H259)</f>
        <v>3325</v>
      </c>
      <c r="L259" s="1">
        <v>1.873942857142857E-2</v>
      </c>
      <c r="M259" s="3" t="s">
        <v>420</v>
      </c>
      <c r="Z259" s="49"/>
      <c r="AA259" s="49" t="s">
        <v>420</v>
      </c>
      <c r="AB259" s="49">
        <v>9.8285714285714278E-3</v>
      </c>
      <c r="AC259" s="49">
        <v>2.2485714285714286E-2</v>
      </c>
      <c r="AD259" s="49"/>
      <c r="AE259" s="49"/>
      <c r="AF259" s="49"/>
      <c r="AG259" s="49" t="str">
        <f t="shared" si="35"/>
        <v>7X750</v>
      </c>
      <c r="AH259" s="49">
        <f t="shared" si="36"/>
        <v>9.8285714285714278E-3</v>
      </c>
      <c r="AI259" s="49">
        <f t="shared" si="37"/>
        <v>2.2485714285714286E-2</v>
      </c>
    </row>
    <row r="260" spans="1:35">
      <c r="Z260" s="49"/>
      <c r="AA260" s="49">
        <v>0</v>
      </c>
      <c r="AB260" s="49">
        <v>0</v>
      </c>
      <c r="AC260" s="49">
        <v>0</v>
      </c>
      <c r="AD260" s="49"/>
      <c r="AE260" s="49"/>
      <c r="AF260" s="49"/>
      <c r="AG260" s="49">
        <f t="shared" si="35"/>
        <v>0</v>
      </c>
      <c r="AH260" s="49">
        <f t="shared" si="36"/>
        <v>0</v>
      </c>
      <c r="AI260" s="49">
        <f t="shared" si="37"/>
        <v>0</v>
      </c>
    </row>
    <row r="261" spans="1:35">
      <c r="Z261" s="49"/>
      <c r="AA261" s="49">
        <v>0</v>
      </c>
      <c r="AB261" s="49">
        <v>0</v>
      </c>
      <c r="AC261" s="49">
        <v>0</v>
      </c>
      <c r="AD261" s="49"/>
      <c r="AE261" s="49"/>
      <c r="AF261" s="49"/>
      <c r="AG261" s="49">
        <f t="shared" si="35"/>
        <v>0</v>
      </c>
      <c r="AH261" s="49">
        <f t="shared" si="36"/>
        <v>0</v>
      </c>
      <c r="AI261" s="49">
        <f t="shared" si="37"/>
        <v>0</v>
      </c>
    </row>
    <row r="262" spans="1:35">
      <c r="Z262" s="49"/>
      <c r="AA262" s="49">
        <v>0</v>
      </c>
      <c r="AB262" s="49">
        <v>0</v>
      </c>
      <c r="AC262" s="49">
        <v>0</v>
      </c>
      <c r="AD262" s="49"/>
      <c r="AE262" s="49"/>
      <c r="AF262" s="49"/>
      <c r="AG262" s="49">
        <f t="shared" si="35"/>
        <v>0</v>
      </c>
      <c r="AH262" s="49">
        <f t="shared" si="36"/>
        <v>0</v>
      </c>
      <c r="AI262" s="49">
        <f t="shared" si="37"/>
        <v>0</v>
      </c>
    </row>
    <row r="263" spans="1:35">
      <c r="Z263" s="49"/>
      <c r="AA263" s="49">
        <v>0</v>
      </c>
      <c r="AB263" s="49">
        <v>0</v>
      </c>
      <c r="AC263" s="49">
        <v>0</v>
      </c>
      <c r="AD263" s="49"/>
      <c r="AE263" s="49"/>
      <c r="AF263" s="49"/>
      <c r="AG263" s="49">
        <f t="shared" si="35"/>
        <v>0</v>
      </c>
      <c r="AH263" s="49">
        <f t="shared" si="36"/>
        <v>0</v>
      </c>
      <c r="AI263" s="49">
        <f t="shared" si="37"/>
        <v>0</v>
      </c>
    </row>
    <row r="264" spans="1:35">
      <c r="A264" s="1" t="s">
        <v>442</v>
      </c>
      <c r="Z264" s="49"/>
      <c r="AA264" s="49" t="s">
        <v>442</v>
      </c>
      <c r="AB264" s="49">
        <v>0</v>
      </c>
      <c r="AC264" s="49">
        <v>0</v>
      </c>
      <c r="AD264" s="49"/>
      <c r="AE264" s="49"/>
      <c r="AF264" s="49"/>
      <c r="AG264" s="49" t="str">
        <f t="shared" si="35"/>
        <v>EQUIVALENTES (RCOS+XSEN)</v>
      </c>
      <c r="AH264" s="49">
        <f t="shared" si="36"/>
        <v>0</v>
      </c>
      <c r="AI264" s="49">
        <f t="shared" si="37"/>
        <v>0</v>
      </c>
    </row>
    <row r="265" spans="1:35">
      <c r="A265" s="1">
        <f t="shared" ref="A265:A295" si="41">AG265</f>
        <v>0</v>
      </c>
      <c r="B265" s="1" t="str">
        <f t="shared" ref="B265:B295" si="42">AH265</f>
        <v>7X750</v>
      </c>
      <c r="C265" s="1">
        <f t="shared" ref="C265:C295" si="43">AI265</f>
        <v>0</v>
      </c>
      <c r="E265" s="3" t="s">
        <v>420</v>
      </c>
      <c r="Z265" s="49"/>
      <c r="AA265" s="49">
        <v>0</v>
      </c>
      <c r="AB265" s="49" t="s">
        <v>420</v>
      </c>
      <c r="AC265" s="49">
        <v>0</v>
      </c>
      <c r="AD265" s="49"/>
      <c r="AE265" s="49"/>
      <c r="AF265" s="49"/>
      <c r="AG265" s="49">
        <f t="shared" si="35"/>
        <v>0</v>
      </c>
      <c r="AH265" s="49" t="str">
        <f t="shared" si="36"/>
        <v>7X750</v>
      </c>
      <c r="AI265" s="49">
        <f t="shared" si="37"/>
        <v>0</v>
      </c>
    </row>
    <row r="266" spans="1:35">
      <c r="A266" s="1">
        <f t="shared" si="41"/>
        <v>1.9739428571428571E-2</v>
      </c>
      <c r="B266" s="1" t="str">
        <f t="shared" si="42"/>
        <v>7X750</v>
      </c>
      <c r="C266" s="1">
        <f t="shared" si="43"/>
        <v>2.0739428571428572E-2</v>
      </c>
      <c r="D266" s="1">
        <v>1.8747009910190026E-2</v>
      </c>
      <c r="E266" s="3" t="s">
        <v>420</v>
      </c>
      <c r="Z266" s="49"/>
      <c r="AA266" s="49">
        <v>1.9739428571428571E-2</v>
      </c>
      <c r="AB266" s="49" t="s">
        <v>420</v>
      </c>
      <c r="AC266" s="49">
        <v>2.0739428571428572E-2</v>
      </c>
      <c r="AD266" s="49"/>
      <c r="AE266" s="49"/>
      <c r="AF266" s="49"/>
      <c r="AG266" s="49">
        <f t="shared" si="35"/>
        <v>1.9739428571428571E-2</v>
      </c>
      <c r="AH266" s="49" t="str">
        <f t="shared" si="36"/>
        <v>7X750</v>
      </c>
      <c r="AI266" s="49">
        <f t="shared" si="37"/>
        <v>2.0739428571428572E-2</v>
      </c>
    </row>
    <row r="267" spans="1:35">
      <c r="A267" s="1">
        <f t="shared" si="41"/>
        <v>2.286266666666667E-2</v>
      </c>
      <c r="B267" s="1" t="str">
        <f t="shared" si="42"/>
        <v>6X750</v>
      </c>
      <c r="C267" s="1">
        <f t="shared" si="43"/>
        <v>2.3862666666666671E-2</v>
      </c>
      <c r="D267" s="1">
        <v>2.1854844895221697E-2</v>
      </c>
      <c r="E267" s="3" t="s">
        <v>419</v>
      </c>
      <c r="Z267" s="49"/>
      <c r="AA267" s="49">
        <v>2.286266666666667E-2</v>
      </c>
      <c r="AB267" s="49" t="s">
        <v>419</v>
      </c>
      <c r="AC267" s="49">
        <v>2.3862666666666671E-2</v>
      </c>
      <c r="AD267" s="49"/>
      <c r="AE267" s="49"/>
      <c r="AF267" s="49"/>
      <c r="AG267" s="49">
        <f t="shared" si="35"/>
        <v>2.286266666666667E-2</v>
      </c>
      <c r="AH267" s="49" t="str">
        <f t="shared" si="36"/>
        <v>6X750</v>
      </c>
      <c r="AI267" s="49">
        <f t="shared" si="37"/>
        <v>2.3862666666666671E-2</v>
      </c>
    </row>
    <row r="268" spans="1:35">
      <c r="A268" s="1">
        <f t="shared" si="41"/>
        <v>2.7235200000000001E-2</v>
      </c>
      <c r="B268" s="1" t="str">
        <f t="shared" si="42"/>
        <v>5X750</v>
      </c>
      <c r="C268" s="1">
        <f t="shared" si="43"/>
        <v>2.8235200000000002E-2</v>
      </c>
      <c r="D268" s="1">
        <v>2.6205813874266039E-2</v>
      </c>
      <c r="E268" s="3" t="s">
        <v>418</v>
      </c>
      <c r="Z268" s="49"/>
      <c r="AA268" s="49">
        <v>2.7235200000000001E-2</v>
      </c>
      <c r="AB268" s="49" t="s">
        <v>418</v>
      </c>
      <c r="AC268" s="49">
        <v>2.8235200000000002E-2</v>
      </c>
      <c r="AD268" s="49"/>
      <c r="AE268" s="49"/>
      <c r="AF268" s="49"/>
      <c r="AG268" s="49">
        <f t="shared" ref="AG268:AG331" si="44">IF($AG$4="BUENO",AA268,0)</f>
        <v>2.7235200000000001E-2</v>
      </c>
      <c r="AH268" s="49" t="str">
        <f t="shared" ref="AH268:AH331" si="45">IF($AG$4="BUENO",AB268,0)</f>
        <v>5X750</v>
      </c>
      <c r="AI268" s="49">
        <f t="shared" ref="AI268:AI331" si="46">IF($AG$4="BUENO",AC268,0)</f>
        <v>2.8235200000000002E-2</v>
      </c>
    </row>
    <row r="269" spans="1:35">
      <c r="A269" s="1">
        <f t="shared" si="41"/>
        <v>3.1969200000000003E-2</v>
      </c>
      <c r="B269" s="1" t="str">
        <f t="shared" si="42"/>
        <v>5X500</v>
      </c>
      <c r="C269" s="1">
        <f t="shared" si="43"/>
        <v>3.2969200000000004E-2</v>
      </c>
      <c r="D269" s="1">
        <v>3.0939813874266042E-2</v>
      </c>
      <c r="E269" s="3" t="s">
        <v>417</v>
      </c>
      <c r="Z269" s="49"/>
      <c r="AA269" s="49">
        <v>3.1969200000000003E-2</v>
      </c>
      <c r="AB269" s="49" t="s">
        <v>417</v>
      </c>
      <c r="AC269" s="49">
        <v>3.2969200000000004E-2</v>
      </c>
      <c r="AD269" s="49"/>
      <c r="AE269" s="49"/>
      <c r="AF269" s="49"/>
      <c r="AG269" s="49">
        <f t="shared" si="44"/>
        <v>3.1969200000000003E-2</v>
      </c>
      <c r="AH269" s="49" t="str">
        <f t="shared" si="45"/>
        <v>5X500</v>
      </c>
      <c r="AI269" s="49">
        <f t="shared" si="46"/>
        <v>3.2969200000000004E-2</v>
      </c>
    </row>
    <row r="270" spans="1:35">
      <c r="A270" s="1">
        <f t="shared" si="41"/>
        <v>3.9711500000000004E-2</v>
      </c>
      <c r="B270" s="1" t="str">
        <f t="shared" si="42"/>
        <v>4X500</v>
      </c>
      <c r="C270" s="1">
        <f t="shared" si="43"/>
        <v>4.0711500000000005E-2</v>
      </c>
      <c r="D270" s="1">
        <v>3.8649767342832556E-2</v>
      </c>
      <c r="E270" s="3" t="s">
        <v>416</v>
      </c>
      <c r="Z270" s="49"/>
      <c r="AA270" s="49">
        <v>3.9711500000000004E-2</v>
      </c>
      <c r="AB270" s="49" t="s">
        <v>416</v>
      </c>
      <c r="AC270" s="49">
        <v>4.0711500000000005E-2</v>
      </c>
      <c r="AD270" s="49"/>
      <c r="AE270" s="49"/>
      <c r="AF270" s="49"/>
      <c r="AG270" s="49">
        <f t="shared" si="44"/>
        <v>3.9711500000000004E-2</v>
      </c>
      <c r="AH270" s="49" t="str">
        <f t="shared" si="45"/>
        <v>4X500</v>
      </c>
      <c r="AI270" s="49">
        <f t="shared" si="46"/>
        <v>4.0711500000000005E-2</v>
      </c>
    </row>
    <row r="271" spans="1:35">
      <c r="A271" s="1">
        <f t="shared" si="41"/>
        <v>5.2615333333333333E-2</v>
      </c>
      <c r="B271" s="1" t="str">
        <f t="shared" si="42"/>
        <v>3X500</v>
      </c>
      <c r="C271" s="1">
        <f t="shared" si="43"/>
        <v>5.3615333333333334E-2</v>
      </c>
      <c r="D271" s="1">
        <v>5.14996897904434E-2</v>
      </c>
      <c r="E271" s="3" t="s">
        <v>415</v>
      </c>
      <c r="Z271" s="49"/>
      <c r="AA271" s="49">
        <v>5.2615333333333333E-2</v>
      </c>
      <c r="AB271" s="49" t="s">
        <v>415</v>
      </c>
      <c r="AC271" s="49">
        <v>5.3615333333333334E-2</v>
      </c>
      <c r="AD271" s="49"/>
      <c r="AE271" s="49"/>
      <c r="AF271" s="49"/>
      <c r="AG271" s="49">
        <f t="shared" si="44"/>
        <v>5.2615333333333333E-2</v>
      </c>
      <c r="AH271" s="49" t="str">
        <f t="shared" si="45"/>
        <v>3X500</v>
      </c>
      <c r="AI271" s="49">
        <f t="shared" si="46"/>
        <v>5.3615333333333334E-2</v>
      </c>
    </row>
    <row r="272" spans="1:35">
      <c r="A272" s="1">
        <f t="shared" si="41"/>
        <v>6.6588000000000008E-2</v>
      </c>
      <c r="B272" s="1" t="str">
        <f t="shared" si="42"/>
        <v>2X750</v>
      </c>
      <c r="C272" s="1">
        <f t="shared" si="43"/>
        <v>6.7588000000000009E-2</v>
      </c>
      <c r="D272" s="1">
        <v>6.5364534685665096E-2</v>
      </c>
      <c r="E272" s="3" t="s">
        <v>414</v>
      </c>
      <c r="Z272" s="49"/>
      <c r="AA272" s="49">
        <v>6.6588000000000008E-2</v>
      </c>
      <c r="AB272" s="49" t="s">
        <v>414</v>
      </c>
      <c r="AC272" s="49">
        <v>6.7588000000000009E-2</v>
      </c>
      <c r="AD272" s="49"/>
      <c r="AE272" s="49"/>
      <c r="AF272" s="49"/>
      <c r="AG272" s="49">
        <f t="shared" si="44"/>
        <v>6.6588000000000008E-2</v>
      </c>
      <c r="AH272" s="49" t="str">
        <f t="shared" si="45"/>
        <v>2X750</v>
      </c>
      <c r="AI272" s="49">
        <f t="shared" si="46"/>
        <v>6.7588000000000009E-2</v>
      </c>
    </row>
    <row r="273" spans="1:35">
      <c r="A273" s="1">
        <f t="shared" si="41"/>
        <v>7.8423000000000007E-2</v>
      </c>
      <c r="B273" s="1" t="str">
        <f t="shared" si="42"/>
        <v>2X500</v>
      </c>
      <c r="C273" s="1">
        <f t="shared" si="43"/>
        <v>7.9423000000000007E-2</v>
      </c>
      <c r="D273" s="1">
        <v>7.7199534685665108E-2</v>
      </c>
      <c r="E273" s="3" t="s">
        <v>413</v>
      </c>
      <c r="Z273" s="49"/>
      <c r="AA273" s="49">
        <v>7.8423000000000007E-2</v>
      </c>
      <c r="AB273" s="49" t="s">
        <v>413</v>
      </c>
      <c r="AC273" s="49">
        <v>7.9423000000000007E-2</v>
      </c>
      <c r="AD273" s="49"/>
      <c r="AE273" s="49"/>
      <c r="AF273" s="49"/>
      <c r="AG273" s="49">
        <f t="shared" si="44"/>
        <v>7.8423000000000007E-2</v>
      </c>
      <c r="AH273" s="49" t="str">
        <f t="shared" si="45"/>
        <v>2X500</v>
      </c>
      <c r="AI273" s="49">
        <f t="shared" si="46"/>
        <v>7.9423000000000007E-2</v>
      </c>
    </row>
    <row r="274" spans="1:35">
      <c r="A274" s="1">
        <f t="shared" si="41"/>
        <v>8.8014000000000009E-2</v>
      </c>
      <c r="B274" s="49" t="s">
        <v>441</v>
      </c>
      <c r="C274" s="1">
        <f t="shared" si="43"/>
        <v>8.901400000000001E-2</v>
      </c>
      <c r="D274" s="1">
        <v>8.6783753011349316E-2</v>
      </c>
      <c r="E274" s="3" t="s">
        <v>441</v>
      </c>
      <c r="Z274" s="49"/>
      <c r="AA274" s="49">
        <v>8.8014000000000009E-2</v>
      </c>
      <c r="AB274" s="49" t="s">
        <v>441</v>
      </c>
      <c r="AC274" s="49">
        <v>8.901400000000001E-2</v>
      </c>
      <c r="AD274" s="49"/>
      <c r="AE274" s="49"/>
      <c r="AF274" s="49"/>
      <c r="AG274" s="49">
        <f t="shared" si="44"/>
        <v>8.8014000000000009E-2</v>
      </c>
      <c r="AH274" s="49" t="str">
        <f t="shared" si="45"/>
        <v>2X400</v>
      </c>
      <c r="AI274" s="49">
        <f t="shared" si="46"/>
        <v>8.901400000000001E-2</v>
      </c>
    </row>
    <row r="275" spans="1:35">
      <c r="A275" s="1">
        <f t="shared" si="41"/>
        <v>9.4635000000000011E-2</v>
      </c>
      <c r="B275" s="1" t="str">
        <f t="shared" si="42"/>
        <v>2X350</v>
      </c>
      <c r="C275" s="1">
        <f t="shared" si="43"/>
        <v>9.5635000000000012E-2</v>
      </c>
      <c r="D275" s="1">
        <v>9.3397971337033522E-2</v>
      </c>
      <c r="E275" s="3" t="s">
        <v>412</v>
      </c>
      <c r="Z275" s="49"/>
      <c r="AA275" s="49">
        <v>9.4635000000000011E-2</v>
      </c>
      <c r="AB275" s="49" t="s">
        <v>412</v>
      </c>
      <c r="AC275" s="49">
        <v>9.5635000000000012E-2</v>
      </c>
      <c r="AD275" s="49"/>
      <c r="AE275" s="49"/>
      <c r="AF275" s="49"/>
      <c r="AG275" s="49">
        <f t="shared" si="44"/>
        <v>9.4635000000000011E-2</v>
      </c>
      <c r="AH275" s="49" t="str">
        <f t="shared" si="45"/>
        <v>2X350</v>
      </c>
      <c r="AI275" s="49">
        <f t="shared" si="46"/>
        <v>9.5635000000000012E-2</v>
      </c>
    </row>
    <row r="276" spans="1:35">
      <c r="A276" s="1">
        <f t="shared" si="41"/>
        <v>0.10422600000000001</v>
      </c>
      <c r="B276" s="1" t="str">
        <f t="shared" si="42"/>
        <v>2X300</v>
      </c>
      <c r="C276" s="1">
        <f t="shared" si="43"/>
        <v>0.10522600000000001</v>
      </c>
      <c r="D276" s="1">
        <v>0.10298218966271773</v>
      </c>
      <c r="E276" s="3" t="s">
        <v>411</v>
      </c>
      <c r="Z276" s="49"/>
      <c r="AA276" s="49">
        <v>0.10422600000000001</v>
      </c>
      <c r="AB276" s="49" t="s">
        <v>411</v>
      </c>
      <c r="AC276" s="49">
        <v>0.10522600000000001</v>
      </c>
      <c r="AD276" s="49"/>
      <c r="AE276" s="49"/>
      <c r="AF276" s="49"/>
      <c r="AG276" s="49">
        <f t="shared" si="44"/>
        <v>0.10422600000000001</v>
      </c>
      <c r="AH276" s="49" t="str">
        <f t="shared" si="45"/>
        <v>2X300</v>
      </c>
      <c r="AI276" s="49">
        <f t="shared" si="46"/>
        <v>0.10522600000000001</v>
      </c>
    </row>
    <row r="277" spans="1:35">
      <c r="A277" s="1">
        <f t="shared" si="41"/>
        <v>0.118227</v>
      </c>
      <c r="B277" s="1" t="str">
        <f t="shared" si="42"/>
        <v>2X250</v>
      </c>
      <c r="C277" s="1">
        <f t="shared" si="43"/>
        <v>0.119227</v>
      </c>
      <c r="D277" s="1">
        <v>0.11697640798840193</v>
      </c>
      <c r="E277" s="3" t="s">
        <v>410</v>
      </c>
      <c r="Z277" s="49"/>
      <c r="AA277" s="49">
        <v>0.118227</v>
      </c>
      <c r="AB277" s="49" t="s">
        <v>410</v>
      </c>
      <c r="AC277" s="49">
        <v>0.119227</v>
      </c>
      <c r="AD277" s="49"/>
      <c r="AE277" s="49"/>
      <c r="AF277" s="49"/>
      <c r="AG277" s="49">
        <f t="shared" si="44"/>
        <v>0.118227</v>
      </c>
      <c r="AH277" s="49" t="str">
        <f t="shared" si="45"/>
        <v>2X250</v>
      </c>
      <c r="AI277" s="49">
        <f t="shared" si="46"/>
        <v>0.119227</v>
      </c>
    </row>
    <row r="278" spans="1:35">
      <c r="A278" s="1">
        <f t="shared" si="41"/>
        <v>0.13217600000000002</v>
      </c>
      <c r="B278" s="1">
        <f t="shared" si="42"/>
        <v>750</v>
      </c>
      <c r="C278" s="1">
        <f t="shared" si="43"/>
        <v>0.13317600000000002</v>
      </c>
      <c r="D278" s="1">
        <v>0.13062906937133018</v>
      </c>
      <c r="E278" s="3">
        <v>750</v>
      </c>
      <c r="Z278" s="49"/>
      <c r="AA278" s="49">
        <v>0.13217600000000002</v>
      </c>
      <c r="AB278" s="49">
        <v>750</v>
      </c>
      <c r="AC278" s="49">
        <v>0.13317600000000002</v>
      </c>
      <c r="AD278" s="49"/>
      <c r="AE278" s="49"/>
      <c r="AF278" s="49"/>
      <c r="AG278" s="49">
        <f t="shared" si="44"/>
        <v>0.13217600000000002</v>
      </c>
      <c r="AH278" s="49">
        <f t="shared" si="45"/>
        <v>750</v>
      </c>
      <c r="AI278" s="49">
        <f t="shared" si="46"/>
        <v>0.13317600000000002</v>
      </c>
    </row>
    <row r="279" spans="1:35">
      <c r="A279" s="1">
        <f t="shared" si="41"/>
        <v>0.14405600000000002</v>
      </c>
      <c r="B279" s="1">
        <f t="shared" si="42"/>
        <v>750</v>
      </c>
      <c r="C279" s="1">
        <f t="shared" si="43"/>
        <v>0.14505600000000002</v>
      </c>
      <c r="D279" s="1">
        <v>0.14250906937133018</v>
      </c>
      <c r="E279" s="3">
        <v>750</v>
      </c>
      <c r="Z279" s="49"/>
      <c r="AA279" s="49">
        <v>0.14405600000000002</v>
      </c>
      <c r="AB279" s="49">
        <v>750</v>
      </c>
      <c r="AC279" s="49">
        <v>0.14505600000000002</v>
      </c>
      <c r="AD279" s="49"/>
      <c r="AE279" s="49"/>
      <c r="AF279" s="49"/>
      <c r="AG279" s="49">
        <f t="shared" si="44"/>
        <v>0.14405600000000002</v>
      </c>
      <c r="AH279" s="49">
        <f t="shared" si="45"/>
        <v>750</v>
      </c>
      <c r="AI279" s="49">
        <f t="shared" si="46"/>
        <v>0.14505600000000002</v>
      </c>
    </row>
    <row r="280" spans="1:35">
      <c r="A280" s="1">
        <f t="shared" si="41"/>
        <v>0.15584600000000001</v>
      </c>
      <c r="B280" s="1">
        <f t="shared" si="42"/>
        <v>500</v>
      </c>
      <c r="C280" s="1">
        <f t="shared" si="43"/>
        <v>0.15684600000000001</v>
      </c>
      <c r="D280" s="1">
        <v>0.1542990693713302</v>
      </c>
      <c r="E280" s="3">
        <v>500</v>
      </c>
      <c r="Z280" s="49"/>
      <c r="AA280" s="49">
        <v>0.15584600000000001</v>
      </c>
      <c r="AB280" s="49">
        <v>500</v>
      </c>
      <c r="AC280" s="49">
        <v>0.15684600000000001</v>
      </c>
      <c r="AD280" s="49"/>
      <c r="AE280" s="49"/>
      <c r="AF280" s="49"/>
      <c r="AG280" s="49">
        <f t="shared" si="44"/>
        <v>0.15584600000000001</v>
      </c>
      <c r="AH280" s="49">
        <f t="shared" si="45"/>
        <v>500</v>
      </c>
      <c r="AI280" s="49">
        <f t="shared" si="46"/>
        <v>0.15684600000000001</v>
      </c>
    </row>
    <row r="281" spans="1:35">
      <c r="A281" s="1">
        <f t="shared" si="41"/>
        <v>0.16533999999999999</v>
      </c>
      <c r="B281" s="1">
        <f t="shared" si="42"/>
        <v>500</v>
      </c>
      <c r="C281" s="1">
        <f t="shared" si="43"/>
        <v>0.16633999999999999</v>
      </c>
      <c r="D281" s="1">
        <v>0.16379265836076559</v>
      </c>
      <c r="E281" s="3">
        <v>450</v>
      </c>
      <c r="Z281" s="49"/>
      <c r="AA281" s="49">
        <v>0.16533999999999999</v>
      </c>
      <c r="AB281" s="49">
        <v>500</v>
      </c>
      <c r="AC281" s="49">
        <v>0.16633999999999999</v>
      </c>
      <c r="AD281" s="49"/>
      <c r="AE281" s="49"/>
      <c r="AF281" s="49"/>
      <c r="AG281" s="49">
        <f t="shared" si="44"/>
        <v>0.16533999999999999</v>
      </c>
      <c r="AH281" s="49">
        <f t="shared" si="45"/>
        <v>500</v>
      </c>
      <c r="AI281" s="49">
        <f t="shared" si="46"/>
        <v>0.16633999999999999</v>
      </c>
    </row>
    <row r="282" spans="1:35">
      <c r="A282" s="1">
        <f t="shared" si="41"/>
        <v>0.17502800000000002</v>
      </c>
      <c r="B282" s="1">
        <f t="shared" si="42"/>
        <v>500</v>
      </c>
      <c r="C282" s="1">
        <f t="shared" si="43"/>
        <v>0.17602800000000002</v>
      </c>
      <c r="D282" s="1">
        <v>0.17346750602269861</v>
      </c>
      <c r="E282" s="3">
        <v>400</v>
      </c>
      <c r="Z282" s="49"/>
      <c r="AA282" s="49">
        <v>0.17502800000000002</v>
      </c>
      <c r="AB282" s="49">
        <v>500</v>
      </c>
      <c r="AC282" s="49">
        <v>0.17602800000000002</v>
      </c>
      <c r="AD282" s="49"/>
      <c r="AE282" s="49"/>
      <c r="AF282" s="49"/>
      <c r="AG282" s="49">
        <f t="shared" si="44"/>
        <v>0.17502800000000002</v>
      </c>
      <c r="AH282" s="49">
        <f t="shared" si="45"/>
        <v>500</v>
      </c>
      <c r="AI282" s="49">
        <f t="shared" si="46"/>
        <v>0.17602800000000002</v>
      </c>
    </row>
    <row r="283" spans="1:35">
      <c r="A283" s="1">
        <f t="shared" si="41"/>
        <v>0.18827000000000002</v>
      </c>
      <c r="B283" s="1">
        <f t="shared" si="42"/>
        <v>350</v>
      </c>
      <c r="C283" s="1">
        <f t="shared" si="43"/>
        <v>0.18927000000000002</v>
      </c>
      <c r="D283" s="1">
        <v>0.18669594267406703</v>
      </c>
      <c r="E283" s="3">
        <v>350</v>
      </c>
      <c r="Z283" s="49"/>
      <c r="AA283" s="49">
        <v>0.18827000000000002</v>
      </c>
      <c r="AB283" s="49">
        <v>350</v>
      </c>
      <c r="AC283" s="49">
        <v>0.18927000000000002</v>
      </c>
      <c r="AD283" s="49"/>
      <c r="AE283" s="49"/>
      <c r="AF283" s="49"/>
      <c r="AG283" s="49">
        <f t="shared" si="44"/>
        <v>0.18827000000000002</v>
      </c>
      <c r="AH283" s="49">
        <f t="shared" si="45"/>
        <v>350</v>
      </c>
      <c r="AI283" s="49">
        <f t="shared" si="46"/>
        <v>0.18927000000000002</v>
      </c>
    </row>
    <row r="284" spans="1:35">
      <c r="A284" s="1">
        <f t="shared" si="41"/>
        <v>0.20745200000000003</v>
      </c>
      <c r="B284" s="1">
        <f t="shared" si="42"/>
        <v>300</v>
      </c>
      <c r="C284" s="1">
        <f t="shared" si="43"/>
        <v>0.20845200000000003</v>
      </c>
      <c r="D284" s="1">
        <v>0.20586437932543544</v>
      </c>
      <c r="E284" s="3">
        <v>300</v>
      </c>
      <c r="Z284" s="49"/>
      <c r="AA284" s="49">
        <v>0.20745200000000003</v>
      </c>
      <c r="AB284" s="49">
        <v>300</v>
      </c>
      <c r="AC284" s="49">
        <v>0.20845200000000003</v>
      </c>
      <c r="AD284" s="49"/>
      <c r="AE284" s="49"/>
      <c r="AF284" s="49"/>
      <c r="AG284" s="49">
        <f t="shared" si="44"/>
        <v>0.20745200000000003</v>
      </c>
      <c r="AH284" s="49">
        <f t="shared" si="45"/>
        <v>300</v>
      </c>
      <c r="AI284" s="49">
        <f t="shared" si="46"/>
        <v>0.20845200000000003</v>
      </c>
    </row>
    <row r="285" spans="1:35">
      <c r="A285" s="1">
        <f t="shared" si="41"/>
        <v>0.235454</v>
      </c>
      <c r="B285" s="1">
        <f t="shared" si="42"/>
        <v>250</v>
      </c>
      <c r="C285" s="1">
        <f t="shared" si="43"/>
        <v>0.236454</v>
      </c>
      <c r="D285" s="1">
        <v>0.23385281597680385</v>
      </c>
      <c r="E285" s="3">
        <v>250</v>
      </c>
      <c r="Z285" s="49"/>
      <c r="AA285" s="49">
        <v>0.235454</v>
      </c>
      <c r="AB285" s="49">
        <v>250</v>
      </c>
      <c r="AC285" s="49">
        <v>0.236454</v>
      </c>
      <c r="AD285" s="49"/>
      <c r="AE285" s="49"/>
      <c r="AF285" s="49"/>
      <c r="AG285" s="49">
        <f t="shared" si="44"/>
        <v>0.235454</v>
      </c>
      <c r="AH285" s="49">
        <f t="shared" si="45"/>
        <v>250</v>
      </c>
      <c r="AI285" s="49">
        <f t="shared" si="46"/>
        <v>0.236454</v>
      </c>
    </row>
    <row r="286" spans="1:35">
      <c r="A286" s="1">
        <f t="shared" si="41"/>
        <v>0.26042000000000004</v>
      </c>
      <c r="B286" s="1" t="str">
        <f t="shared" si="42"/>
        <v>4/0</v>
      </c>
      <c r="C286" s="1">
        <f t="shared" si="43"/>
        <v>0.26142000000000004</v>
      </c>
      <c r="D286" s="1">
        <v>0.25883361235712926</v>
      </c>
      <c r="E286" s="3" t="s">
        <v>3</v>
      </c>
      <c r="Z286" s="49"/>
      <c r="AA286" s="49">
        <v>0.26042000000000004</v>
      </c>
      <c r="AB286" s="49" t="s">
        <v>3</v>
      </c>
      <c r="AC286" s="49">
        <v>0.26142000000000004</v>
      </c>
      <c r="AD286" s="49"/>
      <c r="AE286" s="49"/>
      <c r="AF286" s="49"/>
      <c r="AG286" s="49">
        <f t="shared" si="44"/>
        <v>0.26042000000000004</v>
      </c>
      <c r="AH286" s="49" t="str">
        <f t="shared" si="45"/>
        <v>4/0</v>
      </c>
      <c r="AI286" s="49">
        <f t="shared" si="46"/>
        <v>0.26142000000000004</v>
      </c>
    </row>
    <row r="287" spans="1:35">
      <c r="A287" s="1">
        <f t="shared" si="41"/>
        <v>0.30925400000000003</v>
      </c>
      <c r="B287" s="1" t="str">
        <f t="shared" si="42"/>
        <v>3/0</v>
      </c>
      <c r="C287" s="1">
        <f t="shared" si="43"/>
        <v>0.31025400000000003</v>
      </c>
      <c r="D287" s="1">
        <v>0.30765281597680388</v>
      </c>
      <c r="E287" s="3" t="s">
        <v>2</v>
      </c>
      <c r="Z287" s="49"/>
      <c r="AA287" s="49">
        <v>0.30925400000000003</v>
      </c>
      <c r="AB287" s="49" t="s">
        <v>2</v>
      </c>
      <c r="AC287" s="49">
        <v>0.31025400000000003</v>
      </c>
      <c r="AD287" s="49"/>
      <c r="AE287" s="49"/>
      <c r="AF287" s="49"/>
      <c r="AG287" s="49">
        <f t="shared" si="44"/>
        <v>0.30925400000000003</v>
      </c>
      <c r="AH287" s="49" t="str">
        <f t="shared" si="45"/>
        <v>3/0</v>
      </c>
      <c r="AI287" s="49">
        <f t="shared" si="46"/>
        <v>0.31025400000000003</v>
      </c>
    </row>
    <row r="288" spans="1:35">
      <c r="A288" s="1">
        <f t="shared" si="41"/>
        <v>0.37412400000000001</v>
      </c>
      <c r="B288" s="1" t="str">
        <f t="shared" si="42"/>
        <v>2/0</v>
      </c>
      <c r="C288" s="1">
        <f t="shared" si="43"/>
        <v>0.37512400000000001</v>
      </c>
      <c r="D288" s="1">
        <v>0.37249610029010533</v>
      </c>
      <c r="E288" s="3" t="s">
        <v>1</v>
      </c>
      <c r="Z288" s="49"/>
      <c r="AA288" s="49">
        <v>0.37412400000000001</v>
      </c>
      <c r="AB288" s="49" t="s">
        <v>1</v>
      </c>
      <c r="AC288" s="49">
        <v>0.37512400000000001</v>
      </c>
      <c r="AD288" s="49"/>
      <c r="AE288" s="49"/>
      <c r="AF288" s="49"/>
      <c r="AG288" s="49">
        <f t="shared" si="44"/>
        <v>0.37412400000000001</v>
      </c>
      <c r="AH288" s="49" t="str">
        <f t="shared" si="45"/>
        <v>2/0</v>
      </c>
      <c r="AI288" s="49">
        <f t="shared" si="46"/>
        <v>0.37512400000000001</v>
      </c>
    </row>
    <row r="289" spans="1:35">
      <c r="A289" s="1">
        <f t="shared" si="41"/>
        <v>0.43470599999999998</v>
      </c>
      <c r="B289" s="1" t="str">
        <f t="shared" si="42"/>
        <v>1/0</v>
      </c>
      <c r="C289" s="1">
        <f t="shared" si="43"/>
        <v>0.43570599999999998</v>
      </c>
      <c r="D289" s="1">
        <v>0.43306453694147373</v>
      </c>
      <c r="E289" s="3" t="s">
        <v>0</v>
      </c>
      <c r="Z289" s="49"/>
      <c r="AA289" s="49">
        <v>0.43470599999999998</v>
      </c>
      <c r="AB289" s="49" t="s">
        <v>0</v>
      </c>
      <c r="AC289" s="49">
        <v>0.43570599999999998</v>
      </c>
      <c r="AD289" s="49"/>
      <c r="AE289" s="49"/>
      <c r="AF289" s="49"/>
      <c r="AG289" s="49">
        <f t="shared" si="44"/>
        <v>0.43470599999999998</v>
      </c>
      <c r="AH289" s="49" t="str">
        <f t="shared" si="45"/>
        <v>1/0</v>
      </c>
      <c r="AI289" s="49">
        <f t="shared" si="46"/>
        <v>0.43570599999999998</v>
      </c>
    </row>
    <row r="290" spans="1:35">
      <c r="A290" s="1">
        <f t="shared" si="41"/>
        <v>0.67377000000000009</v>
      </c>
      <c r="B290" s="1">
        <f t="shared" si="42"/>
        <v>2</v>
      </c>
      <c r="C290" s="1">
        <f t="shared" si="43"/>
        <v>0.67477000000000009</v>
      </c>
      <c r="D290" s="1">
        <v>0.67210141024421066</v>
      </c>
      <c r="E290" s="3">
        <v>2</v>
      </c>
      <c r="Z290" s="49"/>
      <c r="AA290" s="49">
        <v>0.67377000000000009</v>
      </c>
      <c r="AB290" s="49">
        <v>2</v>
      </c>
      <c r="AC290" s="49">
        <v>0.67477000000000009</v>
      </c>
      <c r="AD290" s="49"/>
      <c r="AE290" s="49"/>
      <c r="AF290" s="49"/>
      <c r="AG290" s="49">
        <f t="shared" si="44"/>
        <v>0.67377000000000009</v>
      </c>
      <c r="AH290" s="49">
        <f t="shared" si="45"/>
        <v>2</v>
      </c>
      <c r="AI290" s="49">
        <f t="shared" si="46"/>
        <v>0.67477000000000009</v>
      </c>
    </row>
    <row r="291" spans="1:35">
      <c r="A291" s="1">
        <f t="shared" si="41"/>
        <v>1.0028919999999997</v>
      </c>
      <c r="B291" s="1">
        <f t="shared" si="42"/>
        <v>4</v>
      </c>
      <c r="C291" s="1">
        <f t="shared" si="43"/>
        <v>1.0038919999999996</v>
      </c>
      <c r="D291" s="1">
        <v>1.0011831312088804</v>
      </c>
      <c r="E291" s="3">
        <v>4</v>
      </c>
      <c r="Z291" s="49"/>
      <c r="AA291" s="49">
        <v>1.0028919999999997</v>
      </c>
      <c r="AB291" s="49">
        <v>4</v>
      </c>
      <c r="AC291" s="49">
        <v>1.0038919999999996</v>
      </c>
      <c r="AD291" s="49"/>
      <c r="AE291" s="49"/>
      <c r="AF291" s="49"/>
      <c r="AG291" s="49">
        <f t="shared" si="44"/>
        <v>1.0028919999999997</v>
      </c>
      <c r="AH291" s="49">
        <f t="shared" si="45"/>
        <v>4</v>
      </c>
      <c r="AI291" s="49">
        <f t="shared" si="46"/>
        <v>1.0038919999999996</v>
      </c>
    </row>
    <row r="292" spans="1:35">
      <c r="A292" s="1">
        <f t="shared" si="41"/>
        <v>1.5401959999999999</v>
      </c>
      <c r="B292" s="1">
        <f t="shared" si="42"/>
        <v>6</v>
      </c>
      <c r="C292" s="1">
        <f t="shared" si="43"/>
        <v>1.5411959999999998</v>
      </c>
      <c r="D292" s="1">
        <v>1.5384332888249186</v>
      </c>
      <c r="E292" s="3">
        <v>6</v>
      </c>
      <c r="Z292" s="49"/>
      <c r="AA292" s="49">
        <v>1.5401959999999999</v>
      </c>
      <c r="AB292" s="49">
        <v>6</v>
      </c>
      <c r="AC292" s="49">
        <v>1.5411959999999998</v>
      </c>
      <c r="AD292" s="49"/>
      <c r="AE292" s="49"/>
      <c r="AF292" s="49"/>
      <c r="AG292" s="49">
        <f t="shared" si="44"/>
        <v>1.5401959999999999</v>
      </c>
      <c r="AH292" s="49">
        <f t="shared" si="45"/>
        <v>6</v>
      </c>
      <c r="AI292" s="49">
        <f t="shared" si="46"/>
        <v>1.5411959999999998</v>
      </c>
    </row>
    <row r="293" spans="1:35">
      <c r="A293" s="1">
        <f t="shared" si="41"/>
        <v>2.3979080000000002</v>
      </c>
      <c r="B293" s="1">
        <f t="shared" si="42"/>
        <v>8</v>
      </c>
      <c r="C293" s="1">
        <f t="shared" si="43"/>
        <v>2.398908</v>
      </c>
      <c r="D293" s="1">
        <v>2.3961317254762875</v>
      </c>
      <c r="E293" s="3">
        <v>8</v>
      </c>
      <c r="Z293" s="49"/>
      <c r="AA293" s="49">
        <v>2.3979080000000002</v>
      </c>
      <c r="AB293" s="49">
        <v>8</v>
      </c>
      <c r="AC293" s="49">
        <v>2.398908</v>
      </c>
      <c r="AD293" s="49"/>
      <c r="AE293" s="49"/>
      <c r="AF293" s="49"/>
      <c r="AG293" s="49">
        <f t="shared" si="44"/>
        <v>2.3979080000000002</v>
      </c>
      <c r="AH293" s="49">
        <f t="shared" si="45"/>
        <v>8</v>
      </c>
      <c r="AI293" s="49">
        <f t="shared" si="46"/>
        <v>2.398908</v>
      </c>
    </row>
    <row r="294" spans="1:35">
      <c r="A294" s="1">
        <f t="shared" si="41"/>
        <v>3.6352039999999999</v>
      </c>
      <c r="B294" s="1">
        <f t="shared" si="42"/>
        <v>10</v>
      </c>
      <c r="C294" s="1">
        <f t="shared" si="43"/>
        <v>3.6362039999999998</v>
      </c>
      <c r="D294" s="1">
        <v>3.6334548521735504</v>
      </c>
      <c r="E294" s="3">
        <v>10</v>
      </c>
      <c r="Z294" s="49"/>
      <c r="AA294" s="49">
        <v>3.6352039999999999</v>
      </c>
      <c r="AB294" s="49">
        <v>10</v>
      </c>
      <c r="AC294" s="49">
        <v>3.6362039999999998</v>
      </c>
      <c r="AD294" s="49"/>
      <c r="AE294" s="49"/>
      <c r="AF294" s="49"/>
      <c r="AG294" s="49">
        <f t="shared" si="44"/>
        <v>3.6352039999999999</v>
      </c>
      <c r="AH294" s="49">
        <f t="shared" si="45"/>
        <v>10</v>
      </c>
      <c r="AI294" s="49">
        <f t="shared" si="46"/>
        <v>3.6362039999999998</v>
      </c>
    </row>
    <row r="295" spans="1:35">
      <c r="A295" s="1">
        <f t="shared" si="41"/>
        <v>6.0010000000000003</v>
      </c>
      <c r="B295" s="1">
        <f t="shared" si="42"/>
        <v>12</v>
      </c>
      <c r="C295" s="1">
        <f t="shared" si="43"/>
        <v>6.0020000000000007</v>
      </c>
      <c r="D295" s="1">
        <v>3.64</v>
      </c>
      <c r="E295" s="3">
        <v>12</v>
      </c>
      <c r="Z295" s="49"/>
      <c r="AA295" s="49">
        <v>6.0010000000000003</v>
      </c>
      <c r="AB295" s="49">
        <v>12</v>
      </c>
      <c r="AC295" s="49">
        <v>6.0020000000000007</v>
      </c>
      <c r="AD295" s="49"/>
      <c r="AE295" s="49"/>
      <c r="AF295" s="49"/>
      <c r="AG295" s="49">
        <f t="shared" si="44"/>
        <v>6.0010000000000003</v>
      </c>
      <c r="AH295" s="49">
        <f t="shared" si="45"/>
        <v>12</v>
      </c>
      <c r="AI295" s="49">
        <f t="shared" si="46"/>
        <v>6.0020000000000007</v>
      </c>
    </row>
    <row r="296" spans="1:35">
      <c r="A296" s="1">
        <f>AG296</f>
        <v>9.25</v>
      </c>
      <c r="B296" s="1">
        <f>AH296</f>
        <v>14</v>
      </c>
      <c r="C296" s="1">
        <f>AI296</f>
        <v>9.26</v>
      </c>
      <c r="D296" s="1">
        <v>3.64</v>
      </c>
      <c r="E296" s="3">
        <v>12</v>
      </c>
      <c r="Z296" s="49"/>
      <c r="AA296" s="49">
        <v>9.25</v>
      </c>
      <c r="AB296" s="49">
        <v>14</v>
      </c>
      <c r="AC296" s="49">
        <v>9.26</v>
      </c>
      <c r="AD296" s="49"/>
      <c r="AE296" s="49"/>
      <c r="AF296" s="49"/>
      <c r="AG296" s="49">
        <f t="shared" si="44"/>
        <v>9.25</v>
      </c>
      <c r="AH296" s="49">
        <f t="shared" si="45"/>
        <v>14</v>
      </c>
      <c r="AI296" s="49">
        <f t="shared" si="46"/>
        <v>9.26</v>
      </c>
    </row>
    <row r="297" spans="1:35">
      <c r="Z297" s="49"/>
      <c r="AA297" s="49">
        <v>0</v>
      </c>
      <c r="AB297" s="49">
        <v>0</v>
      </c>
      <c r="AC297" s="49">
        <v>0</v>
      </c>
      <c r="AD297" s="49"/>
      <c r="AE297" s="49"/>
      <c r="AF297" s="49"/>
      <c r="AG297" s="49">
        <f t="shared" si="44"/>
        <v>0</v>
      </c>
      <c r="AH297" s="49">
        <f t="shared" si="45"/>
        <v>0</v>
      </c>
      <c r="AI297" s="49">
        <f t="shared" si="46"/>
        <v>0</v>
      </c>
    </row>
    <row r="298" spans="1:35">
      <c r="Z298" s="49"/>
      <c r="AA298" s="49">
        <v>0</v>
      </c>
      <c r="AB298" s="49">
        <v>0</v>
      </c>
      <c r="AC298" s="49">
        <v>0</v>
      </c>
      <c r="AD298" s="49"/>
      <c r="AE298" s="49"/>
      <c r="AF298" s="49"/>
      <c r="AG298" s="49">
        <f t="shared" si="44"/>
        <v>0</v>
      </c>
      <c r="AH298" s="49">
        <f t="shared" si="45"/>
        <v>0</v>
      </c>
      <c r="AI298" s="49">
        <f t="shared" si="46"/>
        <v>0</v>
      </c>
    </row>
    <row r="299" spans="1:35">
      <c r="A299" s="2" t="s">
        <v>443</v>
      </c>
      <c r="B299" s="2"/>
      <c r="C299" s="2"/>
      <c r="D299" s="2"/>
      <c r="E299" s="2"/>
      <c r="F299" s="2"/>
      <c r="G299" s="2"/>
      <c r="H299" s="2"/>
      <c r="Z299" s="49"/>
      <c r="AA299" s="49" t="s">
        <v>443</v>
      </c>
      <c r="AB299" s="49">
        <v>0</v>
      </c>
      <c r="AC299" s="49">
        <v>0</v>
      </c>
      <c r="AD299" s="49"/>
      <c r="AE299" s="49"/>
      <c r="AF299" s="49"/>
      <c r="AG299" s="49" t="str">
        <f t="shared" si="44"/>
        <v>RESISTENCIA Y REACTANCIA DE CONDUCTORES DE ALUMINIO</v>
      </c>
      <c r="AH299" s="49">
        <f t="shared" si="45"/>
        <v>0</v>
      </c>
      <c r="AI299" s="49">
        <f t="shared" si="46"/>
        <v>0</v>
      </c>
    </row>
    <row r="300" spans="1:35">
      <c r="A300" s="2" t="s">
        <v>408</v>
      </c>
      <c r="B300" s="2" t="s">
        <v>444</v>
      </c>
      <c r="C300" s="2"/>
      <c r="D300" s="2" t="s">
        <v>445</v>
      </c>
      <c r="E300" s="2"/>
      <c r="F300" s="2"/>
      <c r="G300" s="2"/>
      <c r="H300" s="2"/>
      <c r="Z300" s="49"/>
      <c r="AA300" s="49" t="s">
        <v>408</v>
      </c>
      <c r="AB300" s="49" t="s">
        <v>444</v>
      </c>
      <c r="AC300" s="49">
        <v>0</v>
      </c>
      <c r="AD300" s="49"/>
      <c r="AE300" s="49"/>
      <c r="AF300" s="49"/>
      <c r="AG300" s="49" t="str">
        <f t="shared" si="44"/>
        <v>CALIBRE</v>
      </c>
      <c r="AH300" s="49" t="str">
        <f t="shared" si="45"/>
        <v>OHMS/1000 FEET</v>
      </c>
      <c r="AI300" s="49">
        <f t="shared" si="46"/>
        <v>0</v>
      </c>
    </row>
    <row r="301" spans="1:35">
      <c r="A301" s="3"/>
      <c r="B301" s="1" t="s">
        <v>17</v>
      </c>
      <c r="C301" s="1" t="s">
        <v>436</v>
      </c>
      <c r="D301" s="1" t="s">
        <v>17</v>
      </c>
      <c r="E301" s="1" t="s">
        <v>436</v>
      </c>
      <c r="F301" s="1" t="s">
        <v>446</v>
      </c>
      <c r="M301" s="49" t="s">
        <v>17</v>
      </c>
      <c r="N301" s="49" t="s">
        <v>436</v>
      </c>
      <c r="Z301" s="49"/>
      <c r="AA301" s="49">
        <v>0</v>
      </c>
      <c r="AB301" s="49" t="s">
        <v>17</v>
      </c>
      <c r="AC301" s="49" t="s">
        <v>436</v>
      </c>
      <c r="AD301" s="49"/>
      <c r="AE301" s="49"/>
      <c r="AF301" s="49"/>
      <c r="AG301" s="49">
        <f t="shared" si="44"/>
        <v>0</v>
      </c>
      <c r="AH301" s="49" t="str">
        <f t="shared" si="45"/>
        <v>X</v>
      </c>
      <c r="AI301" s="49" t="str">
        <f t="shared" si="46"/>
        <v>R</v>
      </c>
    </row>
    <row r="302" spans="1:35">
      <c r="A302" s="1">
        <f t="shared" ref="A302:A320" si="47">AG302</f>
        <v>2</v>
      </c>
      <c r="B302" s="1">
        <f t="shared" ref="B302:B320" si="48">AH302</f>
        <v>0.32</v>
      </c>
      <c r="C302" s="1">
        <f t="shared" ref="C302:C320" si="49">AI302</f>
        <v>5.7000000000000002E-2</v>
      </c>
      <c r="D302" s="108">
        <v>0.187</v>
      </c>
      <c r="E302" s="108">
        <v>1.05</v>
      </c>
      <c r="F302" s="3">
        <v>9.6999999999999993</v>
      </c>
      <c r="G302" s="1">
        <f t="shared" ref="G302:G311" si="50">(E302*$D$14)+(SIN(ACOS($D$14))*D302)</f>
        <v>1.0265114102442106</v>
      </c>
      <c r="H302" s="3">
        <v>2</v>
      </c>
      <c r="J302" s="3"/>
      <c r="K302" s="129">
        <v>2</v>
      </c>
      <c r="M302" s="108">
        <v>0.187</v>
      </c>
      <c r="N302" s="108">
        <v>1.05</v>
      </c>
      <c r="Z302" s="49"/>
      <c r="AA302" s="49">
        <v>2</v>
      </c>
      <c r="AB302" s="49">
        <v>0.32</v>
      </c>
      <c r="AC302" s="49">
        <v>5.7000000000000002E-2</v>
      </c>
      <c r="AD302" s="49"/>
      <c r="AE302" s="49"/>
      <c r="AF302" s="49"/>
      <c r="AG302" s="49">
        <f t="shared" si="44"/>
        <v>2</v>
      </c>
      <c r="AH302" s="49">
        <f t="shared" si="45"/>
        <v>0.32</v>
      </c>
      <c r="AI302" s="49">
        <f t="shared" si="46"/>
        <v>5.7000000000000002E-2</v>
      </c>
    </row>
    <row r="303" spans="1:35">
      <c r="A303" s="1">
        <f t="shared" si="47"/>
        <v>4</v>
      </c>
      <c r="B303" s="1">
        <f t="shared" si="48"/>
        <v>0.51</v>
      </c>
      <c r="C303" s="1">
        <f t="shared" si="49"/>
        <v>0.06</v>
      </c>
      <c r="D303" s="108">
        <v>0.19700000000000001</v>
      </c>
      <c r="E303" s="108">
        <v>1.67</v>
      </c>
      <c r="F303" s="3">
        <v>8.18</v>
      </c>
      <c r="G303" s="1">
        <f t="shared" si="50"/>
        <v>1.5888703091877512</v>
      </c>
      <c r="H303" s="3">
        <v>4</v>
      </c>
      <c r="J303" s="3"/>
      <c r="K303" s="129">
        <v>4</v>
      </c>
      <c r="M303" s="108">
        <v>0.19700000000000001</v>
      </c>
      <c r="N303" s="108">
        <v>1.67</v>
      </c>
      <c r="Z303" s="49"/>
      <c r="AA303" s="49">
        <v>4</v>
      </c>
      <c r="AB303" s="49">
        <v>0.51</v>
      </c>
      <c r="AC303" s="49">
        <v>0.06</v>
      </c>
      <c r="AD303" s="49"/>
      <c r="AE303" s="49"/>
      <c r="AF303" s="49"/>
      <c r="AG303" s="49">
        <f t="shared" si="44"/>
        <v>4</v>
      </c>
      <c r="AH303" s="49">
        <f t="shared" si="45"/>
        <v>0.51</v>
      </c>
      <c r="AI303" s="49">
        <f t="shared" si="46"/>
        <v>0.06</v>
      </c>
    </row>
    <row r="304" spans="1:35">
      <c r="A304" s="1">
        <f t="shared" si="47"/>
        <v>6</v>
      </c>
      <c r="B304" s="1">
        <f t="shared" si="48"/>
        <v>0.81</v>
      </c>
      <c r="C304" s="1">
        <f t="shared" si="49"/>
        <v>6.4000000000000001E-2</v>
      </c>
      <c r="D304" s="108">
        <v>0.21</v>
      </c>
      <c r="E304" s="108">
        <v>2.66</v>
      </c>
      <c r="F304" s="3">
        <v>6.96</v>
      </c>
      <c r="G304" s="1">
        <f t="shared" si="50"/>
        <v>2.4855368778143543</v>
      </c>
      <c r="H304" s="3">
        <v>6</v>
      </c>
      <c r="J304" s="3"/>
      <c r="K304" s="129">
        <v>6</v>
      </c>
      <c r="M304" s="108">
        <v>0.21</v>
      </c>
      <c r="N304" s="108">
        <v>2.66</v>
      </c>
      <c r="Z304" s="49"/>
      <c r="AA304" s="49">
        <v>6</v>
      </c>
      <c r="AB304" s="49">
        <v>0.81</v>
      </c>
      <c r="AC304" s="49">
        <v>6.4000000000000001E-2</v>
      </c>
      <c r="AD304" s="49"/>
      <c r="AE304" s="49"/>
      <c r="AF304" s="49"/>
      <c r="AG304" s="49">
        <f t="shared" si="44"/>
        <v>6</v>
      </c>
      <c r="AH304" s="49">
        <f t="shared" si="45"/>
        <v>0.81</v>
      </c>
      <c r="AI304" s="49">
        <f t="shared" si="46"/>
        <v>6.4000000000000001E-2</v>
      </c>
    </row>
    <row r="305" spans="1:35">
      <c r="A305" s="1">
        <f t="shared" si="47"/>
        <v>8</v>
      </c>
      <c r="B305" s="1">
        <f t="shared" si="48"/>
        <v>1.3</v>
      </c>
      <c r="C305" s="1">
        <f t="shared" si="49"/>
        <v>6.5000000000000002E-2</v>
      </c>
      <c r="D305" s="108">
        <v>0.21299999999999999</v>
      </c>
      <c r="E305" s="1">
        <v>4.2650918635170605</v>
      </c>
      <c r="G305" s="1">
        <f t="shared" si="50"/>
        <v>3.9314272246627708</v>
      </c>
      <c r="H305" s="3">
        <v>8</v>
      </c>
      <c r="K305" s="129">
        <v>8</v>
      </c>
      <c r="M305" s="108">
        <v>0.21299999999999999</v>
      </c>
      <c r="N305" s="128" t="s">
        <v>447</v>
      </c>
      <c r="Z305" s="49"/>
      <c r="AA305" s="49">
        <v>8</v>
      </c>
      <c r="AB305" s="49">
        <v>1.3</v>
      </c>
      <c r="AC305" s="49">
        <v>6.5000000000000002E-2</v>
      </c>
      <c r="AD305" s="49"/>
      <c r="AE305" s="49"/>
      <c r="AF305" s="49"/>
      <c r="AG305" s="49">
        <f t="shared" si="44"/>
        <v>8</v>
      </c>
      <c r="AH305" s="49">
        <f t="shared" si="45"/>
        <v>1.3</v>
      </c>
      <c r="AI305" s="49">
        <f t="shared" si="46"/>
        <v>6.5000000000000002E-2</v>
      </c>
    </row>
    <row r="306" spans="1:35">
      <c r="A306" s="1">
        <f t="shared" si="47"/>
        <v>10</v>
      </c>
      <c r="B306" s="1">
        <f t="shared" si="48"/>
        <v>2</v>
      </c>
      <c r="C306" s="1">
        <f t="shared" si="49"/>
        <v>6.3E-2</v>
      </c>
      <c r="D306" s="108">
        <v>0.20699999999999999</v>
      </c>
      <c r="E306" s="1">
        <v>6.561679790026246</v>
      </c>
      <c r="G306" s="1">
        <f t="shared" si="50"/>
        <v>5.995741019154913</v>
      </c>
      <c r="H306" s="3">
        <v>10</v>
      </c>
      <c r="K306" s="129">
        <v>10</v>
      </c>
      <c r="M306" s="108">
        <v>0.20699999999999999</v>
      </c>
      <c r="N306" s="128" t="s">
        <v>447</v>
      </c>
      <c r="Z306" s="49"/>
      <c r="AA306" s="49">
        <v>10</v>
      </c>
      <c r="AB306" s="49">
        <v>2</v>
      </c>
      <c r="AC306" s="49">
        <v>6.3E-2</v>
      </c>
      <c r="AD306" s="49"/>
      <c r="AE306" s="49"/>
      <c r="AF306" s="49"/>
      <c r="AG306" s="49">
        <f t="shared" si="44"/>
        <v>10</v>
      </c>
      <c r="AH306" s="49">
        <f t="shared" si="45"/>
        <v>2</v>
      </c>
      <c r="AI306" s="49">
        <f t="shared" si="46"/>
        <v>6.3E-2</v>
      </c>
    </row>
    <row r="307" spans="1:35">
      <c r="A307" s="1">
        <f t="shared" si="47"/>
        <v>12</v>
      </c>
      <c r="B307" s="1">
        <f t="shared" si="48"/>
        <v>3.2</v>
      </c>
      <c r="C307" s="1">
        <f t="shared" si="49"/>
        <v>6.8000000000000005E-2</v>
      </c>
      <c r="D307" s="108">
        <v>0.223</v>
      </c>
      <c r="E307" s="1">
        <v>10.498687664041995</v>
      </c>
      <c r="G307" s="1">
        <f t="shared" si="50"/>
        <v>9.5460223440787537</v>
      </c>
      <c r="H307" s="3">
        <v>12</v>
      </c>
      <c r="K307" s="129">
        <v>12</v>
      </c>
      <c r="M307" s="108">
        <v>0.223</v>
      </c>
      <c r="N307" s="128" t="s">
        <v>447</v>
      </c>
      <c r="Z307" s="49"/>
      <c r="AA307" s="49">
        <v>12</v>
      </c>
      <c r="AB307" s="49">
        <v>3.2</v>
      </c>
      <c r="AC307" s="49">
        <v>6.8000000000000005E-2</v>
      </c>
      <c r="AD307" s="49"/>
      <c r="AE307" s="49"/>
      <c r="AF307" s="49"/>
      <c r="AG307" s="49">
        <f t="shared" si="44"/>
        <v>12</v>
      </c>
      <c r="AH307" s="49">
        <f t="shared" si="45"/>
        <v>3.2</v>
      </c>
      <c r="AI307" s="49">
        <f t="shared" si="46"/>
        <v>6.8000000000000005E-2</v>
      </c>
    </row>
    <row r="308" spans="1:35">
      <c r="A308" s="1">
        <f t="shared" si="47"/>
        <v>14</v>
      </c>
      <c r="B308" s="1">
        <f t="shared" si="48"/>
        <v>0</v>
      </c>
      <c r="C308" s="1">
        <f t="shared" si="49"/>
        <v>7.2999999999999995E-2</v>
      </c>
      <c r="D308" s="108">
        <v>0.24</v>
      </c>
      <c r="E308" s="1">
        <v>0.23950131233595798</v>
      </c>
      <c r="G308" s="1">
        <f t="shared" si="50"/>
        <v>0.32016475574733833</v>
      </c>
      <c r="H308" s="3">
        <v>14</v>
      </c>
      <c r="K308" s="129">
        <v>14</v>
      </c>
      <c r="M308" s="108">
        <v>0.24</v>
      </c>
      <c r="N308" s="128" t="s">
        <v>447</v>
      </c>
      <c r="Z308" s="49"/>
      <c r="AA308" s="49">
        <v>14</v>
      </c>
      <c r="AB308" s="49">
        <v>0</v>
      </c>
      <c r="AC308" s="49">
        <v>7.2999999999999995E-2</v>
      </c>
      <c r="AD308" s="49"/>
      <c r="AE308" s="49"/>
      <c r="AF308" s="49"/>
      <c r="AG308" s="49">
        <f t="shared" si="44"/>
        <v>14</v>
      </c>
      <c r="AH308" s="49">
        <f t="shared" si="45"/>
        <v>0</v>
      </c>
      <c r="AI308" s="49">
        <f t="shared" si="46"/>
        <v>7.2999999999999995E-2</v>
      </c>
    </row>
    <row r="309" spans="1:35">
      <c r="A309" s="1">
        <f t="shared" si="47"/>
        <v>250</v>
      </c>
      <c r="B309" s="1">
        <f t="shared" si="48"/>
        <v>8.5999999999999993E-2</v>
      </c>
      <c r="C309" s="1">
        <f t="shared" si="49"/>
        <v>5.1999999999999998E-2</v>
      </c>
      <c r="D309" s="108">
        <v>0.17100000000000001</v>
      </c>
      <c r="E309" s="108">
        <v>0.28199999999999997</v>
      </c>
      <c r="F309" s="3">
        <v>17.91</v>
      </c>
      <c r="G309" s="1">
        <f t="shared" si="50"/>
        <v>0.32833717193454548</v>
      </c>
      <c r="H309" s="3">
        <v>250</v>
      </c>
      <c r="J309" s="3"/>
      <c r="K309" s="129">
        <v>250</v>
      </c>
      <c r="M309" s="108">
        <v>0.17100000000000001</v>
      </c>
      <c r="N309" s="108">
        <v>0.28199999999999997</v>
      </c>
      <c r="Z309" s="49"/>
      <c r="AA309" s="49">
        <v>250</v>
      </c>
      <c r="AB309" s="49">
        <v>8.5999999999999993E-2</v>
      </c>
      <c r="AC309" s="49">
        <v>5.1999999999999998E-2</v>
      </c>
      <c r="AD309" s="49"/>
      <c r="AE309" s="49"/>
      <c r="AF309" s="49"/>
      <c r="AG309" s="49">
        <f t="shared" si="44"/>
        <v>250</v>
      </c>
      <c r="AH309" s="49">
        <f t="shared" si="45"/>
        <v>8.5999999999999993E-2</v>
      </c>
      <c r="AI309" s="49">
        <f t="shared" si="46"/>
        <v>5.1999999999999998E-2</v>
      </c>
    </row>
    <row r="310" spans="1:35">
      <c r="A310" s="1">
        <f t="shared" si="47"/>
        <v>300</v>
      </c>
      <c r="B310" s="1">
        <f t="shared" si="48"/>
        <v>7.1999999999999995E-2</v>
      </c>
      <c r="C310" s="1">
        <f t="shared" si="49"/>
        <v>5.0999999999999997E-2</v>
      </c>
      <c r="D310" s="108">
        <v>0.16700000000000001</v>
      </c>
      <c r="E310" s="108">
        <v>0.23599999999999999</v>
      </c>
      <c r="F310" s="3">
        <v>19.3</v>
      </c>
      <c r="G310" s="1">
        <f t="shared" si="50"/>
        <v>0.28519361235712926</v>
      </c>
      <c r="H310" s="3">
        <v>300</v>
      </c>
      <c r="J310" s="3"/>
      <c r="K310" s="129">
        <v>300</v>
      </c>
      <c r="M310" s="108">
        <v>0.16700000000000001</v>
      </c>
      <c r="N310" s="108">
        <v>0.23599999999999999</v>
      </c>
      <c r="Z310" s="49"/>
      <c r="AA310" s="49">
        <v>300</v>
      </c>
      <c r="AB310" s="49">
        <v>7.1999999999999995E-2</v>
      </c>
      <c r="AC310" s="49">
        <v>5.0999999999999997E-2</v>
      </c>
      <c r="AD310" s="49"/>
      <c r="AE310" s="49"/>
      <c r="AF310" s="49"/>
      <c r="AG310" s="49">
        <f t="shared" si="44"/>
        <v>300</v>
      </c>
      <c r="AH310" s="49">
        <f t="shared" si="45"/>
        <v>7.1999999999999995E-2</v>
      </c>
      <c r="AI310" s="49">
        <f t="shared" si="46"/>
        <v>5.0999999999999997E-2</v>
      </c>
    </row>
    <row r="311" spans="1:35">
      <c r="A311" s="1">
        <f t="shared" si="47"/>
        <v>350</v>
      </c>
      <c r="B311" s="1">
        <f t="shared" si="48"/>
        <v>6.3E-2</v>
      </c>
      <c r="C311" s="1">
        <f t="shared" si="49"/>
        <v>0.05</v>
      </c>
      <c r="D311" s="108">
        <v>0.16400000000000001</v>
      </c>
      <c r="E311" s="108">
        <v>0.20699999999999999</v>
      </c>
      <c r="F311" s="3">
        <v>20.6</v>
      </c>
      <c r="G311" s="1">
        <f t="shared" si="50"/>
        <v>0.25778594267406701</v>
      </c>
      <c r="H311" s="3">
        <v>350</v>
      </c>
      <c r="J311" s="3"/>
      <c r="K311" s="129">
        <v>350</v>
      </c>
      <c r="M311" s="108">
        <v>0.16400000000000001</v>
      </c>
      <c r="N311" s="108">
        <v>0.20699999999999999</v>
      </c>
      <c r="Z311" s="49"/>
      <c r="AA311" s="49">
        <v>350</v>
      </c>
      <c r="AB311" s="49">
        <v>6.3E-2</v>
      </c>
      <c r="AC311" s="49">
        <v>0.05</v>
      </c>
      <c r="AD311" s="49"/>
      <c r="AE311" s="49"/>
      <c r="AF311" s="49"/>
      <c r="AG311" s="49">
        <f t="shared" si="44"/>
        <v>350</v>
      </c>
      <c r="AH311" s="49">
        <f t="shared" si="45"/>
        <v>6.3E-2</v>
      </c>
      <c r="AI311" s="49">
        <f t="shared" si="46"/>
        <v>0.05</v>
      </c>
    </row>
    <row r="312" spans="1:35">
      <c r="A312" s="1">
        <f t="shared" si="47"/>
        <v>400</v>
      </c>
      <c r="B312" s="1">
        <f t="shared" si="48"/>
        <v>5.5E-2</v>
      </c>
      <c r="C312" s="1">
        <f t="shared" si="49"/>
        <v>4.9000000000000002E-2</v>
      </c>
      <c r="D312" s="108">
        <v>0.161</v>
      </c>
      <c r="E312" s="108">
        <v>0.18</v>
      </c>
      <c r="F312" s="3">
        <v>21.79</v>
      </c>
      <c r="G312" s="1">
        <f t="shared" ref="G312:G320" si="51">(E312*$D$14)+(SIN(ACOS($D$14))*D312)</f>
        <v>0.23217827299100485</v>
      </c>
      <c r="H312" s="3">
        <v>400</v>
      </c>
      <c r="J312" s="3"/>
      <c r="K312" s="129">
        <v>400</v>
      </c>
      <c r="M312" s="108">
        <v>0.161</v>
      </c>
      <c r="N312" s="108">
        <v>0.18</v>
      </c>
      <c r="Z312" s="49"/>
      <c r="AA312" s="49">
        <v>400</v>
      </c>
      <c r="AB312" s="49">
        <v>5.5E-2</v>
      </c>
      <c r="AC312" s="49">
        <v>4.9000000000000002E-2</v>
      </c>
      <c r="AD312" s="49"/>
      <c r="AE312" s="49"/>
      <c r="AF312" s="49"/>
      <c r="AG312" s="49">
        <f t="shared" si="44"/>
        <v>400</v>
      </c>
      <c r="AH312" s="49">
        <f t="shared" si="45"/>
        <v>5.5E-2</v>
      </c>
      <c r="AI312" s="49">
        <f t="shared" si="46"/>
        <v>4.9000000000000002E-2</v>
      </c>
    </row>
    <row r="313" spans="1:35">
      <c r="A313" s="1">
        <f t="shared" si="47"/>
        <v>450</v>
      </c>
      <c r="B313" s="1">
        <f t="shared" si="48"/>
        <v>5.5E-2</v>
      </c>
      <c r="C313" s="1">
        <f t="shared" si="49"/>
        <v>4.9000000000000002E-2</v>
      </c>
      <c r="D313" s="1">
        <v>0.16076115485564305</v>
      </c>
      <c r="E313" s="1">
        <v>0.18044619422572178</v>
      </c>
      <c r="G313" s="1">
        <f t="shared" si="51"/>
        <v>0.2324757376094137</v>
      </c>
      <c r="H313" s="3">
        <v>450</v>
      </c>
      <c r="Z313" s="49"/>
      <c r="AA313" s="49">
        <v>450</v>
      </c>
      <c r="AB313" s="49">
        <v>5.5E-2</v>
      </c>
      <c r="AC313" s="49">
        <v>4.9000000000000002E-2</v>
      </c>
      <c r="AD313" s="49"/>
      <c r="AE313" s="49"/>
      <c r="AF313" s="49"/>
      <c r="AG313" s="49">
        <f t="shared" si="44"/>
        <v>450</v>
      </c>
      <c r="AH313" s="49">
        <f t="shared" si="45"/>
        <v>5.5E-2</v>
      </c>
      <c r="AI313" s="49">
        <f t="shared" si="46"/>
        <v>4.9000000000000002E-2</v>
      </c>
    </row>
    <row r="314" spans="1:35">
      <c r="A314" s="1">
        <f t="shared" si="47"/>
        <v>500</v>
      </c>
      <c r="B314" s="1">
        <f t="shared" si="48"/>
        <v>4.4999999999999998E-2</v>
      </c>
      <c r="C314" s="1">
        <f t="shared" si="49"/>
        <v>4.8000000000000001E-2</v>
      </c>
      <c r="D314" s="108">
        <v>0.157</v>
      </c>
      <c r="E314" s="108">
        <v>0.14799999999999999</v>
      </c>
      <c r="F314" s="3">
        <v>23.95</v>
      </c>
      <c r="G314" s="1">
        <f t="shared" si="51"/>
        <v>0.20163471341358855</v>
      </c>
      <c r="H314" s="3">
        <v>500</v>
      </c>
      <c r="J314" s="3"/>
      <c r="K314" s="129">
        <v>500</v>
      </c>
      <c r="M314" s="108">
        <v>0.157</v>
      </c>
      <c r="N314" s="108">
        <v>0.14799999999999999</v>
      </c>
      <c r="Z314" s="49"/>
      <c r="AA314" s="49">
        <v>500</v>
      </c>
      <c r="AB314" s="49">
        <v>4.4999999999999998E-2</v>
      </c>
      <c r="AC314" s="49">
        <v>4.8000000000000001E-2</v>
      </c>
      <c r="AD314" s="49"/>
      <c r="AE314" s="49"/>
      <c r="AF314" s="49"/>
      <c r="AG314" s="49">
        <f t="shared" si="44"/>
        <v>500</v>
      </c>
      <c r="AH314" s="49">
        <f t="shared" si="45"/>
        <v>4.4999999999999998E-2</v>
      </c>
      <c r="AI314" s="49">
        <f t="shared" si="46"/>
        <v>4.8000000000000001E-2</v>
      </c>
    </row>
    <row r="315" spans="1:35">
      <c r="A315" s="1">
        <f t="shared" si="47"/>
        <v>600</v>
      </c>
      <c r="B315" s="1">
        <f t="shared" si="48"/>
        <v>3.7999999999999999E-2</v>
      </c>
      <c r="C315" s="1">
        <f t="shared" si="49"/>
        <v>4.8000000000000001E-2</v>
      </c>
      <c r="D315" s="108">
        <v>0.157</v>
      </c>
      <c r="E315" s="108">
        <v>0.125</v>
      </c>
      <c r="G315" s="1">
        <f t="shared" si="51"/>
        <v>0.18093471341358858</v>
      </c>
      <c r="H315" s="3">
        <v>600</v>
      </c>
      <c r="K315" s="129">
        <v>600</v>
      </c>
      <c r="M315" s="108">
        <v>0.157</v>
      </c>
      <c r="N315" s="108">
        <v>0.125</v>
      </c>
      <c r="Z315" s="49"/>
      <c r="AA315" s="49">
        <v>600</v>
      </c>
      <c r="AB315" s="49">
        <v>3.7999999999999999E-2</v>
      </c>
      <c r="AC315" s="49">
        <v>4.8000000000000001E-2</v>
      </c>
      <c r="AD315" s="49"/>
      <c r="AE315" s="49"/>
      <c r="AF315" s="49"/>
      <c r="AG315" s="49">
        <f t="shared" si="44"/>
        <v>600</v>
      </c>
      <c r="AH315" s="49">
        <f t="shared" si="45"/>
        <v>3.7999999999999999E-2</v>
      </c>
      <c r="AI315" s="49">
        <f t="shared" si="46"/>
        <v>4.8000000000000001E-2</v>
      </c>
    </row>
    <row r="316" spans="1:35">
      <c r="A316" s="1">
        <f t="shared" si="47"/>
        <v>750</v>
      </c>
      <c r="B316" s="1">
        <f t="shared" si="48"/>
        <v>3.1E-2</v>
      </c>
      <c r="C316" s="1">
        <f t="shared" si="49"/>
        <v>4.8000000000000001E-2</v>
      </c>
      <c r="D316" s="108">
        <v>0.157</v>
      </c>
      <c r="E316" s="108">
        <v>0.10199999999999999</v>
      </c>
      <c r="F316" s="3">
        <v>29.41</v>
      </c>
      <c r="G316" s="1">
        <f t="shared" si="51"/>
        <v>0.16023471341358855</v>
      </c>
      <c r="H316" s="3">
        <v>750</v>
      </c>
      <c r="J316" s="3"/>
      <c r="K316" s="129">
        <v>750</v>
      </c>
      <c r="M316" s="108">
        <v>0.157</v>
      </c>
      <c r="N316" s="108">
        <v>0.10199999999999999</v>
      </c>
      <c r="Z316" s="49"/>
      <c r="AA316" s="49">
        <v>750</v>
      </c>
      <c r="AB316" s="49">
        <v>3.1E-2</v>
      </c>
      <c r="AC316" s="49">
        <v>4.8000000000000001E-2</v>
      </c>
      <c r="AD316" s="49"/>
      <c r="AE316" s="49"/>
      <c r="AF316" s="49"/>
      <c r="AG316" s="49">
        <f t="shared" si="44"/>
        <v>750</v>
      </c>
      <c r="AH316" s="49">
        <f t="shared" si="45"/>
        <v>3.1E-2</v>
      </c>
      <c r="AI316" s="49">
        <f t="shared" si="46"/>
        <v>4.8000000000000001E-2</v>
      </c>
    </row>
    <row r="317" spans="1:35">
      <c r="A317" s="1" t="str">
        <f t="shared" si="47"/>
        <v>1/0</v>
      </c>
      <c r="B317" s="1">
        <f t="shared" si="48"/>
        <v>0.2</v>
      </c>
      <c r="C317" s="1">
        <f t="shared" si="49"/>
        <v>5.5E-2</v>
      </c>
      <c r="D317" s="108">
        <v>0.18</v>
      </c>
      <c r="E317" s="108">
        <v>0.66</v>
      </c>
      <c r="F317" s="3">
        <v>12.24</v>
      </c>
      <c r="G317" s="1">
        <f t="shared" si="51"/>
        <v>0.67246018098373217</v>
      </c>
      <c r="H317" s="3" t="s">
        <v>0</v>
      </c>
      <c r="J317" s="3"/>
      <c r="K317" s="129" t="s">
        <v>0</v>
      </c>
      <c r="M317" s="108">
        <v>0.18</v>
      </c>
      <c r="N317" s="108">
        <v>0.66</v>
      </c>
      <c r="Z317" s="49"/>
      <c r="AA317" s="49" t="s">
        <v>0</v>
      </c>
      <c r="AB317" s="49">
        <v>0.2</v>
      </c>
      <c r="AC317" s="49">
        <v>5.5E-2</v>
      </c>
      <c r="AD317" s="49"/>
      <c r="AE317" s="49"/>
      <c r="AF317" s="49"/>
      <c r="AG317" s="49" t="str">
        <f t="shared" si="44"/>
        <v>1/0</v>
      </c>
      <c r="AH317" s="49">
        <f t="shared" si="45"/>
        <v>0.2</v>
      </c>
      <c r="AI317" s="49">
        <f t="shared" si="46"/>
        <v>5.5E-2</v>
      </c>
    </row>
    <row r="318" spans="1:35">
      <c r="A318" s="1" t="str">
        <f t="shared" si="47"/>
        <v>2/0</v>
      </c>
      <c r="B318" s="1">
        <f t="shared" si="48"/>
        <v>0.16</v>
      </c>
      <c r="C318" s="1">
        <f t="shared" si="49"/>
        <v>5.3999999999999999E-2</v>
      </c>
      <c r="D318" s="108">
        <v>0.17699999999999999</v>
      </c>
      <c r="E318" s="108">
        <v>0.52</v>
      </c>
      <c r="F318" s="3">
        <v>13.41</v>
      </c>
      <c r="G318" s="1">
        <f t="shared" si="51"/>
        <v>0.54515251130066988</v>
      </c>
      <c r="H318" s="3" t="s">
        <v>1</v>
      </c>
      <c r="J318" s="3"/>
      <c r="K318" s="129" t="s">
        <v>1</v>
      </c>
      <c r="M318" s="108">
        <v>0.17699999999999999</v>
      </c>
      <c r="N318" s="108">
        <v>0.52</v>
      </c>
      <c r="Z318" s="49"/>
      <c r="AA318" s="49" t="s">
        <v>1</v>
      </c>
      <c r="AB318" s="49">
        <v>0.16</v>
      </c>
      <c r="AC318" s="49">
        <v>5.3999999999999999E-2</v>
      </c>
      <c r="AD318" s="49"/>
      <c r="AE318" s="49"/>
      <c r="AF318" s="49"/>
      <c r="AG318" s="49" t="str">
        <f t="shared" si="44"/>
        <v>2/0</v>
      </c>
      <c r="AH318" s="49">
        <f t="shared" si="45"/>
        <v>0.16</v>
      </c>
      <c r="AI318" s="49">
        <f t="shared" si="46"/>
        <v>5.3999999999999999E-2</v>
      </c>
    </row>
    <row r="319" spans="1:35">
      <c r="A319" s="1" t="str">
        <f t="shared" si="47"/>
        <v>3/0</v>
      </c>
      <c r="B319" s="1">
        <f t="shared" si="48"/>
        <v>0.13</v>
      </c>
      <c r="C319" s="1">
        <f t="shared" si="49"/>
        <v>5.1999999999999998E-2</v>
      </c>
      <c r="D319" s="108">
        <v>0.17100000000000001</v>
      </c>
      <c r="E319" s="108">
        <v>0.43</v>
      </c>
      <c r="F319" s="3">
        <v>14.73</v>
      </c>
      <c r="G319" s="1">
        <f t="shared" si="51"/>
        <v>0.46153717193454552</v>
      </c>
      <c r="H319" s="3" t="s">
        <v>2</v>
      </c>
      <c r="J319" s="3"/>
      <c r="K319" s="129" t="s">
        <v>2</v>
      </c>
      <c r="M319" s="108">
        <v>0.17100000000000001</v>
      </c>
      <c r="N319" s="108">
        <v>0.43</v>
      </c>
      <c r="Z319" s="49"/>
      <c r="AA319" s="49" t="s">
        <v>2</v>
      </c>
      <c r="AB319" s="49">
        <v>0.13</v>
      </c>
      <c r="AC319" s="49">
        <v>5.1999999999999998E-2</v>
      </c>
      <c r="AD319" s="49"/>
      <c r="AE319" s="49"/>
      <c r="AF319" s="49"/>
      <c r="AG319" s="49" t="str">
        <f t="shared" si="44"/>
        <v>3/0</v>
      </c>
      <c r="AH319" s="49">
        <f t="shared" si="45"/>
        <v>0.13</v>
      </c>
      <c r="AI319" s="49">
        <f t="shared" si="46"/>
        <v>5.1999999999999998E-2</v>
      </c>
    </row>
    <row r="320" spans="1:35">
      <c r="A320" s="1" t="str">
        <f t="shared" si="47"/>
        <v>4/0</v>
      </c>
      <c r="B320" s="1">
        <f t="shared" si="48"/>
        <v>0.1</v>
      </c>
      <c r="C320" s="1">
        <f t="shared" si="49"/>
        <v>5.0999999999999997E-2</v>
      </c>
      <c r="D320" s="108">
        <v>0.16700000000000001</v>
      </c>
      <c r="E320" s="108">
        <v>0.33</v>
      </c>
      <c r="F320" s="3">
        <v>16.21</v>
      </c>
      <c r="G320" s="1">
        <f t="shared" si="51"/>
        <v>0.36979361235712926</v>
      </c>
      <c r="H320" s="3" t="s">
        <v>3</v>
      </c>
      <c r="J320" s="3"/>
      <c r="K320" s="129" t="s">
        <v>3</v>
      </c>
      <c r="M320" s="108">
        <v>0.16700000000000001</v>
      </c>
      <c r="N320" s="108">
        <v>0.33</v>
      </c>
      <c r="Z320" s="49"/>
      <c r="AA320" s="49" t="s">
        <v>3</v>
      </c>
      <c r="AB320" s="49">
        <v>0.1</v>
      </c>
      <c r="AC320" s="49">
        <v>5.0999999999999997E-2</v>
      </c>
      <c r="AD320" s="49"/>
      <c r="AE320" s="49"/>
      <c r="AF320" s="49"/>
      <c r="AG320" s="49" t="str">
        <f t="shared" si="44"/>
        <v>4/0</v>
      </c>
      <c r="AH320" s="49">
        <f t="shared" si="45"/>
        <v>0.1</v>
      </c>
      <c r="AI320" s="49">
        <f t="shared" si="46"/>
        <v>5.0999999999999997E-2</v>
      </c>
    </row>
    <row r="321" spans="1:35">
      <c r="J321" s="3"/>
      <c r="Z321" s="49"/>
      <c r="AA321" s="49">
        <v>0</v>
      </c>
      <c r="AB321" s="49">
        <v>0</v>
      </c>
      <c r="AC321" s="49">
        <v>0</v>
      </c>
      <c r="AD321" s="49"/>
      <c r="AE321" s="49"/>
      <c r="AF321" s="49"/>
      <c r="AG321" s="49">
        <f t="shared" si="44"/>
        <v>0</v>
      </c>
      <c r="AH321" s="49">
        <f t="shared" si="45"/>
        <v>0</v>
      </c>
      <c r="AI321" s="49">
        <f t="shared" si="46"/>
        <v>0</v>
      </c>
    </row>
    <row r="322" spans="1:35">
      <c r="J322" s="3"/>
      <c r="Z322" s="49"/>
      <c r="AA322" s="49">
        <v>0</v>
      </c>
      <c r="AB322" s="49">
        <v>0</v>
      </c>
      <c r="AC322" s="49">
        <v>0</v>
      </c>
      <c r="AD322" s="49"/>
      <c r="AE322" s="49"/>
      <c r="AF322" s="49"/>
      <c r="AG322" s="49">
        <f t="shared" si="44"/>
        <v>0</v>
      </c>
      <c r="AH322" s="49">
        <f t="shared" si="45"/>
        <v>0</v>
      </c>
      <c r="AI322" s="49">
        <f t="shared" si="46"/>
        <v>0</v>
      </c>
    </row>
    <row r="323" spans="1:35">
      <c r="G323" s="3">
        <v>0.1860649170766932</v>
      </c>
      <c r="H323" s="3">
        <v>750</v>
      </c>
      <c r="J323" s="3"/>
      <c r="Z323" s="49"/>
      <c r="AA323" s="49">
        <v>0</v>
      </c>
      <c r="AB323" s="49">
        <v>0</v>
      </c>
      <c r="AC323" s="49">
        <v>0</v>
      </c>
      <c r="AD323" s="49"/>
      <c r="AE323" s="49"/>
      <c r="AF323" s="49"/>
      <c r="AG323" s="49">
        <f t="shared" si="44"/>
        <v>0</v>
      </c>
      <c r="AH323" s="49">
        <f t="shared" si="45"/>
        <v>0</v>
      </c>
      <c r="AI323" s="49">
        <f t="shared" si="46"/>
        <v>0</v>
      </c>
    </row>
    <row r="324" spans="1:35">
      <c r="A324" s="1">
        <f t="shared" ref="A324:A338" si="52">AG324</f>
        <v>0.1860649170766932</v>
      </c>
      <c r="B324" s="1">
        <f t="shared" ref="B324:B338" si="53">AH324</f>
        <v>750</v>
      </c>
      <c r="C324" s="1">
        <f t="shared" ref="C324:C338" si="54">AI324</f>
        <v>0</v>
      </c>
      <c r="G324" s="3">
        <v>0.19607551176330235</v>
      </c>
      <c r="H324" s="3">
        <v>600</v>
      </c>
      <c r="J324" s="3"/>
      <c r="K324" s="3"/>
      <c r="L324" s="3"/>
      <c r="Z324" s="49"/>
      <c r="AA324" s="49">
        <v>0.1860649170766932</v>
      </c>
      <c r="AB324" s="49">
        <v>750</v>
      </c>
      <c r="AC324" s="49">
        <v>0</v>
      </c>
      <c r="AD324" s="49"/>
      <c r="AE324" s="49"/>
      <c r="AF324" s="49"/>
      <c r="AG324" s="49">
        <f t="shared" si="44"/>
        <v>0.1860649170766932</v>
      </c>
      <c r="AH324" s="49">
        <f t="shared" si="45"/>
        <v>750</v>
      </c>
      <c r="AI324" s="49">
        <f t="shared" si="46"/>
        <v>0</v>
      </c>
    </row>
    <row r="325" spans="1:35">
      <c r="A325" s="1">
        <f t="shared" si="52"/>
        <v>0.19607551176330235</v>
      </c>
      <c r="B325" s="1">
        <f t="shared" si="53"/>
        <v>600</v>
      </c>
      <c r="C325" s="1">
        <f t="shared" si="54"/>
        <v>0</v>
      </c>
      <c r="G325" s="3">
        <v>0.20608610644991149</v>
      </c>
      <c r="H325" s="3">
        <v>500</v>
      </c>
      <c r="J325" s="3"/>
      <c r="K325" s="3"/>
      <c r="L325" s="3"/>
      <c r="Z325" s="49"/>
      <c r="AA325" s="49">
        <v>0.19607551176330235</v>
      </c>
      <c r="AB325" s="49">
        <v>600</v>
      </c>
      <c r="AC325" s="49">
        <v>0</v>
      </c>
      <c r="AD325" s="49"/>
      <c r="AE325" s="49"/>
      <c r="AF325" s="49"/>
      <c r="AG325" s="49">
        <f t="shared" si="44"/>
        <v>0.19607551176330235</v>
      </c>
      <c r="AH325" s="49">
        <f t="shared" si="45"/>
        <v>600</v>
      </c>
      <c r="AI325" s="49">
        <f t="shared" si="46"/>
        <v>0</v>
      </c>
    </row>
    <row r="326" spans="1:35">
      <c r="A326" s="1">
        <f t="shared" si="52"/>
        <v>0.20608610644991149</v>
      </c>
      <c r="B326" s="1">
        <f t="shared" si="53"/>
        <v>500</v>
      </c>
      <c r="C326" s="1">
        <f t="shared" si="54"/>
        <v>0</v>
      </c>
      <c r="G326" s="3">
        <v>0.22333971190772212</v>
      </c>
      <c r="H326" s="3">
        <v>400</v>
      </c>
      <c r="Z326" s="49"/>
      <c r="AA326" s="49">
        <v>0.20608610644991149</v>
      </c>
      <c r="AB326" s="49">
        <v>500</v>
      </c>
      <c r="AC326" s="49">
        <v>0</v>
      </c>
      <c r="AD326" s="49"/>
      <c r="AE326" s="49"/>
      <c r="AF326" s="49"/>
      <c r="AG326" s="49">
        <f t="shared" si="44"/>
        <v>0.20608610644991149</v>
      </c>
      <c r="AH326" s="49">
        <f t="shared" si="45"/>
        <v>500</v>
      </c>
      <c r="AI326" s="49">
        <f t="shared" si="46"/>
        <v>0</v>
      </c>
    </row>
    <row r="327" spans="1:35">
      <c r="A327" s="1">
        <f t="shared" si="52"/>
        <v>0.22333971190772212</v>
      </c>
      <c r="B327" s="1">
        <f t="shared" si="53"/>
        <v>400</v>
      </c>
      <c r="C327" s="1">
        <f t="shared" si="54"/>
        <v>0</v>
      </c>
      <c r="G327" s="3">
        <v>0.22333971190772212</v>
      </c>
      <c r="H327" s="3">
        <v>450</v>
      </c>
      <c r="Z327" s="49"/>
      <c r="AA327" s="49">
        <v>0.22333971190772212</v>
      </c>
      <c r="AB327" s="49">
        <v>400</v>
      </c>
      <c r="AC327" s="49">
        <v>0</v>
      </c>
      <c r="AD327" s="49"/>
      <c r="AE327" s="49"/>
      <c r="AF327" s="49"/>
      <c r="AG327" s="49">
        <f t="shared" si="44"/>
        <v>0.22333971190772212</v>
      </c>
      <c r="AH327" s="49">
        <f t="shared" si="45"/>
        <v>400</v>
      </c>
      <c r="AI327" s="49">
        <f t="shared" si="46"/>
        <v>0</v>
      </c>
    </row>
    <row r="328" spans="1:35">
      <c r="A328" s="1">
        <f t="shared" si="52"/>
        <v>0.22333971190772212</v>
      </c>
      <c r="B328" s="1">
        <f t="shared" si="53"/>
        <v>450</v>
      </c>
      <c r="C328" s="1">
        <f t="shared" si="54"/>
        <v>0</v>
      </c>
      <c r="G328" s="3">
        <v>0.23773314745507296</v>
      </c>
      <c r="H328" s="3">
        <v>350</v>
      </c>
      <c r="Z328" s="49"/>
      <c r="AA328" s="49">
        <v>0.22333971190772212</v>
      </c>
      <c r="AB328" s="49">
        <v>450</v>
      </c>
      <c r="AC328" s="49">
        <v>0</v>
      </c>
      <c r="AD328" s="49"/>
      <c r="AE328" s="49"/>
      <c r="AF328" s="49"/>
      <c r="AG328" s="49">
        <f t="shared" si="44"/>
        <v>0.22333971190772212</v>
      </c>
      <c r="AH328" s="49">
        <f t="shared" si="45"/>
        <v>450</v>
      </c>
      <c r="AI328" s="49">
        <f t="shared" si="46"/>
        <v>0</v>
      </c>
    </row>
    <row r="329" spans="1:35">
      <c r="A329" s="1">
        <f t="shared" si="52"/>
        <v>0.23773314745507296</v>
      </c>
      <c r="B329" s="1">
        <f t="shared" si="53"/>
        <v>350</v>
      </c>
      <c r="C329" s="1">
        <f t="shared" si="54"/>
        <v>0</v>
      </c>
      <c r="G329" s="3">
        <v>0.25355666795765364</v>
      </c>
      <c r="H329" s="3">
        <v>300</v>
      </c>
      <c r="Z329" s="49"/>
      <c r="AA329" s="49">
        <v>0.23773314745507296</v>
      </c>
      <c r="AB329" s="49">
        <v>350</v>
      </c>
      <c r="AC329" s="49">
        <v>0</v>
      </c>
      <c r="AD329" s="49"/>
      <c r="AE329" s="49"/>
      <c r="AF329" s="49"/>
      <c r="AG329" s="49">
        <f t="shared" si="44"/>
        <v>0.23773314745507296</v>
      </c>
      <c r="AH329" s="49">
        <f t="shared" si="45"/>
        <v>350</v>
      </c>
      <c r="AI329" s="49">
        <f t="shared" si="46"/>
        <v>0</v>
      </c>
    </row>
    <row r="330" spans="1:35">
      <c r="A330" s="1">
        <f t="shared" si="52"/>
        <v>0.25355666795765364</v>
      </c>
      <c r="B330" s="1">
        <f t="shared" si="53"/>
        <v>300</v>
      </c>
      <c r="C330" s="1">
        <f t="shared" si="54"/>
        <v>0</v>
      </c>
      <c r="G330" s="3">
        <v>0.27653061323638378</v>
      </c>
      <c r="H330" s="3">
        <v>250</v>
      </c>
      <c r="Z330" s="49"/>
      <c r="AA330" s="49">
        <v>0.25355666795765364</v>
      </c>
      <c r="AB330" s="49">
        <v>300</v>
      </c>
      <c r="AC330" s="49">
        <v>0</v>
      </c>
      <c r="AD330" s="49"/>
      <c r="AE330" s="49"/>
      <c r="AF330" s="49"/>
      <c r="AG330" s="49">
        <f t="shared" si="44"/>
        <v>0.25355666795765364</v>
      </c>
      <c r="AH330" s="49">
        <f t="shared" si="45"/>
        <v>300</v>
      </c>
      <c r="AI330" s="49">
        <f t="shared" si="46"/>
        <v>0</v>
      </c>
    </row>
    <row r="331" spans="1:35">
      <c r="A331" s="1">
        <f t="shared" si="52"/>
        <v>0.27653061323638378</v>
      </c>
      <c r="B331" s="1">
        <f t="shared" si="53"/>
        <v>250</v>
      </c>
      <c r="C331" s="1">
        <f t="shared" si="54"/>
        <v>0</v>
      </c>
      <c r="G331" s="3">
        <v>0.29359904670409032</v>
      </c>
      <c r="H331" s="3" t="s">
        <v>3</v>
      </c>
      <c r="Z331" s="49"/>
      <c r="AA331" s="49">
        <v>0.27653061323638378</v>
      </c>
      <c r="AB331" s="49">
        <v>250</v>
      </c>
      <c r="AC331" s="49">
        <v>0</v>
      </c>
      <c r="AD331" s="49"/>
      <c r="AE331" s="49"/>
      <c r="AF331" s="49"/>
      <c r="AG331" s="49">
        <f t="shared" si="44"/>
        <v>0.27653061323638378</v>
      </c>
      <c r="AH331" s="49">
        <f t="shared" si="45"/>
        <v>250</v>
      </c>
      <c r="AI331" s="49">
        <f t="shared" si="46"/>
        <v>0</v>
      </c>
    </row>
    <row r="332" spans="1:35">
      <c r="A332" s="1">
        <f t="shared" si="52"/>
        <v>0.29359904670409032</v>
      </c>
      <c r="B332" s="1" t="str">
        <f t="shared" si="53"/>
        <v>4/0</v>
      </c>
      <c r="C332" s="1">
        <f t="shared" si="54"/>
        <v>0</v>
      </c>
      <c r="G332" s="3">
        <v>0.33945435126649848</v>
      </c>
      <c r="H332" s="3" t="s">
        <v>2</v>
      </c>
      <c r="Z332" s="49"/>
      <c r="AA332" s="49">
        <v>0.29359904670409032</v>
      </c>
      <c r="AB332" s="49" t="s">
        <v>3</v>
      </c>
      <c r="AC332" s="49">
        <v>0</v>
      </c>
      <c r="AD332" s="49"/>
      <c r="AE332" s="49"/>
      <c r="AF332" s="49"/>
      <c r="AG332" s="49">
        <f t="shared" ref="AG332:AG395" si="55">IF($AG$4="BUENO",AA332,0)</f>
        <v>0.29359904670409032</v>
      </c>
      <c r="AH332" s="49" t="str">
        <f t="shared" ref="AH332:AH395" si="56">IF($AG$4="BUENO",AB332,0)</f>
        <v>4/0</v>
      </c>
      <c r="AI332" s="49">
        <f t="shared" ref="AI332:AI395" si="57">IF($AG$4="BUENO",AC332,0)</f>
        <v>0</v>
      </c>
    </row>
    <row r="333" spans="1:35">
      <c r="A333" s="1">
        <f t="shared" si="52"/>
        <v>0.33945435126649848</v>
      </c>
      <c r="B333" s="1" t="str">
        <f t="shared" si="53"/>
        <v>3/0</v>
      </c>
      <c r="C333" s="1">
        <f t="shared" si="54"/>
        <v>0</v>
      </c>
      <c r="G333" s="3">
        <v>0.3882624117344185</v>
      </c>
      <c r="H333" s="3" t="s">
        <v>1</v>
      </c>
      <c r="Z333" s="49"/>
      <c r="AA333" s="49">
        <v>0.33945435126649848</v>
      </c>
      <c r="AB333" s="49" t="s">
        <v>2</v>
      </c>
      <c r="AC333" s="49">
        <v>0</v>
      </c>
      <c r="AD333" s="49"/>
      <c r="AE333" s="49"/>
      <c r="AF333" s="49"/>
      <c r="AG333" s="49">
        <f t="shared" si="55"/>
        <v>0.33945435126649848</v>
      </c>
      <c r="AH333" s="49" t="str">
        <f t="shared" si="56"/>
        <v>3/0</v>
      </c>
      <c r="AI333" s="49">
        <f t="shared" si="57"/>
        <v>0</v>
      </c>
    </row>
    <row r="334" spans="1:35">
      <c r="A334" s="1">
        <f t="shared" si="52"/>
        <v>0.3882624117344185</v>
      </c>
      <c r="B334" s="1" t="str">
        <f t="shared" si="53"/>
        <v>2/0</v>
      </c>
      <c r="C334" s="1">
        <f t="shared" si="54"/>
        <v>0</v>
      </c>
      <c r="G334" s="3">
        <v>0.44841856584912548</v>
      </c>
      <c r="H334" s="3" t="s">
        <v>0</v>
      </c>
      <c r="Z334" s="49"/>
      <c r="AA334" s="49">
        <v>0.3882624117344185</v>
      </c>
      <c r="AB334" s="49" t="s">
        <v>1</v>
      </c>
      <c r="AC334" s="49">
        <v>0</v>
      </c>
      <c r="AD334" s="49"/>
      <c r="AE334" s="49"/>
      <c r="AF334" s="49"/>
      <c r="AG334" s="49">
        <f t="shared" si="55"/>
        <v>0.3882624117344185</v>
      </c>
      <c r="AH334" s="49" t="str">
        <f t="shared" si="56"/>
        <v>2/0</v>
      </c>
      <c r="AI334" s="49">
        <f t="shared" si="57"/>
        <v>0</v>
      </c>
    </row>
    <row r="335" spans="1:35">
      <c r="A335" s="1">
        <f t="shared" si="52"/>
        <v>0.44841856584912548</v>
      </c>
      <c r="B335" s="1" t="str">
        <f t="shared" si="53"/>
        <v>1/0</v>
      </c>
      <c r="C335" s="1">
        <f t="shared" si="54"/>
        <v>0</v>
      </c>
      <c r="G335" s="1">
        <v>0.62593427228773468</v>
      </c>
      <c r="H335" s="3">
        <v>2</v>
      </c>
      <c r="Z335" s="49"/>
      <c r="AA335" s="49">
        <v>0.44841856584912548</v>
      </c>
      <c r="AB335" s="49" t="s">
        <v>0</v>
      </c>
      <c r="AC335" s="49">
        <v>0</v>
      </c>
      <c r="AD335" s="49"/>
      <c r="AE335" s="49"/>
      <c r="AF335" s="49"/>
      <c r="AG335" s="49">
        <f t="shared" si="55"/>
        <v>0.44841856584912548</v>
      </c>
      <c r="AH335" s="49" t="str">
        <f t="shared" si="56"/>
        <v>1/0</v>
      </c>
      <c r="AI335" s="49">
        <f t="shared" si="57"/>
        <v>0</v>
      </c>
    </row>
    <row r="336" spans="1:35">
      <c r="A336" s="1">
        <f t="shared" si="52"/>
        <v>0.62593427228773468</v>
      </c>
      <c r="B336" s="1">
        <f t="shared" si="53"/>
        <v>2</v>
      </c>
      <c r="C336" s="1">
        <f t="shared" si="54"/>
        <v>0</v>
      </c>
      <c r="G336" s="1">
        <v>0.90650868149794717</v>
      </c>
      <c r="H336" s="3">
        <v>4</v>
      </c>
      <c r="Z336" s="49"/>
      <c r="AA336" s="49">
        <v>0.62593427228773468</v>
      </c>
      <c r="AB336" s="49">
        <v>2</v>
      </c>
      <c r="AC336" s="49">
        <v>0</v>
      </c>
      <c r="AD336" s="49"/>
      <c r="AE336" s="49"/>
      <c r="AF336" s="49"/>
      <c r="AG336" s="49">
        <f t="shared" si="55"/>
        <v>0.62593427228773468</v>
      </c>
      <c r="AH336" s="49">
        <f t="shared" si="56"/>
        <v>2</v>
      </c>
      <c r="AI336" s="49">
        <f t="shared" si="57"/>
        <v>0</v>
      </c>
    </row>
    <row r="337" spans="1:35">
      <c r="A337" s="1">
        <f t="shared" si="52"/>
        <v>0.90650868149794717</v>
      </c>
      <c r="B337" s="1">
        <f t="shared" si="53"/>
        <v>4</v>
      </c>
      <c r="C337" s="1">
        <f t="shared" si="54"/>
        <v>0</v>
      </c>
      <c r="G337" s="3">
        <v>1.3473451916889583</v>
      </c>
      <c r="H337" s="3">
        <v>6</v>
      </c>
      <c r="Z337" s="49"/>
      <c r="AA337" s="49">
        <v>0.90650868149794717</v>
      </c>
      <c r="AB337" s="49">
        <v>4</v>
      </c>
      <c r="AC337" s="49">
        <v>0</v>
      </c>
      <c r="AD337" s="49"/>
      <c r="AE337" s="49"/>
      <c r="AF337" s="49"/>
      <c r="AG337" s="49">
        <f t="shared" si="55"/>
        <v>0.90650868149794717</v>
      </c>
      <c r="AH337" s="49">
        <f t="shared" si="56"/>
        <v>4</v>
      </c>
      <c r="AI337" s="49">
        <f t="shared" si="57"/>
        <v>0</v>
      </c>
    </row>
    <row r="338" spans="1:35">
      <c r="A338" s="1">
        <f t="shared" si="52"/>
        <v>1.3473451916889583</v>
      </c>
      <c r="B338" s="1">
        <f t="shared" si="53"/>
        <v>6</v>
      </c>
      <c r="C338" s="1">
        <f t="shared" si="54"/>
        <v>0</v>
      </c>
      <c r="G338" s="3"/>
      <c r="H338" s="3"/>
      <c r="Z338" s="49"/>
      <c r="AA338" s="49">
        <v>1.3473451916889583</v>
      </c>
      <c r="AB338" s="49">
        <v>6</v>
      </c>
      <c r="AC338" s="49">
        <v>0</v>
      </c>
      <c r="AD338" s="49"/>
      <c r="AE338" s="49"/>
      <c r="AF338" s="49"/>
      <c r="AG338" s="49">
        <f t="shared" si="55"/>
        <v>1.3473451916889583</v>
      </c>
      <c r="AH338" s="49">
        <f t="shared" si="56"/>
        <v>6</v>
      </c>
      <c r="AI338" s="49">
        <f t="shared" si="57"/>
        <v>0</v>
      </c>
    </row>
    <row r="339" spans="1:35">
      <c r="B339" s="3"/>
      <c r="G339" s="3"/>
      <c r="H339" s="3"/>
      <c r="Z339" s="49"/>
      <c r="AA339" s="49">
        <v>0</v>
      </c>
      <c r="AB339" s="49">
        <v>0</v>
      </c>
      <c r="AC339" s="49">
        <v>0</v>
      </c>
      <c r="AD339" s="49"/>
      <c r="AE339" s="49"/>
      <c r="AF339" s="49"/>
      <c r="AG339" s="49">
        <f t="shared" si="55"/>
        <v>0</v>
      </c>
      <c r="AH339" s="49">
        <f t="shared" si="56"/>
        <v>0</v>
      </c>
      <c r="AI339" s="49">
        <f t="shared" si="57"/>
        <v>0</v>
      </c>
    </row>
    <row r="340" spans="1:35">
      <c r="B340" s="3"/>
      <c r="G340" s="3"/>
      <c r="H340" s="3"/>
      <c r="Z340" s="49"/>
      <c r="AA340" s="49">
        <v>0</v>
      </c>
      <c r="AB340" s="49">
        <v>0</v>
      </c>
      <c r="AC340" s="49">
        <v>0</v>
      </c>
      <c r="AD340" s="49"/>
      <c r="AE340" s="49"/>
      <c r="AF340" s="49"/>
      <c r="AG340" s="49">
        <f t="shared" si="55"/>
        <v>0</v>
      </c>
      <c r="AH340" s="49">
        <f t="shared" si="56"/>
        <v>0</v>
      </c>
      <c r="AI340" s="49">
        <f t="shared" si="57"/>
        <v>0</v>
      </c>
    </row>
    <row r="341" spans="1:35">
      <c r="G341" s="3"/>
      <c r="H341" s="3"/>
      <c r="Z341" s="49"/>
      <c r="AA341" s="49">
        <v>0</v>
      </c>
      <c r="AB341" s="49">
        <v>0</v>
      </c>
      <c r="AC341" s="49">
        <v>0</v>
      </c>
      <c r="AD341" s="49"/>
      <c r="AE341" s="49"/>
      <c r="AF341" s="49"/>
      <c r="AG341" s="49">
        <f t="shared" si="55"/>
        <v>0</v>
      </c>
      <c r="AH341" s="49">
        <f t="shared" si="56"/>
        <v>0</v>
      </c>
      <c r="AI341" s="49">
        <f t="shared" si="57"/>
        <v>0</v>
      </c>
    </row>
    <row r="342" spans="1:35">
      <c r="Z342" s="49"/>
      <c r="AA342" s="49">
        <v>0</v>
      </c>
      <c r="AB342" s="49">
        <v>0</v>
      </c>
      <c r="AC342" s="49">
        <v>0</v>
      </c>
      <c r="AD342" s="49"/>
      <c r="AE342" s="49"/>
      <c r="AF342" s="49"/>
      <c r="AG342" s="49">
        <f t="shared" si="55"/>
        <v>0</v>
      </c>
      <c r="AH342" s="49">
        <f t="shared" si="56"/>
        <v>0</v>
      </c>
      <c r="AI342" s="49">
        <f t="shared" si="57"/>
        <v>0</v>
      </c>
    </row>
    <row r="343" spans="1:35">
      <c r="A343" s="2" t="s">
        <v>448</v>
      </c>
      <c r="B343" s="2"/>
      <c r="C343" s="2"/>
      <c r="D343" s="2"/>
      <c r="E343" s="2"/>
      <c r="F343" s="2"/>
      <c r="G343" s="2"/>
      <c r="Z343" s="49"/>
      <c r="AA343" s="49" t="s">
        <v>448</v>
      </c>
      <c r="AB343" s="49">
        <v>0</v>
      </c>
      <c r="AC343" s="49">
        <v>0</v>
      </c>
      <c r="AD343" s="49"/>
      <c r="AE343" s="49"/>
      <c r="AF343" s="49"/>
      <c r="AG343" s="49" t="str">
        <f t="shared" si="55"/>
        <v>SELECCIÓN DEL</v>
      </c>
      <c r="AH343" s="49">
        <f t="shared" si="56"/>
        <v>0</v>
      </c>
      <c r="AI343" s="49">
        <f t="shared" si="57"/>
        <v>0</v>
      </c>
    </row>
    <row r="344" spans="1:35">
      <c r="A344" s="2" t="s">
        <v>449</v>
      </c>
      <c r="B344" s="2"/>
      <c r="C344" s="2"/>
      <c r="D344" s="2"/>
      <c r="E344" s="2"/>
      <c r="F344" s="2"/>
      <c r="G344" s="2"/>
      <c r="Z344" s="49"/>
      <c r="AA344" s="49" t="s">
        <v>449</v>
      </c>
      <c r="AB344" s="49">
        <v>0</v>
      </c>
      <c r="AC344" s="49">
        <v>0</v>
      </c>
      <c r="AD344" s="49"/>
      <c r="AE344" s="49"/>
      <c r="AF344" s="49"/>
      <c r="AG344" s="49" t="str">
        <f t="shared" si="55"/>
        <v>INT. TERMOMAGNETICO</v>
      </c>
      <c r="AH344" s="49">
        <f t="shared" si="56"/>
        <v>0</v>
      </c>
      <c r="AI344" s="49">
        <f t="shared" si="57"/>
        <v>0</v>
      </c>
    </row>
    <row r="345" spans="1:35">
      <c r="A345" s="2" t="s">
        <v>450</v>
      </c>
      <c r="B345" s="2" t="s">
        <v>451</v>
      </c>
      <c r="C345" s="2"/>
      <c r="D345" s="2"/>
      <c r="E345" s="2"/>
      <c r="F345" s="2"/>
      <c r="G345" s="2"/>
      <c r="Z345" s="49"/>
      <c r="AA345" s="49" t="s">
        <v>450</v>
      </c>
      <c r="AB345" s="49" t="s">
        <v>451</v>
      </c>
      <c r="AC345" s="49">
        <v>0</v>
      </c>
      <c r="AD345" s="49"/>
      <c r="AE345" s="49"/>
      <c r="AF345" s="49"/>
      <c r="AG345" s="49" t="str">
        <f t="shared" si="55"/>
        <v>INTERVALO</v>
      </c>
      <c r="AH345" s="49" t="str">
        <f t="shared" si="56"/>
        <v>DISPARO</v>
      </c>
      <c r="AI345" s="49">
        <f t="shared" si="57"/>
        <v>0</v>
      </c>
    </row>
    <row r="346" spans="1:35">
      <c r="A346" s="2" t="s">
        <v>378</v>
      </c>
      <c r="B346" s="2" t="s">
        <v>452</v>
      </c>
      <c r="C346" s="2"/>
      <c r="D346" s="2"/>
      <c r="E346" s="2"/>
      <c r="F346" s="2"/>
      <c r="G346" s="2"/>
      <c r="Z346" s="49"/>
      <c r="AA346" s="49" t="s">
        <v>378</v>
      </c>
      <c r="AB346" s="49" t="s">
        <v>452</v>
      </c>
      <c r="AC346" s="49">
        <v>0</v>
      </c>
      <c r="AD346" s="49"/>
      <c r="AE346" s="49"/>
      <c r="AF346" s="49"/>
      <c r="AG346" s="49" t="str">
        <f t="shared" si="55"/>
        <v>RANGO</v>
      </c>
      <c r="AH346" s="49" t="str">
        <f t="shared" si="56"/>
        <v>SELECCIÓN</v>
      </c>
      <c r="AI346" s="49">
        <f t="shared" si="57"/>
        <v>0</v>
      </c>
    </row>
    <row r="347" spans="1:35">
      <c r="A347" s="1">
        <f t="shared" ref="A347:A380" si="58">AG347</f>
        <v>0</v>
      </c>
      <c r="B347" s="1">
        <f t="shared" ref="B347:B380" si="59">AH347</f>
        <v>15</v>
      </c>
      <c r="C347" s="1">
        <f t="shared" ref="C347:C380" si="60">AI347</f>
        <v>0</v>
      </c>
      <c r="Z347" s="49"/>
      <c r="AA347" s="49">
        <v>0</v>
      </c>
      <c r="AB347" s="49">
        <v>15</v>
      </c>
      <c r="AC347" s="49">
        <v>0</v>
      </c>
      <c r="AD347" s="49"/>
      <c r="AE347" s="49"/>
      <c r="AF347" s="49"/>
      <c r="AG347" s="49">
        <f t="shared" si="55"/>
        <v>0</v>
      </c>
      <c r="AH347" s="49">
        <f t="shared" si="56"/>
        <v>15</v>
      </c>
      <c r="AI347" s="49">
        <f t="shared" si="57"/>
        <v>0</v>
      </c>
    </row>
    <row r="348" spans="1:35">
      <c r="A348" s="1">
        <f t="shared" si="58"/>
        <v>15.1</v>
      </c>
      <c r="B348" s="1">
        <f t="shared" si="59"/>
        <v>20</v>
      </c>
      <c r="C348" s="1">
        <f t="shared" si="60"/>
        <v>0</v>
      </c>
      <c r="Z348" s="49"/>
      <c r="AA348" s="49">
        <v>15.1</v>
      </c>
      <c r="AB348" s="49">
        <v>20</v>
      </c>
      <c r="AC348" s="49">
        <v>0</v>
      </c>
      <c r="AD348" s="49"/>
      <c r="AE348" s="49"/>
      <c r="AF348" s="49"/>
      <c r="AG348" s="49">
        <f t="shared" si="55"/>
        <v>15.1</v>
      </c>
      <c r="AH348" s="49">
        <f t="shared" si="56"/>
        <v>20</v>
      </c>
      <c r="AI348" s="49">
        <f t="shared" si="57"/>
        <v>0</v>
      </c>
    </row>
    <row r="349" spans="1:35">
      <c r="A349" s="1">
        <f t="shared" si="58"/>
        <v>20.100000000000001</v>
      </c>
      <c r="B349" s="1">
        <f t="shared" si="59"/>
        <v>30</v>
      </c>
      <c r="C349" s="1">
        <f t="shared" si="60"/>
        <v>0</v>
      </c>
      <c r="Z349" s="49"/>
      <c r="AA349" s="49">
        <v>20.100000000000001</v>
      </c>
      <c r="AB349" s="49">
        <v>30</v>
      </c>
      <c r="AC349" s="49">
        <v>0</v>
      </c>
      <c r="AD349" s="49"/>
      <c r="AE349" s="49"/>
      <c r="AF349" s="49"/>
      <c r="AG349" s="49">
        <f t="shared" si="55"/>
        <v>20.100000000000001</v>
      </c>
      <c r="AH349" s="49">
        <f t="shared" si="56"/>
        <v>30</v>
      </c>
      <c r="AI349" s="49">
        <f t="shared" si="57"/>
        <v>0</v>
      </c>
    </row>
    <row r="350" spans="1:35">
      <c r="A350" s="1">
        <f t="shared" si="58"/>
        <v>30.1</v>
      </c>
      <c r="B350" s="1">
        <f t="shared" si="59"/>
        <v>40</v>
      </c>
      <c r="C350" s="1">
        <f t="shared" si="60"/>
        <v>0</v>
      </c>
      <c r="Z350" s="49"/>
      <c r="AA350" s="49">
        <v>30.1</v>
      </c>
      <c r="AB350" s="49">
        <v>40</v>
      </c>
      <c r="AC350" s="49">
        <v>0</v>
      </c>
      <c r="AD350" s="49"/>
      <c r="AE350" s="49"/>
      <c r="AF350" s="49"/>
      <c r="AG350" s="49">
        <f t="shared" si="55"/>
        <v>30.1</v>
      </c>
      <c r="AH350" s="49">
        <f t="shared" si="56"/>
        <v>40</v>
      </c>
      <c r="AI350" s="49">
        <f t="shared" si="57"/>
        <v>0</v>
      </c>
    </row>
    <row r="351" spans="1:35">
      <c r="A351" s="1">
        <f t="shared" si="58"/>
        <v>40.1</v>
      </c>
      <c r="B351" s="1">
        <f t="shared" si="59"/>
        <v>50</v>
      </c>
      <c r="C351" s="1">
        <f t="shared" si="60"/>
        <v>0</v>
      </c>
      <c r="Z351" s="49"/>
      <c r="AA351" s="49">
        <v>40.1</v>
      </c>
      <c r="AB351" s="49">
        <v>50</v>
      </c>
      <c r="AC351" s="49">
        <v>0</v>
      </c>
      <c r="AD351" s="49"/>
      <c r="AE351" s="49"/>
      <c r="AF351" s="49"/>
      <c r="AG351" s="49">
        <f t="shared" si="55"/>
        <v>40.1</v>
      </c>
      <c r="AH351" s="49">
        <f t="shared" si="56"/>
        <v>50</v>
      </c>
      <c r="AI351" s="49">
        <f t="shared" si="57"/>
        <v>0</v>
      </c>
    </row>
    <row r="352" spans="1:35">
      <c r="A352" s="1">
        <f t="shared" si="58"/>
        <v>50.1</v>
      </c>
      <c r="B352" s="1">
        <f t="shared" si="59"/>
        <v>60</v>
      </c>
      <c r="C352" s="1">
        <f t="shared" si="60"/>
        <v>0</v>
      </c>
      <c r="Z352" s="49"/>
      <c r="AA352" s="49">
        <v>50.1</v>
      </c>
      <c r="AB352" s="49">
        <v>60</v>
      </c>
      <c r="AC352" s="49">
        <v>0</v>
      </c>
      <c r="AD352" s="49"/>
      <c r="AE352" s="49"/>
      <c r="AF352" s="49"/>
      <c r="AG352" s="49">
        <f t="shared" si="55"/>
        <v>50.1</v>
      </c>
      <c r="AH352" s="49">
        <f t="shared" si="56"/>
        <v>60</v>
      </c>
      <c r="AI352" s="49">
        <f t="shared" si="57"/>
        <v>0</v>
      </c>
    </row>
    <row r="353" spans="1:35">
      <c r="A353" s="1">
        <f t="shared" si="58"/>
        <v>60.1</v>
      </c>
      <c r="B353" s="1">
        <f t="shared" si="59"/>
        <v>70</v>
      </c>
      <c r="C353" s="1">
        <f t="shared" si="60"/>
        <v>0</v>
      </c>
      <c r="Z353" s="49"/>
      <c r="AA353" s="49">
        <v>60.1</v>
      </c>
      <c r="AB353" s="49">
        <v>70</v>
      </c>
      <c r="AC353" s="49">
        <v>0</v>
      </c>
      <c r="AD353" s="49"/>
      <c r="AE353" s="49"/>
      <c r="AF353" s="49"/>
      <c r="AG353" s="49">
        <f t="shared" si="55"/>
        <v>60.1</v>
      </c>
      <c r="AH353" s="49">
        <f t="shared" si="56"/>
        <v>70</v>
      </c>
      <c r="AI353" s="49">
        <f t="shared" si="57"/>
        <v>0</v>
      </c>
    </row>
    <row r="354" spans="1:35">
      <c r="A354" s="1">
        <f t="shared" si="58"/>
        <v>70.099999999999994</v>
      </c>
      <c r="B354" s="1">
        <f t="shared" si="59"/>
        <v>100</v>
      </c>
      <c r="C354" s="1">
        <f t="shared" si="60"/>
        <v>0</v>
      </c>
      <c r="Z354" s="49"/>
      <c r="AA354" s="49">
        <v>70.099999999999994</v>
      </c>
      <c r="AB354" s="49">
        <v>100</v>
      </c>
      <c r="AC354" s="49">
        <v>0</v>
      </c>
      <c r="AD354" s="49"/>
      <c r="AE354" s="49"/>
      <c r="AF354" s="49"/>
      <c r="AG354" s="49">
        <f t="shared" si="55"/>
        <v>70.099999999999994</v>
      </c>
      <c r="AH354" s="49">
        <f t="shared" si="56"/>
        <v>100</v>
      </c>
      <c r="AI354" s="49">
        <f t="shared" si="57"/>
        <v>0</v>
      </c>
    </row>
    <row r="355" spans="1:35">
      <c r="A355" s="1">
        <f t="shared" si="58"/>
        <v>100.1</v>
      </c>
      <c r="B355" s="1">
        <f t="shared" si="59"/>
        <v>125</v>
      </c>
      <c r="C355" s="1">
        <f t="shared" si="60"/>
        <v>0</v>
      </c>
      <c r="Z355" s="49"/>
      <c r="AA355" s="49">
        <v>100.1</v>
      </c>
      <c r="AB355" s="49">
        <v>125</v>
      </c>
      <c r="AC355" s="49">
        <v>0</v>
      </c>
      <c r="AD355" s="49"/>
      <c r="AE355" s="49"/>
      <c r="AF355" s="49"/>
      <c r="AG355" s="49">
        <f t="shared" si="55"/>
        <v>100.1</v>
      </c>
      <c r="AH355" s="49">
        <f t="shared" si="56"/>
        <v>125</v>
      </c>
      <c r="AI355" s="49">
        <f t="shared" si="57"/>
        <v>0</v>
      </c>
    </row>
    <row r="356" spans="1:35">
      <c r="A356" s="1">
        <f t="shared" si="58"/>
        <v>125.1</v>
      </c>
      <c r="B356" s="1">
        <f t="shared" si="59"/>
        <v>150</v>
      </c>
      <c r="C356" s="1">
        <f t="shared" si="60"/>
        <v>0</v>
      </c>
      <c r="Z356" s="49"/>
      <c r="AA356" s="49">
        <v>125.1</v>
      </c>
      <c r="AB356" s="49">
        <v>150</v>
      </c>
      <c r="AC356" s="49">
        <v>0</v>
      </c>
      <c r="AD356" s="49"/>
      <c r="AE356" s="49"/>
      <c r="AF356" s="49"/>
      <c r="AG356" s="49">
        <f t="shared" si="55"/>
        <v>125.1</v>
      </c>
      <c r="AH356" s="49">
        <f t="shared" si="56"/>
        <v>150</v>
      </c>
      <c r="AI356" s="49">
        <f t="shared" si="57"/>
        <v>0</v>
      </c>
    </row>
    <row r="357" spans="1:35">
      <c r="A357" s="1">
        <f t="shared" si="58"/>
        <v>150.1</v>
      </c>
      <c r="B357" s="1">
        <f t="shared" si="59"/>
        <v>175</v>
      </c>
      <c r="C357" s="1">
        <f t="shared" si="60"/>
        <v>0</v>
      </c>
      <c r="Z357" s="49"/>
      <c r="AA357" s="49">
        <v>150.1</v>
      </c>
      <c r="AB357" s="49">
        <v>175</v>
      </c>
      <c r="AC357" s="49">
        <v>0</v>
      </c>
      <c r="AD357" s="49"/>
      <c r="AE357" s="49"/>
      <c r="AF357" s="49"/>
      <c r="AG357" s="49">
        <f t="shared" si="55"/>
        <v>150.1</v>
      </c>
      <c r="AH357" s="49">
        <f t="shared" si="56"/>
        <v>175</v>
      </c>
      <c r="AI357" s="49">
        <f t="shared" si="57"/>
        <v>0</v>
      </c>
    </row>
    <row r="358" spans="1:35">
      <c r="A358" s="1">
        <f t="shared" si="58"/>
        <v>175.1</v>
      </c>
      <c r="B358" s="1">
        <f t="shared" si="59"/>
        <v>200</v>
      </c>
      <c r="C358" s="1">
        <f t="shared" si="60"/>
        <v>0</v>
      </c>
      <c r="Z358" s="49"/>
      <c r="AA358" s="49">
        <v>175.1</v>
      </c>
      <c r="AB358" s="49">
        <v>200</v>
      </c>
      <c r="AC358" s="49">
        <v>0</v>
      </c>
      <c r="AD358" s="49"/>
      <c r="AE358" s="49"/>
      <c r="AF358" s="49"/>
      <c r="AG358" s="49">
        <f t="shared" si="55"/>
        <v>175.1</v>
      </c>
      <c r="AH358" s="49">
        <f t="shared" si="56"/>
        <v>200</v>
      </c>
      <c r="AI358" s="49">
        <f t="shared" si="57"/>
        <v>0</v>
      </c>
    </row>
    <row r="359" spans="1:35">
      <c r="A359" s="1">
        <f t="shared" si="58"/>
        <v>200.1</v>
      </c>
      <c r="B359" s="1">
        <f t="shared" si="59"/>
        <v>225</v>
      </c>
      <c r="C359" s="1">
        <f t="shared" si="60"/>
        <v>0</v>
      </c>
      <c r="Z359" s="49"/>
      <c r="AA359" s="49">
        <v>200.1</v>
      </c>
      <c r="AB359" s="49">
        <v>225</v>
      </c>
      <c r="AC359" s="49">
        <v>0</v>
      </c>
      <c r="AD359" s="49"/>
      <c r="AE359" s="49"/>
      <c r="AF359" s="49"/>
      <c r="AG359" s="49">
        <f t="shared" si="55"/>
        <v>200.1</v>
      </c>
      <c r="AH359" s="49">
        <f t="shared" si="56"/>
        <v>225</v>
      </c>
      <c r="AI359" s="49">
        <f t="shared" si="57"/>
        <v>0</v>
      </c>
    </row>
    <row r="360" spans="1:35">
      <c r="A360" s="1">
        <f t="shared" si="58"/>
        <v>225.1</v>
      </c>
      <c r="B360" s="1">
        <f t="shared" si="59"/>
        <v>250</v>
      </c>
      <c r="C360" s="1">
        <f t="shared" si="60"/>
        <v>0</v>
      </c>
      <c r="Z360" s="49"/>
      <c r="AA360" s="49">
        <v>225.1</v>
      </c>
      <c r="AB360" s="49">
        <v>250</v>
      </c>
      <c r="AC360" s="49">
        <v>0</v>
      </c>
      <c r="AD360" s="49"/>
      <c r="AE360" s="49"/>
      <c r="AF360" s="49"/>
      <c r="AG360" s="49">
        <f t="shared" si="55"/>
        <v>225.1</v>
      </c>
      <c r="AH360" s="49">
        <f t="shared" si="56"/>
        <v>250</v>
      </c>
      <c r="AI360" s="49">
        <f t="shared" si="57"/>
        <v>0</v>
      </c>
    </row>
    <row r="361" spans="1:35">
      <c r="A361" s="1">
        <f t="shared" si="58"/>
        <v>250.1</v>
      </c>
      <c r="B361" s="1">
        <f t="shared" si="59"/>
        <v>300</v>
      </c>
      <c r="C361" s="1">
        <f t="shared" si="60"/>
        <v>0</v>
      </c>
      <c r="Z361" s="49"/>
      <c r="AA361" s="49">
        <v>250.1</v>
      </c>
      <c r="AB361" s="49">
        <v>300</v>
      </c>
      <c r="AC361" s="49">
        <v>0</v>
      </c>
      <c r="AD361" s="49"/>
      <c r="AE361" s="49"/>
      <c r="AF361" s="49"/>
      <c r="AG361" s="49">
        <f t="shared" si="55"/>
        <v>250.1</v>
      </c>
      <c r="AH361" s="49">
        <f t="shared" si="56"/>
        <v>300</v>
      </c>
      <c r="AI361" s="49">
        <f t="shared" si="57"/>
        <v>0</v>
      </c>
    </row>
    <row r="362" spans="1:35">
      <c r="A362" s="1">
        <f t="shared" si="58"/>
        <v>300.10000000000002</v>
      </c>
      <c r="B362" s="1">
        <f t="shared" si="59"/>
        <v>350</v>
      </c>
      <c r="C362" s="1">
        <f t="shared" si="60"/>
        <v>0</v>
      </c>
      <c r="Z362" s="49"/>
      <c r="AA362" s="49">
        <v>300.10000000000002</v>
      </c>
      <c r="AB362" s="49">
        <v>350</v>
      </c>
      <c r="AC362" s="49">
        <v>0</v>
      </c>
      <c r="AD362" s="49"/>
      <c r="AE362" s="49"/>
      <c r="AF362" s="49"/>
      <c r="AG362" s="49">
        <f t="shared" si="55"/>
        <v>300.10000000000002</v>
      </c>
      <c r="AH362" s="49">
        <f t="shared" si="56"/>
        <v>350</v>
      </c>
      <c r="AI362" s="49">
        <f t="shared" si="57"/>
        <v>0</v>
      </c>
    </row>
    <row r="363" spans="1:35">
      <c r="A363" s="1">
        <f t="shared" si="58"/>
        <v>350.1</v>
      </c>
      <c r="B363" s="1">
        <f t="shared" si="59"/>
        <v>400</v>
      </c>
      <c r="C363" s="1">
        <f t="shared" si="60"/>
        <v>0</v>
      </c>
      <c r="Z363" s="49"/>
      <c r="AA363" s="49">
        <v>350.1</v>
      </c>
      <c r="AB363" s="49">
        <v>400</v>
      </c>
      <c r="AC363" s="49">
        <v>0</v>
      </c>
      <c r="AD363" s="49"/>
      <c r="AE363" s="49"/>
      <c r="AF363" s="49"/>
      <c r="AG363" s="49">
        <f t="shared" si="55"/>
        <v>350.1</v>
      </c>
      <c r="AH363" s="49">
        <f t="shared" si="56"/>
        <v>400</v>
      </c>
      <c r="AI363" s="49">
        <f t="shared" si="57"/>
        <v>0</v>
      </c>
    </row>
    <row r="364" spans="1:35">
      <c r="A364" s="1">
        <f t="shared" si="58"/>
        <v>400.1</v>
      </c>
      <c r="B364" s="1">
        <f t="shared" si="59"/>
        <v>500</v>
      </c>
      <c r="C364" s="1">
        <f t="shared" si="60"/>
        <v>0</v>
      </c>
      <c r="Z364" s="49"/>
      <c r="AA364" s="49">
        <v>400.1</v>
      </c>
      <c r="AB364" s="49">
        <v>500</v>
      </c>
      <c r="AC364" s="49">
        <v>0</v>
      </c>
      <c r="AD364" s="49"/>
      <c r="AE364" s="49"/>
      <c r="AF364" s="49"/>
      <c r="AG364" s="49">
        <f t="shared" si="55"/>
        <v>400.1</v>
      </c>
      <c r="AH364" s="49">
        <f t="shared" si="56"/>
        <v>500</v>
      </c>
      <c r="AI364" s="49">
        <f t="shared" si="57"/>
        <v>0</v>
      </c>
    </row>
    <row r="365" spans="1:35">
      <c r="A365" s="1">
        <f t="shared" si="58"/>
        <v>500.1</v>
      </c>
      <c r="B365" s="1">
        <f t="shared" si="59"/>
        <v>600</v>
      </c>
      <c r="C365" s="1">
        <f t="shared" si="60"/>
        <v>0</v>
      </c>
      <c r="Z365" s="49"/>
      <c r="AA365" s="49">
        <v>500.1</v>
      </c>
      <c r="AB365" s="49">
        <v>600</v>
      </c>
      <c r="AC365" s="49">
        <v>0</v>
      </c>
      <c r="AD365" s="49"/>
      <c r="AE365" s="49"/>
      <c r="AF365" s="49"/>
      <c r="AG365" s="49">
        <f t="shared" si="55"/>
        <v>500.1</v>
      </c>
      <c r="AH365" s="49">
        <f t="shared" si="56"/>
        <v>600</v>
      </c>
      <c r="AI365" s="49">
        <f t="shared" si="57"/>
        <v>0</v>
      </c>
    </row>
    <row r="366" spans="1:35">
      <c r="A366" s="1">
        <f t="shared" si="58"/>
        <v>600.1</v>
      </c>
      <c r="B366" s="1">
        <f t="shared" si="59"/>
        <v>700</v>
      </c>
      <c r="C366" s="1">
        <f t="shared" si="60"/>
        <v>0</v>
      </c>
      <c r="Z366" s="49"/>
      <c r="AA366" s="49">
        <v>600.1</v>
      </c>
      <c r="AB366" s="49">
        <v>700</v>
      </c>
      <c r="AC366" s="49">
        <v>0</v>
      </c>
      <c r="AD366" s="49"/>
      <c r="AE366" s="49"/>
      <c r="AF366" s="49"/>
      <c r="AG366" s="49">
        <f t="shared" si="55"/>
        <v>600.1</v>
      </c>
      <c r="AH366" s="49">
        <f t="shared" si="56"/>
        <v>700</v>
      </c>
      <c r="AI366" s="49">
        <f t="shared" si="57"/>
        <v>0</v>
      </c>
    </row>
    <row r="367" spans="1:35">
      <c r="A367" s="1">
        <f t="shared" si="58"/>
        <v>700.1</v>
      </c>
      <c r="B367" s="1">
        <f t="shared" si="59"/>
        <v>800</v>
      </c>
      <c r="C367" s="1">
        <f t="shared" si="60"/>
        <v>0</v>
      </c>
      <c r="Z367" s="49"/>
      <c r="AA367" s="49">
        <v>700.1</v>
      </c>
      <c r="AB367" s="49">
        <v>800</v>
      </c>
      <c r="AC367" s="49">
        <v>0</v>
      </c>
      <c r="AD367" s="49"/>
      <c r="AE367" s="49"/>
      <c r="AF367" s="49"/>
      <c r="AG367" s="49">
        <f t="shared" si="55"/>
        <v>700.1</v>
      </c>
      <c r="AH367" s="49">
        <f t="shared" si="56"/>
        <v>800</v>
      </c>
      <c r="AI367" s="49">
        <f t="shared" si="57"/>
        <v>0</v>
      </c>
    </row>
    <row r="368" spans="1:35">
      <c r="A368" s="1">
        <f t="shared" si="58"/>
        <v>800.1</v>
      </c>
      <c r="B368" s="1">
        <f t="shared" si="59"/>
        <v>900</v>
      </c>
      <c r="C368" s="1">
        <f t="shared" si="60"/>
        <v>0</v>
      </c>
      <c r="Z368" s="49"/>
      <c r="AA368" s="49">
        <v>800.1</v>
      </c>
      <c r="AB368" s="49">
        <v>900</v>
      </c>
      <c r="AC368" s="49">
        <v>0</v>
      </c>
      <c r="AD368" s="49"/>
      <c r="AE368" s="49"/>
      <c r="AF368" s="49"/>
      <c r="AG368" s="49">
        <f t="shared" si="55"/>
        <v>800.1</v>
      </c>
      <c r="AH368" s="49">
        <f t="shared" si="56"/>
        <v>900</v>
      </c>
      <c r="AI368" s="49">
        <f t="shared" si="57"/>
        <v>0</v>
      </c>
    </row>
    <row r="369" spans="1:35">
      <c r="A369" s="1">
        <f t="shared" si="58"/>
        <v>900.1</v>
      </c>
      <c r="B369" s="1">
        <f t="shared" si="59"/>
        <v>1000</v>
      </c>
      <c r="C369" s="1">
        <f t="shared" si="60"/>
        <v>0</v>
      </c>
      <c r="Z369" s="49"/>
      <c r="AA369" s="49">
        <v>900.1</v>
      </c>
      <c r="AB369" s="49">
        <v>1000</v>
      </c>
      <c r="AC369" s="49">
        <v>0</v>
      </c>
      <c r="AD369" s="49"/>
      <c r="AE369" s="49"/>
      <c r="AF369" s="49"/>
      <c r="AG369" s="49">
        <f t="shared" si="55"/>
        <v>900.1</v>
      </c>
      <c r="AH369" s="49">
        <f t="shared" si="56"/>
        <v>1000</v>
      </c>
      <c r="AI369" s="49">
        <f t="shared" si="57"/>
        <v>0</v>
      </c>
    </row>
    <row r="370" spans="1:35">
      <c r="A370" s="1">
        <f t="shared" si="58"/>
        <v>1000.1</v>
      </c>
      <c r="B370" s="1">
        <f t="shared" si="59"/>
        <v>1200</v>
      </c>
      <c r="C370" s="1">
        <f t="shared" si="60"/>
        <v>0</v>
      </c>
      <c r="Z370" s="49"/>
      <c r="AA370" s="49">
        <v>1000.1</v>
      </c>
      <c r="AB370" s="49">
        <v>1200</v>
      </c>
      <c r="AC370" s="49">
        <v>0</v>
      </c>
      <c r="AD370" s="49"/>
      <c r="AE370" s="49"/>
      <c r="AF370" s="49"/>
      <c r="AG370" s="49">
        <f t="shared" si="55"/>
        <v>1000.1</v>
      </c>
      <c r="AH370" s="49">
        <f t="shared" si="56"/>
        <v>1200</v>
      </c>
      <c r="AI370" s="49">
        <f t="shared" si="57"/>
        <v>0</v>
      </c>
    </row>
    <row r="371" spans="1:35">
      <c r="A371" s="1">
        <f t="shared" si="58"/>
        <v>1200.0999999999999</v>
      </c>
      <c r="B371" s="1">
        <f t="shared" si="59"/>
        <v>1400</v>
      </c>
      <c r="C371" s="1">
        <f t="shared" si="60"/>
        <v>0</v>
      </c>
      <c r="Z371" s="49"/>
      <c r="AA371" s="49">
        <v>1200.0999999999999</v>
      </c>
      <c r="AB371" s="49">
        <v>1400</v>
      </c>
      <c r="AC371" s="49">
        <v>0</v>
      </c>
      <c r="AD371" s="49"/>
      <c r="AE371" s="49"/>
      <c r="AF371" s="49"/>
      <c r="AG371" s="49">
        <f t="shared" si="55"/>
        <v>1200.0999999999999</v>
      </c>
      <c r="AH371" s="49">
        <f t="shared" si="56"/>
        <v>1400</v>
      </c>
      <c r="AI371" s="49">
        <f t="shared" si="57"/>
        <v>0</v>
      </c>
    </row>
    <row r="372" spans="1:35">
      <c r="A372" s="1">
        <f t="shared" si="58"/>
        <v>1400.1</v>
      </c>
      <c r="B372" s="1">
        <f t="shared" si="59"/>
        <v>1600</v>
      </c>
      <c r="C372" s="1">
        <f t="shared" si="60"/>
        <v>0</v>
      </c>
      <c r="Z372" s="49"/>
      <c r="AA372" s="49">
        <v>1400.1</v>
      </c>
      <c r="AB372" s="49">
        <v>1600</v>
      </c>
      <c r="AC372" s="49">
        <v>0</v>
      </c>
      <c r="AD372" s="49"/>
      <c r="AE372" s="49"/>
      <c r="AF372" s="49"/>
      <c r="AG372" s="49">
        <f t="shared" si="55"/>
        <v>1400.1</v>
      </c>
      <c r="AH372" s="49">
        <f t="shared" si="56"/>
        <v>1600</v>
      </c>
      <c r="AI372" s="49">
        <f t="shared" si="57"/>
        <v>0</v>
      </c>
    </row>
    <row r="373" spans="1:35">
      <c r="A373" s="1">
        <f t="shared" si="58"/>
        <v>1600.1</v>
      </c>
      <c r="B373" s="1">
        <f t="shared" si="59"/>
        <v>1800</v>
      </c>
      <c r="C373" s="1">
        <f t="shared" si="60"/>
        <v>0</v>
      </c>
      <c r="Z373" s="49"/>
      <c r="AA373" s="49">
        <v>1600.1</v>
      </c>
      <c r="AB373" s="49">
        <v>1800</v>
      </c>
      <c r="AC373" s="49">
        <v>0</v>
      </c>
      <c r="AD373" s="49"/>
      <c r="AE373" s="49"/>
      <c r="AF373" s="49"/>
      <c r="AG373" s="49">
        <f t="shared" si="55"/>
        <v>1600.1</v>
      </c>
      <c r="AH373" s="49">
        <f t="shared" si="56"/>
        <v>1800</v>
      </c>
      <c r="AI373" s="49">
        <f t="shared" si="57"/>
        <v>0</v>
      </c>
    </row>
    <row r="374" spans="1:35">
      <c r="A374" s="1">
        <f t="shared" si="58"/>
        <v>1800.1</v>
      </c>
      <c r="B374" s="1">
        <f t="shared" si="59"/>
        <v>2000</v>
      </c>
      <c r="C374" s="1">
        <f t="shared" si="60"/>
        <v>0</v>
      </c>
      <c r="Z374" s="49"/>
      <c r="AA374" s="49">
        <v>1800.1</v>
      </c>
      <c r="AB374" s="49">
        <v>2000</v>
      </c>
      <c r="AC374" s="49">
        <v>0</v>
      </c>
      <c r="AD374" s="49"/>
      <c r="AE374" s="49"/>
      <c r="AF374" s="49"/>
      <c r="AG374" s="49">
        <f t="shared" si="55"/>
        <v>1800.1</v>
      </c>
      <c r="AH374" s="49">
        <f t="shared" si="56"/>
        <v>2000</v>
      </c>
      <c r="AI374" s="49">
        <f t="shared" si="57"/>
        <v>0</v>
      </c>
    </row>
    <row r="375" spans="1:35">
      <c r="A375" s="1">
        <f t="shared" si="58"/>
        <v>2000.1</v>
      </c>
      <c r="B375" s="1">
        <f t="shared" si="59"/>
        <v>2500</v>
      </c>
      <c r="C375" s="1">
        <f t="shared" si="60"/>
        <v>0</v>
      </c>
      <c r="Z375" s="49"/>
      <c r="AA375" s="49">
        <v>2000.1</v>
      </c>
      <c r="AB375" s="49">
        <v>2500</v>
      </c>
      <c r="AC375" s="49">
        <v>0</v>
      </c>
      <c r="AD375" s="49"/>
      <c r="AE375" s="49"/>
      <c r="AF375" s="49"/>
      <c r="AG375" s="49">
        <f t="shared" si="55"/>
        <v>2000.1</v>
      </c>
      <c r="AH375" s="49">
        <f t="shared" si="56"/>
        <v>2500</v>
      </c>
      <c r="AI375" s="49">
        <f t="shared" si="57"/>
        <v>0</v>
      </c>
    </row>
    <row r="376" spans="1:35">
      <c r="A376" s="1">
        <f t="shared" si="58"/>
        <v>2500.1</v>
      </c>
      <c r="B376" s="1">
        <f t="shared" si="59"/>
        <v>3000</v>
      </c>
      <c r="C376" s="1">
        <f t="shared" si="60"/>
        <v>0</v>
      </c>
      <c r="Z376" s="49"/>
      <c r="AA376" s="49">
        <v>2500.1</v>
      </c>
      <c r="AB376" s="49">
        <v>3000</v>
      </c>
      <c r="AC376" s="49">
        <v>0</v>
      </c>
      <c r="AD376" s="49"/>
      <c r="AE376" s="49"/>
      <c r="AF376" s="49"/>
      <c r="AG376" s="49">
        <f t="shared" si="55"/>
        <v>2500.1</v>
      </c>
      <c r="AH376" s="49">
        <f t="shared" si="56"/>
        <v>3000</v>
      </c>
      <c r="AI376" s="49">
        <f t="shared" si="57"/>
        <v>0</v>
      </c>
    </row>
    <row r="377" spans="1:35">
      <c r="A377" s="1">
        <f t="shared" si="58"/>
        <v>3000.1</v>
      </c>
      <c r="B377" s="1">
        <f t="shared" si="59"/>
        <v>3200</v>
      </c>
      <c r="C377" s="1">
        <f t="shared" si="60"/>
        <v>0</v>
      </c>
      <c r="Z377" s="49"/>
      <c r="AA377" s="49">
        <v>3000.1</v>
      </c>
      <c r="AB377" s="49">
        <v>3200</v>
      </c>
      <c r="AC377" s="49">
        <v>0</v>
      </c>
      <c r="AD377" s="49"/>
      <c r="AE377" s="49"/>
      <c r="AF377" s="49"/>
      <c r="AG377" s="49">
        <f t="shared" si="55"/>
        <v>3000.1</v>
      </c>
      <c r="AH377" s="49">
        <f t="shared" si="56"/>
        <v>3200</v>
      </c>
      <c r="AI377" s="49">
        <f t="shared" si="57"/>
        <v>0</v>
      </c>
    </row>
    <row r="378" spans="1:35">
      <c r="A378" s="1">
        <f t="shared" si="58"/>
        <v>3200.1</v>
      </c>
      <c r="B378" s="1">
        <f t="shared" si="59"/>
        <v>4000</v>
      </c>
      <c r="C378" s="1">
        <f t="shared" si="60"/>
        <v>0</v>
      </c>
      <c r="Z378" s="49"/>
      <c r="AA378" s="49">
        <v>3200.1</v>
      </c>
      <c r="AB378" s="49">
        <v>4000</v>
      </c>
      <c r="AC378" s="49">
        <v>0</v>
      </c>
      <c r="AD378" s="49"/>
      <c r="AE378" s="49"/>
      <c r="AF378" s="49"/>
      <c r="AG378" s="49">
        <f t="shared" si="55"/>
        <v>3200.1</v>
      </c>
      <c r="AH378" s="49">
        <f t="shared" si="56"/>
        <v>4000</v>
      </c>
      <c r="AI378" s="49">
        <f t="shared" si="57"/>
        <v>0</v>
      </c>
    </row>
    <row r="379" spans="1:35">
      <c r="A379" s="1">
        <f t="shared" si="58"/>
        <v>4000.1</v>
      </c>
      <c r="B379" s="1">
        <f t="shared" si="59"/>
        <v>5000</v>
      </c>
      <c r="C379" s="1">
        <f t="shared" si="60"/>
        <v>0</v>
      </c>
      <c r="Z379" s="49"/>
      <c r="AA379" s="49">
        <v>4000.1</v>
      </c>
      <c r="AB379" s="49">
        <v>5000</v>
      </c>
      <c r="AC379" s="49">
        <v>0</v>
      </c>
      <c r="AD379" s="49"/>
      <c r="AE379" s="49"/>
      <c r="AF379" s="49"/>
      <c r="AG379" s="49">
        <f t="shared" si="55"/>
        <v>4000.1</v>
      </c>
      <c r="AH379" s="49">
        <f t="shared" si="56"/>
        <v>5000</v>
      </c>
      <c r="AI379" s="49">
        <f t="shared" si="57"/>
        <v>0</v>
      </c>
    </row>
    <row r="380" spans="1:35">
      <c r="A380" s="1">
        <f t="shared" si="58"/>
        <v>5000.1000000000004</v>
      </c>
      <c r="B380" s="1">
        <f t="shared" si="59"/>
        <v>6000</v>
      </c>
      <c r="C380" s="1">
        <f t="shared" si="60"/>
        <v>0</v>
      </c>
      <c r="Z380" s="49"/>
      <c r="AA380" s="49">
        <v>5000.1000000000004</v>
      </c>
      <c r="AB380" s="49">
        <v>6000</v>
      </c>
      <c r="AC380" s="49">
        <v>0</v>
      </c>
      <c r="AD380" s="49"/>
      <c r="AE380" s="49"/>
      <c r="AF380" s="49"/>
      <c r="AG380" s="49">
        <f t="shared" si="55"/>
        <v>5000.1000000000004</v>
      </c>
      <c r="AH380" s="49">
        <f t="shared" si="56"/>
        <v>6000</v>
      </c>
      <c r="AI380" s="49">
        <f t="shared" si="57"/>
        <v>0</v>
      </c>
    </row>
    <row r="381" spans="1:35">
      <c r="Z381" s="49"/>
      <c r="AA381" s="49">
        <v>0</v>
      </c>
      <c r="AB381" s="49">
        <v>0</v>
      </c>
      <c r="AC381" s="49">
        <v>0</v>
      </c>
      <c r="AD381" s="49"/>
      <c r="AE381" s="49"/>
      <c r="AF381" s="49"/>
      <c r="AG381" s="49">
        <f t="shared" si="55"/>
        <v>0</v>
      </c>
      <c r="AH381" s="49">
        <f t="shared" si="56"/>
        <v>0</v>
      </c>
      <c r="AI381" s="49">
        <f t="shared" si="57"/>
        <v>0</v>
      </c>
    </row>
    <row r="382" spans="1:35">
      <c r="Z382" s="49"/>
      <c r="AA382" s="49">
        <v>0</v>
      </c>
      <c r="AB382" s="49">
        <v>0</v>
      </c>
      <c r="AC382" s="49">
        <v>0</v>
      </c>
      <c r="AD382" s="49"/>
      <c r="AE382" s="49"/>
      <c r="AF382" s="49"/>
      <c r="AG382" s="49">
        <f t="shared" si="55"/>
        <v>0</v>
      </c>
      <c r="AH382" s="49">
        <f t="shared" si="56"/>
        <v>0</v>
      </c>
      <c r="AI382" s="49">
        <f t="shared" si="57"/>
        <v>0</v>
      </c>
    </row>
    <row r="383" spans="1:35">
      <c r="Z383" s="49"/>
      <c r="AA383" s="49">
        <v>0</v>
      </c>
      <c r="AB383" s="49">
        <v>0</v>
      </c>
      <c r="AC383" s="49">
        <v>0</v>
      </c>
      <c r="AD383" s="49"/>
      <c r="AE383" s="49"/>
      <c r="AF383" s="49"/>
      <c r="AG383" s="49">
        <f t="shared" si="55"/>
        <v>0</v>
      </c>
      <c r="AH383" s="49">
        <f t="shared" si="56"/>
        <v>0</v>
      </c>
      <c r="AI383" s="49">
        <f t="shared" si="57"/>
        <v>0</v>
      </c>
    </row>
    <row r="384" spans="1:35">
      <c r="A384" s="11" t="s">
        <v>453</v>
      </c>
      <c r="B384" s="11"/>
      <c r="C384" s="11"/>
      <c r="D384" s="11"/>
      <c r="E384" s="11"/>
      <c r="F384" s="11"/>
      <c r="G384" s="11"/>
      <c r="H384" s="11"/>
      <c r="Z384" s="49"/>
      <c r="AA384" s="49" t="s">
        <v>453</v>
      </c>
      <c r="AB384" s="49">
        <v>0</v>
      </c>
      <c r="AC384" s="49">
        <v>0</v>
      </c>
      <c r="AD384" s="49"/>
      <c r="AE384" s="49"/>
      <c r="AF384" s="49"/>
      <c r="AG384" s="49" t="str">
        <f t="shared" si="55"/>
        <v>CAPACIDAD DE CONDUCTORES DE COBRE EN TUBO O DUCTO</v>
      </c>
      <c r="AH384" s="49">
        <f t="shared" si="56"/>
        <v>0</v>
      </c>
      <c r="AI384" s="49">
        <f t="shared" si="57"/>
        <v>0</v>
      </c>
    </row>
    <row r="385" spans="1:35">
      <c r="A385" s="11" t="s">
        <v>454</v>
      </c>
      <c r="B385" s="11"/>
      <c r="C385" s="11"/>
      <c r="D385" s="11"/>
      <c r="E385" s="11"/>
      <c r="F385" s="11"/>
      <c r="G385" s="11"/>
      <c r="H385" s="11"/>
      <c r="Z385" s="49"/>
      <c r="AA385" s="49" t="s">
        <v>454</v>
      </c>
      <c r="AB385" s="49">
        <v>0</v>
      </c>
      <c r="AC385" s="49">
        <v>0</v>
      </c>
      <c r="AD385" s="49"/>
      <c r="AE385" s="49"/>
      <c r="AF385" s="49"/>
      <c r="AG385" s="49" t="str">
        <f t="shared" si="55"/>
        <v>TABLA 310-16</v>
      </c>
      <c r="AH385" s="49">
        <f t="shared" si="56"/>
        <v>0</v>
      </c>
      <c r="AI385" s="49">
        <f t="shared" si="57"/>
        <v>0</v>
      </c>
    </row>
    <row r="386" spans="1:35">
      <c r="Z386" s="49"/>
      <c r="AA386" s="49">
        <v>0</v>
      </c>
      <c r="AB386" s="49">
        <v>0</v>
      </c>
      <c r="AC386" s="49">
        <v>0</v>
      </c>
      <c r="AD386" s="49"/>
      <c r="AE386" s="49"/>
      <c r="AF386" s="49"/>
      <c r="AG386" s="49">
        <f t="shared" si="55"/>
        <v>0</v>
      </c>
      <c r="AH386" s="49">
        <f t="shared" si="56"/>
        <v>0</v>
      </c>
      <c r="AI386" s="49">
        <f t="shared" si="57"/>
        <v>0</v>
      </c>
    </row>
    <row r="387" spans="1:35">
      <c r="Z387" s="49"/>
      <c r="AA387" s="49">
        <v>0</v>
      </c>
      <c r="AB387" s="49">
        <v>0</v>
      </c>
      <c r="AC387" s="49">
        <v>0</v>
      </c>
      <c r="AD387" s="49"/>
      <c r="AE387" s="49"/>
      <c r="AF387" s="49"/>
      <c r="AG387" s="49">
        <f t="shared" si="55"/>
        <v>0</v>
      </c>
      <c r="AH387" s="49">
        <f t="shared" si="56"/>
        <v>0</v>
      </c>
      <c r="AI387" s="49">
        <f t="shared" si="57"/>
        <v>0</v>
      </c>
    </row>
    <row r="388" spans="1:35">
      <c r="A388" s="117" t="s">
        <v>378</v>
      </c>
      <c r="B388" s="9" t="s">
        <v>433</v>
      </c>
      <c r="C388" s="9" t="s">
        <v>409</v>
      </c>
      <c r="E388" s="1" t="s">
        <v>1513</v>
      </c>
      <c r="G388" s="49" t="s">
        <v>1896</v>
      </c>
      <c r="Z388" s="49"/>
      <c r="AA388" s="49" t="s">
        <v>378</v>
      </c>
      <c r="AB388" s="49" t="s">
        <v>433</v>
      </c>
      <c r="AC388" s="49" t="s">
        <v>409</v>
      </c>
      <c r="AD388" s="49"/>
      <c r="AE388" s="49"/>
      <c r="AF388" s="49"/>
      <c r="AG388" s="49" t="str">
        <f t="shared" si="55"/>
        <v>RANGO</v>
      </c>
      <c r="AH388" s="49" t="str">
        <f t="shared" si="56"/>
        <v>calibre</v>
      </c>
      <c r="AI388" s="49" t="str">
        <f t="shared" si="57"/>
        <v>CAPACIDAD</v>
      </c>
    </row>
    <row r="389" spans="1:35">
      <c r="B389" s="9"/>
      <c r="C389" s="3"/>
      <c r="Z389" s="49"/>
      <c r="AA389" s="49">
        <v>0</v>
      </c>
      <c r="AB389" s="49">
        <v>0</v>
      </c>
      <c r="AC389" s="49">
        <v>0</v>
      </c>
      <c r="AD389" s="49"/>
      <c r="AE389" s="49"/>
      <c r="AF389" s="49"/>
      <c r="AG389" s="49">
        <f t="shared" si="55"/>
        <v>0</v>
      </c>
      <c r="AH389" s="49">
        <f t="shared" si="56"/>
        <v>0</v>
      </c>
      <c r="AI389" s="49">
        <f t="shared" si="57"/>
        <v>0</v>
      </c>
    </row>
    <row r="390" spans="1:35">
      <c r="A390" s="1">
        <f t="shared" ref="A390:A416" si="61">AG390</f>
        <v>0</v>
      </c>
      <c r="B390" s="1">
        <f t="shared" ref="B390:B416" si="62">AH390</f>
        <v>14</v>
      </c>
      <c r="C390" s="1">
        <f t="shared" ref="C390:C416" si="63">AI390</f>
        <v>20</v>
      </c>
      <c r="E390" s="1">
        <v>0</v>
      </c>
      <c r="F390" s="3">
        <v>14</v>
      </c>
      <c r="G390" s="1">
        <v>0</v>
      </c>
      <c r="H390" s="1">
        <v>14</v>
      </c>
      <c r="J390" s="3"/>
      <c r="Z390" s="49"/>
      <c r="AA390" s="49">
        <v>0</v>
      </c>
      <c r="AB390" s="49">
        <v>14</v>
      </c>
      <c r="AC390" s="49">
        <v>20</v>
      </c>
      <c r="AD390" s="49"/>
      <c r="AE390" s="49"/>
      <c r="AF390" s="49"/>
      <c r="AG390" s="49">
        <f t="shared" si="55"/>
        <v>0</v>
      </c>
      <c r="AH390" s="49">
        <f t="shared" si="56"/>
        <v>14</v>
      </c>
      <c r="AI390" s="49">
        <f t="shared" si="57"/>
        <v>20</v>
      </c>
    </row>
    <row r="391" spans="1:35">
      <c r="A391" s="1">
        <f t="shared" si="61"/>
        <v>15.1</v>
      </c>
      <c r="B391" s="1">
        <f t="shared" si="62"/>
        <v>12</v>
      </c>
      <c r="C391" s="1">
        <f t="shared" si="63"/>
        <v>25</v>
      </c>
      <c r="D391" s="1">
        <v>15.1</v>
      </c>
      <c r="E391" s="1">
        <v>15.1</v>
      </c>
      <c r="F391" s="3">
        <v>12</v>
      </c>
      <c r="G391" s="1">
        <v>15.1</v>
      </c>
      <c r="H391" s="1">
        <v>12</v>
      </c>
      <c r="J391" s="3"/>
      <c r="Z391" s="49"/>
      <c r="AA391" s="49">
        <v>15.1</v>
      </c>
      <c r="AB391" s="49">
        <v>12</v>
      </c>
      <c r="AC391" s="49">
        <v>25</v>
      </c>
      <c r="AD391" s="49"/>
      <c r="AE391" s="49"/>
      <c r="AF391" s="49"/>
      <c r="AG391" s="49">
        <f t="shared" si="55"/>
        <v>15.1</v>
      </c>
      <c r="AH391" s="49">
        <f t="shared" si="56"/>
        <v>12</v>
      </c>
      <c r="AI391" s="49">
        <f t="shared" si="57"/>
        <v>25</v>
      </c>
    </row>
    <row r="392" spans="1:35">
      <c r="A392" s="1">
        <f t="shared" si="61"/>
        <v>25.1</v>
      </c>
      <c r="B392" s="1">
        <f t="shared" si="62"/>
        <v>10</v>
      </c>
      <c r="C392" s="1">
        <f t="shared" si="63"/>
        <v>30</v>
      </c>
      <c r="D392" s="1">
        <v>25.1</v>
      </c>
      <c r="E392" s="1">
        <v>20.100000000000001</v>
      </c>
      <c r="F392" s="3">
        <v>10</v>
      </c>
      <c r="G392" s="1">
        <v>25.1</v>
      </c>
      <c r="H392" s="1">
        <v>10</v>
      </c>
      <c r="J392" s="3"/>
      <c r="Z392" s="49"/>
      <c r="AA392" s="49">
        <v>25.1</v>
      </c>
      <c r="AB392" s="49">
        <v>10</v>
      </c>
      <c r="AC392" s="49">
        <v>30</v>
      </c>
      <c r="AD392" s="49"/>
      <c r="AE392" s="49"/>
      <c r="AF392" s="49"/>
      <c r="AG392" s="49">
        <f t="shared" si="55"/>
        <v>25.1</v>
      </c>
      <c r="AH392" s="49">
        <f t="shared" si="56"/>
        <v>10</v>
      </c>
      <c r="AI392" s="49">
        <f t="shared" si="57"/>
        <v>30</v>
      </c>
    </row>
    <row r="393" spans="1:35">
      <c r="A393" s="1">
        <f t="shared" si="61"/>
        <v>30.1</v>
      </c>
      <c r="B393" s="1">
        <f t="shared" si="62"/>
        <v>8</v>
      </c>
      <c r="C393" s="1">
        <f t="shared" si="63"/>
        <v>40</v>
      </c>
      <c r="D393" s="1">
        <v>30.1</v>
      </c>
      <c r="E393" s="1">
        <v>30.1</v>
      </c>
      <c r="F393" s="3">
        <v>8</v>
      </c>
      <c r="G393" s="1">
        <f>IF(DATOS!$F$26=75,30.1,IF(DATOS!$F$26=90,30.1,30.1))</f>
        <v>30.1</v>
      </c>
      <c r="H393" s="1">
        <v>8</v>
      </c>
      <c r="J393" s="3">
        <f>IF(DATOS!$F$26=75,35.1,IF(DATOS!$F$26=90,35.1,30.1))</f>
        <v>30.1</v>
      </c>
      <c r="Z393" s="49"/>
      <c r="AA393" s="49">
        <v>30.1</v>
      </c>
      <c r="AB393" s="49">
        <v>8</v>
      </c>
      <c r="AC393" s="49">
        <v>40</v>
      </c>
      <c r="AD393" s="49"/>
      <c r="AE393" s="49"/>
      <c r="AF393" s="49"/>
      <c r="AG393" s="49">
        <f t="shared" si="55"/>
        <v>30.1</v>
      </c>
      <c r="AH393" s="49">
        <f t="shared" si="56"/>
        <v>8</v>
      </c>
      <c r="AI393" s="49">
        <f t="shared" si="57"/>
        <v>40</v>
      </c>
    </row>
    <row r="394" spans="1:35">
      <c r="A394" s="1">
        <f t="shared" si="61"/>
        <v>40.1</v>
      </c>
      <c r="B394" s="1">
        <f t="shared" si="62"/>
        <v>6</v>
      </c>
      <c r="C394" s="1">
        <f t="shared" si="63"/>
        <v>55</v>
      </c>
      <c r="D394" s="1">
        <v>40.1</v>
      </c>
      <c r="E394" s="1">
        <v>50.1</v>
      </c>
      <c r="F394" s="3">
        <v>6</v>
      </c>
      <c r="G394" s="1">
        <f>IF(DATOS!$F$26=75,50.1,IF(DATOS!$F$26=90,75.1,40.1))</f>
        <v>40.1</v>
      </c>
      <c r="H394" s="1">
        <v>6</v>
      </c>
      <c r="J394" s="1">
        <v>50.1</v>
      </c>
      <c r="Z394" s="49"/>
      <c r="AA394" s="49">
        <v>40.1</v>
      </c>
      <c r="AB394" s="49">
        <v>6</v>
      </c>
      <c r="AC394" s="49">
        <v>55</v>
      </c>
      <c r="AD394" s="49"/>
      <c r="AE394" s="49"/>
      <c r="AF394" s="49"/>
      <c r="AG394" s="49">
        <f t="shared" si="55"/>
        <v>40.1</v>
      </c>
      <c r="AH394" s="49">
        <f t="shared" si="56"/>
        <v>6</v>
      </c>
      <c r="AI394" s="49">
        <f t="shared" si="57"/>
        <v>55</v>
      </c>
    </row>
    <row r="395" spans="1:35">
      <c r="A395" s="1">
        <f t="shared" si="61"/>
        <v>55.1</v>
      </c>
      <c r="B395" s="1">
        <f t="shared" si="62"/>
        <v>4</v>
      </c>
      <c r="C395" s="1">
        <f t="shared" si="63"/>
        <v>70</v>
      </c>
      <c r="D395" s="1">
        <v>55.1</v>
      </c>
      <c r="E395" s="1">
        <v>65.099999999999994</v>
      </c>
      <c r="F395" s="3">
        <v>4</v>
      </c>
      <c r="G395" s="1">
        <f>IF(DATOS!$F$26=75,65.1,IF(DATOS!$F$26=90,65.1,55.1))</f>
        <v>55.1</v>
      </c>
      <c r="H395" s="1">
        <v>4</v>
      </c>
      <c r="J395" s="1">
        <v>65.099999999999994</v>
      </c>
      <c r="Z395" s="49"/>
      <c r="AA395" s="49">
        <v>55.1</v>
      </c>
      <c r="AB395" s="49">
        <v>4</v>
      </c>
      <c r="AC395" s="49">
        <v>70</v>
      </c>
      <c r="AD395" s="49"/>
      <c r="AE395" s="49"/>
      <c r="AF395" s="49"/>
      <c r="AG395" s="49">
        <f t="shared" si="55"/>
        <v>55.1</v>
      </c>
      <c r="AH395" s="49">
        <f t="shared" si="56"/>
        <v>4</v>
      </c>
      <c r="AI395" s="49">
        <f t="shared" si="57"/>
        <v>70</v>
      </c>
    </row>
    <row r="396" spans="1:35">
      <c r="A396" s="1">
        <f t="shared" si="61"/>
        <v>70.099999999999994</v>
      </c>
      <c r="B396" s="1">
        <f t="shared" si="62"/>
        <v>2</v>
      </c>
      <c r="C396" s="1">
        <f t="shared" si="63"/>
        <v>95</v>
      </c>
      <c r="D396" s="1">
        <v>70.099999999999994</v>
      </c>
      <c r="E396" s="1">
        <v>115.1</v>
      </c>
      <c r="F396" s="3">
        <v>2</v>
      </c>
      <c r="G396" s="1">
        <f>IF(DATOS!$F$26=75,85.1,IF(DATOS!$F$26=90,85.1,70.1))</f>
        <v>70.099999999999994</v>
      </c>
      <c r="H396" s="1">
        <v>2</v>
      </c>
      <c r="J396" s="1">
        <v>85.1</v>
      </c>
      <c r="Z396" s="49"/>
      <c r="AA396" s="49">
        <v>70.099999999999994</v>
      </c>
      <c r="AB396" s="49">
        <v>2</v>
      </c>
      <c r="AC396" s="49">
        <v>95</v>
      </c>
      <c r="AD396" s="49"/>
      <c r="AE396" s="49"/>
      <c r="AF396" s="49"/>
      <c r="AG396" s="49">
        <f t="shared" ref="AG396:AG459" si="64">IF($AG$4="BUENO",AA396,0)</f>
        <v>70.099999999999994</v>
      </c>
      <c r="AH396" s="49">
        <f t="shared" ref="AH396:AH459" si="65">IF($AG$4="BUENO",AB396,0)</f>
        <v>2</v>
      </c>
      <c r="AI396" s="49">
        <f t="shared" ref="AI396:AI459" si="66">IF($AG$4="BUENO",AC396,0)</f>
        <v>95</v>
      </c>
    </row>
    <row r="397" spans="1:35">
      <c r="A397" s="1">
        <f t="shared" si="61"/>
        <v>95.1</v>
      </c>
      <c r="B397" s="1" t="str">
        <f t="shared" si="62"/>
        <v>1/0</v>
      </c>
      <c r="C397" s="1">
        <f t="shared" si="63"/>
        <v>150</v>
      </c>
      <c r="D397" s="1">
        <v>95.1</v>
      </c>
      <c r="E397" s="1">
        <v>150</v>
      </c>
      <c r="F397" s="3" t="s">
        <v>0</v>
      </c>
      <c r="G397" s="1">
        <f>IF(DATOS!$F$26=75,115.1,IF(DATOS!$F$26=90,115.1,95.1))</f>
        <v>95.1</v>
      </c>
      <c r="H397" s="1" t="s">
        <v>0</v>
      </c>
      <c r="J397" s="1">
        <v>115.1</v>
      </c>
      <c r="Z397" s="49"/>
      <c r="AA397" s="49">
        <v>95.1</v>
      </c>
      <c r="AB397" s="49" t="s">
        <v>0</v>
      </c>
      <c r="AC397" s="49">
        <v>150</v>
      </c>
      <c r="AD397" s="49"/>
      <c r="AE397" s="49"/>
      <c r="AF397" s="49"/>
      <c r="AG397" s="49">
        <f t="shared" si="64"/>
        <v>95.1</v>
      </c>
      <c r="AH397" s="49" t="str">
        <f t="shared" si="65"/>
        <v>1/0</v>
      </c>
      <c r="AI397" s="49">
        <f t="shared" si="66"/>
        <v>150</v>
      </c>
    </row>
    <row r="398" spans="1:35">
      <c r="A398" s="1">
        <f t="shared" si="61"/>
        <v>150.1</v>
      </c>
      <c r="B398" s="1" t="str">
        <f t="shared" si="62"/>
        <v>2/0</v>
      </c>
      <c r="C398" s="1">
        <f t="shared" si="63"/>
        <v>175</v>
      </c>
      <c r="D398" s="1">
        <v>150.1</v>
      </c>
      <c r="E398" s="1">
        <v>175</v>
      </c>
      <c r="F398" s="3" t="s">
        <v>1</v>
      </c>
      <c r="G398" s="1">
        <v>150.1</v>
      </c>
      <c r="H398" s="1" t="s">
        <v>1</v>
      </c>
      <c r="J398" s="3"/>
      <c r="Z398" s="49"/>
      <c r="AA398" s="49">
        <v>150.1</v>
      </c>
      <c r="AB398" s="49" t="s">
        <v>1</v>
      </c>
      <c r="AC398" s="49">
        <v>175</v>
      </c>
      <c r="AD398" s="49"/>
      <c r="AE398" s="49"/>
      <c r="AF398" s="49"/>
      <c r="AG398" s="49">
        <f t="shared" si="64"/>
        <v>150.1</v>
      </c>
      <c r="AH398" s="49" t="str">
        <f t="shared" si="65"/>
        <v>2/0</v>
      </c>
      <c r="AI398" s="49">
        <f t="shared" si="66"/>
        <v>175</v>
      </c>
    </row>
    <row r="399" spans="1:35">
      <c r="A399" s="1">
        <f t="shared" si="61"/>
        <v>175.1</v>
      </c>
      <c r="B399" s="1" t="str">
        <f t="shared" si="62"/>
        <v>3/0</v>
      </c>
      <c r="C399" s="1">
        <f t="shared" si="63"/>
        <v>200</v>
      </c>
      <c r="D399" s="1">
        <v>175.1</v>
      </c>
      <c r="E399" s="1">
        <v>200</v>
      </c>
      <c r="F399" s="3" t="s">
        <v>2</v>
      </c>
      <c r="G399" s="1">
        <v>175.1</v>
      </c>
      <c r="H399" s="1" t="s">
        <v>2</v>
      </c>
      <c r="J399" s="3"/>
      <c r="Z399" s="49"/>
      <c r="AA399" s="49">
        <v>175.1</v>
      </c>
      <c r="AB399" s="49" t="s">
        <v>2</v>
      </c>
      <c r="AC399" s="49">
        <v>200</v>
      </c>
      <c r="AD399" s="49"/>
      <c r="AE399" s="49"/>
      <c r="AF399" s="49"/>
      <c r="AG399" s="49">
        <f t="shared" si="64"/>
        <v>175.1</v>
      </c>
      <c r="AH399" s="49" t="str">
        <f t="shared" si="65"/>
        <v>3/0</v>
      </c>
      <c r="AI399" s="49">
        <f t="shared" si="66"/>
        <v>200</v>
      </c>
    </row>
    <row r="400" spans="1:35">
      <c r="A400" s="1">
        <f t="shared" si="61"/>
        <v>200.1</v>
      </c>
      <c r="B400" s="1" t="str">
        <f t="shared" si="62"/>
        <v>4/0</v>
      </c>
      <c r="C400" s="1">
        <f t="shared" si="63"/>
        <v>230</v>
      </c>
      <c r="D400" s="1">
        <v>200.1</v>
      </c>
      <c r="E400" s="1">
        <v>230</v>
      </c>
      <c r="F400" s="3" t="s">
        <v>3</v>
      </c>
      <c r="G400" s="1">
        <v>200.1</v>
      </c>
      <c r="H400" s="1" t="s">
        <v>3</v>
      </c>
      <c r="J400" s="3"/>
      <c r="Z400" s="49"/>
      <c r="AA400" s="49">
        <v>200.1</v>
      </c>
      <c r="AB400" s="49" t="s">
        <v>3</v>
      </c>
      <c r="AC400" s="49">
        <v>230</v>
      </c>
      <c r="AD400" s="49"/>
      <c r="AE400" s="49"/>
      <c r="AF400" s="49"/>
      <c r="AG400" s="49">
        <f t="shared" si="64"/>
        <v>200.1</v>
      </c>
      <c r="AH400" s="49" t="str">
        <f t="shared" si="65"/>
        <v>4/0</v>
      </c>
      <c r="AI400" s="49">
        <f t="shared" si="66"/>
        <v>230</v>
      </c>
    </row>
    <row r="401" spans="1:35">
      <c r="A401" s="1">
        <f t="shared" si="61"/>
        <v>230.1</v>
      </c>
      <c r="B401" s="1">
        <f t="shared" si="62"/>
        <v>250</v>
      </c>
      <c r="C401" s="1">
        <f t="shared" si="63"/>
        <v>255</v>
      </c>
      <c r="D401" s="1">
        <v>230.1</v>
      </c>
      <c r="E401" s="1">
        <v>255</v>
      </c>
      <c r="F401" s="3">
        <v>250</v>
      </c>
      <c r="G401" s="1">
        <v>230.1</v>
      </c>
      <c r="H401" s="1">
        <v>250</v>
      </c>
      <c r="J401" s="3"/>
      <c r="Z401" s="49"/>
      <c r="AA401" s="49">
        <v>230.1</v>
      </c>
      <c r="AB401" s="49">
        <v>250</v>
      </c>
      <c r="AC401" s="49">
        <v>255</v>
      </c>
      <c r="AD401" s="49"/>
      <c r="AE401" s="49"/>
      <c r="AF401" s="49"/>
      <c r="AG401" s="49">
        <f t="shared" si="64"/>
        <v>230.1</v>
      </c>
      <c r="AH401" s="49">
        <f t="shared" si="65"/>
        <v>250</v>
      </c>
      <c r="AI401" s="49">
        <f t="shared" si="66"/>
        <v>255</v>
      </c>
    </row>
    <row r="402" spans="1:35">
      <c r="A402" s="1">
        <f t="shared" si="61"/>
        <v>255.1</v>
      </c>
      <c r="B402" s="1">
        <f t="shared" si="62"/>
        <v>300</v>
      </c>
      <c r="C402" s="1">
        <f t="shared" si="63"/>
        <v>285</v>
      </c>
      <c r="D402" s="1">
        <v>255.1</v>
      </c>
      <c r="E402" s="1">
        <v>285</v>
      </c>
      <c r="F402" s="3">
        <v>300</v>
      </c>
      <c r="G402" s="1">
        <v>255.1</v>
      </c>
      <c r="H402" s="1">
        <v>300</v>
      </c>
      <c r="J402" s="3"/>
      <c r="Z402" s="49"/>
      <c r="AA402" s="49">
        <v>255.1</v>
      </c>
      <c r="AB402" s="49">
        <v>300</v>
      </c>
      <c r="AC402" s="49">
        <v>285</v>
      </c>
      <c r="AD402" s="49"/>
      <c r="AE402" s="49"/>
      <c r="AF402" s="49"/>
      <c r="AG402" s="49">
        <f t="shared" si="64"/>
        <v>255.1</v>
      </c>
      <c r="AH402" s="49">
        <f t="shared" si="65"/>
        <v>300</v>
      </c>
      <c r="AI402" s="49">
        <f t="shared" si="66"/>
        <v>285</v>
      </c>
    </row>
    <row r="403" spans="1:35">
      <c r="A403" s="1">
        <f t="shared" si="61"/>
        <v>285.10000000000002</v>
      </c>
      <c r="B403" s="1">
        <f t="shared" si="62"/>
        <v>350</v>
      </c>
      <c r="C403" s="1">
        <f t="shared" si="63"/>
        <v>310</v>
      </c>
      <c r="D403" s="1">
        <v>285.10000000000002</v>
      </c>
      <c r="E403" s="1">
        <v>310</v>
      </c>
      <c r="F403" s="3">
        <v>350</v>
      </c>
      <c r="G403" s="1">
        <v>285.10000000000002</v>
      </c>
      <c r="H403" s="1">
        <v>350</v>
      </c>
      <c r="J403" s="3"/>
      <c r="Z403" s="49"/>
      <c r="AA403" s="49">
        <v>285.10000000000002</v>
      </c>
      <c r="AB403" s="49">
        <v>350</v>
      </c>
      <c r="AC403" s="49">
        <v>310</v>
      </c>
      <c r="AD403" s="49"/>
      <c r="AE403" s="49"/>
      <c r="AF403" s="49"/>
      <c r="AG403" s="49">
        <f t="shared" si="64"/>
        <v>285.10000000000002</v>
      </c>
      <c r="AH403" s="49">
        <f t="shared" si="65"/>
        <v>350</v>
      </c>
      <c r="AI403" s="49">
        <f t="shared" si="66"/>
        <v>310</v>
      </c>
    </row>
    <row r="404" spans="1:35">
      <c r="A404" s="1">
        <f t="shared" si="61"/>
        <v>310.10000000000002</v>
      </c>
      <c r="B404" s="1">
        <f t="shared" si="62"/>
        <v>500</v>
      </c>
      <c r="C404" s="1">
        <f t="shared" si="63"/>
        <v>380</v>
      </c>
      <c r="D404" s="1">
        <v>310.10000000000002</v>
      </c>
      <c r="E404" s="1">
        <v>380</v>
      </c>
      <c r="F404" s="3">
        <v>500</v>
      </c>
      <c r="G404" s="1">
        <v>310.10000000000002</v>
      </c>
      <c r="H404" s="1">
        <v>500</v>
      </c>
      <c r="J404" s="3"/>
      <c r="Z404" s="49"/>
      <c r="AA404" s="49">
        <v>310.10000000000002</v>
      </c>
      <c r="AB404" s="49">
        <v>500</v>
      </c>
      <c r="AC404" s="49">
        <v>380</v>
      </c>
      <c r="AD404" s="49"/>
      <c r="AE404" s="49"/>
      <c r="AF404" s="49"/>
      <c r="AG404" s="49">
        <f t="shared" si="64"/>
        <v>310.10000000000002</v>
      </c>
      <c r="AH404" s="49">
        <f t="shared" si="65"/>
        <v>500</v>
      </c>
      <c r="AI404" s="49">
        <f t="shared" si="66"/>
        <v>380</v>
      </c>
    </row>
    <row r="405" spans="1:35">
      <c r="A405" s="1">
        <f t="shared" si="61"/>
        <v>380.1</v>
      </c>
      <c r="B405" s="1">
        <f t="shared" si="62"/>
        <v>750</v>
      </c>
      <c r="C405" s="1">
        <f t="shared" si="63"/>
        <v>475</v>
      </c>
      <c r="D405" s="1">
        <v>380.1</v>
      </c>
      <c r="E405" s="1">
        <v>475</v>
      </c>
      <c r="F405" s="3">
        <v>750</v>
      </c>
      <c r="G405" s="1">
        <v>380.1</v>
      </c>
      <c r="H405" s="1">
        <v>750</v>
      </c>
      <c r="J405" s="3"/>
      <c r="Z405" s="49"/>
      <c r="AA405" s="49">
        <v>380.1</v>
      </c>
      <c r="AB405" s="49">
        <v>750</v>
      </c>
      <c r="AC405" s="49">
        <v>475</v>
      </c>
      <c r="AD405" s="49"/>
      <c r="AE405" s="49"/>
      <c r="AF405" s="49"/>
      <c r="AG405" s="49">
        <f t="shared" si="64"/>
        <v>380.1</v>
      </c>
      <c r="AH405" s="49">
        <f t="shared" si="65"/>
        <v>750</v>
      </c>
      <c r="AI405" s="49">
        <f t="shared" si="66"/>
        <v>475</v>
      </c>
    </row>
    <row r="406" spans="1:35">
      <c r="A406" s="1">
        <f t="shared" si="61"/>
        <v>475.1</v>
      </c>
      <c r="B406" s="1" t="str">
        <f t="shared" si="62"/>
        <v>2X250</v>
      </c>
      <c r="C406" s="1">
        <f t="shared" si="63"/>
        <v>510</v>
      </c>
      <c r="D406" s="1">
        <v>475.1</v>
      </c>
      <c r="E406" s="1">
        <v>510</v>
      </c>
      <c r="F406" s="3" t="s">
        <v>410</v>
      </c>
      <c r="G406" s="1">
        <v>475.1</v>
      </c>
      <c r="H406" s="1" t="s">
        <v>410</v>
      </c>
      <c r="J406" s="3"/>
      <c r="Z406" s="49"/>
      <c r="AA406" s="49">
        <v>475.1</v>
      </c>
      <c r="AB406" s="49" t="s">
        <v>410</v>
      </c>
      <c r="AC406" s="49">
        <v>510</v>
      </c>
      <c r="AD406" s="49"/>
      <c r="AE406" s="49"/>
      <c r="AF406" s="49"/>
      <c r="AG406" s="49">
        <f t="shared" si="64"/>
        <v>475.1</v>
      </c>
      <c r="AH406" s="49" t="str">
        <f t="shared" si="65"/>
        <v>2X250</v>
      </c>
      <c r="AI406" s="49">
        <f t="shared" si="66"/>
        <v>510</v>
      </c>
    </row>
    <row r="407" spans="1:35">
      <c r="A407" s="1">
        <f t="shared" si="61"/>
        <v>510.1</v>
      </c>
      <c r="B407" s="1" t="str">
        <f t="shared" si="62"/>
        <v>2X300</v>
      </c>
      <c r="C407" s="1">
        <f t="shared" si="63"/>
        <v>570</v>
      </c>
      <c r="D407" s="1">
        <v>510.1</v>
      </c>
      <c r="E407" s="1">
        <v>570</v>
      </c>
      <c r="F407" s="3" t="s">
        <v>411</v>
      </c>
      <c r="G407" s="1">
        <v>510.1</v>
      </c>
      <c r="H407" s="1" t="s">
        <v>411</v>
      </c>
      <c r="J407" s="3"/>
      <c r="Z407" s="49"/>
      <c r="AA407" s="49">
        <v>510.1</v>
      </c>
      <c r="AB407" s="49" t="s">
        <v>411</v>
      </c>
      <c r="AC407" s="49">
        <v>570</v>
      </c>
      <c r="AD407" s="49"/>
      <c r="AE407" s="49"/>
      <c r="AF407" s="49"/>
      <c r="AG407" s="49">
        <f t="shared" si="64"/>
        <v>510.1</v>
      </c>
      <c r="AH407" s="49" t="str">
        <f t="shared" si="65"/>
        <v>2X300</v>
      </c>
      <c r="AI407" s="49">
        <f t="shared" si="66"/>
        <v>570</v>
      </c>
    </row>
    <row r="408" spans="1:35">
      <c r="A408" s="1">
        <f t="shared" si="61"/>
        <v>570.1</v>
      </c>
      <c r="B408" s="1" t="str">
        <f t="shared" si="62"/>
        <v>2X350</v>
      </c>
      <c r="C408" s="1">
        <f t="shared" si="63"/>
        <v>620</v>
      </c>
      <c r="D408" s="1">
        <v>570.1</v>
      </c>
      <c r="E408" s="1">
        <v>620</v>
      </c>
      <c r="F408" s="3" t="s">
        <v>412</v>
      </c>
      <c r="G408" s="1">
        <v>570.1</v>
      </c>
      <c r="H408" s="1" t="s">
        <v>412</v>
      </c>
      <c r="J408" s="3"/>
      <c r="Z408" s="49"/>
      <c r="AA408" s="49">
        <v>570.1</v>
      </c>
      <c r="AB408" s="49" t="s">
        <v>412</v>
      </c>
      <c r="AC408" s="49">
        <v>620</v>
      </c>
      <c r="AD408" s="49"/>
      <c r="AE408" s="49"/>
      <c r="AF408" s="49"/>
      <c r="AG408" s="49">
        <f t="shared" si="64"/>
        <v>570.1</v>
      </c>
      <c r="AH408" s="49" t="str">
        <f t="shared" si="65"/>
        <v>2X350</v>
      </c>
      <c r="AI408" s="49">
        <f t="shared" si="66"/>
        <v>620</v>
      </c>
    </row>
    <row r="409" spans="1:35">
      <c r="A409" s="1">
        <f t="shared" si="61"/>
        <v>620.1</v>
      </c>
      <c r="B409" s="1" t="str">
        <f t="shared" si="62"/>
        <v>2X500</v>
      </c>
      <c r="C409" s="1">
        <f t="shared" si="63"/>
        <v>760</v>
      </c>
      <c r="D409" s="1">
        <v>620.1</v>
      </c>
      <c r="E409" s="1">
        <v>760</v>
      </c>
      <c r="F409" s="3" t="s">
        <v>413</v>
      </c>
      <c r="G409" s="1">
        <v>620.1</v>
      </c>
      <c r="H409" s="1" t="s">
        <v>413</v>
      </c>
      <c r="J409" s="3"/>
      <c r="Z409" s="49"/>
      <c r="AA409" s="49">
        <v>620.1</v>
      </c>
      <c r="AB409" s="49" t="s">
        <v>413</v>
      </c>
      <c r="AC409" s="49">
        <v>760</v>
      </c>
      <c r="AD409" s="49"/>
      <c r="AE409" s="49"/>
      <c r="AF409" s="49"/>
      <c r="AG409" s="49">
        <f t="shared" si="64"/>
        <v>620.1</v>
      </c>
      <c r="AH409" s="49" t="str">
        <f t="shared" si="65"/>
        <v>2X500</v>
      </c>
      <c r="AI409" s="49">
        <f t="shared" si="66"/>
        <v>760</v>
      </c>
    </row>
    <row r="410" spans="1:35">
      <c r="A410" s="1">
        <f t="shared" si="61"/>
        <v>760.1</v>
      </c>
      <c r="B410" s="1" t="str">
        <f t="shared" si="62"/>
        <v>2X750</v>
      </c>
      <c r="C410" s="1">
        <f t="shared" si="63"/>
        <v>950</v>
      </c>
      <c r="D410" s="1">
        <v>760.1</v>
      </c>
      <c r="E410" s="1">
        <v>950</v>
      </c>
      <c r="F410" s="3" t="s">
        <v>414</v>
      </c>
      <c r="G410" s="1">
        <v>760.1</v>
      </c>
      <c r="H410" s="1" t="s">
        <v>414</v>
      </c>
      <c r="J410" s="3"/>
      <c r="Z410" s="49"/>
      <c r="AA410" s="49">
        <v>760.1</v>
      </c>
      <c r="AB410" s="49" t="s">
        <v>414</v>
      </c>
      <c r="AC410" s="49">
        <v>950</v>
      </c>
      <c r="AD410" s="49"/>
      <c r="AE410" s="49"/>
      <c r="AF410" s="49"/>
      <c r="AG410" s="49">
        <f t="shared" si="64"/>
        <v>760.1</v>
      </c>
      <c r="AH410" s="49" t="str">
        <f t="shared" si="65"/>
        <v>2X750</v>
      </c>
      <c r="AI410" s="49">
        <f t="shared" si="66"/>
        <v>950</v>
      </c>
    </row>
    <row r="411" spans="1:35">
      <c r="A411" s="1">
        <f t="shared" si="61"/>
        <v>950.1</v>
      </c>
      <c r="B411" s="1" t="str">
        <f t="shared" si="62"/>
        <v>3X500</v>
      </c>
      <c r="C411" s="1">
        <f t="shared" si="63"/>
        <v>1140</v>
      </c>
      <c r="D411" s="1">
        <v>950.1</v>
      </c>
      <c r="E411" s="1">
        <v>1140</v>
      </c>
      <c r="F411" s="3" t="s">
        <v>415</v>
      </c>
      <c r="G411" s="1">
        <v>950.1</v>
      </c>
      <c r="H411" s="1" t="s">
        <v>415</v>
      </c>
      <c r="J411" s="3"/>
      <c r="Z411" s="49"/>
      <c r="AA411" s="49">
        <v>950.1</v>
      </c>
      <c r="AB411" s="49" t="s">
        <v>415</v>
      </c>
      <c r="AC411" s="49">
        <v>1140</v>
      </c>
      <c r="AD411" s="49"/>
      <c r="AE411" s="49"/>
      <c r="AF411" s="49"/>
      <c r="AG411" s="49">
        <f t="shared" si="64"/>
        <v>950.1</v>
      </c>
      <c r="AH411" s="49" t="str">
        <f t="shared" si="65"/>
        <v>3X500</v>
      </c>
      <c r="AI411" s="49">
        <f t="shared" si="66"/>
        <v>1140</v>
      </c>
    </row>
    <row r="412" spans="1:35">
      <c r="A412" s="1">
        <f t="shared" si="61"/>
        <v>1140.0999999999999</v>
      </c>
      <c r="B412" s="1" t="str">
        <f t="shared" si="62"/>
        <v>4X500</v>
      </c>
      <c r="C412" s="1">
        <f t="shared" si="63"/>
        <v>1520</v>
      </c>
      <c r="D412" s="1">
        <v>1140.0999999999999</v>
      </c>
      <c r="E412" s="1">
        <v>1520</v>
      </c>
      <c r="F412" s="3" t="s">
        <v>416</v>
      </c>
      <c r="G412" s="1">
        <v>1140.0999999999999</v>
      </c>
      <c r="H412" s="1" t="s">
        <v>416</v>
      </c>
      <c r="J412" s="3"/>
      <c r="Z412" s="49"/>
      <c r="AA412" s="49">
        <v>1140.0999999999999</v>
      </c>
      <c r="AB412" s="49" t="s">
        <v>416</v>
      </c>
      <c r="AC412" s="49">
        <v>1520</v>
      </c>
      <c r="AD412" s="49"/>
      <c r="AE412" s="49"/>
      <c r="AF412" s="49"/>
      <c r="AG412" s="49">
        <f t="shared" si="64"/>
        <v>1140.0999999999999</v>
      </c>
      <c r="AH412" s="49" t="str">
        <f t="shared" si="65"/>
        <v>4X500</v>
      </c>
      <c r="AI412" s="49">
        <f t="shared" si="66"/>
        <v>1520</v>
      </c>
    </row>
    <row r="413" spans="1:35">
      <c r="A413" s="1">
        <f t="shared" si="61"/>
        <v>1520.1</v>
      </c>
      <c r="B413" s="1" t="str">
        <f t="shared" si="62"/>
        <v>5X500</v>
      </c>
      <c r="C413" s="1">
        <f t="shared" si="63"/>
        <v>1900</v>
      </c>
      <c r="D413" s="1">
        <v>1520.1</v>
      </c>
      <c r="E413" s="1">
        <v>1900</v>
      </c>
      <c r="F413" s="3" t="s">
        <v>417</v>
      </c>
      <c r="G413" s="1">
        <v>1520.1</v>
      </c>
      <c r="H413" s="1" t="s">
        <v>417</v>
      </c>
      <c r="J413" s="3"/>
      <c r="Z413" s="49"/>
      <c r="AA413" s="49">
        <v>1520.1</v>
      </c>
      <c r="AB413" s="49" t="s">
        <v>417</v>
      </c>
      <c r="AC413" s="49">
        <v>1900</v>
      </c>
      <c r="AD413" s="49"/>
      <c r="AE413" s="49"/>
      <c r="AF413" s="49"/>
      <c r="AG413" s="49">
        <f t="shared" si="64"/>
        <v>1520.1</v>
      </c>
      <c r="AH413" s="49" t="str">
        <f t="shared" si="65"/>
        <v>5X500</v>
      </c>
      <c r="AI413" s="49">
        <f t="shared" si="66"/>
        <v>1900</v>
      </c>
    </row>
    <row r="414" spans="1:35">
      <c r="A414" s="1">
        <f t="shared" si="61"/>
        <v>1900.1</v>
      </c>
      <c r="B414" s="1" t="str">
        <f t="shared" si="62"/>
        <v>5X750</v>
      </c>
      <c r="C414" s="1">
        <f t="shared" si="63"/>
        <v>2375</v>
      </c>
      <c r="D414" s="1">
        <v>1900.1</v>
      </c>
      <c r="E414" s="1">
        <v>2375</v>
      </c>
      <c r="F414" s="3" t="s">
        <v>418</v>
      </c>
      <c r="G414" s="1">
        <v>1900.1</v>
      </c>
      <c r="H414" s="1" t="s">
        <v>418</v>
      </c>
      <c r="J414" s="3"/>
      <c r="Z414" s="49"/>
      <c r="AA414" s="49">
        <v>1900.1</v>
      </c>
      <c r="AB414" s="49" t="s">
        <v>418</v>
      </c>
      <c r="AC414" s="49">
        <v>2375</v>
      </c>
      <c r="AD414" s="49"/>
      <c r="AE414" s="49"/>
      <c r="AF414" s="49"/>
      <c r="AG414" s="49">
        <f t="shared" si="64"/>
        <v>1900.1</v>
      </c>
      <c r="AH414" s="49" t="str">
        <f t="shared" si="65"/>
        <v>5X750</v>
      </c>
      <c r="AI414" s="49">
        <f t="shared" si="66"/>
        <v>2375</v>
      </c>
    </row>
    <row r="415" spans="1:35">
      <c r="A415" s="1">
        <f t="shared" si="61"/>
        <v>2375.1</v>
      </c>
      <c r="B415" s="1" t="str">
        <f t="shared" si="62"/>
        <v>6X750</v>
      </c>
      <c r="C415" s="1">
        <f t="shared" si="63"/>
        <v>2850</v>
      </c>
      <c r="D415" s="1">
        <v>2375.1</v>
      </c>
      <c r="E415" s="1">
        <v>2850</v>
      </c>
      <c r="F415" s="3" t="s">
        <v>419</v>
      </c>
      <c r="G415" s="1">
        <v>2375.1</v>
      </c>
      <c r="H415" s="1" t="s">
        <v>419</v>
      </c>
      <c r="J415" s="3"/>
      <c r="Z415" s="49"/>
      <c r="AA415" s="49">
        <v>2375.1</v>
      </c>
      <c r="AB415" s="49" t="s">
        <v>419</v>
      </c>
      <c r="AC415" s="49">
        <v>2850</v>
      </c>
      <c r="AD415" s="49"/>
      <c r="AE415" s="49"/>
      <c r="AF415" s="49"/>
      <c r="AG415" s="49">
        <f t="shared" si="64"/>
        <v>2375.1</v>
      </c>
      <c r="AH415" s="49" t="str">
        <f t="shared" si="65"/>
        <v>6X750</v>
      </c>
      <c r="AI415" s="49">
        <f t="shared" si="66"/>
        <v>2850</v>
      </c>
    </row>
    <row r="416" spans="1:35">
      <c r="A416" s="1">
        <f t="shared" si="61"/>
        <v>2850.1</v>
      </c>
      <c r="B416" s="1" t="str">
        <f t="shared" si="62"/>
        <v>7X750</v>
      </c>
      <c r="C416" s="1">
        <f t="shared" si="63"/>
        <v>3325</v>
      </c>
      <c r="D416" s="1">
        <v>2850.1</v>
      </c>
      <c r="E416" s="1">
        <v>3325</v>
      </c>
      <c r="F416" s="3" t="s">
        <v>420</v>
      </c>
      <c r="G416" s="1">
        <v>2850.1</v>
      </c>
      <c r="H416" s="1" t="s">
        <v>420</v>
      </c>
      <c r="J416" s="3"/>
      <c r="Z416" s="49"/>
      <c r="AA416" s="49">
        <v>2850.1</v>
      </c>
      <c r="AB416" s="49" t="s">
        <v>420</v>
      </c>
      <c r="AC416" s="49">
        <v>3325</v>
      </c>
      <c r="AD416" s="49"/>
      <c r="AE416" s="49"/>
      <c r="AF416" s="49"/>
      <c r="AG416" s="49">
        <f t="shared" si="64"/>
        <v>2850.1</v>
      </c>
      <c r="AH416" s="49" t="str">
        <f t="shared" si="65"/>
        <v>7X750</v>
      </c>
      <c r="AI416" s="49">
        <f t="shared" si="66"/>
        <v>3325</v>
      </c>
    </row>
    <row r="417" spans="1:35">
      <c r="D417" s="1">
        <v>3325.1</v>
      </c>
      <c r="Z417" s="49"/>
      <c r="AA417" s="49">
        <v>3325.1</v>
      </c>
      <c r="AB417" s="49">
        <v>0</v>
      </c>
      <c r="AC417" s="49">
        <v>0</v>
      </c>
      <c r="AD417" s="49"/>
      <c r="AE417" s="49"/>
      <c r="AF417" s="49"/>
      <c r="AG417" s="49">
        <f t="shared" si="64"/>
        <v>3325.1</v>
      </c>
      <c r="AH417" s="49">
        <f t="shared" si="65"/>
        <v>0</v>
      </c>
      <c r="AI417" s="49">
        <f t="shared" si="66"/>
        <v>0</v>
      </c>
    </row>
    <row r="418" spans="1:35">
      <c r="Z418" s="49"/>
      <c r="AA418" s="49">
        <v>0</v>
      </c>
      <c r="AB418" s="49">
        <v>0</v>
      </c>
      <c r="AC418" s="49">
        <v>0</v>
      </c>
      <c r="AD418" s="49"/>
      <c r="AE418" s="49"/>
      <c r="AF418" s="49"/>
      <c r="AG418" s="49">
        <f t="shared" si="64"/>
        <v>0</v>
      </c>
      <c r="AH418" s="49">
        <f t="shared" si="65"/>
        <v>0</v>
      </c>
      <c r="AI418" s="49">
        <f t="shared" si="66"/>
        <v>0</v>
      </c>
    </row>
    <row r="419" spans="1:35">
      <c r="A419" s="11" t="s">
        <v>455</v>
      </c>
      <c r="B419" s="11"/>
      <c r="C419" s="11"/>
      <c r="D419" s="11"/>
      <c r="E419" s="11"/>
      <c r="F419" s="11"/>
      <c r="G419" s="11"/>
      <c r="H419" s="11"/>
      <c r="Z419" s="49"/>
      <c r="AA419" s="49" t="s">
        <v>455</v>
      </c>
      <c r="AB419" s="49">
        <v>0</v>
      </c>
      <c r="AC419" s="49">
        <v>0</v>
      </c>
      <c r="AD419" s="49"/>
      <c r="AE419" s="49"/>
      <c r="AF419" s="49"/>
      <c r="AG419" s="49" t="str">
        <f t="shared" si="64"/>
        <v>CAPACIDAD DE CONDUCTORES DE ALUMINIO EN TUBO O DUCTO</v>
      </c>
      <c r="AH419" s="49">
        <f t="shared" si="65"/>
        <v>0</v>
      </c>
      <c r="AI419" s="49">
        <f t="shared" si="66"/>
        <v>0</v>
      </c>
    </row>
    <row r="420" spans="1:35">
      <c r="A420" s="11" t="s">
        <v>454</v>
      </c>
      <c r="B420" s="11"/>
      <c r="C420" s="11"/>
      <c r="D420" s="11"/>
      <c r="E420" s="11"/>
      <c r="F420" s="11"/>
      <c r="G420" s="11"/>
      <c r="H420" s="11"/>
      <c r="Z420" s="49"/>
      <c r="AA420" s="49" t="s">
        <v>454</v>
      </c>
      <c r="AB420" s="49">
        <v>0</v>
      </c>
      <c r="AC420" s="49">
        <v>0</v>
      </c>
      <c r="AD420" s="49"/>
      <c r="AE420" s="49"/>
      <c r="AF420" s="49"/>
      <c r="AG420" s="49" t="str">
        <f t="shared" si="64"/>
        <v>TABLA 310-16</v>
      </c>
      <c r="AH420" s="49">
        <f t="shared" si="65"/>
        <v>0</v>
      </c>
      <c r="AI420" s="49">
        <f t="shared" si="66"/>
        <v>0</v>
      </c>
    </row>
    <row r="421" spans="1:35">
      <c r="A421" s="117" t="s">
        <v>378</v>
      </c>
      <c r="B421" s="9" t="s">
        <v>433</v>
      </c>
      <c r="C421" s="9" t="s">
        <v>409</v>
      </c>
      <c r="Z421" s="49"/>
      <c r="AA421" s="49" t="s">
        <v>378</v>
      </c>
      <c r="AB421" s="49" t="s">
        <v>433</v>
      </c>
      <c r="AC421" s="49" t="s">
        <v>409</v>
      </c>
      <c r="AD421" s="49"/>
      <c r="AE421" s="49"/>
      <c r="AF421" s="49"/>
      <c r="AG421" s="49" t="str">
        <f t="shared" si="64"/>
        <v>RANGO</v>
      </c>
      <c r="AH421" s="49" t="str">
        <f t="shared" si="65"/>
        <v>calibre</v>
      </c>
      <c r="AI421" s="49" t="str">
        <f t="shared" si="66"/>
        <v>CAPACIDAD</v>
      </c>
    </row>
    <row r="422" spans="1:35">
      <c r="Z422" s="49"/>
      <c r="AA422" s="49">
        <v>0</v>
      </c>
      <c r="AB422" s="49">
        <v>0</v>
      </c>
      <c r="AC422" s="49">
        <v>0</v>
      </c>
      <c r="AD422" s="49"/>
      <c r="AE422" s="49"/>
      <c r="AF422" s="49"/>
      <c r="AG422" s="49">
        <f t="shared" si="64"/>
        <v>0</v>
      </c>
      <c r="AH422" s="49">
        <f t="shared" si="65"/>
        <v>0</v>
      </c>
      <c r="AI422" s="49">
        <f t="shared" si="66"/>
        <v>0</v>
      </c>
    </row>
    <row r="423" spans="1:35">
      <c r="A423" s="1">
        <f t="shared" ref="A423:A446" si="67">AG423</f>
        <v>0</v>
      </c>
      <c r="B423" s="1">
        <f t="shared" ref="B423:B446" si="68">AH423</f>
        <v>6</v>
      </c>
      <c r="C423" s="1">
        <f t="shared" ref="C423:C446" si="69">AI423</f>
        <v>40</v>
      </c>
      <c r="Z423" s="49"/>
      <c r="AA423" s="49">
        <v>0</v>
      </c>
      <c r="AB423" s="49">
        <v>6</v>
      </c>
      <c r="AC423" s="49">
        <v>40</v>
      </c>
      <c r="AD423" s="49"/>
      <c r="AE423" s="49"/>
      <c r="AF423" s="49"/>
      <c r="AG423" s="49">
        <f t="shared" si="64"/>
        <v>0</v>
      </c>
      <c r="AH423" s="49">
        <f t="shared" si="65"/>
        <v>6</v>
      </c>
      <c r="AI423" s="49">
        <f t="shared" si="66"/>
        <v>40</v>
      </c>
    </row>
    <row r="424" spans="1:35">
      <c r="A424" s="1">
        <f t="shared" si="67"/>
        <v>40.1</v>
      </c>
      <c r="B424" s="1">
        <f t="shared" si="68"/>
        <v>4</v>
      </c>
      <c r="C424" s="1">
        <f t="shared" si="69"/>
        <v>55</v>
      </c>
      <c r="Z424" s="49"/>
      <c r="AA424" s="49">
        <v>40.1</v>
      </c>
      <c r="AB424" s="49">
        <v>4</v>
      </c>
      <c r="AC424" s="49">
        <v>55</v>
      </c>
      <c r="AD424" s="49"/>
      <c r="AE424" s="49"/>
      <c r="AF424" s="49"/>
      <c r="AG424" s="49">
        <f t="shared" si="64"/>
        <v>40.1</v>
      </c>
      <c r="AH424" s="49">
        <f t="shared" si="65"/>
        <v>4</v>
      </c>
      <c r="AI424" s="49">
        <f t="shared" si="66"/>
        <v>55</v>
      </c>
    </row>
    <row r="425" spans="1:35">
      <c r="A425" s="1">
        <f t="shared" si="67"/>
        <v>55.1</v>
      </c>
      <c r="B425" s="1">
        <f t="shared" si="68"/>
        <v>2</v>
      </c>
      <c r="C425" s="1">
        <f t="shared" si="69"/>
        <v>75</v>
      </c>
      <c r="Z425" s="49"/>
      <c r="AA425" s="49">
        <v>55.1</v>
      </c>
      <c r="AB425" s="49">
        <v>2</v>
      </c>
      <c r="AC425" s="49">
        <v>75</v>
      </c>
      <c r="AD425" s="49"/>
      <c r="AE425" s="49"/>
      <c r="AF425" s="49"/>
      <c r="AG425" s="49">
        <f t="shared" si="64"/>
        <v>55.1</v>
      </c>
      <c r="AH425" s="49">
        <f t="shared" si="65"/>
        <v>2</v>
      </c>
      <c r="AI425" s="49">
        <f t="shared" si="66"/>
        <v>75</v>
      </c>
    </row>
    <row r="426" spans="1:35">
      <c r="A426" s="1">
        <f t="shared" si="67"/>
        <v>75.099999999999994</v>
      </c>
      <c r="B426" s="1" t="str">
        <f t="shared" si="68"/>
        <v>1/0</v>
      </c>
      <c r="C426" s="1">
        <f t="shared" si="69"/>
        <v>120</v>
      </c>
      <c r="Z426" s="49"/>
      <c r="AA426" s="49">
        <v>75.099999999999994</v>
      </c>
      <c r="AB426" s="49" t="s">
        <v>0</v>
      </c>
      <c r="AC426" s="49">
        <v>120</v>
      </c>
      <c r="AD426" s="49"/>
      <c r="AE426" s="49"/>
      <c r="AF426" s="49"/>
      <c r="AG426" s="49">
        <f t="shared" si="64"/>
        <v>75.099999999999994</v>
      </c>
      <c r="AH426" s="49" t="str">
        <f t="shared" si="65"/>
        <v>1/0</v>
      </c>
      <c r="AI426" s="49">
        <f t="shared" si="66"/>
        <v>120</v>
      </c>
    </row>
    <row r="427" spans="1:35">
      <c r="A427" s="1">
        <f t="shared" si="67"/>
        <v>120.1</v>
      </c>
      <c r="B427" s="1" t="str">
        <f t="shared" si="68"/>
        <v>2/0</v>
      </c>
      <c r="C427" s="1">
        <f t="shared" si="69"/>
        <v>135</v>
      </c>
      <c r="Z427" s="49"/>
      <c r="AA427" s="49">
        <v>120.1</v>
      </c>
      <c r="AB427" s="49" t="s">
        <v>1</v>
      </c>
      <c r="AC427" s="49">
        <v>135</v>
      </c>
      <c r="AD427" s="49"/>
      <c r="AE427" s="49"/>
      <c r="AF427" s="49"/>
      <c r="AG427" s="49">
        <f t="shared" si="64"/>
        <v>120.1</v>
      </c>
      <c r="AH427" s="49" t="str">
        <f t="shared" si="65"/>
        <v>2/0</v>
      </c>
      <c r="AI427" s="49">
        <f t="shared" si="66"/>
        <v>135</v>
      </c>
    </row>
    <row r="428" spans="1:35">
      <c r="A428" s="1">
        <f t="shared" si="67"/>
        <v>135.1</v>
      </c>
      <c r="B428" s="1" t="str">
        <f t="shared" si="68"/>
        <v>3/0</v>
      </c>
      <c r="C428" s="1">
        <f t="shared" si="69"/>
        <v>155</v>
      </c>
      <c r="Z428" s="49"/>
      <c r="AA428" s="49">
        <v>135.1</v>
      </c>
      <c r="AB428" s="49" t="s">
        <v>2</v>
      </c>
      <c r="AC428" s="49">
        <v>155</v>
      </c>
      <c r="AD428" s="49"/>
      <c r="AE428" s="49"/>
      <c r="AF428" s="49"/>
      <c r="AG428" s="49">
        <f t="shared" si="64"/>
        <v>135.1</v>
      </c>
      <c r="AH428" s="49" t="str">
        <f t="shared" si="65"/>
        <v>3/0</v>
      </c>
      <c r="AI428" s="49">
        <f t="shared" si="66"/>
        <v>155</v>
      </c>
    </row>
    <row r="429" spans="1:35">
      <c r="A429" s="1">
        <f t="shared" si="67"/>
        <v>155.1</v>
      </c>
      <c r="B429" s="1" t="str">
        <f t="shared" si="68"/>
        <v>4/0</v>
      </c>
      <c r="C429" s="1">
        <f t="shared" si="69"/>
        <v>180</v>
      </c>
      <c r="Z429" s="49"/>
      <c r="AA429" s="49">
        <v>155.1</v>
      </c>
      <c r="AB429" s="49" t="s">
        <v>3</v>
      </c>
      <c r="AC429" s="49">
        <v>180</v>
      </c>
      <c r="AD429" s="49"/>
      <c r="AE429" s="49"/>
      <c r="AF429" s="49"/>
      <c r="AG429" s="49">
        <f t="shared" si="64"/>
        <v>155.1</v>
      </c>
      <c r="AH429" s="49" t="str">
        <f t="shared" si="65"/>
        <v>4/0</v>
      </c>
      <c r="AI429" s="49">
        <f t="shared" si="66"/>
        <v>180</v>
      </c>
    </row>
    <row r="430" spans="1:35">
      <c r="A430" s="1">
        <f t="shared" si="67"/>
        <v>180.1</v>
      </c>
      <c r="B430" s="1">
        <f t="shared" si="68"/>
        <v>250</v>
      </c>
      <c r="C430" s="1">
        <f t="shared" si="69"/>
        <v>205</v>
      </c>
      <c r="Z430" s="49"/>
      <c r="AA430" s="49">
        <v>180.1</v>
      </c>
      <c r="AB430" s="49">
        <v>250</v>
      </c>
      <c r="AC430" s="49">
        <v>205</v>
      </c>
      <c r="AD430" s="49"/>
      <c r="AE430" s="49"/>
      <c r="AF430" s="49"/>
      <c r="AG430" s="49">
        <f t="shared" si="64"/>
        <v>180.1</v>
      </c>
      <c r="AH430" s="49">
        <f t="shared" si="65"/>
        <v>250</v>
      </c>
      <c r="AI430" s="49">
        <f t="shared" si="66"/>
        <v>205</v>
      </c>
    </row>
    <row r="431" spans="1:35">
      <c r="A431" s="1">
        <f t="shared" si="67"/>
        <v>205.1</v>
      </c>
      <c r="B431" s="1">
        <f t="shared" si="68"/>
        <v>300</v>
      </c>
      <c r="C431" s="1">
        <f t="shared" si="69"/>
        <v>230</v>
      </c>
      <c r="Z431" s="49"/>
      <c r="AA431" s="49">
        <v>205.1</v>
      </c>
      <c r="AB431" s="49">
        <v>300</v>
      </c>
      <c r="AC431" s="49">
        <v>230</v>
      </c>
      <c r="AD431" s="49"/>
      <c r="AE431" s="49"/>
      <c r="AF431" s="49"/>
      <c r="AG431" s="49">
        <f t="shared" si="64"/>
        <v>205.1</v>
      </c>
      <c r="AH431" s="49">
        <f t="shared" si="65"/>
        <v>300</v>
      </c>
      <c r="AI431" s="49">
        <f t="shared" si="66"/>
        <v>230</v>
      </c>
    </row>
    <row r="432" spans="1:35">
      <c r="A432" s="1">
        <f t="shared" si="67"/>
        <v>230.1</v>
      </c>
      <c r="B432" s="1">
        <f t="shared" si="68"/>
        <v>350</v>
      </c>
      <c r="C432" s="1">
        <f t="shared" si="69"/>
        <v>250</v>
      </c>
      <c r="Z432" s="49"/>
      <c r="AA432" s="49">
        <v>230.1</v>
      </c>
      <c r="AB432" s="49">
        <v>350</v>
      </c>
      <c r="AC432" s="49">
        <v>250</v>
      </c>
      <c r="AD432" s="49"/>
      <c r="AE432" s="49"/>
      <c r="AF432" s="49"/>
      <c r="AG432" s="49">
        <f t="shared" si="64"/>
        <v>230.1</v>
      </c>
      <c r="AH432" s="49">
        <f t="shared" si="65"/>
        <v>350</v>
      </c>
      <c r="AI432" s="49">
        <f t="shared" si="66"/>
        <v>250</v>
      </c>
    </row>
    <row r="433" spans="1:35">
      <c r="A433" s="1">
        <f t="shared" si="67"/>
        <v>250.1</v>
      </c>
      <c r="B433" s="1">
        <f t="shared" si="68"/>
        <v>400</v>
      </c>
      <c r="C433" s="1">
        <f t="shared" si="69"/>
        <v>270</v>
      </c>
      <c r="Z433" s="49"/>
      <c r="AA433" s="49">
        <v>250.1</v>
      </c>
      <c r="AB433" s="49">
        <v>400</v>
      </c>
      <c r="AC433" s="49">
        <v>270</v>
      </c>
      <c r="AD433" s="49"/>
      <c r="AE433" s="49"/>
      <c r="AF433" s="49"/>
      <c r="AG433" s="49">
        <f t="shared" si="64"/>
        <v>250.1</v>
      </c>
      <c r="AH433" s="49">
        <f t="shared" si="65"/>
        <v>400</v>
      </c>
      <c r="AI433" s="49">
        <f t="shared" si="66"/>
        <v>270</v>
      </c>
    </row>
    <row r="434" spans="1:35">
      <c r="A434" s="1">
        <f t="shared" si="67"/>
        <v>270.10000000000002</v>
      </c>
      <c r="B434" s="1">
        <f t="shared" si="68"/>
        <v>500</v>
      </c>
      <c r="C434" s="1">
        <f t="shared" si="69"/>
        <v>310</v>
      </c>
      <c r="Z434" s="49"/>
      <c r="AA434" s="49">
        <v>270.10000000000002</v>
      </c>
      <c r="AB434" s="49">
        <v>500</v>
      </c>
      <c r="AC434" s="49">
        <v>310</v>
      </c>
      <c r="AD434" s="49"/>
      <c r="AE434" s="49"/>
      <c r="AF434" s="49"/>
      <c r="AG434" s="49">
        <f t="shared" si="64"/>
        <v>270.10000000000002</v>
      </c>
      <c r="AH434" s="49">
        <f t="shared" si="65"/>
        <v>500</v>
      </c>
      <c r="AI434" s="49">
        <f t="shared" si="66"/>
        <v>310</v>
      </c>
    </row>
    <row r="435" spans="1:35">
      <c r="A435" s="1">
        <f t="shared" si="67"/>
        <v>310.10000000000002</v>
      </c>
      <c r="B435" s="1">
        <f t="shared" si="68"/>
        <v>750</v>
      </c>
      <c r="C435" s="1">
        <f t="shared" si="69"/>
        <v>385</v>
      </c>
      <c r="Z435" s="49"/>
      <c r="AA435" s="49">
        <v>310.10000000000002</v>
      </c>
      <c r="AB435" s="49">
        <v>750</v>
      </c>
      <c r="AC435" s="49">
        <v>385</v>
      </c>
      <c r="AD435" s="49"/>
      <c r="AE435" s="49"/>
      <c r="AF435" s="49"/>
      <c r="AG435" s="49">
        <f t="shared" si="64"/>
        <v>310.10000000000002</v>
      </c>
      <c r="AH435" s="49">
        <f t="shared" si="65"/>
        <v>750</v>
      </c>
      <c r="AI435" s="49">
        <f t="shared" si="66"/>
        <v>385</v>
      </c>
    </row>
    <row r="436" spans="1:35">
      <c r="A436" s="1">
        <f t="shared" si="67"/>
        <v>385.1</v>
      </c>
      <c r="B436" s="1" t="str">
        <f t="shared" si="68"/>
        <v>2X250</v>
      </c>
      <c r="C436" s="1">
        <f t="shared" si="69"/>
        <v>410</v>
      </c>
      <c r="Z436" s="49"/>
      <c r="AA436" s="49">
        <v>385.1</v>
      </c>
      <c r="AB436" s="49" t="s">
        <v>410</v>
      </c>
      <c r="AC436" s="49">
        <v>410</v>
      </c>
      <c r="AD436" s="49"/>
      <c r="AE436" s="49"/>
      <c r="AF436" s="49"/>
      <c r="AG436" s="49">
        <f t="shared" si="64"/>
        <v>385.1</v>
      </c>
      <c r="AH436" s="49" t="str">
        <f t="shared" si="65"/>
        <v>2X250</v>
      </c>
      <c r="AI436" s="49">
        <f t="shared" si="66"/>
        <v>410</v>
      </c>
    </row>
    <row r="437" spans="1:35">
      <c r="A437" s="1">
        <f t="shared" si="67"/>
        <v>410.1</v>
      </c>
      <c r="B437" s="1" t="str">
        <f t="shared" si="68"/>
        <v>2X300</v>
      </c>
      <c r="C437" s="1">
        <f t="shared" si="69"/>
        <v>460</v>
      </c>
      <c r="Z437" s="49"/>
      <c r="AA437" s="49">
        <v>410.1</v>
      </c>
      <c r="AB437" s="49" t="s">
        <v>411</v>
      </c>
      <c r="AC437" s="49">
        <v>460</v>
      </c>
      <c r="AD437" s="49"/>
      <c r="AE437" s="49"/>
      <c r="AF437" s="49"/>
      <c r="AG437" s="49">
        <f t="shared" si="64"/>
        <v>410.1</v>
      </c>
      <c r="AH437" s="49" t="str">
        <f t="shared" si="65"/>
        <v>2X300</v>
      </c>
      <c r="AI437" s="49">
        <f t="shared" si="66"/>
        <v>460</v>
      </c>
    </row>
    <row r="438" spans="1:35">
      <c r="A438" s="1">
        <f t="shared" si="67"/>
        <v>460.1</v>
      </c>
      <c r="B438" s="1" t="str">
        <f t="shared" si="68"/>
        <v>2X350</v>
      </c>
      <c r="C438" s="1">
        <f t="shared" si="69"/>
        <v>500</v>
      </c>
      <c r="Z438" s="49"/>
      <c r="AA438" s="49">
        <v>460.1</v>
      </c>
      <c r="AB438" s="49" t="s">
        <v>412</v>
      </c>
      <c r="AC438" s="49">
        <v>500</v>
      </c>
      <c r="AD438" s="49"/>
      <c r="AE438" s="49"/>
      <c r="AF438" s="49"/>
      <c r="AG438" s="49">
        <f t="shared" si="64"/>
        <v>460.1</v>
      </c>
      <c r="AH438" s="49" t="str">
        <f t="shared" si="65"/>
        <v>2X350</v>
      </c>
      <c r="AI438" s="49">
        <f t="shared" si="66"/>
        <v>500</v>
      </c>
    </row>
    <row r="439" spans="1:35">
      <c r="A439" s="1">
        <f t="shared" si="67"/>
        <v>500.1</v>
      </c>
      <c r="B439" s="1" t="str">
        <f t="shared" si="68"/>
        <v>2X500</v>
      </c>
      <c r="C439" s="1">
        <f t="shared" si="69"/>
        <v>770</v>
      </c>
      <c r="Z439" s="49"/>
      <c r="AA439" s="49">
        <v>500.1</v>
      </c>
      <c r="AB439" s="49" t="s">
        <v>413</v>
      </c>
      <c r="AC439" s="49">
        <v>770</v>
      </c>
      <c r="AD439" s="49"/>
      <c r="AE439" s="49"/>
      <c r="AF439" s="49"/>
      <c r="AG439" s="49">
        <f t="shared" si="64"/>
        <v>500.1</v>
      </c>
      <c r="AH439" s="49" t="str">
        <f t="shared" si="65"/>
        <v>2X500</v>
      </c>
      <c r="AI439" s="49">
        <f t="shared" si="66"/>
        <v>770</v>
      </c>
    </row>
    <row r="440" spans="1:35">
      <c r="A440" s="1">
        <f t="shared" si="67"/>
        <v>770.1</v>
      </c>
      <c r="B440" s="1" t="str">
        <f t="shared" si="68"/>
        <v>2X750</v>
      </c>
      <c r="C440" s="1">
        <f t="shared" si="69"/>
        <v>870</v>
      </c>
      <c r="Z440" s="49"/>
      <c r="AA440" s="49">
        <v>770.1</v>
      </c>
      <c r="AB440" s="49" t="s">
        <v>414</v>
      </c>
      <c r="AC440" s="49">
        <v>870</v>
      </c>
      <c r="AD440" s="49"/>
      <c r="AE440" s="49"/>
      <c r="AF440" s="49"/>
      <c r="AG440" s="49">
        <f t="shared" si="64"/>
        <v>770.1</v>
      </c>
      <c r="AH440" s="49" t="str">
        <f t="shared" si="65"/>
        <v>2X750</v>
      </c>
      <c r="AI440" s="49">
        <f t="shared" si="66"/>
        <v>870</v>
      </c>
    </row>
    <row r="441" spans="1:35">
      <c r="A441" s="1">
        <f t="shared" si="67"/>
        <v>870.1</v>
      </c>
      <c r="B441" s="1" t="str">
        <f t="shared" si="68"/>
        <v>3X500</v>
      </c>
      <c r="C441" s="1">
        <f t="shared" si="69"/>
        <v>930</v>
      </c>
      <c r="Z441" s="49"/>
      <c r="AA441" s="49">
        <v>870.1</v>
      </c>
      <c r="AB441" s="49" t="s">
        <v>415</v>
      </c>
      <c r="AC441" s="49">
        <v>930</v>
      </c>
      <c r="AD441" s="49"/>
      <c r="AE441" s="49"/>
      <c r="AF441" s="49"/>
      <c r="AG441" s="49">
        <f t="shared" si="64"/>
        <v>870.1</v>
      </c>
      <c r="AH441" s="49" t="str">
        <f t="shared" si="65"/>
        <v>3X500</v>
      </c>
      <c r="AI441" s="49">
        <f t="shared" si="66"/>
        <v>930</v>
      </c>
    </row>
    <row r="442" spans="1:35">
      <c r="A442" s="1">
        <f t="shared" si="67"/>
        <v>930.1</v>
      </c>
      <c r="B442" s="1" t="str">
        <f t="shared" si="68"/>
        <v>4X500</v>
      </c>
      <c r="C442" s="1">
        <f t="shared" si="69"/>
        <v>1240</v>
      </c>
      <c r="Z442" s="49"/>
      <c r="AA442" s="49">
        <v>930.1</v>
      </c>
      <c r="AB442" s="49" t="s">
        <v>416</v>
      </c>
      <c r="AC442" s="49">
        <v>1240</v>
      </c>
      <c r="AD442" s="49"/>
      <c r="AE442" s="49"/>
      <c r="AF442" s="49"/>
      <c r="AG442" s="49">
        <f t="shared" si="64"/>
        <v>930.1</v>
      </c>
      <c r="AH442" s="49" t="str">
        <f t="shared" si="65"/>
        <v>4X500</v>
      </c>
      <c r="AI442" s="49">
        <f t="shared" si="66"/>
        <v>1240</v>
      </c>
    </row>
    <row r="443" spans="1:35">
      <c r="A443" s="1">
        <f t="shared" si="67"/>
        <v>1240.0999999999999</v>
      </c>
      <c r="B443" s="1" t="str">
        <f t="shared" si="68"/>
        <v>5X500</v>
      </c>
      <c r="C443" s="1">
        <f t="shared" si="69"/>
        <v>1550</v>
      </c>
      <c r="Z443" s="49"/>
      <c r="AA443" s="49">
        <v>1240.0999999999999</v>
      </c>
      <c r="AB443" s="49" t="s">
        <v>417</v>
      </c>
      <c r="AC443" s="49">
        <v>1550</v>
      </c>
      <c r="AD443" s="49"/>
      <c r="AE443" s="49"/>
      <c r="AF443" s="49"/>
      <c r="AG443" s="49">
        <f t="shared" si="64"/>
        <v>1240.0999999999999</v>
      </c>
      <c r="AH443" s="49" t="str">
        <f t="shared" si="65"/>
        <v>5X500</v>
      </c>
      <c r="AI443" s="49">
        <f t="shared" si="66"/>
        <v>1550</v>
      </c>
    </row>
    <row r="444" spans="1:35">
      <c r="A444" s="1">
        <f t="shared" si="67"/>
        <v>1550.1</v>
      </c>
      <c r="B444" s="1" t="str">
        <f t="shared" si="68"/>
        <v>5X750</v>
      </c>
      <c r="C444" s="1">
        <f t="shared" si="69"/>
        <v>1925</v>
      </c>
      <c r="Z444" s="49"/>
      <c r="AA444" s="49">
        <v>1550.1</v>
      </c>
      <c r="AB444" s="49" t="s">
        <v>418</v>
      </c>
      <c r="AC444" s="49">
        <v>1925</v>
      </c>
      <c r="AD444" s="49"/>
      <c r="AE444" s="49"/>
      <c r="AF444" s="49"/>
      <c r="AG444" s="49">
        <f t="shared" si="64"/>
        <v>1550.1</v>
      </c>
      <c r="AH444" s="49" t="str">
        <f t="shared" si="65"/>
        <v>5X750</v>
      </c>
      <c r="AI444" s="49">
        <f t="shared" si="66"/>
        <v>1925</v>
      </c>
    </row>
    <row r="445" spans="1:35">
      <c r="A445" s="1">
        <f t="shared" si="67"/>
        <v>1925.1</v>
      </c>
      <c r="B445" s="1" t="str">
        <f t="shared" si="68"/>
        <v>6X750</v>
      </c>
      <c r="C445" s="1">
        <f t="shared" si="69"/>
        <v>2310</v>
      </c>
      <c r="Z445" s="49"/>
      <c r="AA445" s="49">
        <v>1925.1</v>
      </c>
      <c r="AB445" s="49" t="s">
        <v>419</v>
      </c>
      <c r="AC445" s="49">
        <v>2310</v>
      </c>
      <c r="AD445" s="49"/>
      <c r="AE445" s="49"/>
      <c r="AF445" s="49"/>
      <c r="AG445" s="49">
        <f t="shared" si="64"/>
        <v>1925.1</v>
      </c>
      <c r="AH445" s="49" t="str">
        <f t="shared" si="65"/>
        <v>6X750</v>
      </c>
      <c r="AI445" s="49">
        <f t="shared" si="66"/>
        <v>2310</v>
      </c>
    </row>
    <row r="446" spans="1:35">
      <c r="A446" s="1">
        <f t="shared" si="67"/>
        <v>2310.1</v>
      </c>
      <c r="B446" s="1" t="str">
        <f t="shared" si="68"/>
        <v>7X750</v>
      </c>
      <c r="C446" s="1">
        <f t="shared" si="69"/>
        <v>2695</v>
      </c>
      <c r="Z446" s="49"/>
      <c r="AA446" s="49">
        <v>2310.1</v>
      </c>
      <c r="AB446" s="49" t="s">
        <v>420</v>
      </c>
      <c r="AC446" s="49">
        <v>2695</v>
      </c>
      <c r="AD446" s="49"/>
      <c r="AE446" s="49"/>
      <c r="AF446" s="49"/>
      <c r="AG446" s="49">
        <f t="shared" si="64"/>
        <v>2310.1</v>
      </c>
      <c r="AH446" s="49" t="str">
        <f t="shared" si="65"/>
        <v>7X750</v>
      </c>
      <c r="AI446" s="49">
        <f t="shared" si="66"/>
        <v>2695</v>
      </c>
    </row>
    <row r="447" spans="1:35">
      <c r="Z447" s="49"/>
      <c r="AA447" s="49">
        <v>0</v>
      </c>
      <c r="AB447" s="49">
        <v>0</v>
      </c>
      <c r="AC447" s="49">
        <v>0</v>
      </c>
      <c r="AD447" s="49"/>
      <c r="AE447" s="49"/>
      <c r="AF447" s="49"/>
      <c r="AG447" s="49">
        <f t="shared" si="64"/>
        <v>0</v>
      </c>
      <c r="AH447" s="49">
        <f t="shared" si="65"/>
        <v>0</v>
      </c>
      <c r="AI447" s="49">
        <f t="shared" si="66"/>
        <v>0</v>
      </c>
    </row>
    <row r="448" spans="1:35">
      <c r="Z448" s="49"/>
      <c r="AA448" s="49">
        <v>0</v>
      </c>
      <c r="AB448" s="49">
        <v>0</v>
      </c>
      <c r="AC448" s="49">
        <v>0</v>
      </c>
      <c r="AD448" s="49"/>
      <c r="AE448" s="49"/>
      <c r="AF448" s="49"/>
      <c r="AG448" s="49">
        <f t="shared" si="64"/>
        <v>0</v>
      </c>
      <c r="AH448" s="49">
        <f t="shared" si="65"/>
        <v>0</v>
      </c>
      <c r="AI448" s="49">
        <f t="shared" si="66"/>
        <v>0</v>
      </c>
    </row>
    <row r="449" spans="1:35">
      <c r="Z449" s="49"/>
      <c r="AA449" s="49">
        <v>0</v>
      </c>
      <c r="AB449" s="49">
        <v>0</v>
      </c>
      <c r="AC449" s="49">
        <v>0</v>
      </c>
      <c r="AD449" s="49"/>
      <c r="AE449" s="49"/>
      <c r="AF449" s="49"/>
      <c r="AG449" s="49">
        <f t="shared" si="64"/>
        <v>0</v>
      </c>
      <c r="AH449" s="49">
        <f t="shared" si="65"/>
        <v>0</v>
      </c>
      <c r="AI449" s="49">
        <f t="shared" si="66"/>
        <v>0</v>
      </c>
    </row>
    <row r="450" spans="1:35">
      <c r="Z450" s="49"/>
      <c r="AA450" s="49">
        <v>0</v>
      </c>
      <c r="AB450" s="49">
        <v>0</v>
      </c>
      <c r="AC450" s="49">
        <v>0</v>
      </c>
      <c r="AD450" s="49"/>
      <c r="AE450" s="49"/>
      <c r="AF450" s="49"/>
      <c r="AG450" s="49">
        <f t="shared" si="64"/>
        <v>0</v>
      </c>
      <c r="AH450" s="49">
        <f t="shared" si="65"/>
        <v>0</v>
      </c>
      <c r="AI450" s="49">
        <f t="shared" si="66"/>
        <v>0</v>
      </c>
    </row>
    <row r="451" spans="1:35">
      <c r="Z451" s="49"/>
      <c r="AA451" s="49">
        <v>0</v>
      </c>
      <c r="AB451" s="49">
        <v>0</v>
      </c>
      <c r="AC451" s="49">
        <v>0</v>
      </c>
      <c r="AD451" s="49"/>
      <c r="AE451" s="49"/>
      <c r="AF451" s="49"/>
      <c r="AG451" s="49">
        <f t="shared" si="64"/>
        <v>0</v>
      </c>
      <c r="AH451" s="49">
        <f t="shared" si="65"/>
        <v>0</v>
      </c>
      <c r="AI451" s="49">
        <f t="shared" si="66"/>
        <v>0</v>
      </c>
    </row>
    <row r="452" spans="1:35">
      <c r="Z452" s="49"/>
      <c r="AA452" s="49">
        <v>0</v>
      </c>
      <c r="AB452" s="49">
        <v>0</v>
      </c>
      <c r="AC452" s="49">
        <v>0</v>
      </c>
      <c r="AD452" s="49"/>
      <c r="AE452" s="49"/>
      <c r="AF452" s="49"/>
      <c r="AG452" s="49">
        <f t="shared" si="64"/>
        <v>0</v>
      </c>
      <c r="AH452" s="49">
        <f t="shared" si="65"/>
        <v>0</v>
      </c>
      <c r="AI452" s="49">
        <f t="shared" si="66"/>
        <v>0</v>
      </c>
    </row>
    <row r="453" spans="1:35">
      <c r="A453" s="1" t="s">
        <v>456</v>
      </c>
      <c r="Z453" s="49"/>
      <c r="AA453" s="49" t="s">
        <v>456</v>
      </c>
      <c r="AB453" s="49">
        <v>0</v>
      </c>
      <c r="AC453" s="49">
        <v>0</v>
      </c>
      <c r="AD453" s="49"/>
      <c r="AE453" s="49"/>
      <c r="AF453" s="49"/>
      <c r="AG453" s="49" t="str">
        <f t="shared" si="64"/>
        <v>VALORES PARA DETERMINAR EL CALBRE DEL CONDUCTOR MAXIMO</v>
      </c>
      <c r="AH453" s="49">
        <f t="shared" si="65"/>
        <v>0</v>
      </c>
      <c r="AI453" s="49">
        <f t="shared" si="66"/>
        <v>0</v>
      </c>
    </row>
    <row r="454" spans="1:35">
      <c r="A454" s="1" t="s">
        <v>457</v>
      </c>
      <c r="Z454" s="49"/>
      <c r="AA454" s="49" t="s">
        <v>457</v>
      </c>
      <c r="AB454" s="49">
        <v>0</v>
      </c>
      <c r="AC454" s="49">
        <v>0</v>
      </c>
      <c r="AD454" s="49"/>
      <c r="AE454" s="49"/>
      <c r="AF454" s="49"/>
      <c r="AG454" s="49" t="str">
        <f t="shared" si="64"/>
        <v>COMPARANDO ENTRE CORRIENTE CORREGIDA Y CALCULO POR CAIDA DE TENSION</v>
      </c>
      <c r="AH454" s="49">
        <f t="shared" si="65"/>
        <v>0</v>
      </c>
      <c r="AI454" s="49">
        <f t="shared" si="66"/>
        <v>0</v>
      </c>
    </row>
    <row r="455" spans="1:35">
      <c r="Z455" s="49"/>
      <c r="AA455" s="49">
        <v>0</v>
      </c>
      <c r="AB455" s="49">
        <v>0</v>
      </c>
      <c r="AC455" s="49">
        <v>0</v>
      </c>
      <c r="AD455" s="49"/>
      <c r="AE455" s="49"/>
      <c r="AF455" s="49"/>
      <c r="AG455" s="49">
        <f t="shared" si="64"/>
        <v>0</v>
      </c>
      <c r="AH455" s="49">
        <f t="shared" si="65"/>
        <v>0</v>
      </c>
      <c r="AI455" s="49">
        <f t="shared" si="66"/>
        <v>0</v>
      </c>
    </row>
    <row r="456" spans="1:35">
      <c r="Z456" s="49"/>
      <c r="AA456" s="49">
        <v>0</v>
      </c>
      <c r="AB456" s="49">
        <v>0</v>
      </c>
      <c r="AC456" s="49">
        <v>0</v>
      </c>
      <c r="AD456" s="49"/>
      <c r="AE456" s="49"/>
      <c r="AF456" s="49"/>
      <c r="AG456" s="49">
        <f t="shared" si="64"/>
        <v>0</v>
      </c>
      <c r="AH456" s="49">
        <f t="shared" si="65"/>
        <v>0</v>
      </c>
      <c r="AI456" s="49">
        <f t="shared" si="66"/>
        <v>0</v>
      </c>
    </row>
    <row r="457" spans="1:35">
      <c r="Z457" s="49"/>
      <c r="AA457" s="49">
        <v>0</v>
      </c>
      <c r="AB457" s="49">
        <v>0</v>
      </c>
      <c r="AC457" s="49">
        <v>0</v>
      </c>
      <c r="AD457" s="49"/>
      <c r="AE457" s="49"/>
      <c r="AF457" s="49"/>
      <c r="AG457" s="49">
        <f t="shared" si="64"/>
        <v>0</v>
      </c>
      <c r="AH457" s="49">
        <f t="shared" si="65"/>
        <v>0</v>
      </c>
      <c r="AI457" s="49">
        <f t="shared" si="66"/>
        <v>0</v>
      </c>
    </row>
    <row r="458" spans="1:35">
      <c r="A458" s="1">
        <f t="shared" ref="A458:A485" si="70">AG458</f>
        <v>0</v>
      </c>
      <c r="B458" s="1">
        <f t="shared" ref="B458:B485" si="71">AH458</f>
        <v>14</v>
      </c>
      <c r="C458" s="1">
        <f t="shared" ref="C458:C485" si="72">AI458</f>
        <v>1</v>
      </c>
      <c r="Z458" s="49"/>
      <c r="AA458" s="49">
        <v>0</v>
      </c>
      <c r="AB458" s="49">
        <v>14</v>
      </c>
      <c r="AC458" s="49">
        <v>1</v>
      </c>
      <c r="AD458" s="49"/>
      <c r="AE458" s="49"/>
      <c r="AF458" s="49"/>
      <c r="AG458" s="49">
        <f t="shared" si="64"/>
        <v>0</v>
      </c>
      <c r="AH458" s="49">
        <f t="shared" si="65"/>
        <v>14</v>
      </c>
      <c r="AI458" s="49">
        <f t="shared" si="66"/>
        <v>1</v>
      </c>
    </row>
    <row r="459" spans="1:35">
      <c r="A459" s="1">
        <f t="shared" si="70"/>
        <v>0</v>
      </c>
      <c r="B459" s="1">
        <f t="shared" si="71"/>
        <v>12</v>
      </c>
      <c r="C459" s="1">
        <f t="shared" si="72"/>
        <v>2</v>
      </c>
      <c r="Z459" s="49"/>
      <c r="AA459" s="49">
        <v>0</v>
      </c>
      <c r="AB459" s="49">
        <v>12</v>
      </c>
      <c r="AC459" s="49">
        <v>2</v>
      </c>
      <c r="AD459" s="49"/>
      <c r="AE459" s="49"/>
      <c r="AF459" s="49"/>
      <c r="AG459" s="49">
        <f t="shared" si="64"/>
        <v>0</v>
      </c>
      <c r="AH459" s="49">
        <f t="shared" si="65"/>
        <v>12</v>
      </c>
      <c r="AI459" s="49">
        <f t="shared" si="66"/>
        <v>2</v>
      </c>
    </row>
    <row r="460" spans="1:35">
      <c r="A460" s="1">
        <f t="shared" si="70"/>
        <v>0</v>
      </c>
      <c r="B460" s="1">
        <f t="shared" si="71"/>
        <v>10</v>
      </c>
      <c r="C460" s="1">
        <f t="shared" si="72"/>
        <v>3</v>
      </c>
      <c r="Z460" s="49"/>
      <c r="AA460" s="49">
        <v>0</v>
      </c>
      <c r="AB460" s="49">
        <v>10</v>
      </c>
      <c r="AC460" s="49">
        <v>3</v>
      </c>
      <c r="AD460" s="49"/>
      <c r="AE460" s="49"/>
      <c r="AF460" s="49"/>
      <c r="AG460" s="49">
        <f t="shared" ref="AG460:AG524" si="73">IF($AG$4="BUENO",AA460,0)</f>
        <v>0</v>
      </c>
      <c r="AH460" s="49">
        <f t="shared" ref="AH460:AH524" si="74">IF($AG$4="BUENO",AB460,0)</f>
        <v>10</v>
      </c>
      <c r="AI460" s="49">
        <f t="shared" ref="AI460:AI524" si="75">IF($AG$4="BUENO",AC460,0)</f>
        <v>3</v>
      </c>
    </row>
    <row r="461" spans="1:35">
      <c r="A461" s="1">
        <f t="shared" si="70"/>
        <v>0</v>
      </c>
      <c r="B461" s="1">
        <f t="shared" si="71"/>
        <v>8</v>
      </c>
      <c r="C461" s="1">
        <f t="shared" si="72"/>
        <v>4</v>
      </c>
      <c r="Z461" s="49"/>
      <c r="AA461" s="49">
        <v>0</v>
      </c>
      <c r="AB461" s="49">
        <v>8</v>
      </c>
      <c r="AC461" s="49">
        <v>4</v>
      </c>
      <c r="AD461" s="49"/>
      <c r="AE461" s="49"/>
      <c r="AF461" s="49"/>
      <c r="AG461" s="49">
        <f t="shared" si="73"/>
        <v>0</v>
      </c>
      <c r="AH461" s="49">
        <f t="shared" si="74"/>
        <v>8</v>
      </c>
      <c r="AI461" s="49">
        <f t="shared" si="75"/>
        <v>4</v>
      </c>
    </row>
    <row r="462" spans="1:35">
      <c r="A462" s="1">
        <f t="shared" si="70"/>
        <v>0</v>
      </c>
      <c r="B462" s="1">
        <f t="shared" si="71"/>
        <v>6</v>
      </c>
      <c r="C462" s="1">
        <f t="shared" si="72"/>
        <v>5</v>
      </c>
      <c r="Z462" s="49"/>
      <c r="AA462" s="49">
        <v>0</v>
      </c>
      <c r="AB462" s="49">
        <v>6</v>
      </c>
      <c r="AC462" s="49">
        <v>5</v>
      </c>
      <c r="AD462" s="49"/>
      <c r="AE462" s="49"/>
      <c r="AF462" s="49"/>
      <c r="AG462" s="49">
        <f t="shared" si="73"/>
        <v>0</v>
      </c>
      <c r="AH462" s="49">
        <f t="shared" si="74"/>
        <v>6</v>
      </c>
      <c r="AI462" s="49">
        <f t="shared" si="75"/>
        <v>5</v>
      </c>
    </row>
    <row r="463" spans="1:35">
      <c r="A463" s="1">
        <f t="shared" si="70"/>
        <v>0</v>
      </c>
      <c r="B463" s="1">
        <f t="shared" si="71"/>
        <v>4</v>
      </c>
      <c r="C463" s="1">
        <f t="shared" si="72"/>
        <v>6</v>
      </c>
      <c r="Z463" s="49"/>
      <c r="AA463" s="49">
        <v>0</v>
      </c>
      <c r="AB463" s="49">
        <v>4</v>
      </c>
      <c r="AC463" s="49">
        <v>6</v>
      </c>
      <c r="AD463" s="49"/>
      <c r="AE463" s="49"/>
      <c r="AF463" s="49"/>
      <c r="AG463" s="49">
        <f t="shared" si="73"/>
        <v>0</v>
      </c>
      <c r="AH463" s="49">
        <f t="shared" si="74"/>
        <v>4</v>
      </c>
      <c r="AI463" s="49">
        <f t="shared" si="75"/>
        <v>6</v>
      </c>
    </row>
    <row r="464" spans="1:35">
      <c r="A464" s="1">
        <f t="shared" si="70"/>
        <v>0</v>
      </c>
      <c r="B464" s="1">
        <f t="shared" si="71"/>
        <v>2</v>
      </c>
      <c r="C464" s="1">
        <f t="shared" si="72"/>
        <v>7</v>
      </c>
      <c r="Z464" s="49"/>
      <c r="AA464" s="49">
        <v>0</v>
      </c>
      <c r="AB464" s="49">
        <v>2</v>
      </c>
      <c r="AC464" s="49">
        <v>7</v>
      </c>
      <c r="AD464" s="49"/>
      <c r="AE464" s="49"/>
      <c r="AF464" s="49"/>
      <c r="AG464" s="49">
        <f t="shared" si="73"/>
        <v>0</v>
      </c>
      <c r="AH464" s="49">
        <f t="shared" si="74"/>
        <v>2</v>
      </c>
      <c r="AI464" s="49">
        <f t="shared" si="75"/>
        <v>7</v>
      </c>
    </row>
    <row r="465" spans="1:35">
      <c r="A465" s="1">
        <f t="shared" si="70"/>
        <v>0</v>
      </c>
      <c r="B465" s="1" t="str">
        <f t="shared" si="71"/>
        <v>1/0</v>
      </c>
      <c r="C465" s="1">
        <f t="shared" si="72"/>
        <v>8</v>
      </c>
      <c r="Z465" s="49"/>
      <c r="AA465" s="49">
        <v>0</v>
      </c>
      <c r="AB465" s="49" t="s">
        <v>0</v>
      </c>
      <c r="AC465" s="49">
        <v>8</v>
      </c>
      <c r="AD465" s="49"/>
      <c r="AE465" s="49"/>
      <c r="AF465" s="49"/>
      <c r="AG465" s="49">
        <f t="shared" si="73"/>
        <v>0</v>
      </c>
      <c r="AH465" s="49" t="str">
        <f t="shared" si="74"/>
        <v>1/0</v>
      </c>
      <c r="AI465" s="49">
        <f t="shared" si="75"/>
        <v>8</v>
      </c>
    </row>
    <row r="466" spans="1:35">
      <c r="A466" s="1">
        <f t="shared" si="70"/>
        <v>0</v>
      </c>
      <c r="B466" s="1" t="str">
        <f t="shared" si="71"/>
        <v>2/0</v>
      </c>
      <c r="C466" s="1">
        <f t="shared" si="72"/>
        <v>9</v>
      </c>
      <c r="Z466" s="49"/>
      <c r="AA466" s="49">
        <v>0</v>
      </c>
      <c r="AB466" s="49" t="s">
        <v>1</v>
      </c>
      <c r="AC466" s="49">
        <v>9</v>
      </c>
      <c r="AD466" s="49"/>
      <c r="AE466" s="49"/>
      <c r="AF466" s="49"/>
      <c r="AG466" s="49">
        <f t="shared" si="73"/>
        <v>0</v>
      </c>
      <c r="AH466" s="49" t="str">
        <f t="shared" si="74"/>
        <v>2/0</v>
      </c>
      <c r="AI466" s="49">
        <f t="shared" si="75"/>
        <v>9</v>
      </c>
    </row>
    <row r="467" spans="1:35">
      <c r="A467" s="1">
        <f t="shared" si="70"/>
        <v>0</v>
      </c>
      <c r="B467" s="1" t="str">
        <f t="shared" si="71"/>
        <v>3/0</v>
      </c>
      <c r="C467" s="1">
        <f t="shared" si="72"/>
        <v>10</v>
      </c>
      <c r="Z467" s="49"/>
      <c r="AA467" s="49">
        <v>0</v>
      </c>
      <c r="AB467" s="49" t="s">
        <v>2</v>
      </c>
      <c r="AC467" s="49">
        <v>10</v>
      </c>
      <c r="AD467" s="49"/>
      <c r="AE467" s="49"/>
      <c r="AF467" s="49"/>
      <c r="AG467" s="49">
        <f t="shared" si="73"/>
        <v>0</v>
      </c>
      <c r="AH467" s="49" t="str">
        <f t="shared" si="74"/>
        <v>3/0</v>
      </c>
      <c r="AI467" s="49">
        <f t="shared" si="75"/>
        <v>10</v>
      </c>
    </row>
    <row r="468" spans="1:35">
      <c r="A468" s="1">
        <f t="shared" si="70"/>
        <v>0</v>
      </c>
      <c r="B468" s="1" t="str">
        <f t="shared" si="71"/>
        <v>4/0</v>
      </c>
      <c r="C468" s="1">
        <f t="shared" si="72"/>
        <v>11</v>
      </c>
      <c r="Z468" s="49"/>
      <c r="AA468" s="49">
        <v>0</v>
      </c>
      <c r="AB468" s="49" t="s">
        <v>3</v>
      </c>
      <c r="AC468" s="49">
        <v>11</v>
      </c>
      <c r="AD468" s="49"/>
      <c r="AE468" s="49"/>
      <c r="AF468" s="49"/>
      <c r="AG468" s="49">
        <f t="shared" si="73"/>
        <v>0</v>
      </c>
      <c r="AH468" s="49" t="str">
        <f t="shared" si="74"/>
        <v>4/0</v>
      </c>
      <c r="AI468" s="49">
        <f t="shared" si="75"/>
        <v>11</v>
      </c>
    </row>
    <row r="469" spans="1:35">
      <c r="A469" s="1">
        <f t="shared" si="70"/>
        <v>0</v>
      </c>
      <c r="B469" s="1">
        <f t="shared" si="71"/>
        <v>250</v>
      </c>
      <c r="C469" s="1">
        <f t="shared" si="72"/>
        <v>12</v>
      </c>
      <c r="Z469" s="49"/>
      <c r="AA469" s="49">
        <v>0</v>
      </c>
      <c r="AB469" s="49">
        <v>250</v>
      </c>
      <c r="AC469" s="49">
        <v>12</v>
      </c>
      <c r="AD469" s="49"/>
      <c r="AE469" s="49"/>
      <c r="AF469" s="49"/>
      <c r="AG469" s="49">
        <f t="shared" si="73"/>
        <v>0</v>
      </c>
      <c r="AH469" s="49">
        <f t="shared" si="74"/>
        <v>250</v>
      </c>
      <c r="AI469" s="49">
        <f t="shared" si="75"/>
        <v>12</v>
      </c>
    </row>
    <row r="470" spans="1:35">
      <c r="A470" s="1">
        <f t="shared" si="70"/>
        <v>0</v>
      </c>
      <c r="B470" s="1">
        <f t="shared" si="71"/>
        <v>300</v>
      </c>
      <c r="C470" s="1">
        <f t="shared" si="72"/>
        <v>13</v>
      </c>
      <c r="Z470" s="49"/>
      <c r="AA470" s="49">
        <v>0</v>
      </c>
      <c r="AB470" s="49">
        <v>300</v>
      </c>
      <c r="AC470" s="49">
        <v>13</v>
      </c>
      <c r="AD470" s="49"/>
      <c r="AE470" s="49"/>
      <c r="AF470" s="49"/>
      <c r="AG470" s="49">
        <f t="shared" si="73"/>
        <v>0</v>
      </c>
      <c r="AH470" s="49">
        <f t="shared" si="74"/>
        <v>300</v>
      </c>
      <c r="AI470" s="49">
        <f t="shared" si="75"/>
        <v>13</v>
      </c>
    </row>
    <row r="471" spans="1:35">
      <c r="A471" s="1">
        <f t="shared" si="70"/>
        <v>0</v>
      </c>
      <c r="B471" s="1">
        <f t="shared" si="71"/>
        <v>350</v>
      </c>
      <c r="C471" s="1">
        <f t="shared" si="72"/>
        <v>14</v>
      </c>
      <c r="Z471" s="49"/>
      <c r="AA471" s="49">
        <v>0</v>
      </c>
      <c r="AB471" s="49">
        <v>350</v>
      </c>
      <c r="AC471" s="49">
        <v>14</v>
      </c>
      <c r="AD471" s="49"/>
      <c r="AE471" s="49"/>
      <c r="AF471" s="49"/>
      <c r="AG471" s="49">
        <f t="shared" si="73"/>
        <v>0</v>
      </c>
      <c r="AH471" s="49">
        <f t="shared" si="74"/>
        <v>350</v>
      </c>
      <c r="AI471" s="49">
        <f t="shared" si="75"/>
        <v>14</v>
      </c>
    </row>
    <row r="472" spans="1:35">
      <c r="A472" s="1">
        <f t="shared" si="70"/>
        <v>0</v>
      </c>
      <c r="B472" s="1">
        <f t="shared" si="71"/>
        <v>400</v>
      </c>
      <c r="C472" s="1">
        <f t="shared" si="72"/>
        <v>15</v>
      </c>
      <c r="Z472" s="49"/>
      <c r="AA472" s="49">
        <v>0</v>
      </c>
      <c r="AB472" s="49">
        <v>400</v>
      </c>
      <c r="AC472" s="49">
        <v>15</v>
      </c>
      <c r="AD472" s="49"/>
      <c r="AE472" s="49"/>
      <c r="AF472" s="49"/>
      <c r="AG472" s="49">
        <f t="shared" si="73"/>
        <v>0</v>
      </c>
      <c r="AH472" s="49">
        <f t="shared" si="74"/>
        <v>400</v>
      </c>
      <c r="AI472" s="49">
        <f t="shared" si="75"/>
        <v>15</v>
      </c>
    </row>
    <row r="473" spans="1:35">
      <c r="A473" s="1">
        <f t="shared" si="70"/>
        <v>0</v>
      </c>
      <c r="B473" s="1">
        <f t="shared" si="71"/>
        <v>500</v>
      </c>
      <c r="C473" s="1">
        <f t="shared" si="72"/>
        <v>16</v>
      </c>
      <c r="Z473" s="49"/>
      <c r="AA473" s="49">
        <v>0</v>
      </c>
      <c r="AB473" s="49">
        <v>500</v>
      </c>
      <c r="AC473" s="49">
        <v>16</v>
      </c>
      <c r="AD473" s="49"/>
      <c r="AE473" s="49"/>
      <c r="AF473" s="49"/>
      <c r="AG473" s="49">
        <f t="shared" si="73"/>
        <v>0</v>
      </c>
      <c r="AH473" s="49">
        <f t="shared" si="74"/>
        <v>500</v>
      </c>
      <c r="AI473" s="49">
        <f t="shared" si="75"/>
        <v>16</v>
      </c>
    </row>
    <row r="474" spans="1:35">
      <c r="A474" s="1">
        <f t="shared" si="70"/>
        <v>0</v>
      </c>
      <c r="B474" s="1">
        <f t="shared" si="71"/>
        <v>750</v>
      </c>
      <c r="C474" s="1">
        <f t="shared" si="72"/>
        <v>17</v>
      </c>
      <c r="Z474" s="49"/>
      <c r="AA474" s="49">
        <v>0</v>
      </c>
      <c r="AB474" s="49">
        <v>750</v>
      </c>
      <c r="AC474" s="49">
        <v>17</v>
      </c>
      <c r="AD474" s="49"/>
      <c r="AE474" s="49"/>
      <c r="AF474" s="49"/>
      <c r="AG474" s="49">
        <f t="shared" si="73"/>
        <v>0</v>
      </c>
      <c r="AH474" s="49">
        <f t="shared" si="74"/>
        <v>750</v>
      </c>
      <c r="AI474" s="49">
        <f t="shared" si="75"/>
        <v>17</v>
      </c>
    </row>
    <row r="475" spans="1:35">
      <c r="A475" s="1">
        <f t="shared" si="70"/>
        <v>0</v>
      </c>
      <c r="B475" s="1" t="str">
        <f t="shared" si="71"/>
        <v>2X250</v>
      </c>
      <c r="C475" s="1">
        <f t="shared" si="72"/>
        <v>18</v>
      </c>
      <c r="Z475" s="49"/>
      <c r="AA475" s="49">
        <v>0</v>
      </c>
      <c r="AB475" s="49" t="s">
        <v>410</v>
      </c>
      <c r="AC475" s="49">
        <v>18</v>
      </c>
      <c r="AD475" s="49"/>
      <c r="AE475" s="49"/>
      <c r="AF475" s="49"/>
      <c r="AG475" s="49">
        <f t="shared" si="73"/>
        <v>0</v>
      </c>
      <c r="AH475" s="49" t="str">
        <f t="shared" si="74"/>
        <v>2X250</v>
      </c>
      <c r="AI475" s="49">
        <f t="shared" si="75"/>
        <v>18</v>
      </c>
    </row>
    <row r="476" spans="1:35">
      <c r="A476" s="1">
        <f t="shared" si="70"/>
        <v>0</v>
      </c>
      <c r="B476" s="1" t="str">
        <f t="shared" si="71"/>
        <v>2X300</v>
      </c>
      <c r="C476" s="1">
        <f t="shared" si="72"/>
        <v>19</v>
      </c>
      <c r="Z476" s="49"/>
      <c r="AA476" s="49">
        <v>0</v>
      </c>
      <c r="AB476" s="49" t="s">
        <v>411</v>
      </c>
      <c r="AC476" s="49">
        <v>19</v>
      </c>
      <c r="AD476" s="49"/>
      <c r="AE476" s="49"/>
      <c r="AF476" s="49"/>
      <c r="AG476" s="49">
        <f t="shared" si="73"/>
        <v>0</v>
      </c>
      <c r="AH476" s="49" t="str">
        <f t="shared" si="74"/>
        <v>2X300</v>
      </c>
      <c r="AI476" s="49">
        <f t="shared" si="75"/>
        <v>19</v>
      </c>
    </row>
    <row r="477" spans="1:35">
      <c r="A477" s="1">
        <f t="shared" si="70"/>
        <v>0</v>
      </c>
      <c r="B477" s="1" t="str">
        <f t="shared" si="71"/>
        <v>2X350</v>
      </c>
      <c r="C477" s="1">
        <f t="shared" si="72"/>
        <v>20</v>
      </c>
      <c r="Z477" s="49"/>
      <c r="AA477" s="49">
        <v>0</v>
      </c>
      <c r="AB477" s="49" t="s">
        <v>412</v>
      </c>
      <c r="AC477" s="49">
        <v>20</v>
      </c>
      <c r="AD477" s="49"/>
      <c r="AE477" s="49"/>
      <c r="AF477" s="49"/>
      <c r="AG477" s="49">
        <f t="shared" si="73"/>
        <v>0</v>
      </c>
      <c r="AH477" s="49" t="str">
        <f t="shared" si="74"/>
        <v>2X350</v>
      </c>
      <c r="AI477" s="49">
        <f t="shared" si="75"/>
        <v>20</v>
      </c>
    </row>
    <row r="478" spans="1:35">
      <c r="A478" s="1">
        <f t="shared" si="70"/>
        <v>0</v>
      </c>
      <c r="B478" s="1" t="str">
        <f t="shared" si="71"/>
        <v>2X500</v>
      </c>
      <c r="C478" s="1">
        <f t="shared" si="72"/>
        <v>21</v>
      </c>
      <c r="Z478" s="49"/>
      <c r="AA478" s="49">
        <v>0</v>
      </c>
      <c r="AB478" s="49" t="s">
        <v>413</v>
      </c>
      <c r="AC478" s="49">
        <v>21</v>
      </c>
      <c r="AD478" s="49"/>
      <c r="AE478" s="49"/>
      <c r="AF478" s="49"/>
      <c r="AG478" s="49">
        <f t="shared" si="73"/>
        <v>0</v>
      </c>
      <c r="AH478" s="49" t="str">
        <f t="shared" si="74"/>
        <v>2X500</v>
      </c>
      <c r="AI478" s="49">
        <f t="shared" si="75"/>
        <v>21</v>
      </c>
    </row>
    <row r="479" spans="1:35">
      <c r="A479" s="1">
        <f t="shared" si="70"/>
        <v>0</v>
      </c>
      <c r="B479" s="1" t="str">
        <f t="shared" si="71"/>
        <v>2X750</v>
      </c>
      <c r="C479" s="1">
        <f t="shared" si="72"/>
        <v>22</v>
      </c>
      <c r="Z479" s="49"/>
      <c r="AA479" s="49">
        <v>0</v>
      </c>
      <c r="AB479" s="49" t="s">
        <v>414</v>
      </c>
      <c r="AC479" s="49">
        <v>22</v>
      </c>
      <c r="AD479" s="49"/>
      <c r="AE479" s="49"/>
      <c r="AF479" s="49"/>
      <c r="AG479" s="49">
        <f t="shared" si="73"/>
        <v>0</v>
      </c>
      <c r="AH479" s="49" t="str">
        <f t="shared" si="74"/>
        <v>2X750</v>
      </c>
      <c r="AI479" s="49">
        <f t="shared" si="75"/>
        <v>22</v>
      </c>
    </row>
    <row r="480" spans="1:35">
      <c r="A480" s="1">
        <f t="shared" si="70"/>
        <v>0</v>
      </c>
      <c r="B480" s="1" t="str">
        <f t="shared" si="71"/>
        <v>3X500</v>
      </c>
      <c r="C480" s="1">
        <f t="shared" si="72"/>
        <v>23</v>
      </c>
      <c r="Z480" s="49"/>
      <c r="AA480" s="49">
        <v>0</v>
      </c>
      <c r="AB480" s="49" t="s">
        <v>415</v>
      </c>
      <c r="AC480" s="49">
        <v>23</v>
      </c>
      <c r="AD480" s="49"/>
      <c r="AE480" s="49"/>
      <c r="AF480" s="49"/>
      <c r="AG480" s="49">
        <f t="shared" si="73"/>
        <v>0</v>
      </c>
      <c r="AH480" s="49" t="str">
        <f t="shared" si="74"/>
        <v>3X500</v>
      </c>
      <c r="AI480" s="49">
        <f t="shared" si="75"/>
        <v>23</v>
      </c>
    </row>
    <row r="481" spans="1:35">
      <c r="A481" s="1">
        <f t="shared" si="70"/>
        <v>0</v>
      </c>
      <c r="B481" s="1" t="str">
        <f t="shared" si="71"/>
        <v>4X500</v>
      </c>
      <c r="C481" s="1">
        <f t="shared" si="72"/>
        <v>24</v>
      </c>
      <c r="Z481" s="49"/>
      <c r="AA481" s="49">
        <v>0</v>
      </c>
      <c r="AB481" s="49" t="s">
        <v>416</v>
      </c>
      <c r="AC481" s="49">
        <v>24</v>
      </c>
      <c r="AD481" s="49"/>
      <c r="AE481" s="49"/>
      <c r="AF481" s="49"/>
      <c r="AG481" s="49">
        <f t="shared" si="73"/>
        <v>0</v>
      </c>
      <c r="AH481" s="49" t="str">
        <f t="shared" si="74"/>
        <v>4X500</v>
      </c>
      <c r="AI481" s="49">
        <f t="shared" si="75"/>
        <v>24</v>
      </c>
    </row>
    <row r="482" spans="1:35">
      <c r="A482" s="1">
        <f t="shared" si="70"/>
        <v>0</v>
      </c>
      <c r="B482" s="1" t="str">
        <f t="shared" si="71"/>
        <v>5X500</v>
      </c>
      <c r="C482" s="1">
        <f t="shared" si="72"/>
        <v>25</v>
      </c>
      <c r="Z482" s="49"/>
      <c r="AA482" s="49">
        <v>0</v>
      </c>
      <c r="AB482" s="49" t="s">
        <v>417</v>
      </c>
      <c r="AC482" s="49">
        <v>25</v>
      </c>
      <c r="AD482" s="49"/>
      <c r="AE482" s="49"/>
      <c r="AF482" s="49"/>
      <c r="AG482" s="49">
        <f t="shared" si="73"/>
        <v>0</v>
      </c>
      <c r="AH482" s="49" t="str">
        <f t="shared" si="74"/>
        <v>5X500</v>
      </c>
      <c r="AI482" s="49">
        <f t="shared" si="75"/>
        <v>25</v>
      </c>
    </row>
    <row r="483" spans="1:35">
      <c r="A483" s="1">
        <f t="shared" si="70"/>
        <v>0</v>
      </c>
      <c r="B483" s="1" t="str">
        <f t="shared" si="71"/>
        <v>5X750</v>
      </c>
      <c r="C483" s="1">
        <f t="shared" si="72"/>
        <v>26</v>
      </c>
      <c r="Z483" s="49"/>
      <c r="AA483" s="49">
        <v>0</v>
      </c>
      <c r="AB483" s="49" t="s">
        <v>418</v>
      </c>
      <c r="AC483" s="49">
        <v>26</v>
      </c>
      <c r="AD483" s="49"/>
      <c r="AE483" s="49"/>
      <c r="AF483" s="49"/>
      <c r="AG483" s="49">
        <f t="shared" si="73"/>
        <v>0</v>
      </c>
      <c r="AH483" s="49" t="str">
        <f t="shared" si="74"/>
        <v>5X750</v>
      </c>
      <c r="AI483" s="49">
        <f t="shared" si="75"/>
        <v>26</v>
      </c>
    </row>
    <row r="484" spans="1:35">
      <c r="A484" s="1">
        <f t="shared" si="70"/>
        <v>0</v>
      </c>
      <c r="B484" s="1" t="str">
        <f t="shared" si="71"/>
        <v>6X750</v>
      </c>
      <c r="C484" s="1">
        <f t="shared" si="72"/>
        <v>27</v>
      </c>
      <c r="Z484" s="49"/>
      <c r="AA484" s="49">
        <v>0</v>
      </c>
      <c r="AB484" s="49" t="s">
        <v>419</v>
      </c>
      <c r="AC484" s="49">
        <v>27</v>
      </c>
      <c r="AD484" s="49"/>
      <c r="AE484" s="49"/>
      <c r="AF484" s="49"/>
      <c r="AG484" s="49">
        <f t="shared" si="73"/>
        <v>0</v>
      </c>
      <c r="AH484" s="49" t="str">
        <f t="shared" si="74"/>
        <v>6X750</v>
      </c>
      <c r="AI484" s="49">
        <f t="shared" si="75"/>
        <v>27</v>
      </c>
    </row>
    <row r="485" spans="1:35">
      <c r="A485" s="1">
        <f t="shared" si="70"/>
        <v>0</v>
      </c>
      <c r="B485" s="1" t="str">
        <f t="shared" si="71"/>
        <v>7X750</v>
      </c>
      <c r="C485" s="1">
        <f t="shared" si="72"/>
        <v>28</v>
      </c>
      <c r="Z485" s="49"/>
      <c r="AA485" s="49">
        <v>0</v>
      </c>
      <c r="AB485" s="49" t="s">
        <v>420</v>
      </c>
      <c r="AC485" s="49">
        <v>28</v>
      </c>
      <c r="AD485" s="49"/>
      <c r="AE485" s="49"/>
      <c r="AF485" s="49"/>
      <c r="AG485" s="49">
        <f t="shared" si="73"/>
        <v>0</v>
      </c>
      <c r="AH485" s="49" t="str">
        <f t="shared" si="74"/>
        <v>7X750</v>
      </c>
      <c r="AI485" s="49">
        <f t="shared" si="75"/>
        <v>28</v>
      </c>
    </row>
    <row r="486" spans="1:35">
      <c r="Z486" s="49"/>
      <c r="AA486" s="49">
        <v>0</v>
      </c>
      <c r="AB486" s="49">
        <v>0</v>
      </c>
      <c r="AC486" s="49">
        <v>0</v>
      </c>
      <c r="AD486" s="49"/>
      <c r="AE486" s="49"/>
      <c r="AF486" s="49"/>
      <c r="AG486" s="49">
        <f t="shared" si="73"/>
        <v>0</v>
      </c>
      <c r="AH486" s="49">
        <f t="shared" si="74"/>
        <v>0</v>
      </c>
      <c r="AI486" s="49">
        <f t="shared" si="75"/>
        <v>0</v>
      </c>
    </row>
    <row r="487" spans="1:35">
      <c r="Z487" s="49"/>
      <c r="AA487" s="49">
        <v>0</v>
      </c>
      <c r="AB487" s="49">
        <v>0</v>
      </c>
      <c r="AC487" s="49">
        <v>0</v>
      </c>
      <c r="AD487" s="49"/>
      <c r="AE487" s="49"/>
      <c r="AF487" s="49"/>
      <c r="AG487" s="49">
        <f t="shared" si="73"/>
        <v>0</v>
      </c>
      <c r="AH487" s="49">
        <f t="shared" si="74"/>
        <v>0</v>
      </c>
      <c r="AI487" s="49">
        <f t="shared" si="75"/>
        <v>0</v>
      </c>
    </row>
    <row r="488" spans="1:35">
      <c r="A488" s="11" t="s">
        <v>458</v>
      </c>
      <c r="B488" s="11"/>
      <c r="C488" s="11"/>
      <c r="D488" s="11"/>
      <c r="E488" s="11"/>
      <c r="F488" s="11"/>
      <c r="G488" s="11"/>
      <c r="H488" s="11"/>
      <c r="N488" s="11" t="s">
        <v>458</v>
      </c>
      <c r="O488" s="11"/>
      <c r="P488" s="11"/>
      <c r="Q488" s="11"/>
      <c r="R488" s="11"/>
      <c r="S488" s="11"/>
      <c r="T488" s="11"/>
      <c r="U488" s="11"/>
      <c r="Z488" s="49"/>
      <c r="AA488" s="49" t="s">
        <v>458</v>
      </c>
      <c r="AB488" s="49">
        <v>0</v>
      </c>
      <c r="AC488" s="49">
        <v>0</v>
      </c>
      <c r="AD488" s="49"/>
      <c r="AE488" s="49"/>
      <c r="AF488" s="49"/>
      <c r="AG488" s="49" t="str">
        <f t="shared" si="73"/>
        <v>CALIBRE DE CONDUCTOR DE TIERRA</v>
      </c>
      <c r="AH488" s="49">
        <f t="shared" si="74"/>
        <v>0</v>
      </c>
      <c r="AI488" s="49">
        <f t="shared" si="75"/>
        <v>0</v>
      </c>
    </row>
    <row r="489" spans="1:35">
      <c r="A489" s="11"/>
      <c r="B489" s="11"/>
      <c r="C489" s="11"/>
      <c r="D489" s="11"/>
      <c r="E489" s="11"/>
      <c r="F489" s="11"/>
      <c r="G489" s="11"/>
      <c r="H489" s="11"/>
      <c r="N489" s="11" t="s">
        <v>459</v>
      </c>
      <c r="O489" s="11"/>
      <c r="P489" s="11"/>
      <c r="Q489" s="11"/>
      <c r="R489" s="11"/>
      <c r="S489" s="11"/>
      <c r="T489" s="11"/>
      <c r="U489" s="11"/>
      <c r="Z489" s="49"/>
      <c r="AA489" s="49">
        <v>0</v>
      </c>
      <c r="AB489" s="49">
        <v>0</v>
      </c>
      <c r="AC489" s="49">
        <v>0</v>
      </c>
      <c r="AD489" s="49"/>
      <c r="AE489" s="49"/>
      <c r="AF489" s="49"/>
      <c r="AG489" s="49">
        <f t="shared" si="73"/>
        <v>0</v>
      </c>
      <c r="AH489" s="49">
        <f t="shared" si="74"/>
        <v>0</v>
      </c>
      <c r="AI489" s="49">
        <f t="shared" si="75"/>
        <v>0</v>
      </c>
    </row>
    <row r="490" spans="1:35">
      <c r="Z490" s="49"/>
      <c r="AA490" s="49">
        <v>0</v>
      </c>
      <c r="AB490" s="49">
        <v>0</v>
      </c>
      <c r="AC490" s="49">
        <v>0</v>
      </c>
      <c r="AD490" s="49"/>
      <c r="AE490" s="49"/>
      <c r="AF490" s="49"/>
      <c r="AG490" s="49">
        <f t="shared" si="73"/>
        <v>0</v>
      </c>
      <c r="AH490" s="49">
        <f t="shared" si="74"/>
        <v>0</v>
      </c>
      <c r="AI490" s="49">
        <f t="shared" si="75"/>
        <v>0</v>
      </c>
    </row>
    <row r="491" spans="1:35">
      <c r="A491" s="4" t="s">
        <v>13</v>
      </c>
      <c r="B491" s="4" t="s">
        <v>460</v>
      </c>
      <c r="C491" s="4" t="s">
        <v>461</v>
      </c>
      <c r="D491" s="4"/>
      <c r="E491" s="4"/>
      <c r="F491" s="4"/>
      <c r="G491" s="4"/>
      <c r="H491" s="4"/>
      <c r="Z491" s="49"/>
      <c r="AA491" s="49" t="s">
        <v>13</v>
      </c>
      <c r="AB491" s="49" t="s">
        <v>8</v>
      </c>
      <c r="AC491" s="49">
        <v>0</v>
      </c>
      <c r="AD491" s="49"/>
      <c r="AE491" s="49"/>
      <c r="AF491" s="49"/>
      <c r="AG491" s="49" t="str">
        <f t="shared" si="73"/>
        <v>ALIMENTADOR</v>
      </c>
      <c r="AH491" s="49" t="str">
        <f t="shared" si="74"/>
        <v>TIERRA</v>
      </c>
      <c r="AI491" s="49">
        <f t="shared" si="75"/>
        <v>0</v>
      </c>
    </row>
    <row r="492" spans="1:35">
      <c r="A492" s="4">
        <v>14</v>
      </c>
      <c r="B492" s="4">
        <v>14</v>
      </c>
      <c r="C492" s="4">
        <v>0</v>
      </c>
      <c r="D492" s="4"/>
      <c r="E492" s="4"/>
      <c r="G492" s="191" t="s">
        <v>462</v>
      </c>
      <c r="H492" s="191"/>
      <c r="N492" s="1" t="s">
        <v>7</v>
      </c>
      <c r="O492" s="49" t="s">
        <v>1514</v>
      </c>
      <c r="P492" s="49" t="s">
        <v>1515</v>
      </c>
      <c r="R492" s="1" t="s">
        <v>378</v>
      </c>
      <c r="S492" s="1" t="s">
        <v>463</v>
      </c>
      <c r="T492" s="1" t="s">
        <v>461</v>
      </c>
      <c r="Z492" s="49"/>
      <c r="AA492" s="49">
        <v>14</v>
      </c>
      <c r="AB492" s="49">
        <v>14</v>
      </c>
      <c r="AC492" s="49">
        <v>0</v>
      </c>
      <c r="AD492" s="49"/>
      <c r="AE492" s="49"/>
      <c r="AF492" s="49"/>
      <c r="AG492" s="49">
        <f t="shared" si="73"/>
        <v>14</v>
      </c>
      <c r="AH492" s="49">
        <f t="shared" si="74"/>
        <v>14</v>
      </c>
      <c r="AI492" s="49">
        <f t="shared" si="75"/>
        <v>0</v>
      </c>
    </row>
    <row r="493" spans="1:35">
      <c r="A493" s="4">
        <v>12</v>
      </c>
      <c r="B493" s="4">
        <v>12</v>
      </c>
      <c r="C493" s="4">
        <v>0</v>
      </c>
      <c r="D493" s="4"/>
      <c r="E493" s="4"/>
      <c r="F493" s="191" t="s">
        <v>23</v>
      </c>
      <c r="G493" s="191" t="s">
        <v>408</v>
      </c>
      <c r="H493" s="191" t="s">
        <v>464</v>
      </c>
      <c r="Z493" s="49"/>
      <c r="AA493" s="49">
        <v>12</v>
      </c>
      <c r="AB493" s="49">
        <v>12</v>
      </c>
      <c r="AC493" s="49">
        <v>0</v>
      </c>
      <c r="AD493" s="49"/>
      <c r="AE493" s="49"/>
      <c r="AF493" s="49"/>
      <c r="AG493" s="49">
        <f t="shared" si="73"/>
        <v>12</v>
      </c>
      <c r="AH493" s="49">
        <f t="shared" si="74"/>
        <v>12</v>
      </c>
      <c r="AI493" s="49">
        <f t="shared" si="75"/>
        <v>0</v>
      </c>
    </row>
    <row r="494" spans="1:35" ht="13.8" thickBot="1">
      <c r="A494" s="4">
        <v>10</v>
      </c>
      <c r="B494" s="4">
        <v>10</v>
      </c>
      <c r="C494" s="4">
        <v>0</v>
      </c>
      <c r="D494" s="4"/>
      <c r="E494" s="4"/>
      <c r="F494" s="191"/>
      <c r="G494" s="191"/>
      <c r="H494" s="191"/>
      <c r="Z494" s="49"/>
      <c r="AA494" s="49">
        <v>10</v>
      </c>
      <c r="AB494" s="49">
        <v>12</v>
      </c>
      <c r="AC494" s="49"/>
      <c r="AD494" s="49"/>
      <c r="AE494" s="49"/>
      <c r="AF494" s="49"/>
      <c r="AG494" s="49">
        <f t="shared" si="73"/>
        <v>10</v>
      </c>
      <c r="AH494" s="49">
        <f t="shared" si="74"/>
        <v>12</v>
      </c>
      <c r="AI494" s="49"/>
    </row>
    <row r="495" spans="1:35" ht="13.8" thickTop="1">
      <c r="A495" s="4">
        <v>8</v>
      </c>
      <c r="B495" s="4">
        <v>10</v>
      </c>
      <c r="C495" s="4">
        <v>0</v>
      </c>
      <c r="D495" s="4"/>
      <c r="E495" s="4"/>
      <c r="F495" s="4"/>
      <c r="G495" s="4">
        <v>14</v>
      </c>
      <c r="H495" s="52">
        <v>2.0819999999999999</v>
      </c>
      <c r="J495" s="84"/>
      <c r="K495" s="85"/>
      <c r="L495" s="86"/>
      <c r="N495" s="3">
        <v>6</v>
      </c>
      <c r="O495" s="3">
        <v>6</v>
      </c>
      <c r="P495" s="3">
        <v>6</v>
      </c>
      <c r="R495" s="3">
        <v>200.1</v>
      </c>
      <c r="S495" s="3">
        <v>4</v>
      </c>
      <c r="T495" s="3">
        <v>2</v>
      </c>
      <c r="Z495" s="49"/>
      <c r="AA495" s="49">
        <v>8</v>
      </c>
      <c r="AB495" s="49">
        <v>10</v>
      </c>
      <c r="AC495" s="49">
        <v>0</v>
      </c>
      <c r="AD495" s="49"/>
      <c r="AE495" s="49"/>
      <c r="AF495" s="49"/>
      <c r="AG495" s="49">
        <f t="shared" si="73"/>
        <v>8</v>
      </c>
      <c r="AH495" s="49">
        <f t="shared" si="74"/>
        <v>10</v>
      </c>
      <c r="AI495" s="49">
        <f t="shared" si="75"/>
        <v>0</v>
      </c>
    </row>
    <row r="496" spans="1:35">
      <c r="A496" s="4">
        <v>6</v>
      </c>
      <c r="B496" s="4">
        <v>8</v>
      </c>
      <c r="C496" s="4">
        <v>6</v>
      </c>
      <c r="D496" s="4"/>
      <c r="E496" s="4"/>
      <c r="F496" s="4">
        <v>0</v>
      </c>
      <c r="G496" s="4">
        <v>14</v>
      </c>
      <c r="H496" s="52">
        <v>2.0819999999999999</v>
      </c>
      <c r="J496" s="87">
        <v>15</v>
      </c>
      <c r="K496" s="88" t="s">
        <v>465</v>
      </c>
      <c r="L496" s="89" t="s">
        <v>466</v>
      </c>
      <c r="N496" s="3">
        <v>4</v>
      </c>
      <c r="O496" s="3">
        <v>6</v>
      </c>
      <c r="P496" s="3">
        <v>6</v>
      </c>
      <c r="R496" s="3">
        <v>300.10000000000002</v>
      </c>
      <c r="S496" s="3">
        <v>2</v>
      </c>
      <c r="T496" s="3" t="s">
        <v>0</v>
      </c>
      <c r="Z496" s="49"/>
      <c r="AA496" s="49">
        <v>6</v>
      </c>
      <c r="AB496" s="49">
        <v>8</v>
      </c>
      <c r="AC496" s="49">
        <v>0</v>
      </c>
      <c r="AD496" s="49"/>
      <c r="AE496" s="49"/>
      <c r="AF496" s="49"/>
      <c r="AG496" s="49">
        <f t="shared" si="73"/>
        <v>6</v>
      </c>
      <c r="AH496" s="49">
        <f t="shared" si="74"/>
        <v>8</v>
      </c>
      <c r="AI496" s="49">
        <f t="shared" si="75"/>
        <v>0</v>
      </c>
    </row>
    <row r="497" spans="1:35">
      <c r="A497" s="4">
        <v>4</v>
      </c>
      <c r="B497" s="4">
        <v>6</v>
      </c>
      <c r="C497" s="4">
        <v>6</v>
      </c>
      <c r="D497" s="4"/>
      <c r="E497" s="4"/>
      <c r="F497" s="4">
        <v>0</v>
      </c>
      <c r="G497" s="4">
        <v>12</v>
      </c>
      <c r="H497" s="52">
        <v>3.3069999999999999</v>
      </c>
      <c r="J497" s="87">
        <v>20</v>
      </c>
      <c r="K497" s="88" t="s">
        <v>467</v>
      </c>
      <c r="L497" s="89" t="s">
        <v>466</v>
      </c>
      <c r="N497" s="3">
        <v>2</v>
      </c>
      <c r="O497" s="3">
        <v>6</v>
      </c>
      <c r="P497" s="3">
        <v>6</v>
      </c>
      <c r="R497" s="3">
        <v>400.1</v>
      </c>
      <c r="S497" s="3">
        <v>2</v>
      </c>
      <c r="T497" s="3" t="s">
        <v>0</v>
      </c>
      <c r="Z497" s="49"/>
      <c r="AA497" s="49">
        <v>4</v>
      </c>
      <c r="AB497" s="49">
        <v>6</v>
      </c>
      <c r="AC497" s="49">
        <v>0</v>
      </c>
      <c r="AD497" s="49"/>
      <c r="AE497" s="49"/>
      <c r="AF497" s="49"/>
      <c r="AG497" s="49">
        <f t="shared" si="73"/>
        <v>4</v>
      </c>
      <c r="AH497" s="49">
        <f t="shared" si="74"/>
        <v>6</v>
      </c>
      <c r="AI497" s="49">
        <f t="shared" si="75"/>
        <v>0</v>
      </c>
    </row>
    <row r="498" spans="1:35">
      <c r="A498" s="4">
        <v>2</v>
      </c>
      <c r="B498" s="4">
        <v>6</v>
      </c>
      <c r="C498" s="4">
        <v>4</v>
      </c>
      <c r="D498" s="4"/>
      <c r="E498" s="4"/>
      <c r="F498" s="4">
        <v>29.9</v>
      </c>
      <c r="G498" s="4">
        <v>10</v>
      </c>
      <c r="H498" s="52">
        <v>5.26</v>
      </c>
      <c r="J498" s="87">
        <v>30</v>
      </c>
      <c r="K498" s="88" t="s">
        <v>468</v>
      </c>
      <c r="L498" s="89" t="s">
        <v>466</v>
      </c>
      <c r="N498" s="3" t="s">
        <v>0</v>
      </c>
      <c r="O498" s="3">
        <v>4</v>
      </c>
      <c r="P498" s="3">
        <v>4</v>
      </c>
      <c r="R498" s="3">
        <v>500.1</v>
      </c>
      <c r="S498" s="3">
        <v>2</v>
      </c>
      <c r="T498" s="3" t="s">
        <v>1</v>
      </c>
      <c r="Z498" s="49"/>
      <c r="AA498" s="49">
        <v>2</v>
      </c>
      <c r="AB498" s="49">
        <v>6</v>
      </c>
      <c r="AC498" s="49">
        <v>0</v>
      </c>
      <c r="AD498" s="49"/>
      <c r="AE498" s="49"/>
      <c r="AF498" s="49"/>
      <c r="AG498" s="49">
        <f t="shared" si="73"/>
        <v>2</v>
      </c>
      <c r="AH498" s="49">
        <f t="shared" si="74"/>
        <v>6</v>
      </c>
      <c r="AI498" s="49">
        <f t="shared" si="75"/>
        <v>0</v>
      </c>
    </row>
    <row r="499" spans="1:35">
      <c r="A499" s="4" t="s">
        <v>0</v>
      </c>
      <c r="B499" s="4">
        <v>6</v>
      </c>
      <c r="C499" s="4">
        <v>2</v>
      </c>
      <c r="D499" s="4"/>
      <c r="E499" s="4"/>
      <c r="F499" s="4">
        <v>60.1</v>
      </c>
      <c r="G499" s="4">
        <v>8</v>
      </c>
      <c r="H499" s="52"/>
      <c r="J499" s="87">
        <v>40</v>
      </c>
      <c r="K499" s="88" t="s">
        <v>468</v>
      </c>
      <c r="L499" s="89" t="s">
        <v>466</v>
      </c>
      <c r="N499" s="3" t="s">
        <v>1</v>
      </c>
      <c r="O499" s="3">
        <v>4</v>
      </c>
      <c r="P499" s="3">
        <v>4</v>
      </c>
      <c r="R499" s="3">
        <v>600.1</v>
      </c>
      <c r="S499" s="3" t="s">
        <v>0</v>
      </c>
      <c r="T499" s="3" t="s">
        <v>2</v>
      </c>
      <c r="Z499" s="49"/>
      <c r="AA499" s="49" t="s">
        <v>0</v>
      </c>
      <c r="AB499" s="49">
        <v>6</v>
      </c>
      <c r="AC499" s="49">
        <v>0</v>
      </c>
      <c r="AD499" s="49"/>
      <c r="AE499" s="49"/>
      <c r="AF499" s="49"/>
      <c r="AG499" s="49" t="str">
        <f t="shared" si="73"/>
        <v>1/0</v>
      </c>
      <c r="AH499" s="49">
        <f t="shared" si="74"/>
        <v>6</v>
      </c>
      <c r="AI499" s="49">
        <f t="shared" si="75"/>
        <v>0</v>
      </c>
    </row>
    <row r="500" spans="1:35">
      <c r="A500" s="4" t="s">
        <v>1</v>
      </c>
      <c r="B500" s="4">
        <v>4</v>
      </c>
      <c r="C500" s="4">
        <v>2</v>
      </c>
      <c r="D500" s="4"/>
      <c r="E500" s="4"/>
      <c r="F500" s="4">
        <v>100.1</v>
      </c>
      <c r="G500" s="4">
        <v>6</v>
      </c>
      <c r="H500" s="52"/>
      <c r="J500" s="87">
        <v>60</v>
      </c>
      <c r="K500" s="88" t="s">
        <v>468</v>
      </c>
      <c r="L500" s="89" t="s">
        <v>466</v>
      </c>
      <c r="N500" s="3" t="s">
        <v>2</v>
      </c>
      <c r="O500" s="3">
        <v>4</v>
      </c>
      <c r="P500" s="3">
        <v>4</v>
      </c>
      <c r="R500" s="3">
        <v>800.1</v>
      </c>
      <c r="S500" s="3" t="s">
        <v>1</v>
      </c>
      <c r="T500" s="3" t="s">
        <v>3</v>
      </c>
      <c r="Z500" s="49"/>
      <c r="AA500" s="49" t="s">
        <v>1</v>
      </c>
      <c r="AB500" s="49">
        <v>4</v>
      </c>
      <c r="AC500" s="49">
        <v>0</v>
      </c>
      <c r="AD500" s="49"/>
      <c r="AE500" s="49"/>
      <c r="AF500" s="49"/>
      <c r="AG500" s="49" t="str">
        <f t="shared" si="73"/>
        <v>2/0</v>
      </c>
      <c r="AH500" s="49">
        <f t="shared" si="74"/>
        <v>4</v>
      </c>
      <c r="AI500" s="49">
        <f t="shared" si="75"/>
        <v>0</v>
      </c>
    </row>
    <row r="501" spans="1:35">
      <c r="A501" s="4" t="s">
        <v>2</v>
      </c>
      <c r="B501" s="4">
        <v>4</v>
      </c>
      <c r="C501" s="4">
        <v>2</v>
      </c>
      <c r="D501" s="4"/>
      <c r="E501" s="4"/>
      <c r="F501" s="4">
        <v>200.1</v>
      </c>
      <c r="G501" s="4">
        <v>4</v>
      </c>
      <c r="H501" s="52"/>
      <c r="I501" s="82"/>
      <c r="J501" s="87">
        <v>100</v>
      </c>
      <c r="K501" s="88" t="s">
        <v>469</v>
      </c>
      <c r="L501" s="89" t="s">
        <v>470</v>
      </c>
      <c r="N501" s="3" t="s">
        <v>3</v>
      </c>
      <c r="O501" s="3">
        <v>2</v>
      </c>
      <c r="P501" s="3">
        <v>2</v>
      </c>
      <c r="R501" s="3">
        <v>1000.1</v>
      </c>
      <c r="S501" s="3" t="s">
        <v>2</v>
      </c>
      <c r="T501" s="3">
        <v>250</v>
      </c>
      <c r="Z501" s="49"/>
      <c r="AA501" s="49" t="s">
        <v>2</v>
      </c>
      <c r="AB501" s="49">
        <v>4</v>
      </c>
      <c r="AC501" s="49">
        <v>0</v>
      </c>
      <c r="AD501" s="49"/>
      <c r="AE501" s="49"/>
      <c r="AF501" s="49"/>
      <c r="AG501" s="49" t="str">
        <f t="shared" si="73"/>
        <v>3/0</v>
      </c>
      <c r="AH501" s="49">
        <f t="shared" si="74"/>
        <v>4</v>
      </c>
      <c r="AI501" s="49">
        <f t="shared" si="75"/>
        <v>0</v>
      </c>
    </row>
    <row r="502" spans="1:35">
      <c r="A502" s="4" t="s">
        <v>3</v>
      </c>
      <c r="B502" s="4">
        <v>2</v>
      </c>
      <c r="C502" s="4">
        <v>2</v>
      </c>
      <c r="D502" s="4"/>
      <c r="E502" s="4"/>
      <c r="F502" s="4">
        <v>300.10000000000002</v>
      </c>
      <c r="G502" s="4">
        <v>2</v>
      </c>
      <c r="H502" s="52"/>
      <c r="I502" s="82"/>
      <c r="J502" s="87">
        <v>200</v>
      </c>
      <c r="K502" s="88" t="s">
        <v>470</v>
      </c>
      <c r="L502" s="89" t="s">
        <v>471</v>
      </c>
      <c r="N502" s="3">
        <v>250</v>
      </c>
      <c r="O502" s="3">
        <v>2</v>
      </c>
      <c r="P502" s="3">
        <v>1</v>
      </c>
      <c r="R502" s="3">
        <v>1200.0999999999999</v>
      </c>
      <c r="S502" s="3" t="s">
        <v>3</v>
      </c>
      <c r="T502" s="3">
        <v>350</v>
      </c>
      <c r="Z502" s="49"/>
      <c r="AA502" s="49" t="s">
        <v>3</v>
      </c>
      <c r="AB502" s="49">
        <v>2</v>
      </c>
      <c r="AC502" s="49">
        <v>0</v>
      </c>
      <c r="AD502" s="49"/>
      <c r="AE502" s="49"/>
      <c r="AF502" s="49"/>
      <c r="AG502" s="49" t="str">
        <f t="shared" si="73"/>
        <v>4/0</v>
      </c>
      <c r="AH502" s="49">
        <f t="shared" si="74"/>
        <v>2</v>
      </c>
      <c r="AI502" s="49">
        <f t="shared" si="75"/>
        <v>0</v>
      </c>
    </row>
    <row r="503" spans="1:35">
      <c r="A503" s="4">
        <v>250</v>
      </c>
      <c r="B503" s="4" t="s">
        <v>0</v>
      </c>
      <c r="C503" s="4" t="s">
        <v>0</v>
      </c>
      <c r="D503" s="4"/>
      <c r="E503" s="4"/>
      <c r="F503" s="4">
        <v>800.1</v>
      </c>
      <c r="G503" s="4" t="s">
        <v>0</v>
      </c>
      <c r="H503" s="52"/>
      <c r="I503" s="82"/>
      <c r="J503" s="87">
        <v>300</v>
      </c>
      <c r="K503" s="88" t="s">
        <v>471</v>
      </c>
      <c r="L503" s="89" t="s">
        <v>472</v>
      </c>
      <c r="N503" s="3">
        <v>300</v>
      </c>
      <c r="O503" s="3">
        <v>2</v>
      </c>
      <c r="P503" s="3">
        <v>1</v>
      </c>
      <c r="R503" s="3">
        <v>1600.1</v>
      </c>
      <c r="S503" s="3">
        <v>250</v>
      </c>
      <c r="T503" s="3">
        <v>400</v>
      </c>
      <c r="Z503" s="49"/>
      <c r="AA503" s="49">
        <v>250</v>
      </c>
      <c r="AB503" s="49" t="s">
        <v>0</v>
      </c>
      <c r="AC503" s="49">
        <v>0</v>
      </c>
      <c r="AD503" s="49"/>
      <c r="AE503" s="49"/>
      <c r="AF503" s="49"/>
      <c r="AG503" s="49">
        <f t="shared" si="73"/>
        <v>250</v>
      </c>
      <c r="AH503" s="49" t="str">
        <f t="shared" si="74"/>
        <v>1/0</v>
      </c>
      <c r="AI503" s="49">
        <f t="shared" si="75"/>
        <v>0</v>
      </c>
    </row>
    <row r="504" spans="1:35">
      <c r="A504" s="4">
        <v>300</v>
      </c>
      <c r="B504" s="4" t="s">
        <v>0</v>
      </c>
      <c r="C504" s="4" t="s">
        <v>0</v>
      </c>
      <c r="D504" s="4"/>
      <c r="E504" s="4"/>
      <c r="F504" s="4">
        <v>1000.1</v>
      </c>
      <c r="G504" s="4" t="s">
        <v>1</v>
      </c>
      <c r="H504" s="52"/>
      <c r="I504" s="82"/>
      <c r="J504" s="87">
        <v>400</v>
      </c>
      <c r="K504" s="88" t="s">
        <v>472</v>
      </c>
      <c r="L504" s="89" t="s">
        <v>473</v>
      </c>
      <c r="N504" s="3">
        <v>350</v>
      </c>
      <c r="O504" s="3">
        <v>2</v>
      </c>
      <c r="P504" s="3" t="s">
        <v>0</v>
      </c>
      <c r="R504" s="3">
        <v>2000.1</v>
      </c>
      <c r="S504" s="3">
        <v>350</v>
      </c>
      <c r="T504" s="3">
        <v>600</v>
      </c>
      <c r="Z504" s="49"/>
      <c r="AA504" s="49">
        <v>300</v>
      </c>
      <c r="AB504" s="49" t="s">
        <v>0</v>
      </c>
      <c r="AC504" s="49">
        <v>0</v>
      </c>
      <c r="AD504" s="49"/>
      <c r="AE504" s="49"/>
      <c r="AF504" s="49"/>
      <c r="AG504" s="49">
        <f t="shared" si="73"/>
        <v>300</v>
      </c>
      <c r="AH504" s="49" t="str">
        <f t="shared" si="74"/>
        <v>1/0</v>
      </c>
      <c r="AI504" s="49">
        <f t="shared" si="75"/>
        <v>0</v>
      </c>
    </row>
    <row r="505" spans="1:35">
      <c r="A505" s="4">
        <v>350</v>
      </c>
      <c r="B505" s="4" t="s">
        <v>0</v>
      </c>
      <c r="C505" s="4" t="s">
        <v>0</v>
      </c>
      <c r="D505" s="4"/>
      <c r="E505" s="4"/>
      <c r="F505" s="4">
        <v>1200.0999999999999</v>
      </c>
      <c r="G505" s="4" t="s">
        <v>2</v>
      </c>
      <c r="H505" s="52"/>
      <c r="I505" s="82"/>
      <c r="J505" s="87">
        <v>500</v>
      </c>
      <c r="K505" s="88" t="s">
        <v>472</v>
      </c>
      <c r="L505" s="89" t="s">
        <v>474</v>
      </c>
      <c r="N505" s="3">
        <v>400</v>
      </c>
      <c r="O505" s="3">
        <v>1</v>
      </c>
      <c r="P505" s="3" t="s">
        <v>0</v>
      </c>
      <c r="R505" s="3">
        <v>2500.1</v>
      </c>
      <c r="S505" s="3">
        <v>400</v>
      </c>
      <c r="T505" s="3">
        <v>600</v>
      </c>
      <c r="Z505" s="49"/>
      <c r="AA505" s="49">
        <v>350</v>
      </c>
      <c r="AB505" s="49" t="s">
        <v>0</v>
      </c>
      <c r="AC505" s="49">
        <v>0</v>
      </c>
      <c r="AD505" s="49"/>
      <c r="AE505" s="49"/>
      <c r="AF505" s="49"/>
      <c r="AG505" s="49">
        <f t="shared" si="73"/>
        <v>350</v>
      </c>
      <c r="AH505" s="49" t="str">
        <f t="shared" si="74"/>
        <v>1/0</v>
      </c>
      <c r="AI505" s="49">
        <f t="shared" si="75"/>
        <v>0</v>
      </c>
    </row>
    <row r="506" spans="1:35">
      <c r="A506" s="4">
        <v>400</v>
      </c>
      <c r="B506" s="4" t="s">
        <v>0</v>
      </c>
      <c r="C506" s="4" t="s">
        <v>1</v>
      </c>
      <c r="D506" s="4"/>
      <c r="E506" s="4"/>
      <c r="F506" s="4">
        <v>1600.1</v>
      </c>
      <c r="G506" s="4" t="s">
        <v>3</v>
      </c>
      <c r="H506" s="52"/>
      <c r="I506" s="82"/>
      <c r="J506" s="87">
        <v>600</v>
      </c>
      <c r="K506" s="88" t="s">
        <v>473</v>
      </c>
      <c r="L506" s="89" t="s">
        <v>475</v>
      </c>
      <c r="N506" s="3">
        <v>500</v>
      </c>
      <c r="O506" s="3">
        <v>1</v>
      </c>
      <c r="P506" s="146" t="s">
        <v>1</v>
      </c>
      <c r="R506" s="3">
        <v>3000.1</v>
      </c>
      <c r="S506" s="3">
        <v>500</v>
      </c>
      <c r="T506" s="3">
        <v>800</v>
      </c>
      <c r="Z506" s="49"/>
      <c r="AA506" s="49">
        <v>500</v>
      </c>
      <c r="AB506" s="49" t="s">
        <v>0</v>
      </c>
      <c r="AC506" s="49">
        <v>0</v>
      </c>
      <c r="AD506" s="49"/>
      <c r="AE506" s="49"/>
      <c r="AF506" s="49"/>
      <c r="AG506" s="49">
        <f t="shared" si="73"/>
        <v>500</v>
      </c>
      <c r="AH506" s="49" t="str">
        <f t="shared" si="74"/>
        <v>1/0</v>
      </c>
      <c r="AI506" s="49">
        <f t="shared" si="75"/>
        <v>0</v>
      </c>
    </row>
    <row r="507" spans="1:35">
      <c r="A507" s="4">
        <v>500</v>
      </c>
      <c r="B507" s="4" t="s">
        <v>0</v>
      </c>
      <c r="C507" s="4" t="s">
        <v>1</v>
      </c>
      <c r="D507" s="4"/>
      <c r="E507" s="4"/>
      <c r="F507" s="4">
        <v>2000.1</v>
      </c>
      <c r="G507" s="4"/>
      <c r="H507" s="52"/>
      <c r="I507" s="82"/>
      <c r="J507" s="87">
        <v>800</v>
      </c>
      <c r="K507" s="88" t="s">
        <v>474</v>
      </c>
      <c r="L507" s="89" t="s">
        <v>476</v>
      </c>
      <c r="N507" s="3">
        <v>600</v>
      </c>
      <c r="O507" s="3">
        <v>1</v>
      </c>
      <c r="P507" s="146" t="s">
        <v>1</v>
      </c>
      <c r="R507" s="3">
        <v>4000.1</v>
      </c>
      <c r="S507" s="3">
        <v>700</v>
      </c>
      <c r="T507" s="3">
        <v>1200</v>
      </c>
      <c r="Z507" s="49"/>
      <c r="AA507" s="49">
        <v>750</v>
      </c>
      <c r="AB507" s="49" t="s">
        <v>0</v>
      </c>
      <c r="AC507" s="49">
        <v>0</v>
      </c>
      <c r="AD507" s="49"/>
      <c r="AE507" s="49"/>
      <c r="AF507" s="49"/>
      <c r="AG507" s="49">
        <f t="shared" si="73"/>
        <v>750</v>
      </c>
      <c r="AH507" s="49" t="str">
        <f t="shared" si="74"/>
        <v>1/0</v>
      </c>
      <c r="AI507" s="49">
        <f t="shared" si="75"/>
        <v>0</v>
      </c>
    </row>
    <row r="508" spans="1:35">
      <c r="A508" s="4">
        <v>600</v>
      </c>
      <c r="B508" s="4" t="s">
        <v>0</v>
      </c>
      <c r="C508" s="4" t="s">
        <v>1</v>
      </c>
      <c r="D508" s="4"/>
      <c r="E508" s="4"/>
      <c r="F508" s="4"/>
      <c r="G508" s="4"/>
      <c r="H508" s="52"/>
      <c r="I508" s="82"/>
      <c r="J508" s="87" t="s">
        <v>477</v>
      </c>
      <c r="K508" s="88" t="s">
        <v>475</v>
      </c>
      <c r="L508" s="89" t="s">
        <v>478</v>
      </c>
      <c r="N508" s="3">
        <v>750</v>
      </c>
      <c r="O508" s="146" t="s">
        <v>0</v>
      </c>
      <c r="P508" s="146" t="s">
        <v>2</v>
      </c>
      <c r="R508" s="3">
        <v>5000.1000000000004</v>
      </c>
      <c r="S508" s="3">
        <v>800</v>
      </c>
      <c r="T508" s="3">
        <v>1200</v>
      </c>
      <c r="Z508" s="49"/>
      <c r="AA508" s="49" t="s">
        <v>410</v>
      </c>
      <c r="AB508" s="49" t="s">
        <v>1</v>
      </c>
      <c r="AC508" s="49">
        <v>0</v>
      </c>
      <c r="AD508" s="49"/>
      <c r="AE508" s="49"/>
      <c r="AF508" s="49"/>
      <c r="AG508" s="49" t="str">
        <f t="shared" si="73"/>
        <v>2X250</v>
      </c>
      <c r="AH508" s="49" t="str">
        <f t="shared" si="74"/>
        <v>2/0</v>
      </c>
      <c r="AI508" s="49">
        <f t="shared" si="75"/>
        <v>0</v>
      </c>
    </row>
    <row r="509" spans="1:35">
      <c r="A509" s="4">
        <v>750</v>
      </c>
      <c r="B509" s="4" t="s">
        <v>0</v>
      </c>
      <c r="C509" s="4" t="s">
        <v>1</v>
      </c>
      <c r="D509" s="4"/>
      <c r="E509" s="4"/>
      <c r="F509" s="4"/>
      <c r="G509" s="4"/>
      <c r="H509" s="52"/>
      <c r="I509" s="82"/>
      <c r="J509" s="87" t="s">
        <v>479</v>
      </c>
      <c r="K509" s="88" t="s">
        <v>476</v>
      </c>
      <c r="L509" s="89" t="s">
        <v>480</v>
      </c>
      <c r="R509" s="3">
        <v>6000.1</v>
      </c>
      <c r="Z509" s="49"/>
      <c r="AA509" s="49" t="s">
        <v>411</v>
      </c>
      <c r="AB509" s="49" t="s">
        <v>1</v>
      </c>
      <c r="AC509" s="49">
        <v>0</v>
      </c>
      <c r="AD509" s="49"/>
      <c r="AE509" s="49"/>
      <c r="AF509" s="49"/>
      <c r="AG509" s="49" t="str">
        <f t="shared" si="73"/>
        <v>2X300</v>
      </c>
      <c r="AH509" s="49" t="str">
        <f t="shared" si="74"/>
        <v>2/0</v>
      </c>
      <c r="AI509" s="49">
        <f t="shared" si="75"/>
        <v>0</v>
      </c>
    </row>
    <row r="510" spans="1:35">
      <c r="A510" s="4" t="s">
        <v>410</v>
      </c>
      <c r="B510" s="4" t="s">
        <v>1</v>
      </c>
      <c r="C510" s="4" t="s">
        <v>2</v>
      </c>
      <c r="D510" s="4"/>
      <c r="E510" s="4"/>
      <c r="F510" s="4"/>
      <c r="G510" s="4"/>
      <c r="H510" s="52"/>
      <c r="I510" s="82"/>
      <c r="J510" s="87" t="s">
        <v>481</v>
      </c>
      <c r="K510" s="88" t="s">
        <v>478</v>
      </c>
      <c r="L510" s="89" t="s">
        <v>482</v>
      </c>
      <c r="Z510" s="49"/>
      <c r="AA510" s="49" t="s">
        <v>412</v>
      </c>
      <c r="AB510" s="49" t="s">
        <v>1</v>
      </c>
      <c r="AC510" s="49">
        <v>0</v>
      </c>
      <c r="AD510" s="49"/>
      <c r="AE510" s="49"/>
      <c r="AF510" s="49"/>
      <c r="AG510" s="49" t="str">
        <f t="shared" si="73"/>
        <v>2X350</v>
      </c>
      <c r="AH510" s="49" t="str">
        <f t="shared" si="74"/>
        <v>2/0</v>
      </c>
      <c r="AI510" s="49">
        <f t="shared" si="75"/>
        <v>0</v>
      </c>
    </row>
    <row r="511" spans="1:35">
      <c r="A511" s="4" t="s">
        <v>411</v>
      </c>
      <c r="B511" s="4" t="s">
        <v>1</v>
      </c>
      <c r="C511" s="4" t="s">
        <v>2</v>
      </c>
      <c r="D511" s="4"/>
      <c r="E511" s="4"/>
      <c r="F511" s="4"/>
      <c r="G511" s="4"/>
      <c r="H511" s="52"/>
      <c r="I511" s="82"/>
      <c r="J511" s="87" t="s">
        <v>483</v>
      </c>
      <c r="K511" s="88" t="s">
        <v>480</v>
      </c>
      <c r="L511" s="89" t="s">
        <v>484</v>
      </c>
      <c r="Z511" s="49"/>
      <c r="AA511" s="49" t="s">
        <v>413</v>
      </c>
      <c r="AB511" s="49" t="s">
        <v>1</v>
      </c>
      <c r="AC511" s="49">
        <v>0</v>
      </c>
      <c r="AD511" s="49"/>
      <c r="AE511" s="49"/>
      <c r="AF511" s="49"/>
      <c r="AG511" s="49" t="str">
        <f t="shared" si="73"/>
        <v>2X500</v>
      </c>
      <c r="AH511" s="49" t="str">
        <f t="shared" si="74"/>
        <v>2/0</v>
      </c>
      <c r="AI511" s="49">
        <f t="shared" si="75"/>
        <v>0</v>
      </c>
    </row>
    <row r="512" spans="1:35">
      <c r="A512" s="4" t="s">
        <v>412</v>
      </c>
      <c r="B512" s="4" t="s">
        <v>1</v>
      </c>
      <c r="C512" s="4" t="s">
        <v>2</v>
      </c>
      <c r="D512" s="4"/>
      <c r="E512" s="4"/>
      <c r="F512" s="4"/>
      <c r="G512" s="4"/>
      <c r="H512" s="52"/>
      <c r="I512" s="82"/>
      <c r="J512" s="87" t="s">
        <v>485</v>
      </c>
      <c r="K512" s="88" t="s">
        <v>482</v>
      </c>
      <c r="L512" s="89" t="s">
        <v>486</v>
      </c>
      <c r="Z512" s="49"/>
      <c r="AA512" s="49" t="s">
        <v>414</v>
      </c>
      <c r="AB512" s="49" t="s">
        <v>1</v>
      </c>
      <c r="AC512" s="49">
        <v>0</v>
      </c>
      <c r="AD512" s="49"/>
      <c r="AE512" s="49"/>
      <c r="AF512" s="49"/>
      <c r="AG512" s="49" t="str">
        <f t="shared" si="73"/>
        <v>2X750</v>
      </c>
      <c r="AH512" s="49" t="str">
        <f t="shared" si="74"/>
        <v>2/0</v>
      </c>
      <c r="AI512" s="49">
        <f t="shared" si="75"/>
        <v>0</v>
      </c>
    </row>
    <row r="513" spans="1:42">
      <c r="A513" s="4" t="s">
        <v>413</v>
      </c>
      <c r="B513" s="4" t="s">
        <v>1</v>
      </c>
      <c r="C513" s="4" t="s">
        <v>2</v>
      </c>
      <c r="D513" s="4"/>
      <c r="E513" s="4"/>
      <c r="F513" s="4"/>
      <c r="G513" s="4"/>
      <c r="H513" s="52"/>
      <c r="I513" s="82"/>
      <c r="J513" s="87" t="s">
        <v>487</v>
      </c>
      <c r="K513" s="88" t="s">
        <v>484</v>
      </c>
      <c r="L513" s="89" t="s">
        <v>486</v>
      </c>
      <c r="Z513" s="49"/>
      <c r="AA513" s="49" t="s">
        <v>415</v>
      </c>
      <c r="AB513" s="49" t="s">
        <v>1</v>
      </c>
      <c r="AC513" s="49">
        <v>0</v>
      </c>
      <c r="AD513" s="49"/>
      <c r="AE513" s="49"/>
      <c r="AF513" s="49"/>
      <c r="AG513" s="49" t="str">
        <f t="shared" si="73"/>
        <v>3X500</v>
      </c>
      <c r="AH513" s="49" t="str">
        <f t="shared" si="74"/>
        <v>2/0</v>
      </c>
      <c r="AI513" s="49">
        <f t="shared" si="75"/>
        <v>0</v>
      </c>
      <c r="AJ513" s="49"/>
      <c r="AK513" s="49"/>
      <c r="AL513" s="49"/>
      <c r="AM513" s="49"/>
      <c r="AN513" s="49"/>
      <c r="AO513" s="49"/>
      <c r="AP513" s="49"/>
    </row>
    <row r="514" spans="1:42">
      <c r="A514" s="4" t="s">
        <v>414</v>
      </c>
      <c r="B514" s="4" t="s">
        <v>1</v>
      </c>
      <c r="C514" s="4" t="s">
        <v>2</v>
      </c>
      <c r="D514" s="4"/>
      <c r="E514" s="4"/>
      <c r="F514" s="4"/>
      <c r="G514" s="4"/>
      <c r="H514" s="52"/>
      <c r="I514" s="82"/>
      <c r="J514" s="87" t="s">
        <v>488</v>
      </c>
      <c r="K514" s="88" t="s">
        <v>489</v>
      </c>
      <c r="L514" s="89" t="s">
        <v>490</v>
      </c>
      <c r="Z514" s="49"/>
      <c r="AA514" s="49" t="s">
        <v>416</v>
      </c>
      <c r="AB514" s="49" t="s">
        <v>1</v>
      </c>
      <c r="AC514" s="49">
        <v>0</v>
      </c>
      <c r="AD514" s="49"/>
      <c r="AE514" s="49"/>
      <c r="AF514" s="49"/>
      <c r="AG514" s="49" t="str">
        <f t="shared" si="73"/>
        <v>4X500</v>
      </c>
      <c r="AH514" s="49" t="str">
        <f t="shared" si="74"/>
        <v>2/0</v>
      </c>
      <c r="AI514" s="49">
        <f t="shared" si="75"/>
        <v>0</v>
      </c>
      <c r="AJ514" s="49"/>
      <c r="AK514" s="49"/>
      <c r="AL514" s="49"/>
      <c r="AM514" s="49"/>
      <c r="AN514" s="49"/>
      <c r="AO514" s="49"/>
      <c r="AP514" s="49"/>
    </row>
    <row r="515" spans="1:42">
      <c r="A515" s="4" t="s">
        <v>415</v>
      </c>
      <c r="B515" s="4" t="s">
        <v>1</v>
      </c>
      <c r="C515" s="4" t="s">
        <v>2</v>
      </c>
      <c r="D515" s="4"/>
      <c r="E515" s="4"/>
      <c r="F515" s="4"/>
      <c r="G515" s="4"/>
      <c r="H515" s="52"/>
      <c r="I515" s="82"/>
      <c r="J515" s="87" t="s">
        <v>491</v>
      </c>
      <c r="K515" s="88" t="s">
        <v>492</v>
      </c>
      <c r="L515" s="89" t="s">
        <v>493</v>
      </c>
      <c r="Z515" s="49"/>
      <c r="AA515" s="49" t="s">
        <v>417</v>
      </c>
      <c r="AB515" s="49" t="s">
        <v>1</v>
      </c>
      <c r="AC515" s="49">
        <v>0</v>
      </c>
      <c r="AD515" s="49"/>
      <c r="AE515" s="49"/>
      <c r="AF515" s="49"/>
      <c r="AG515" s="49" t="str">
        <f t="shared" si="73"/>
        <v>5X500</v>
      </c>
      <c r="AH515" s="49" t="str">
        <f t="shared" si="74"/>
        <v>2/0</v>
      </c>
      <c r="AI515" s="49">
        <f t="shared" si="75"/>
        <v>0</v>
      </c>
      <c r="AJ515" s="49"/>
      <c r="AK515" s="49"/>
      <c r="AL515" s="49"/>
      <c r="AM515" s="49"/>
      <c r="AN515" s="49"/>
      <c r="AO515" s="49"/>
      <c r="AP515" s="49"/>
    </row>
    <row r="516" spans="1:42" ht="16.2" thickBot="1">
      <c r="A516" s="4" t="s">
        <v>416</v>
      </c>
      <c r="B516" s="4" t="s">
        <v>1</v>
      </c>
      <c r="C516" s="4" t="s">
        <v>2</v>
      </c>
      <c r="D516" s="4"/>
      <c r="E516" s="4"/>
      <c r="F516" s="4"/>
      <c r="G516" s="4"/>
      <c r="H516" s="52"/>
      <c r="I516" s="83"/>
      <c r="J516" s="90" t="s">
        <v>494</v>
      </c>
      <c r="K516" s="91" t="s">
        <v>490</v>
      </c>
      <c r="L516" s="92" t="s">
        <v>493</v>
      </c>
      <c r="Z516" s="49"/>
      <c r="AA516" s="49" t="s">
        <v>418</v>
      </c>
      <c r="AB516" s="49" t="s">
        <v>1</v>
      </c>
      <c r="AC516" s="49">
        <v>0</v>
      </c>
      <c r="AD516" s="49"/>
      <c r="AE516" s="49"/>
      <c r="AF516" s="49"/>
      <c r="AG516" s="49" t="str">
        <f t="shared" si="73"/>
        <v>5X750</v>
      </c>
      <c r="AH516" s="49" t="str">
        <f t="shared" si="74"/>
        <v>2/0</v>
      </c>
      <c r="AI516" s="49">
        <f t="shared" si="75"/>
        <v>0</v>
      </c>
      <c r="AJ516" s="49"/>
      <c r="AK516" s="49"/>
      <c r="AL516" s="49"/>
      <c r="AM516" s="49"/>
      <c r="AN516" s="49"/>
      <c r="AO516" s="49"/>
      <c r="AP516" s="49"/>
    </row>
    <row r="517" spans="1:42" ht="13.8" thickTop="1">
      <c r="A517" s="4" t="s">
        <v>417</v>
      </c>
      <c r="B517" s="4" t="s">
        <v>1</v>
      </c>
      <c r="C517" s="4" t="s">
        <v>2</v>
      </c>
      <c r="D517" s="4"/>
      <c r="E517" s="4"/>
      <c r="F517" s="4"/>
      <c r="G517" s="4"/>
      <c r="H517" s="52"/>
      <c r="Z517" s="49"/>
      <c r="AA517" s="49" t="s">
        <v>419</v>
      </c>
      <c r="AB517" s="49" t="s">
        <v>1</v>
      </c>
      <c r="AC517" s="49">
        <v>0</v>
      </c>
      <c r="AD517" s="49"/>
      <c r="AE517" s="49"/>
      <c r="AF517" s="49"/>
      <c r="AG517" s="49" t="str">
        <f t="shared" si="73"/>
        <v>6X750</v>
      </c>
      <c r="AH517" s="49" t="str">
        <f t="shared" si="74"/>
        <v>2/0</v>
      </c>
      <c r="AI517" s="49">
        <f t="shared" si="75"/>
        <v>0</v>
      </c>
      <c r="AJ517" s="49"/>
      <c r="AK517" s="49"/>
      <c r="AL517" s="49"/>
      <c r="AM517" s="49"/>
      <c r="AN517" s="49"/>
      <c r="AO517" s="49"/>
      <c r="AP517" s="49"/>
    </row>
    <row r="518" spans="1:42">
      <c r="A518" s="4" t="s">
        <v>418</v>
      </c>
      <c r="B518" s="4" t="s">
        <v>1</v>
      </c>
      <c r="C518" s="4" t="s">
        <v>2</v>
      </c>
      <c r="D518" s="4"/>
      <c r="E518" s="4"/>
      <c r="F518" s="4"/>
      <c r="G518" s="4"/>
      <c r="H518" s="4"/>
      <c r="Z518" s="49"/>
      <c r="AA518" s="49" t="s">
        <v>420</v>
      </c>
      <c r="AB518" s="49" t="s">
        <v>1</v>
      </c>
      <c r="AC518" s="49">
        <v>0</v>
      </c>
      <c r="AD518" s="49"/>
      <c r="AE518" s="49"/>
      <c r="AF518" s="49"/>
      <c r="AG518" s="49" t="str">
        <f t="shared" si="73"/>
        <v>7X750</v>
      </c>
      <c r="AH518" s="49" t="str">
        <f t="shared" si="74"/>
        <v>2/0</v>
      </c>
      <c r="AI518" s="49">
        <f t="shared" si="75"/>
        <v>0</v>
      </c>
      <c r="AJ518" s="49"/>
      <c r="AK518" s="49"/>
      <c r="AL518" s="49"/>
      <c r="AM518" s="49"/>
      <c r="AN518" s="49"/>
      <c r="AO518" s="49"/>
      <c r="AP518" s="49"/>
    </row>
    <row r="519" spans="1:42">
      <c r="A519" s="4" t="s">
        <v>419</v>
      </c>
      <c r="B519" s="4" t="s">
        <v>1</v>
      </c>
      <c r="C519" s="4" t="s">
        <v>2</v>
      </c>
      <c r="Z519" s="49"/>
      <c r="AA519" s="49">
        <v>0</v>
      </c>
      <c r="AB519" s="49">
        <v>0</v>
      </c>
      <c r="AC519" s="49">
        <v>0</v>
      </c>
      <c r="AD519" s="49"/>
      <c r="AE519" s="49"/>
      <c r="AF519" s="49"/>
      <c r="AG519" s="49">
        <f t="shared" si="73"/>
        <v>0</v>
      </c>
      <c r="AH519" s="49">
        <f t="shared" si="74"/>
        <v>0</v>
      </c>
      <c r="AI519" s="49">
        <f t="shared" si="75"/>
        <v>0</v>
      </c>
      <c r="AJ519" s="49"/>
      <c r="AK519" s="49"/>
      <c r="AL519" s="49"/>
      <c r="AM519" s="49"/>
      <c r="AN519" s="49"/>
      <c r="AO519" s="49"/>
      <c r="AP519" s="49"/>
    </row>
    <row r="520" spans="1:42">
      <c r="A520" s="4" t="s">
        <v>420</v>
      </c>
      <c r="B520" s="4" t="s">
        <v>1</v>
      </c>
      <c r="C520" s="4" t="s">
        <v>2</v>
      </c>
      <c r="Z520" s="49"/>
      <c r="AA520" s="49">
        <v>0</v>
      </c>
      <c r="AB520" s="49">
        <v>0</v>
      </c>
      <c r="AC520" s="49">
        <v>0</v>
      </c>
      <c r="AD520" s="49"/>
      <c r="AE520" s="49"/>
      <c r="AF520" s="49"/>
      <c r="AG520" s="49">
        <f t="shared" si="73"/>
        <v>0</v>
      </c>
      <c r="AH520" s="49">
        <f t="shared" si="74"/>
        <v>0</v>
      </c>
      <c r="AI520" s="49">
        <f t="shared" si="75"/>
        <v>0</v>
      </c>
      <c r="AJ520" s="49"/>
      <c r="AK520" s="49"/>
      <c r="AL520" s="49"/>
      <c r="AM520" s="49"/>
      <c r="AN520" s="49"/>
      <c r="AO520" s="49"/>
      <c r="AP520" s="49"/>
    </row>
    <row r="521" spans="1:42">
      <c r="Z521" s="49"/>
      <c r="AA521" s="49">
        <v>0</v>
      </c>
      <c r="AB521" s="49">
        <v>0</v>
      </c>
      <c r="AC521" s="49">
        <v>0</v>
      </c>
      <c r="AD521" s="49"/>
      <c r="AE521" s="49"/>
      <c r="AF521" s="49"/>
      <c r="AG521" s="49">
        <f t="shared" si="73"/>
        <v>0</v>
      </c>
      <c r="AH521" s="49">
        <f t="shared" si="74"/>
        <v>0</v>
      </c>
      <c r="AI521" s="49">
        <f t="shared" si="75"/>
        <v>0</v>
      </c>
      <c r="AJ521" s="49"/>
      <c r="AK521" s="49"/>
      <c r="AL521" s="49"/>
      <c r="AM521" s="49"/>
      <c r="AN521" s="49"/>
      <c r="AO521" s="49"/>
      <c r="AP521" s="49"/>
    </row>
    <row r="522" spans="1:42">
      <c r="A522" s="2" t="s">
        <v>495</v>
      </c>
      <c r="B522" s="11"/>
      <c r="C522" s="11"/>
      <c r="D522" s="11"/>
      <c r="E522" s="11"/>
      <c r="F522" s="11"/>
      <c r="G522" s="11"/>
      <c r="H522" s="11"/>
      <c r="Z522" s="49"/>
      <c r="AA522" s="49" t="s">
        <v>495</v>
      </c>
      <c r="AB522" s="49">
        <v>0</v>
      </c>
      <c r="AC522" s="49">
        <v>0</v>
      </c>
      <c r="AD522" s="49"/>
      <c r="AE522" s="49"/>
      <c r="AF522" s="49"/>
      <c r="AG522" s="49" t="str">
        <f t="shared" si="73"/>
        <v>DIMENSIONES DE TUBERIA Y DUCTOS</v>
      </c>
      <c r="AH522" s="49">
        <f t="shared" si="74"/>
        <v>0</v>
      </c>
      <c r="AI522" s="49">
        <f t="shared" si="75"/>
        <v>0</v>
      </c>
      <c r="AJ522" s="49"/>
      <c r="AK522" s="49"/>
      <c r="AL522" s="49"/>
      <c r="AM522" s="49"/>
      <c r="AN522" s="49"/>
      <c r="AO522" s="49"/>
      <c r="AP522" s="49"/>
    </row>
    <row r="523" spans="1:42">
      <c r="A523" s="11"/>
      <c r="B523" s="11"/>
      <c r="C523" s="11"/>
      <c r="D523" s="11"/>
      <c r="E523" s="11"/>
      <c r="F523" s="11"/>
      <c r="G523" s="11"/>
      <c r="H523" s="11"/>
      <c r="Z523" s="49"/>
      <c r="AA523" s="49">
        <v>0</v>
      </c>
      <c r="AB523" s="49">
        <v>0</v>
      </c>
      <c r="AC523" s="49">
        <v>0</v>
      </c>
      <c r="AD523" s="49"/>
      <c r="AE523" s="49"/>
      <c r="AF523" s="49"/>
      <c r="AG523" s="49">
        <f t="shared" si="73"/>
        <v>0</v>
      </c>
      <c r="AH523" s="49">
        <f t="shared" si="74"/>
        <v>0</v>
      </c>
      <c r="AI523" s="49">
        <f t="shared" si="75"/>
        <v>0</v>
      </c>
      <c r="AJ523" s="49"/>
      <c r="AK523" s="49"/>
      <c r="AL523" s="49"/>
      <c r="AM523" s="49"/>
      <c r="AN523" s="49"/>
      <c r="AO523" s="49"/>
      <c r="AP523" s="49"/>
    </row>
    <row r="524" spans="1:42">
      <c r="Z524" s="49"/>
      <c r="AA524" s="49">
        <v>0</v>
      </c>
      <c r="AB524" s="49">
        <v>0</v>
      </c>
      <c r="AC524" s="49">
        <v>0</v>
      </c>
      <c r="AD524" s="49"/>
      <c r="AE524" s="49"/>
      <c r="AF524" s="49"/>
      <c r="AG524" s="49">
        <f t="shared" si="73"/>
        <v>0</v>
      </c>
      <c r="AH524" s="49">
        <f t="shared" si="74"/>
        <v>0</v>
      </c>
      <c r="AI524" s="49">
        <f t="shared" si="75"/>
        <v>0</v>
      </c>
      <c r="AJ524" s="49"/>
      <c r="AK524" s="49"/>
      <c r="AL524" s="49"/>
      <c r="AM524" s="49"/>
      <c r="AN524" s="49"/>
      <c r="AO524" s="49"/>
      <c r="AP524" s="49"/>
    </row>
    <row r="525" spans="1:42">
      <c r="Z525" s="49"/>
      <c r="AA525" s="49">
        <v>0</v>
      </c>
      <c r="AB525" s="49">
        <v>0</v>
      </c>
      <c r="AC525" s="49">
        <v>0</v>
      </c>
      <c r="AD525" s="49"/>
      <c r="AE525" s="49"/>
      <c r="AF525" s="49"/>
      <c r="AG525" s="49">
        <f t="shared" ref="AG525:AG588" si="76">IF($AG$4="BUENO",AA525,0)</f>
        <v>0</v>
      </c>
      <c r="AH525" s="49">
        <f t="shared" ref="AH525:AH588" si="77">IF($AG$4="BUENO",AB525,0)</f>
        <v>0</v>
      </c>
      <c r="AI525" s="49">
        <f t="shared" ref="AI525:AI588" si="78">IF($AG$4="BUENO",AC525,0)</f>
        <v>0</v>
      </c>
      <c r="AJ525" s="49"/>
      <c r="AK525" s="49"/>
      <c r="AL525" s="49"/>
      <c r="AM525" s="49"/>
      <c r="AN525" s="49"/>
      <c r="AO525" s="49"/>
      <c r="AP525" s="49"/>
    </row>
    <row r="526" spans="1:42">
      <c r="Z526" s="49"/>
      <c r="AA526" s="49">
        <v>0</v>
      </c>
      <c r="AB526" s="49">
        <v>0</v>
      </c>
      <c r="AC526" s="49">
        <v>0</v>
      </c>
      <c r="AD526" s="49"/>
      <c r="AE526" s="49"/>
      <c r="AF526" s="49"/>
      <c r="AG526" s="49">
        <f t="shared" si="76"/>
        <v>0</v>
      </c>
      <c r="AH526" s="49">
        <f t="shared" si="77"/>
        <v>0</v>
      </c>
      <c r="AI526" s="49">
        <f t="shared" si="78"/>
        <v>0</v>
      </c>
      <c r="AJ526" s="49"/>
      <c r="AK526" s="49"/>
      <c r="AL526" s="49"/>
      <c r="AM526" s="49"/>
      <c r="AN526" s="49"/>
      <c r="AO526" s="49"/>
      <c r="AP526" s="49"/>
    </row>
    <row r="527" spans="1:42">
      <c r="A527" s="117" t="s">
        <v>496</v>
      </c>
      <c r="B527" s="117"/>
      <c r="C527" s="117"/>
      <c r="D527" s="117"/>
      <c r="E527" s="117"/>
      <c r="F527" s="117"/>
      <c r="G527" s="117"/>
      <c r="H527" s="117"/>
      <c r="I527" s="117"/>
      <c r="L527" s="117"/>
      <c r="M527" s="117" t="s">
        <v>497</v>
      </c>
      <c r="N527" s="117"/>
      <c r="O527" s="117"/>
      <c r="P527" s="117" t="s">
        <v>496</v>
      </c>
      <c r="Q527" s="117"/>
      <c r="R527" s="117"/>
      <c r="S527" s="117"/>
      <c r="T527" s="117"/>
      <c r="U527" s="117"/>
      <c r="V527" s="117"/>
      <c r="W527" s="117"/>
      <c r="X527" s="117"/>
      <c r="Z527" s="49"/>
      <c r="AA527" s="49" t="s">
        <v>496</v>
      </c>
      <c r="AB527" s="49">
        <v>0</v>
      </c>
      <c r="AC527" s="49">
        <v>0</v>
      </c>
      <c r="AD527" s="49"/>
      <c r="AE527" s="49"/>
      <c r="AF527" s="49"/>
      <c r="AG527" s="49" t="str">
        <f t="shared" si="76"/>
        <v>DIMENSIONES DE TUBO CONDUIT</v>
      </c>
      <c r="AH527" s="49">
        <f t="shared" si="77"/>
        <v>0</v>
      </c>
      <c r="AI527" s="49">
        <f t="shared" si="78"/>
        <v>0</v>
      </c>
      <c r="AJ527" s="49"/>
      <c r="AK527" s="49"/>
      <c r="AL527" s="49"/>
      <c r="AM527" s="49"/>
      <c r="AN527" s="117" t="s">
        <v>498</v>
      </c>
      <c r="AO527" s="117"/>
      <c r="AP527" s="117"/>
    </row>
    <row r="528" spans="1:42">
      <c r="A528" s="117" t="s">
        <v>378</v>
      </c>
      <c r="B528" s="192" t="str">
        <f>K9</f>
        <v>NOM</v>
      </c>
      <c r="C528" s="192"/>
      <c r="D528" s="117"/>
      <c r="E528" s="117" t="s">
        <v>499</v>
      </c>
      <c r="F528" s="117"/>
      <c r="G528" s="117"/>
      <c r="H528" s="117"/>
      <c r="I528" s="117"/>
      <c r="J528" s="117"/>
      <c r="K528" s="117"/>
      <c r="L528" s="117"/>
      <c r="M528" s="193"/>
      <c r="N528" s="193" t="str">
        <f>B528</f>
        <v>NOM</v>
      </c>
      <c r="O528" s="117"/>
      <c r="P528" s="117" t="s">
        <v>378</v>
      </c>
      <c r="Q528" s="192" t="str">
        <f>TABLERO!G16</f>
        <v>NOM</v>
      </c>
      <c r="R528" s="192"/>
      <c r="S528" s="117"/>
      <c r="T528" s="117" t="s">
        <v>499</v>
      </c>
      <c r="U528" s="117"/>
      <c r="V528" s="117"/>
      <c r="W528" s="117"/>
      <c r="X528" s="117"/>
      <c r="Z528" s="49"/>
      <c r="AA528" s="49" t="s">
        <v>378</v>
      </c>
      <c r="AB528" s="49" t="s">
        <v>500</v>
      </c>
      <c r="AC528" s="49">
        <v>0</v>
      </c>
      <c r="AD528" s="49"/>
      <c r="AE528" s="49"/>
      <c r="AF528" s="49"/>
      <c r="AG528" s="49" t="str">
        <f t="shared" si="76"/>
        <v>RANGO</v>
      </c>
      <c r="AH528" s="49" t="str">
        <f t="shared" si="77"/>
        <v>NOM</v>
      </c>
      <c r="AI528" s="49">
        <f t="shared" si="78"/>
        <v>0</v>
      </c>
      <c r="AJ528" s="49"/>
      <c r="AK528" s="49"/>
      <c r="AL528" s="49"/>
      <c r="AM528" s="49"/>
      <c r="AN528" s="117" t="s">
        <v>378</v>
      </c>
      <c r="AO528" s="192" t="str">
        <f>DATOS!F22</f>
        <v>NOM</v>
      </c>
      <c r="AP528" s="192"/>
    </row>
    <row r="529" spans="1:48">
      <c r="J529" s="117"/>
      <c r="K529" s="117"/>
      <c r="Z529" s="49"/>
      <c r="AA529" s="49">
        <v>0</v>
      </c>
      <c r="AB529" s="49">
        <v>0</v>
      </c>
      <c r="AC529" s="49">
        <v>0</v>
      </c>
      <c r="AD529" s="49"/>
      <c r="AE529" s="49"/>
      <c r="AF529" s="49"/>
      <c r="AG529" s="49">
        <f t="shared" si="76"/>
        <v>0</v>
      </c>
      <c r="AH529" s="49">
        <f t="shared" si="77"/>
        <v>0</v>
      </c>
      <c r="AI529" s="49">
        <f t="shared" si="78"/>
        <v>0</v>
      </c>
      <c r="AJ529" s="49"/>
      <c r="AK529" s="49"/>
      <c r="AL529" s="49"/>
      <c r="AM529" s="49"/>
      <c r="AN529" s="49"/>
      <c r="AO529" s="49"/>
      <c r="AP529" s="49"/>
      <c r="AQ529" s="49"/>
      <c r="AR529" s="49"/>
      <c r="AS529" s="49"/>
      <c r="AT529" s="49"/>
    </row>
    <row r="530" spans="1:48">
      <c r="A530" s="1">
        <f t="shared" ref="A530:A538" si="79">AG530</f>
        <v>0</v>
      </c>
      <c r="B530" s="1" t="str">
        <f>IF($B$528="NOM",E530,IF($B$528="IN",F530,IF($B$528="MT",G530,IF($B$528="MC",H530,"OTRO"))))</f>
        <v>T-16 mm</v>
      </c>
      <c r="C530" s="1" t="str">
        <f t="shared" ref="C530:C538" si="80">AI530</f>
        <v>1/2</v>
      </c>
      <c r="D530" s="1">
        <v>0</v>
      </c>
      <c r="E530" s="1" t="s">
        <v>501</v>
      </c>
      <c r="F530" s="6" t="s">
        <v>502</v>
      </c>
      <c r="G530" s="1" t="s">
        <v>503</v>
      </c>
      <c r="H530" s="1" t="s">
        <v>504</v>
      </c>
      <c r="I530" s="1" t="s">
        <v>9</v>
      </c>
      <c r="L530" s="1">
        <v>0</v>
      </c>
      <c r="M530" s="1" t="str">
        <f>IF($N$528&lt;&gt;"IN",N530,O530)</f>
        <v>D-6x6cm</v>
      </c>
      <c r="N530" s="1" t="s">
        <v>505</v>
      </c>
      <c r="O530" s="1" t="s">
        <v>506</v>
      </c>
      <c r="P530" s="1">
        <f>AG530</f>
        <v>0</v>
      </c>
      <c r="Q530" s="1" t="str">
        <f>IF($Q$528="NOM",T530,IF($Q$528="IN",U530,IF($Q$528="MT",V530,IF($Q$528="MC",W530,"OTRO"))))</f>
        <v>T-16 mm</v>
      </c>
      <c r="R530" s="1" t="s">
        <v>507</v>
      </c>
      <c r="S530" s="1">
        <v>0</v>
      </c>
      <c r="T530" s="1" t="s">
        <v>501</v>
      </c>
      <c r="U530" s="6" t="s">
        <v>502</v>
      </c>
      <c r="V530" s="1" t="s">
        <v>503</v>
      </c>
      <c r="W530" s="1" t="s">
        <v>504</v>
      </c>
      <c r="X530" s="1" t="s">
        <v>9</v>
      </c>
      <c r="Z530" s="49"/>
      <c r="AA530" s="49">
        <v>0</v>
      </c>
      <c r="AB530" s="49" t="s">
        <v>501</v>
      </c>
      <c r="AC530" s="49" t="s">
        <v>507</v>
      </c>
      <c r="AD530" s="49"/>
      <c r="AE530" s="49"/>
      <c r="AF530" s="49"/>
      <c r="AG530" s="49">
        <f t="shared" si="76"/>
        <v>0</v>
      </c>
      <c r="AH530" s="49" t="str">
        <f t="shared" si="77"/>
        <v>T-16 mm</v>
      </c>
      <c r="AI530" s="49" t="str">
        <f t="shared" si="78"/>
        <v>1/2</v>
      </c>
      <c r="AJ530" s="49"/>
      <c r="AK530" s="49"/>
      <c r="AL530" s="49"/>
      <c r="AM530" s="49"/>
      <c r="AN530" s="49">
        <v>0</v>
      </c>
      <c r="AO530" s="1" t="str">
        <f>IF($AO$528="NOM",AR530,IF($AO$528="IN",AS530,IF($AO$528="MT",AT530,IF($AO$528="MC",AU530,"OTRO"))))</f>
        <v>T-16 mm</v>
      </c>
      <c r="AP530" s="1">
        <f t="shared" ref="AP530:AP538" si="81">BV530</f>
        <v>0</v>
      </c>
      <c r="AQ530" s="1">
        <v>0</v>
      </c>
      <c r="AR530" s="1" t="s">
        <v>501</v>
      </c>
      <c r="AS530" s="6" t="s">
        <v>502</v>
      </c>
      <c r="AT530" s="1" t="s">
        <v>503</v>
      </c>
      <c r="AU530" s="1" t="s">
        <v>504</v>
      </c>
      <c r="AV530" s="1" t="s">
        <v>9</v>
      </c>
    </row>
    <row r="531" spans="1:48">
      <c r="A531" s="1">
        <f t="shared" si="79"/>
        <v>103.1</v>
      </c>
      <c r="B531" s="1" t="str">
        <f t="shared" ref="B531:B538" si="82">IF($B$528="NOM",E531,IF($B$528="IN",F531,IF($B$528="MT",G531,IF($B$528="MC",H531,"OTRO"))))</f>
        <v>T-21 mm</v>
      </c>
      <c r="C531" s="1" t="str">
        <f t="shared" si="80"/>
        <v>3/4</v>
      </c>
      <c r="D531" s="1">
        <v>103.1</v>
      </c>
      <c r="E531" s="1" t="s">
        <v>508</v>
      </c>
      <c r="F531" s="6" t="s">
        <v>509</v>
      </c>
      <c r="G531" s="1" t="s">
        <v>510</v>
      </c>
      <c r="H531" s="1" t="s">
        <v>504</v>
      </c>
      <c r="I531" s="1" t="s">
        <v>9</v>
      </c>
      <c r="L531" s="1">
        <v>807</v>
      </c>
      <c r="M531" s="1" t="str">
        <f>IF($N$528&lt;&gt;"IN",N531,O531)</f>
        <v>D-10x10cm</v>
      </c>
      <c r="N531" s="1" t="s">
        <v>511</v>
      </c>
      <c r="O531" s="1" t="s">
        <v>512</v>
      </c>
      <c r="P531" s="1">
        <f t="shared" ref="P531:P538" si="83">AG531</f>
        <v>103.1</v>
      </c>
      <c r="Q531" s="1" t="str">
        <f t="shared" ref="Q531:Q538" si="84">IF($Q$528="NOM",T531,IF($Q$528="IN",U531,IF($Q$528="MT",V531,IF($Q$528="MC",W531,"OTRO"))))</f>
        <v>T-21 mm</v>
      </c>
      <c r="R531" s="1" t="s">
        <v>513</v>
      </c>
      <c r="S531" s="1">
        <v>103.1</v>
      </c>
      <c r="T531" s="1" t="s">
        <v>508</v>
      </c>
      <c r="U531" s="6" t="s">
        <v>509</v>
      </c>
      <c r="V531" s="1" t="s">
        <v>510</v>
      </c>
      <c r="W531" s="1" t="s">
        <v>504</v>
      </c>
      <c r="X531" s="1" t="s">
        <v>9</v>
      </c>
      <c r="Z531" s="49"/>
      <c r="AA531" s="49">
        <v>103.1</v>
      </c>
      <c r="AB531" s="49" t="s">
        <v>508</v>
      </c>
      <c r="AC531" s="49" t="s">
        <v>513</v>
      </c>
      <c r="AD531" s="49"/>
      <c r="AE531" s="49"/>
      <c r="AF531" s="49"/>
      <c r="AG531" s="49">
        <f t="shared" si="76"/>
        <v>103.1</v>
      </c>
      <c r="AH531" s="49" t="str">
        <f t="shared" si="77"/>
        <v>T-21 mm</v>
      </c>
      <c r="AI531" s="49" t="str">
        <f t="shared" si="78"/>
        <v>3/4</v>
      </c>
      <c r="AJ531" s="49"/>
      <c r="AK531" s="49"/>
      <c r="AL531" s="49"/>
      <c r="AM531" s="49"/>
      <c r="AN531" s="49">
        <v>103.1</v>
      </c>
      <c r="AO531" s="1" t="str">
        <f t="shared" ref="AO531:AO560" si="85">IF($AO$528="NOM",AR531,IF($AO$528="IN",AS531,IF($AO$528="MT",AT531,IF($AO$528="MC",AU531,"OTRO"))))</f>
        <v>T-21 mm</v>
      </c>
      <c r="AP531" s="1">
        <f t="shared" si="81"/>
        <v>0</v>
      </c>
      <c r="AQ531" s="1">
        <v>103.1</v>
      </c>
      <c r="AR531" s="1" t="s">
        <v>508</v>
      </c>
      <c r="AS531" s="6" t="s">
        <v>509</v>
      </c>
      <c r="AT531" s="1" t="s">
        <v>510</v>
      </c>
      <c r="AU531" s="1" t="s">
        <v>504</v>
      </c>
      <c r="AV531" s="1" t="s">
        <v>9</v>
      </c>
    </row>
    <row r="532" spans="1:48">
      <c r="A532" s="1">
        <f t="shared" si="79"/>
        <v>181.1</v>
      </c>
      <c r="B532" s="1" t="str">
        <f t="shared" si="82"/>
        <v>T-27 mm</v>
      </c>
      <c r="C532" s="1" t="str">
        <f t="shared" si="80"/>
        <v>1</v>
      </c>
      <c r="D532" s="1">
        <v>181.1</v>
      </c>
      <c r="E532" s="1" t="s">
        <v>514</v>
      </c>
      <c r="F532" s="7" t="s">
        <v>515</v>
      </c>
      <c r="G532" s="1" t="s">
        <v>516</v>
      </c>
      <c r="H532" s="1" t="s">
        <v>504</v>
      </c>
      <c r="I532" s="1" t="s">
        <v>9</v>
      </c>
      <c r="L532" s="1">
        <v>2065</v>
      </c>
      <c r="M532" s="1" t="str">
        <f>IF($N$528&lt;&gt;"IN",N532,O532)</f>
        <v>D-15x15cm</v>
      </c>
      <c r="N532" s="1" t="s">
        <v>517</v>
      </c>
      <c r="O532" s="1" t="s">
        <v>518</v>
      </c>
      <c r="P532" s="1">
        <f t="shared" si="83"/>
        <v>181.1</v>
      </c>
      <c r="Q532" s="1" t="str">
        <f t="shared" si="84"/>
        <v>T-27 mm</v>
      </c>
      <c r="R532" s="1" t="s">
        <v>519</v>
      </c>
      <c r="S532" s="1">
        <v>181.1</v>
      </c>
      <c r="T532" s="1" t="s">
        <v>514</v>
      </c>
      <c r="U532" s="7" t="s">
        <v>515</v>
      </c>
      <c r="V532" s="1" t="s">
        <v>516</v>
      </c>
      <c r="W532" s="1" t="s">
        <v>504</v>
      </c>
      <c r="X532" s="1" t="s">
        <v>9</v>
      </c>
      <c r="Z532" s="49"/>
      <c r="AA532" s="49">
        <v>181.1</v>
      </c>
      <c r="AB532" s="49" t="s">
        <v>514</v>
      </c>
      <c r="AC532" s="49" t="s">
        <v>519</v>
      </c>
      <c r="AD532" s="49"/>
      <c r="AE532" s="49"/>
      <c r="AF532" s="49"/>
      <c r="AG532" s="49">
        <f t="shared" si="76"/>
        <v>181.1</v>
      </c>
      <c r="AH532" s="49" t="str">
        <f t="shared" si="77"/>
        <v>T-27 mm</v>
      </c>
      <c r="AI532" s="49" t="str">
        <f t="shared" si="78"/>
        <v>1</v>
      </c>
      <c r="AJ532" s="49"/>
      <c r="AK532" s="49"/>
      <c r="AL532" s="49"/>
      <c r="AM532" s="49"/>
      <c r="AN532" s="49">
        <v>181.1</v>
      </c>
      <c r="AO532" s="1" t="str">
        <f t="shared" si="85"/>
        <v>T-27 mm</v>
      </c>
      <c r="AP532" s="1">
        <f t="shared" si="81"/>
        <v>0</v>
      </c>
      <c r="AQ532" s="1">
        <v>181.1</v>
      </c>
      <c r="AR532" s="1" t="s">
        <v>514</v>
      </c>
      <c r="AS532" s="7" t="s">
        <v>515</v>
      </c>
      <c r="AT532" s="1" t="s">
        <v>516</v>
      </c>
      <c r="AU532" s="1" t="s">
        <v>504</v>
      </c>
      <c r="AV532" s="1" t="s">
        <v>9</v>
      </c>
    </row>
    <row r="533" spans="1:48">
      <c r="A533" s="1">
        <f t="shared" si="79"/>
        <v>294.10000000000002</v>
      </c>
      <c r="B533" s="1" t="str">
        <f t="shared" si="82"/>
        <v>T-35 mm</v>
      </c>
      <c r="C533" s="1" t="str">
        <f t="shared" si="80"/>
        <v>1-1/4</v>
      </c>
      <c r="D533" s="1">
        <v>294.10000000000002</v>
      </c>
      <c r="E533" s="1" t="s">
        <v>520</v>
      </c>
      <c r="F533" s="7" t="s">
        <v>521</v>
      </c>
      <c r="G533" s="1" t="s">
        <v>522</v>
      </c>
      <c r="H533" s="1" t="s">
        <v>504</v>
      </c>
      <c r="I533" s="1" t="s">
        <v>9</v>
      </c>
      <c r="P533" s="1">
        <f t="shared" si="83"/>
        <v>294.10000000000002</v>
      </c>
      <c r="Q533" s="1" t="str">
        <f t="shared" si="84"/>
        <v>T-35 mm</v>
      </c>
      <c r="R533" s="1" t="s">
        <v>523</v>
      </c>
      <c r="S533" s="1">
        <v>294.10000000000002</v>
      </c>
      <c r="T533" s="1" t="s">
        <v>520</v>
      </c>
      <c r="U533" s="7" t="s">
        <v>521</v>
      </c>
      <c r="V533" s="1" t="s">
        <v>522</v>
      </c>
      <c r="W533" s="1" t="s">
        <v>504</v>
      </c>
      <c r="X533" s="1" t="s">
        <v>9</v>
      </c>
      <c r="Z533" s="49"/>
      <c r="AA533" s="49">
        <v>294.10000000000002</v>
      </c>
      <c r="AB533" s="49" t="s">
        <v>520</v>
      </c>
      <c r="AC533" s="49" t="s">
        <v>523</v>
      </c>
      <c r="AD533" s="49"/>
      <c r="AE533" s="49"/>
      <c r="AF533" s="49"/>
      <c r="AG533" s="49">
        <f t="shared" si="76"/>
        <v>294.10000000000002</v>
      </c>
      <c r="AH533" s="49" t="str">
        <f t="shared" si="77"/>
        <v>T-35 mm</v>
      </c>
      <c r="AI533" s="49" t="str">
        <f t="shared" si="78"/>
        <v>1-1/4</v>
      </c>
      <c r="AJ533" s="49"/>
      <c r="AK533" s="49"/>
      <c r="AL533" s="49"/>
      <c r="AM533" s="49"/>
      <c r="AN533" s="49">
        <v>294.10000000000002</v>
      </c>
      <c r="AO533" s="1" t="str">
        <f t="shared" si="85"/>
        <v>T-35 mm</v>
      </c>
      <c r="AP533" s="1">
        <f t="shared" si="81"/>
        <v>0</v>
      </c>
      <c r="AQ533" s="1">
        <v>294.10000000000002</v>
      </c>
      <c r="AR533" s="1" t="s">
        <v>520</v>
      </c>
      <c r="AS533" s="7" t="s">
        <v>521</v>
      </c>
      <c r="AT533" s="1" t="s">
        <v>522</v>
      </c>
      <c r="AU533" s="1" t="s">
        <v>504</v>
      </c>
      <c r="AV533" s="1" t="s">
        <v>9</v>
      </c>
    </row>
    <row r="534" spans="1:48">
      <c r="A534" s="1">
        <f t="shared" si="79"/>
        <v>513.1</v>
      </c>
      <c r="B534" s="1" t="str">
        <f t="shared" si="82"/>
        <v>T-41 mm</v>
      </c>
      <c r="C534" s="1" t="str">
        <f t="shared" si="80"/>
        <v>1-1/2</v>
      </c>
      <c r="D534" s="1">
        <v>513.1</v>
      </c>
      <c r="E534" s="1" t="s">
        <v>524</v>
      </c>
      <c r="F534" s="7" t="s">
        <v>525</v>
      </c>
      <c r="G534" s="1" t="s">
        <v>526</v>
      </c>
      <c r="H534" s="1" t="s">
        <v>504</v>
      </c>
      <c r="I534" s="1" t="s">
        <v>9</v>
      </c>
      <c r="P534" s="1">
        <f t="shared" si="83"/>
        <v>513.1</v>
      </c>
      <c r="Q534" s="1" t="str">
        <f t="shared" si="84"/>
        <v>T-41 mm</v>
      </c>
      <c r="R534" s="1" t="s">
        <v>527</v>
      </c>
      <c r="S534" s="1">
        <v>513.1</v>
      </c>
      <c r="T534" s="1" t="s">
        <v>524</v>
      </c>
      <c r="U534" s="7" t="s">
        <v>525</v>
      </c>
      <c r="V534" s="1" t="s">
        <v>526</v>
      </c>
      <c r="W534" s="1" t="s">
        <v>504</v>
      </c>
      <c r="X534" s="1" t="s">
        <v>9</v>
      </c>
      <c r="Z534" s="49"/>
      <c r="AA534" s="49">
        <v>513.1</v>
      </c>
      <c r="AB534" s="49" t="s">
        <v>524</v>
      </c>
      <c r="AC534" s="49" t="s">
        <v>527</v>
      </c>
      <c r="AD534" s="49"/>
      <c r="AE534" s="49"/>
      <c r="AF534" s="49"/>
      <c r="AG534" s="49">
        <f t="shared" si="76"/>
        <v>513.1</v>
      </c>
      <c r="AH534" s="49" t="str">
        <f t="shared" si="77"/>
        <v>T-41 mm</v>
      </c>
      <c r="AI534" s="49" t="str">
        <f t="shared" si="78"/>
        <v>1-1/2</v>
      </c>
      <c r="AJ534" s="49"/>
      <c r="AK534" s="49"/>
      <c r="AL534" s="49"/>
      <c r="AM534" s="49"/>
      <c r="AN534" s="49">
        <v>513.1</v>
      </c>
      <c r="AO534" s="1" t="str">
        <f t="shared" si="85"/>
        <v>T-41 mm</v>
      </c>
      <c r="AP534" s="1">
        <f t="shared" si="81"/>
        <v>0</v>
      </c>
      <c r="AQ534" s="1">
        <v>513.1</v>
      </c>
      <c r="AR534" s="1" t="s">
        <v>524</v>
      </c>
      <c r="AS534" s="7" t="s">
        <v>525</v>
      </c>
      <c r="AT534" s="1" t="s">
        <v>526</v>
      </c>
      <c r="AU534" s="1" t="s">
        <v>504</v>
      </c>
      <c r="AV534" s="1" t="s">
        <v>9</v>
      </c>
    </row>
    <row r="535" spans="1:48">
      <c r="A535" s="1">
        <f t="shared" si="79"/>
        <v>697.1</v>
      </c>
      <c r="B535" s="1" t="str">
        <f t="shared" si="82"/>
        <v>T-53 mm</v>
      </c>
      <c r="C535" s="1" t="str">
        <f t="shared" si="80"/>
        <v>2</v>
      </c>
      <c r="D535" s="1">
        <v>697.1</v>
      </c>
      <c r="E535" s="1" t="s">
        <v>528</v>
      </c>
      <c r="F535" s="7" t="s">
        <v>529</v>
      </c>
      <c r="G535" s="1" t="s">
        <v>530</v>
      </c>
      <c r="H535" s="1" t="s">
        <v>504</v>
      </c>
      <c r="I535" s="1" t="s">
        <v>9</v>
      </c>
      <c r="P535" s="1">
        <f t="shared" si="83"/>
        <v>697.1</v>
      </c>
      <c r="Q535" s="1" t="str">
        <f t="shared" si="84"/>
        <v>T-53 mm</v>
      </c>
      <c r="R535" s="1" t="s">
        <v>531</v>
      </c>
      <c r="S535" s="1">
        <v>697.1</v>
      </c>
      <c r="T535" s="1" t="s">
        <v>528</v>
      </c>
      <c r="U535" s="7" t="s">
        <v>529</v>
      </c>
      <c r="V535" s="1" t="s">
        <v>530</v>
      </c>
      <c r="W535" s="1" t="s">
        <v>504</v>
      </c>
      <c r="X535" s="1" t="s">
        <v>9</v>
      </c>
      <c r="Z535" s="49"/>
      <c r="AA535" s="49">
        <v>697.1</v>
      </c>
      <c r="AB535" s="49" t="s">
        <v>528</v>
      </c>
      <c r="AC535" s="49" t="s">
        <v>531</v>
      </c>
      <c r="AD535" s="49"/>
      <c r="AE535" s="49"/>
      <c r="AF535" s="49"/>
      <c r="AG535" s="49">
        <f t="shared" si="76"/>
        <v>697.1</v>
      </c>
      <c r="AH535" s="49" t="str">
        <f t="shared" si="77"/>
        <v>T-53 mm</v>
      </c>
      <c r="AI535" s="49" t="str">
        <f t="shared" si="78"/>
        <v>2</v>
      </c>
      <c r="AJ535" s="49"/>
      <c r="AK535" s="49"/>
      <c r="AL535" s="49"/>
      <c r="AM535" s="49"/>
      <c r="AN535" s="49">
        <v>697.1</v>
      </c>
      <c r="AO535" s="1" t="str">
        <f t="shared" si="85"/>
        <v>T-53 mm</v>
      </c>
      <c r="AP535" s="1">
        <f t="shared" si="81"/>
        <v>0</v>
      </c>
      <c r="AQ535" s="1">
        <v>697.1</v>
      </c>
      <c r="AR535" s="1" t="s">
        <v>528</v>
      </c>
      <c r="AS535" s="7" t="s">
        <v>529</v>
      </c>
      <c r="AT535" s="1" t="s">
        <v>530</v>
      </c>
      <c r="AU535" s="1" t="s">
        <v>504</v>
      </c>
      <c r="AV535" s="1" t="s">
        <v>9</v>
      </c>
    </row>
    <row r="536" spans="1:48">
      <c r="A536" s="1">
        <f t="shared" si="79"/>
        <v>1149.0999999999999</v>
      </c>
      <c r="B536" s="1" t="str">
        <f t="shared" si="82"/>
        <v>T-63 mm</v>
      </c>
      <c r="C536" s="1" t="str">
        <f t="shared" si="80"/>
        <v>2-1/2</v>
      </c>
      <c r="D536" s="1">
        <v>1149.0999999999999</v>
      </c>
      <c r="E536" s="1" t="s">
        <v>532</v>
      </c>
      <c r="F536" s="7" t="s">
        <v>533</v>
      </c>
      <c r="G536" s="1" t="s">
        <v>532</v>
      </c>
      <c r="H536" s="1" t="s">
        <v>504</v>
      </c>
      <c r="I536" s="1" t="s">
        <v>9</v>
      </c>
      <c r="P536" s="1">
        <f t="shared" si="83"/>
        <v>1149.0999999999999</v>
      </c>
      <c r="Q536" s="1" t="str">
        <f t="shared" si="84"/>
        <v>T-63 mm</v>
      </c>
      <c r="R536" s="1" t="s">
        <v>534</v>
      </c>
      <c r="S536" s="1">
        <v>1149.0999999999999</v>
      </c>
      <c r="T536" s="1" t="s">
        <v>532</v>
      </c>
      <c r="U536" s="7" t="s">
        <v>533</v>
      </c>
      <c r="V536" s="1" t="s">
        <v>532</v>
      </c>
      <c r="W536" s="1" t="s">
        <v>504</v>
      </c>
      <c r="X536" s="1" t="s">
        <v>9</v>
      </c>
      <c r="Z536" s="49"/>
      <c r="AA536" s="49">
        <v>1149.0999999999999</v>
      </c>
      <c r="AB536" s="49" t="s">
        <v>532</v>
      </c>
      <c r="AC536" s="49" t="s">
        <v>534</v>
      </c>
      <c r="AD536" s="49"/>
      <c r="AE536" s="49"/>
      <c r="AF536" s="49"/>
      <c r="AG536" s="49">
        <f t="shared" si="76"/>
        <v>1149.0999999999999</v>
      </c>
      <c r="AH536" s="49" t="str">
        <f t="shared" si="77"/>
        <v>T-63 mm</v>
      </c>
      <c r="AI536" s="49" t="str">
        <f t="shared" si="78"/>
        <v>2-1/2</v>
      </c>
      <c r="AJ536" s="49"/>
      <c r="AK536" s="49"/>
      <c r="AL536" s="49"/>
      <c r="AM536" s="49"/>
      <c r="AN536" s="49">
        <v>1149.0999999999999</v>
      </c>
      <c r="AO536" s="1" t="str">
        <f t="shared" si="85"/>
        <v>T-63 mm</v>
      </c>
      <c r="AP536" s="1">
        <f t="shared" si="81"/>
        <v>0</v>
      </c>
      <c r="AQ536" s="1">
        <v>1149.0999999999999</v>
      </c>
      <c r="AR536" s="1" t="s">
        <v>532</v>
      </c>
      <c r="AS536" s="7" t="s">
        <v>533</v>
      </c>
      <c r="AT536" s="1" t="s">
        <v>532</v>
      </c>
      <c r="AU536" s="1" t="s">
        <v>504</v>
      </c>
      <c r="AV536" s="1" t="s">
        <v>9</v>
      </c>
    </row>
    <row r="537" spans="1:48">
      <c r="A537" s="1">
        <f t="shared" si="79"/>
        <v>1638.1</v>
      </c>
      <c r="B537" s="1" t="str">
        <f t="shared" si="82"/>
        <v>T-78 mm</v>
      </c>
      <c r="C537" s="1" t="str">
        <f t="shared" si="80"/>
        <v>3</v>
      </c>
      <c r="D537" s="1">
        <v>1638.1</v>
      </c>
      <c r="E537" s="1" t="s">
        <v>535</v>
      </c>
      <c r="F537" s="7" t="s">
        <v>536</v>
      </c>
      <c r="G537" s="1" t="s">
        <v>537</v>
      </c>
      <c r="H537" s="1" t="s">
        <v>504</v>
      </c>
      <c r="I537" s="1" t="s">
        <v>9</v>
      </c>
      <c r="P537" s="1">
        <f t="shared" si="83"/>
        <v>1638.1</v>
      </c>
      <c r="Q537" s="1" t="str">
        <f t="shared" si="84"/>
        <v>T-78 mm</v>
      </c>
      <c r="R537" s="1" t="s">
        <v>538</v>
      </c>
      <c r="S537" s="1">
        <v>1638.1</v>
      </c>
      <c r="T537" s="1" t="s">
        <v>535</v>
      </c>
      <c r="U537" s="7" t="s">
        <v>536</v>
      </c>
      <c r="V537" s="1" t="s">
        <v>537</v>
      </c>
      <c r="W537" s="1" t="s">
        <v>504</v>
      </c>
      <c r="X537" s="1" t="s">
        <v>9</v>
      </c>
      <c r="Z537" s="49"/>
      <c r="AA537" s="49">
        <v>1638.1</v>
      </c>
      <c r="AB537" s="49" t="s">
        <v>535</v>
      </c>
      <c r="AC537" s="49" t="s">
        <v>538</v>
      </c>
      <c r="AD537" s="49"/>
      <c r="AE537" s="49"/>
      <c r="AF537" s="49"/>
      <c r="AG537" s="49">
        <f t="shared" si="76"/>
        <v>1638.1</v>
      </c>
      <c r="AH537" s="49" t="str">
        <f t="shared" si="77"/>
        <v>T-78 mm</v>
      </c>
      <c r="AI537" s="49" t="str">
        <f t="shared" si="78"/>
        <v>3</v>
      </c>
      <c r="AJ537" s="49"/>
      <c r="AK537" s="49"/>
      <c r="AL537" s="49"/>
      <c r="AM537" s="49"/>
      <c r="AN537" s="49">
        <v>1638.1</v>
      </c>
      <c r="AO537" s="1" t="str">
        <f t="shared" si="85"/>
        <v>T-78 mm</v>
      </c>
      <c r="AP537" s="1">
        <f t="shared" si="81"/>
        <v>0</v>
      </c>
      <c r="AQ537" s="1">
        <v>1638.1</v>
      </c>
      <c r="AR537" s="1" t="s">
        <v>535</v>
      </c>
      <c r="AS537" s="7" t="s">
        <v>536</v>
      </c>
      <c r="AT537" s="1" t="s">
        <v>537</v>
      </c>
      <c r="AU537" s="1" t="s">
        <v>504</v>
      </c>
      <c r="AV537" s="1" t="s">
        <v>9</v>
      </c>
    </row>
    <row r="538" spans="1:48">
      <c r="A538" s="1">
        <f t="shared" si="79"/>
        <v>2523.1</v>
      </c>
      <c r="B538" s="1" t="str">
        <f t="shared" si="82"/>
        <v>T-103 mm</v>
      </c>
      <c r="C538" s="1" t="str">
        <f t="shared" si="80"/>
        <v>4</v>
      </c>
      <c r="D538" s="1">
        <v>2523.1</v>
      </c>
      <c r="E538" s="1" t="s">
        <v>539</v>
      </c>
      <c r="F538" s="7" t="s">
        <v>540</v>
      </c>
      <c r="G538" s="1" t="s">
        <v>541</v>
      </c>
      <c r="H538" s="1" t="s">
        <v>504</v>
      </c>
      <c r="I538" s="1" t="s">
        <v>9</v>
      </c>
      <c r="P538" s="1">
        <f t="shared" si="83"/>
        <v>2523.1</v>
      </c>
      <c r="Q538" s="1" t="str">
        <f t="shared" si="84"/>
        <v>T-103 mm</v>
      </c>
      <c r="R538" s="1" t="s">
        <v>542</v>
      </c>
      <c r="S538" s="1">
        <v>2523.1</v>
      </c>
      <c r="T538" s="1" t="s">
        <v>539</v>
      </c>
      <c r="U538" s="7" t="s">
        <v>540</v>
      </c>
      <c r="V538" s="1" t="s">
        <v>541</v>
      </c>
      <c r="W538" s="1" t="s">
        <v>504</v>
      </c>
      <c r="X538" s="1" t="s">
        <v>9</v>
      </c>
      <c r="Z538" s="49"/>
      <c r="AA538" s="49">
        <v>2523.1</v>
      </c>
      <c r="AB538" s="49" t="s">
        <v>539</v>
      </c>
      <c r="AC538" s="49" t="s">
        <v>542</v>
      </c>
      <c r="AD538" s="49"/>
      <c r="AE538" s="49"/>
      <c r="AF538" s="49"/>
      <c r="AG538" s="49">
        <f t="shared" si="76"/>
        <v>2523.1</v>
      </c>
      <c r="AH538" s="49" t="str">
        <f t="shared" si="77"/>
        <v>T-103 mm</v>
      </c>
      <c r="AI538" s="49" t="str">
        <f t="shared" si="78"/>
        <v>4</v>
      </c>
      <c r="AJ538" s="49"/>
      <c r="AK538" s="49"/>
      <c r="AL538" s="49"/>
      <c r="AM538" s="49"/>
      <c r="AN538" s="49">
        <v>2523.1</v>
      </c>
      <c r="AO538" s="1" t="str">
        <f t="shared" si="85"/>
        <v>T-103 mm</v>
      </c>
      <c r="AP538" s="1">
        <f t="shared" si="81"/>
        <v>0</v>
      </c>
      <c r="AQ538" s="1">
        <v>2523.1</v>
      </c>
      <c r="AR538" s="1" t="s">
        <v>539</v>
      </c>
      <c r="AS538" s="7" t="s">
        <v>540</v>
      </c>
      <c r="AT538" s="1" t="s">
        <v>541</v>
      </c>
      <c r="AU538" s="1" t="s">
        <v>504</v>
      </c>
      <c r="AV538" s="1" t="s">
        <v>9</v>
      </c>
    </row>
    <row r="539" spans="1:48">
      <c r="Z539" s="49"/>
      <c r="AA539" s="49">
        <v>0</v>
      </c>
      <c r="AB539" s="49">
        <v>0</v>
      </c>
      <c r="AC539" s="49">
        <v>0</v>
      </c>
      <c r="AD539" s="49"/>
      <c r="AE539" s="49"/>
      <c r="AF539" s="49"/>
      <c r="AG539" s="49">
        <f t="shared" si="76"/>
        <v>0</v>
      </c>
      <c r="AH539" s="49">
        <f t="shared" si="77"/>
        <v>0</v>
      </c>
      <c r="AI539" s="49">
        <f t="shared" si="78"/>
        <v>0</v>
      </c>
      <c r="AJ539" s="49"/>
      <c r="AK539" s="49"/>
      <c r="AL539" s="49"/>
      <c r="AM539" s="49"/>
      <c r="AN539" s="49">
        <v>0</v>
      </c>
      <c r="AO539" s="1">
        <f t="shared" si="85"/>
        <v>0</v>
      </c>
      <c r="AP539" s="1"/>
      <c r="AQ539" s="1"/>
      <c r="AR539" s="1"/>
      <c r="AS539" s="1"/>
      <c r="AT539" s="1"/>
    </row>
    <row r="540" spans="1:48">
      <c r="Z540" s="49"/>
      <c r="AA540" s="49">
        <v>0</v>
      </c>
      <c r="AB540" s="49">
        <v>0</v>
      </c>
      <c r="AC540" s="49">
        <v>0</v>
      </c>
      <c r="AD540" s="49"/>
      <c r="AE540" s="49"/>
      <c r="AF540" s="49"/>
      <c r="AG540" s="49">
        <f t="shared" si="76"/>
        <v>0</v>
      </c>
      <c r="AH540" s="49">
        <f t="shared" si="77"/>
        <v>0</v>
      </c>
      <c r="AI540" s="49">
        <f t="shared" si="78"/>
        <v>0</v>
      </c>
      <c r="AJ540" s="49"/>
      <c r="AK540" s="49"/>
      <c r="AL540" s="49"/>
      <c r="AM540" s="49"/>
      <c r="AN540" s="49">
        <v>0</v>
      </c>
      <c r="AO540" s="1">
        <f t="shared" si="85"/>
        <v>0</v>
      </c>
      <c r="AP540" s="1"/>
      <c r="AQ540" s="1"/>
      <c r="AR540" s="1"/>
      <c r="AS540" s="1"/>
      <c r="AT540" s="1"/>
    </row>
    <row r="541" spans="1:48">
      <c r="A541" s="1">
        <f t="shared" ref="A541:A549" si="86">AG541</f>
        <v>0</v>
      </c>
      <c r="B541" s="1" t="str">
        <f t="shared" ref="B541:B549" si="87">IF($B$528="NOM",E541,IF($B$528="IN",F541,IF($B$528="MT",G541,IF($B$528="MC",H541,"OTRO"))))</f>
        <v>T-16 mm</v>
      </c>
      <c r="C541" s="1" t="str">
        <f t="shared" ref="C541:C549" si="88">AI541</f>
        <v>1/2</v>
      </c>
      <c r="D541" s="1">
        <v>0</v>
      </c>
      <c r="E541" s="1" t="s">
        <v>501</v>
      </c>
      <c r="F541" s="6" t="s">
        <v>502</v>
      </c>
      <c r="G541" s="1" t="s">
        <v>503</v>
      </c>
      <c r="H541" s="1" t="s">
        <v>504</v>
      </c>
      <c r="I541" s="1" t="s">
        <v>9</v>
      </c>
      <c r="P541" s="1">
        <f t="shared" ref="P541:P549" si="89">AG541</f>
        <v>0</v>
      </c>
      <c r="Q541" s="1" t="str">
        <f t="shared" ref="Q541:Q549" si="90">IF($Q$528="NOM",T541,IF($Q$528="IN",U541,IF($Q$528="MT",V541,IF($Q$528="MC",W541,"OTRO"))))</f>
        <v>T-16 mm</v>
      </c>
      <c r="R541" s="1" t="s">
        <v>507</v>
      </c>
      <c r="S541" s="1">
        <v>0</v>
      </c>
      <c r="T541" s="1" t="s">
        <v>501</v>
      </c>
      <c r="U541" s="6" t="s">
        <v>502</v>
      </c>
      <c r="V541" s="1" t="s">
        <v>503</v>
      </c>
      <c r="W541" s="1" t="s">
        <v>504</v>
      </c>
      <c r="X541" s="1" t="s">
        <v>9</v>
      </c>
      <c r="Z541" s="49"/>
      <c r="AA541" s="49">
        <v>0</v>
      </c>
      <c r="AB541" s="49" t="s">
        <v>501</v>
      </c>
      <c r="AC541" s="49" t="s">
        <v>507</v>
      </c>
      <c r="AD541" s="49"/>
      <c r="AE541" s="49"/>
      <c r="AF541" s="49"/>
      <c r="AG541" s="49">
        <f t="shared" si="76"/>
        <v>0</v>
      </c>
      <c r="AH541" s="49" t="str">
        <f t="shared" si="77"/>
        <v>T-16 mm</v>
      </c>
      <c r="AI541" s="49" t="str">
        <f t="shared" si="78"/>
        <v>1/2</v>
      </c>
      <c r="AJ541" s="49"/>
      <c r="AK541" s="49"/>
      <c r="AL541" s="49"/>
      <c r="AM541" s="49"/>
      <c r="AN541" s="49">
        <v>0</v>
      </c>
      <c r="AO541" s="1" t="str">
        <f t="shared" si="85"/>
        <v>T-16 mm</v>
      </c>
      <c r="AP541" s="1">
        <f t="shared" ref="AP541:AP549" si="91">BV541</f>
        <v>0</v>
      </c>
      <c r="AQ541" s="1">
        <v>0</v>
      </c>
      <c r="AR541" s="1" t="s">
        <v>501</v>
      </c>
      <c r="AS541" s="6" t="s">
        <v>502</v>
      </c>
      <c r="AT541" s="1" t="s">
        <v>503</v>
      </c>
      <c r="AU541" s="1" t="s">
        <v>504</v>
      </c>
      <c r="AV541" s="1" t="s">
        <v>9</v>
      </c>
    </row>
    <row r="542" spans="1:48">
      <c r="A542" s="1">
        <f t="shared" si="86"/>
        <v>60.1</v>
      </c>
      <c r="B542" s="1" t="str">
        <f t="shared" si="87"/>
        <v>T-21 mm</v>
      </c>
      <c r="C542" s="1" t="str">
        <f t="shared" si="88"/>
        <v>3/4</v>
      </c>
      <c r="D542" s="1">
        <v>60.1</v>
      </c>
      <c r="E542" s="1" t="s">
        <v>508</v>
      </c>
      <c r="F542" s="6" t="s">
        <v>509</v>
      </c>
      <c r="G542" s="1" t="s">
        <v>510</v>
      </c>
      <c r="H542" s="1" t="s">
        <v>504</v>
      </c>
      <c r="I542" s="1" t="s">
        <v>9</v>
      </c>
      <c r="P542" s="1">
        <f t="shared" si="89"/>
        <v>60.1</v>
      </c>
      <c r="Q542" s="1" t="str">
        <f t="shared" si="90"/>
        <v>T-21 mm</v>
      </c>
      <c r="R542" s="1" t="s">
        <v>513</v>
      </c>
      <c r="S542" s="1">
        <v>60.1</v>
      </c>
      <c r="T542" s="1" t="s">
        <v>508</v>
      </c>
      <c r="U542" s="6" t="s">
        <v>509</v>
      </c>
      <c r="V542" s="1" t="s">
        <v>510</v>
      </c>
      <c r="W542" s="1" t="s">
        <v>504</v>
      </c>
      <c r="X542" s="1" t="s">
        <v>9</v>
      </c>
      <c r="Z542" s="49"/>
      <c r="AA542" s="49">
        <v>60.1</v>
      </c>
      <c r="AB542" s="49" t="s">
        <v>508</v>
      </c>
      <c r="AC542" s="49" t="s">
        <v>513</v>
      </c>
      <c r="AD542" s="49"/>
      <c r="AE542" s="49"/>
      <c r="AF542" s="49"/>
      <c r="AG542" s="49">
        <f t="shared" si="76"/>
        <v>60.1</v>
      </c>
      <c r="AH542" s="49" t="str">
        <f t="shared" si="77"/>
        <v>T-21 mm</v>
      </c>
      <c r="AI542" s="49" t="str">
        <f t="shared" si="78"/>
        <v>3/4</v>
      </c>
      <c r="AJ542" s="49"/>
      <c r="AK542" s="49"/>
      <c r="AL542" s="49"/>
      <c r="AM542" s="49"/>
      <c r="AN542" s="49">
        <v>60.1</v>
      </c>
      <c r="AO542" s="1" t="str">
        <f t="shared" si="85"/>
        <v>T-21 mm</v>
      </c>
      <c r="AP542" s="1">
        <f t="shared" si="91"/>
        <v>0</v>
      </c>
      <c r="AQ542" s="1">
        <v>60.1</v>
      </c>
      <c r="AR542" s="1" t="s">
        <v>508</v>
      </c>
      <c r="AS542" s="6" t="s">
        <v>509</v>
      </c>
      <c r="AT542" s="1" t="s">
        <v>510</v>
      </c>
      <c r="AU542" s="1" t="s">
        <v>504</v>
      </c>
      <c r="AV542" s="1" t="s">
        <v>9</v>
      </c>
    </row>
    <row r="543" spans="1:48">
      <c r="A543" s="1">
        <f t="shared" si="86"/>
        <v>106.1</v>
      </c>
      <c r="B543" s="1" t="str">
        <f t="shared" si="87"/>
        <v>T-27 mm</v>
      </c>
      <c r="C543" s="1" t="str">
        <f t="shared" si="88"/>
        <v>1</v>
      </c>
      <c r="D543" s="1">
        <v>106.1</v>
      </c>
      <c r="E543" s="1" t="s">
        <v>514</v>
      </c>
      <c r="F543" s="7" t="s">
        <v>515</v>
      </c>
      <c r="G543" s="1" t="s">
        <v>516</v>
      </c>
      <c r="H543" s="1" t="s">
        <v>504</v>
      </c>
      <c r="I543" s="1" t="s">
        <v>9</v>
      </c>
      <c r="P543" s="1">
        <f t="shared" si="89"/>
        <v>106.1</v>
      </c>
      <c r="Q543" s="1" t="str">
        <f t="shared" si="90"/>
        <v>T-27 mm</v>
      </c>
      <c r="R543" s="1" t="s">
        <v>519</v>
      </c>
      <c r="S543" s="1">
        <v>106.1</v>
      </c>
      <c r="T543" s="1" t="s">
        <v>514</v>
      </c>
      <c r="U543" s="7" t="s">
        <v>515</v>
      </c>
      <c r="V543" s="1" t="s">
        <v>516</v>
      </c>
      <c r="W543" s="1" t="s">
        <v>504</v>
      </c>
      <c r="X543" s="1" t="s">
        <v>9</v>
      </c>
      <c r="Z543" s="49"/>
      <c r="AA543" s="49">
        <v>106.1</v>
      </c>
      <c r="AB543" s="49" t="s">
        <v>514</v>
      </c>
      <c r="AC543" s="49" t="s">
        <v>519</v>
      </c>
      <c r="AD543" s="49"/>
      <c r="AE543" s="49"/>
      <c r="AF543" s="49"/>
      <c r="AG543" s="49">
        <f t="shared" si="76"/>
        <v>106.1</v>
      </c>
      <c r="AH543" s="49" t="str">
        <f t="shared" si="77"/>
        <v>T-27 mm</v>
      </c>
      <c r="AI543" s="49" t="str">
        <f t="shared" si="78"/>
        <v>1</v>
      </c>
      <c r="AJ543" s="49"/>
      <c r="AK543" s="49"/>
      <c r="AL543" s="49"/>
      <c r="AM543" s="49"/>
      <c r="AN543" s="49">
        <v>106.1</v>
      </c>
      <c r="AO543" s="1" t="str">
        <f t="shared" si="85"/>
        <v>T-27 mm</v>
      </c>
      <c r="AP543" s="1">
        <f t="shared" si="91"/>
        <v>0</v>
      </c>
      <c r="AQ543" s="1">
        <v>106.1</v>
      </c>
      <c r="AR543" s="1" t="s">
        <v>514</v>
      </c>
      <c r="AS543" s="7" t="s">
        <v>515</v>
      </c>
      <c r="AT543" s="1" t="s">
        <v>516</v>
      </c>
      <c r="AU543" s="1" t="s">
        <v>504</v>
      </c>
      <c r="AV543" s="1" t="s">
        <v>9</v>
      </c>
    </row>
    <row r="544" spans="1:48">
      <c r="A544" s="1">
        <f t="shared" si="86"/>
        <v>172.1</v>
      </c>
      <c r="B544" s="1" t="str">
        <f t="shared" si="87"/>
        <v>T-35 mm</v>
      </c>
      <c r="C544" s="1" t="str">
        <f t="shared" si="88"/>
        <v>1-1/4</v>
      </c>
      <c r="D544" s="1">
        <v>172.1</v>
      </c>
      <c r="E544" s="1" t="s">
        <v>520</v>
      </c>
      <c r="F544" s="7" t="s">
        <v>521</v>
      </c>
      <c r="G544" s="1" t="s">
        <v>522</v>
      </c>
      <c r="H544" s="1" t="s">
        <v>504</v>
      </c>
      <c r="I544" s="1" t="s">
        <v>9</v>
      </c>
      <c r="P544" s="1">
        <f t="shared" si="89"/>
        <v>172.1</v>
      </c>
      <c r="Q544" s="1" t="str">
        <f t="shared" si="90"/>
        <v>T-35 mm</v>
      </c>
      <c r="R544" s="1" t="s">
        <v>523</v>
      </c>
      <c r="S544" s="1">
        <v>172.1</v>
      </c>
      <c r="T544" s="1" t="s">
        <v>520</v>
      </c>
      <c r="U544" s="7" t="s">
        <v>521</v>
      </c>
      <c r="V544" s="1" t="s">
        <v>522</v>
      </c>
      <c r="W544" s="1" t="s">
        <v>504</v>
      </c>
      <c r="X544" s="1" t="s">
        <v>9</v>
      </c>
      <c r="Z544" s="49"/>
      <c r="AA544" s="49">
        <v>172.1</v>
      </c>
      <c r="AB544" s="49" t="s">
        <v>520</v>
      </c>
      <c r="AC544" s="49" t="s">
        <v>523</v>
      </c>
      <c r="AD544" s="49"/>
      <c r="AE544" s="49"/>
      <c r="AF544" s="49"/>
      <c r="AG544" s="49">
        <f t="shared" si="76"/>
        <v>172.1</v>
      </c>
      <c r="AH544" s="49" t="str">
        <f t="shared" si="77"/>
        <v>T-35 mm</v>
      </c>
      <c r="AI544" s="49" t="str">
        <f t="shared" si="78"/>
        <v>1-1/4</v>
      </c>
      <c r="AJ544" s="49"/>
      <c r="AK544" s="49"/>
      <c r="AL544" s="49"/>
      <c r="AM544" s="49"/>
      <c r="AN544" s="49">
        <v>172.1</v>
      </c>
      <c r="AO544" s="1" t="str">
        <f t="shared" si="85"/>
        <v>T-35 mm</v>
      </c>
      <c r="AP544" s="1">
        <f t="shared" si="91"/>
        <v>0</v>
      </c>
      <c r="AQ544" s="1">
        <v>172.1</v>
      </c>
      <c r="AR544" s="1" t="s">
        <v>520</v>
      </c>
      <c r="AS544" s="7" t="s">
        <v>521</v>
      </c>
      <c r="AT544" s="1" t="s">
        <v>522</v>
      </c>
      <c r="AU544" s="1" t="s">
        <v>504</v>
      </c>
      <c r="AV544" s="1" t="s">
        <v>9</v>
      </c>
    </row>
    <row r="545" spans="1:48">
      <c r="A545" s="1">
        <f t="shared" si="86"/>
        <v>299.10000000000002</v>
      </c>
      <c r="B545" s="1" t="str">
        <f t="shared" si="87"/>
        <v>T-41 mm</v>
      </c>
      <c r="C545" s="1" t="str">
        <f t="shared" si="88"/>
        <v>1-1/2</v>
      </c>
      <c r="D545" s="1">
        <v>299.10000000000002</v>
      </c>
      <c r="E545" s="1" t="s">
        <v>524</v>
      </c>
      <c r="F545" s="7" t="s">
        <v>525</v>
      </c>
      <c r="G545" s="1" t="s">
        <v>526</v>
      </c>
      <c r="H545" s="1" t="s">
        <v>504</v>
      </c>
      <c r="I545" s="1" t="s">
        <v>9</v>
      </c>
      <c r="P545" s="1">
        <f t="shared" si="89"/>
        <v>299.10000000000002</v>
      </c>
      <c r="Q545" s="1" t="str">
        <f t="shared" si="90"/>
        <v>T-41 mm</v>
      </c>
      <c r="R545" s="1" t="s">
        <v>527</v>
      </c>
      <c r="S545" s="1">
        <v>299.10000000000002</v>
      </c>
      <c r="T545" s="1" t="s">
        <v>524</v>
      </c>
      <c r="U545" s="7" t="s">
        <v>525</v>
      </c>
      <c r="V545" s="1" t="s">
        <v>526</v>
      </c>
      <c r="W545" s="1" t="s">
        <v>504</v>
      </c>
      <c r="X545" s="1" t="s">
        <v>9</v>
      </c>
      <c r="Z545" s="49"/>
      <c r="AA545" s="49">
        <v>299.10000000000002</v>
      </c>
      <c r="AB545" s="49" t="s">
        <v>524</v>
      </c>
      <c r="AC545" s="49" t="s">
        <v>527</v>
      </c>
      <c r="AD545" s="49"/>
      <c r="AE545" s="49"/>
      <c r="AF545" s="49"/>
      <c r="AG545" s="49">
        <f t="shared" si="76"/>
        <v>299.10000000000002</v>
      </c>
      <c r="AH545" s="49" t="str">
        <f t="shared" si="77"/>
        <v>T-41 mm</v>
      </c>
      <c r="AI545" s="49" t="str">
        <f t="shared" si="78"/>
        <v>1-1/2</v>
      </c>
      <c r="AJ545" s="49"/>
      <c r="AK545" s="49"/>
      <c r="AL545" s="49"/>
      <c r="AM545" s="49"/>
      <c r="AN545" s="49">
        <v>299.10000000000002</v>
      </c>
      <c r="AO545" s="1" t="str">
        <f t="shared" si="85"/>
        <v>T-41 mm</v>
      </c>
      <c r="AP545" s="1">
        <f t="shared" si="91"/>
        <v>0</v>
      </c>
      <c r="AQ545" s="1">
        <v>299.10000000000002</v>
      </c>
      <c r="AR545" s="1" t="s">
        <v>524</v>
      </c>
      <c r="AS545" s="7" t="s">
        <v>525</v>
      </c>
      <c r="AT545" s="1" t="s">
        <v>526</v>
      </c>
      <c r="AU545" s="1" t="s">
        <v>504</v>
      </c>
      <c r="AV545" s="1" t="s">
        <v>9</v>
      </c>
    </row>
    <row r="546" spans="1:48">
      <c r="A546" s="1">
        <f t="shared" si="86"/>
        <v>407.1</v>
      </c>
      <c r="B546" s="1" t="str">
        <f t="shared" si="87"/>
        <v>T-53 mm</v>
      </c>
      <c r="C546" s="1" t="str">
        <f t="shared" si="88"/>
        <v>2</v>
      </c>
      <c r="D546" s="1">
        <v>407.1</v>
      </c>
      <c r="E546" s="1" t="s">
        <v>528</v>
      </c>
      <c r="F546" s="7" t="s">
        <v>529</v>
      </c>
      <c r="G546" s="1" t="s">
        <v>530</v>
      </c>
      <c r="H546" s="1" t="s">
        <v>504</v>
      </c>
      <c r="I546" s="1" t="s">
        <v>9</v>
      </c>
      <c r="P546" s="1">
        <f t="shared" si="89"/>
        <v>407.1</v>
      </c>
      <c r="Q546" s="1" t="str">
        <f t="shared" si="90"/>
        <v>T-53 mm</v>
      </c>
      <c r="R546" s="1" t="s">
        <v>531</v>
      </c>
      <c r="S546" s="1">
        <v>407.1</v>
      </c>
      <c r="T546" s="1" t="s">
        <v>528</v>
      </c>
      <c r="U546" s="7" t="s">
        <v>529</v>
      </c>
      <c r="V546" s="1" t="s">
        <v>530</v>
      </c>
      <c r="W546" s="1" t="s">
        <v>504</v>
      </c>
      <c r="X546" s="1" t="s">
        <v>9</v>
      </c>
      <c r="Z546" s="49"/>
      <c r="AA546" s="49">
        <v>407.1</v>
      </c>
      <c r="AB546" s="49" t="s">
        <v>528</v>
      </c>
      <c r="AC546" s="49" t="s">
        <v>531</v>
      </c>
      <c r="AD546" s="49"/>
      <c r="AE546" s="49"/>
      <c r="AF546" s="49"/>
      <c r="AG546" s="49">
        <f t="shared" si="76"/>
        <v>407.1</v>
      </c>
      <c r="AH546" s="49" t="str">
        <f t="shared" si="77"/>
        <v>T-53 mm</v>
      </c>
      <c r="AI546" s="49" t="str">
        <f t="shared" si="78"/>
        <v>2</v>
      </c>
      <c r="AJ546" s="49"/>
      <c r="AK546" s="49"/>
      <c r="AL546" s="49"/>
      <c r="AM546" s="49"/>
      <c r="AN546" s="49">
        <v>407.1</v>
      </c>
      <c r="AO546" s="1" t="str">
        <f t="shared" si="85"/>
        <v>T-53 mm</v>
      </c>
      <c r="AP546" s="1">
        <f t="shared" si="91"/>
        <v>0</v>
      </c>
      <c r="AQ546" s="1">
        <v>407.1</v>
      </c>
      <c r="AR546" s="1" t="s">
        <v>528</v>
      </c>
      <c r="AS546" s="7" t="s">
        <v>529</v>
      </c>
      <c r="AT546" s="1" t="s">
        <v>530</v>
      </c>
      <c r="AU546" s="1" t="s">
        <v>504</v>
      </c>
      <c r="AV546" s="1" t="s">
        <v>9</v>
      </c>
    </row>
    <row r="547" spans="1:48">
      <c r="A547" s="1">
        <f t="shared" si="86"/>
        <v>671.1</v>
      </c>
      <c r="B547" s="1" t="str">
        <f t="shared" si="87"/>
        <v>T-63 mm</v>
      </c>
      <c r="C547" s="1" t="str">
        <f t="shared" si="88"/>
        <v>2-1/2</v>
      </c>
      <c r="D547" s="1">
        <v>671.1</v>
      </c>
      <c r="E547" s="1" t="s">
        <v>532</v>
      </c>
      <c r="F547" s="7" t="s">
        <v>533</v>
      </c>
      <c r="G547" s="1" t="s">
        <v>532</v>
      </c>
      <c r="H547" s="1" t="s">
        <v>504</v>
      </c>
      <c r="I547" s="1" t="s">
        <v>9</v>
      </c>
      <c r="P547" s="1">
        <f t="shared" si="89"/>
        <v>671.1</v>
      </c>
      <c r="Q547" s="1" t="str">
        <f t="shared" si="90"/>
        <v>T-63 mm</v>
      </c>
      <c r="R547" s="1" t="s">
        <v>534</v>
      </c>
      <c r="S547" s="1">
        <v>671.1</v>
      </c>
      <c r="T547" s="1" t="s">
        <v>532</v>
      </c>
      <c r="U547" s="7" t="s">
        <v>533</v>
      </c>
      <c r="V547" s="1" t="s">
        <v>532</v>
      </c>
      <c r="W547" s="1" t="s">
        <v>504</v>
      </c>
      <c r="X547" s="1" t="s">
        <v>9</v>
      </c>
      <c r="Z547" s="49"/>
      <c r="AA547" s="49">
        <v>671.1</v>
      </c>
      <c r="AB547" s="49" t="s">
        <v>532</v>
      </c>
      <c r="AC547" s="49" t="s">
        <v>534</v>
      </c>
      <c r="AD547" s="49"/>
      <c r="AE547" s="49"/>
      <c r="AF547" s="49"/>
      <c r="AG547" s="49">
        <f t="shared" si="76"/>
        <v>671.1</v>
      </c>
      <c r="AH547" s="49" t="str">
        <f t="shared" si="77"/>
        <v>T-63 mm</v>
      </c>
      <c r="AI547" s="49" t="str">
        <f t="shared" si="78"/>
        <v>2-1/2</v>
      </c>
      <c r="AJ547" s="49"/>
      <c r="AK547" s="49"/>
      <c r="AL547" s="49"/>
      <c r="AM547" s="49"/>
      <c r="AN547" s="49">
        <v>671.1</v>
      </c>
      <c r="AO547" s="1" t="str">
        <f t="shared" si="85"/>
        <v>T-63 mm</v>
      </c>
      <c r="AP547" s="1">
        <f t="shared" si="91"/>
        <v>0</v>
      </c>
      <c r="AQ547" s="1">
        <v>671.1</v>
      </c>
      <c r="AR547" s="1" t="s">
        <v>532</v>
      </c>
      <c r="AS547" s="7" t="s">
        <v>533</v>
      </c>
      <c r="AT547" s="1" t="s">
        <v>532</v>
      </c>
      <c r="AU547" s="1" t="s">
        <v>504</v>
      </c>
      <c r="AV547" s="1" t="s">
        <v>9</v>
      </c>
    </row>
    <row r="548" spans="1:48">
      <c r="A548" s="1">
        <f t="shared" si="86"/>
        <v>956.1</v>
      </c>
      <c r="B548" s="1" t="str">
        <f t="shared" si="87"/>
        <v>T-78 mm</v>
      </c>
      <c r="C548" s="1" t="str">
        <f t="shared" si="88"/>
        <v>3</v>
      </c>
      <c r="D548" s="1">
        <v>956.1</v>
      </c>
      <c r="E548" s="1" t="s">
        <v>535</v>
      </c>
      <c r="F548" s="7" t="s">
        <v>536</v>
      </c>
      <c r="G548" s="1" t="s">
        <v>537</v>
      </c>
      <c r="H548" s="1" t="s">
        <v>504</v>
      </c>
      <c r="I548" s="1" t="s">
        <v>9</v>
      </c>
      <c r="P548" s="1">
        <f t="shared" si="89"/>
        <v>956.1</v>
      </c>
      <c r="Q548" s="1" t="str">
        <f t="shared" si="90"/>
        <v>T-78 mm</v>
      </c>
      <c r="R548" s="1" t="s">
        <v>538</v>
      </c>
      <c r="S548" s="1">
        <v>956.1</v>
      </c>
      <c r="T548" s="1" t="s">
        <v>535</v>
      </c>
      <c r="U548" s="7" t="s">
        <v>536</v>
      </c>
      <c r="V548" s="1" t="s">
        <v>537</v>
      </c>
      <c r="W548" s="1" t="s">
        <v>504</v>
      </c>
      <c r="X548" s="1" t="s">
        <v>9</v>
      </c>
      <c r="Z548" s="49"/>
      <c r="AA548" s="49">
        <v>956.1</v>
      </c>
      <c r="AB548" s="49" t="s">
        <v>535</v>
      </c>
      <c r="AC548" s="49" t="s">
        <v>538</v>
      </c>
      <c r="AD548" s="49"/>
      <c r="AE548" s="49"/>
      <c r="AF548" s="49"/>
      <c r="AG548" s="49">
        <f t="shared" si="76"/>
        <v>956.1</v>
      </c>
      <c r="AH548" s="49" t="str">
        <f t="shared" si="77"/>
        <v>T-78 mm</v>
      </c>
      <c r="AI548" s="49" t="str">
        <f t="shared" si="78"/>
        <v>3</v>
      </c>
      <c r="AJ548" s="49"/>
      <c r="AK548" s="49"/>
      <c r="AL548" s="49"/>
      <c r="AM548" s="49"/>
      <c r="AN548" s="49">
        <v>956.1</v>
      </c>
      <c r="AO548" s="1" t="str">
        <f t="shared" si="85"/>
        <v>T-78 mm</v>
      </c>
      <c r="AP548" s="1">
        <f t="shared" si="91"/>
        <v>0</v>
      </c>
      <c r="AQ548" s="1">
        <v>956.1</v>
      </c>
      <c r="AR548" s="1" t="s">
        <v>535</v>
      </c>
      <c r="AS548" s="7" t="s">
        <v>536</v>
      </c>
      <c r="AT548" s="1" t="s">
        <v>537</v>
      </c>
      <c r="AU548" s="1" t="s">
        <v>504</v>
      </c>
      <c r="AV548" s="1" t="s">
        <v>9</v>
      </c>
    </row>
    <row r="549" spans="1:48">
      <c r="A549" s="1">
        <f t="shared" si="86"/>
        <v>1476.1</v>
      </c>
      <c r="B549" s="1" t="str">
        <f t="shared" si="87"/>
        <v>T-103 mm</v>
      </c>
      <c r="C549" s="1" t="str">
        <f t="shared" si="88"/>
        <v>4</v>
      </c>
      <c r="D549" s="1">
        <v>1476.1</v>
      </c>
      <c r="E549" s="1" t="s">
        <v>539</v>
      </c>
      <c r="F549" s="7" t="s">
        <v>540</v>
      </c>
      <c r="G549" s="1" t="s">
        <v>541</v>
      </c>
      <c r="H549" s="1" t="s">
        <v>504</v>
      </c>
      <c r="I549" s="1" t="s">
        <v>9</v>
      </c>
      <c r="P549" s="1">
        <f t="shared" si="89"/>
        <v>1476.1</v>
      </c>
      <c r="Q549" s="1" t="str">
        <f t="shared" si="90"/>
        <v>T-103 mm</v>
      </c>
      <c r="R549" s="1" t="s">
        <v>542</v>
      </c>
      <c r="S549" s="1">
        <v>1476.1</v>
      </c>
      <c r="T549" s="1" t="s">
        <v>539</v>
      </c>
      <c r="U549" s="7" t="s">
        <v>540</v>
      </c>
      <c r="V549" s="1" t="s">
        <v>541</v>
      </c>
      <c r="W549" s="1" t="s">
        <v>504</v>
      </c>
      <c r="X549" s="1" t="s">
        <v>9</v>
      </c>
      <c r="Z549" s="49"/>
      <c r="AA549" s="49">
        <v>1476.1</v>
      </c>
      <c r="AB549" s="49" t="s">
        <v>539</v>
      </c>
      <c r="AC549" s="49" t="s">
        <v>542</v>
      </c>
      <c r="AD549" s="49"/>
      <c r="AE549" s="49"/>
      <c r="AF549" s="49"/>
      <c r="AG549" s="49">
        <f t="shared" si="76"/>
        <v>1476.1</v>
      </c>
      <c r="AH549" s="49" t="str">
        <f t="shared" si="77"/>
        <v>T-103 mm</v>
      </c>
      <c r="AI549" s="49" t="str">
        <f t="shared" si="78"/>
        <v>4</v>
      </c>
      <c r="AJ549" s="49"/>
      <c r="AK549" s="49"/>
      <c r="AL549" s="49"/>
      <c r="AM549" s="49"/>
      <c r="AN549" s="49">
        <v>1476.1</v>
      </c>
      <c r="AO549" s="1" t="str">
        <f t="shared" si="85"/>
        <v>T-103 mm</v>
      </c>
      <c r="AP549" s="1">
        <f t="shared" si="91"/>
        <v>0</v>
      </c>
      <c r="AQ549" s="1">
        <v>1476.1</v>
      </c>
      <c r="AR549" s="1" t="s">
        <v>539</v>
      </c>
      <c r="AS549" s="7" t="s">
        <v>540</v>
      </c>
      <c r="AT549" s="1" t="s">
        <v>541</v>
      </c>
      <c r="AU549" s="1" t="s">
        <v>504</v>
      </c>
      <c r="AV549" s="1" t="s">
        <v>9</v>
      </c>
    </row>
    <row r="550" spans="1:48">
      <c r="Z550" s="49"/>
      <c r="AA550" s="49">
        <v>0</v>
      </c>
      <c r="AB550" s="49">
        <v>0</v>
      </c>
      <c r="AC550" s="49">
        <v>0</v>
      </c>
      <c r="AD550" s="49"/>
      <c r="AE550" s="49"/>
      <c r="AF550" s="49"/>
      <c r="AG550" s="49">
        <f t="shared" si="76"/>
        <v>0</v>
      </c>
      <c r="AH550" s="49">
        <f t="shared" si="77"/>
        <v>0</v>
      </c>
      <c r="AI550" s="49">
        <f t="shared" si="78"/>
        <v>0</v>
      </c>
      <c r="AJ550" s="49"/>
      <c r="AK550" s="49"/>
      <c r="AL550" s="49"/>
      <c r="AM550" s="49"/>
      <c r="AN550" s="49">
        <v>0</v>
      </c>
      <c r="AO550" s="1">
        <f t="shared" si="85"/>
        <v>0</v>
      </c>
      <c r="AP550" s="1"/>
      <c r="AQ550" s="1"/>
      <c r="AR550" s="1"/>
      <c r="AS550" s="1"/>
      <c r="AT550" s="1"/>
    </row>
    <row r="551" spans="1:48">
      <c r="Z551" s="49"/>
      <c r="AA551" s="49">
        <v>0</v>
      </c>
      <c r="AB551" s="49">
        <v>0</v>
      </c>
      <c r="AC551" s="49">
        <v>0</v>
      </c>
      <c r="AD551" s="49"/>
      <c r="AE551" s="49"/>
      <c r="AF551" s="49"/>
      <c r="AG551" s="49">
        <f t="shared" si="76"/>
        <v>0</v>
      </c>
      <c r="AH551" s="49">
        <f t="shared" si="77"/>
        <v>0</v>
      </c>
      <c r="AI551" s="49">
        <f t="shared" si="78"/>
        <v>0</v>
      </c>
      <c r="AJ551" s="49"/>
      <c r="AK551" s="49"/>
      <c r="AL551" s="49"/>
      <c r="AM551" s="49"/>
      <c r="AN551" s="49">
        <v>0</v>
      </c>
      <c r="AO551" s="1">
        <f t="shared" si="85"/>
        <v>0</v>
      </c>
      <c r="AP551" s="1"/>
      <c r="AQ551" s="1"/>
      <c r="AR551" s="1"/>
      <c r="AS551" s="1"/>
      <c r="AT551" s="1"/>
    </row>
    <row r="552" spans="1:48">
      <c r="A552" s="1">
        <f t="shared" ref="A552:A560" si="92">AG552</f>
        <v>0</v>
      </c>
      <c r="B552" s="1" t="str">
        <f t="shared" ref="B552:B560" si="93">IF($B$528="NOM",E552,IF($B$528="IN",F552,IF($B$528="MT",G552,IF($B$528="MC",H552,"OTRO"))))</f>
        <v>T-16 mm</v>
      </c>
      <c r="C552" s="1" t="str">
        <f t="shared" ref="C552:C560" si="94">AI552</f>
        <v>1/2</v>
      </c>
      <c r="D552" s="1">
        <v>0</v>
      </c>
      <c r="E552" s="1" t="s">
        <v>501</v>
      </c>
      <c r="F552" s="6" t="s">
        <v>502</v>
      </c>
      <c r="G552" s="1" t="s">
        <v>503</v>
      </c>
      <c r="H552" s="1" t="s">
        <v>504</v>
      </c>
      <c r="I552" s="1" t="s">
        <v>9</v>
      </c>
      <c r="P552" s="1">
        <f t="shared" ref="P552:P560" si="95">AG552</f>
        <v>0</v>
      </c>
      <c r="Q552" s="1" t="str">
        <f t="shared" ref="Q552:Q560" si="96">IF($Q$528="NOM",T552,IF($Q$528="IN",U552,IF($Q$528="MT",V552,IF($Q$528="MC",W552,"OTRO"))))</f>
        <v>T-16 mm</v>
      </c>
      <c r="R552" s="1" t="s">
        <v>507</v>
      </c>
      <c r="S552" s="1">
        <v>0</v>
      </c>
      <c r="T552" s="1" t="s">
        <v>501</v>
      </c>
      <c r="U552" s="6" t="s">
        <v>502</v>
      </c>
      <c r="V552" s="1" t="s">
        <v>503</v>
      </c>
      <c r="W552" s="1" t="s">
        <v>504</v>
      </c>
      <c r="X552" s="1" t="s">
        <v>9</v>
      </c>
      <c r="Z552" s="49"/>
      <c r="AA552" s="49">
        <v>0</v>
      </c>
      <c r="AB552" s="49" t="s">
        <v>501</v>
      </c>
      <c r="AC552" s="49" t="s">
        <v>507</v>
      </c>
      <c r="AD552" s="49"/>
      <c r="AE552" s="49"/>
      <c r="AF552" s="49"/>
      <c r="AG552" s="49">
        <f t="shared" si="76"/>
        <v>0</v>
      </c>
      <c r="AH552" s="49" t="str">
        <f t="shared" si="77"/>
        <v>T-16 mm</v>
      </c>
      <c r="AI552" s="49" t="str">
        <f t="shared" si="78"/>
        <v>1/2</v>
      </c>
      <c r="AJ552" s="49"/>
      <c r="AK552" s="49"/>
      <c r="AL552" s="49"/>
      <c r="AM552" s="49"/>
      <c r="AN552" s="49">
        <v>0</v>
      </c>
      <c r="AO552" s="1" t="str">
        <f t="shared" si="85"/>
        <v>T-16 mm</v>
      </c>
      <c r="AP552" s="1">
        <f t="shared" ref="AP552:AP560" si="97">BV552</f>
        <v>0</v>
      </c>
      <c r="AQ552" s="1">
        <v>0</v>
      </c>
      <c r="AR552" s="1" t="s">
        <v>501</v>
      </c>
      <c r="AS552" s="6" t="s">
        <v>502</v>
      </c>
      <c r="AT552" s="1" t="s">
        <v>503</v>
      </c>
      <c r="AU552" s="1" t="s">
        <v>504</v>
      </c>
      <c r="AV552" s="1" t="s">
        <v>9</v>
      </c>
    </row>
    <row r="553" spans="1:48">
      <c r="A553" s="1">
        <f t="shared" si="92"/>
        <v>78.099999999999994</v>
      </c>
      <c r="B553" s="1" t="str">
        <f t="shared" si="93"/>
        <v>T-21 mm</v>
      </c>
      <c r="C553" s="1" t="str">
        <f t="shared" si="94"/>
        <v>3/4</v>
      </c>
      <c r="D553" s="1">
        <v>78.099999999999994</v>
      </c>
      <c r="E553" s="1" t="s">
        <v>508</v>
      </c>
      <c r="F553" s="6" t="s">
        <v>509</v>
      </c>
      <c r="G553" s="1" t="s">
        <v>510</v>
      </c>
      <c r="H553" s="1" t="s">
        <v>504</v>
      </c>
      <c r="I553" s="1" t="s">
        <v>9</v>
      </c>
      <c r="P553" s="1">
        <f t="shared" si="95"/>
        <v>78.099999999999994</v>
      </c>
      <c r="Q553" s="1" t="str">
        <f t="shared" si="96"/>
        <v>T-21 mm</v>
      </c>
      <c r="R553" s="1" t="s">
        <v>513</v>
      </c>
      <c r="S553" s="1">
        <v>78.099999999999994</v>
      </c>
      <c r="T553" s="1" t="s">
        <v>508</v>
      </c>
      <c r="U553" s="6" t="s">
        <v>509</v>
      </c>
      <c r="V553" s="1" t="s">
        <v>510</v>
      </c>
      <c r="W553" s="1" t="s">
        <v>504</v>
      </c>
      <c r="X553" s="1" t="s">
        <v>9</v>
      </c>
      <c r="Z553" s="49"/>
      <c r="AA553" s="49">
        <v>78.099999999999994</v>
      </c>
      <c r="AB553" s="49" t="s">
        <v>508</v>
      </c>
      <c r="AC553" s="49" t="s">
        <v>513</v>
      </c>
      <c r="AD553" s="49"/>
      <c r="AE553" s="49"/>
      <c r="AF553" s="49"/>
      <c r="AG553" s="49">
        <f t="shared" si="76"/>
        <v>78.099999999999994</v>
      </c>
      <c r="AH553" s="49" t="str">
        <f t="shared" si="77"/>
        <v>T-21 mm</v>
      </c>
      <c r="AI553" s="49" t="str">
        <f t="shared" si="78"/>
        <v>3/4</v>
      </c>
      <c r="AJ553" s="49"/>
      <c r="AK553" s="49"/>
      <c r="AL553" s="49"/>
      <c r="AM553" s="49"/>
      <c r="AN553" s="49">
        <v>78.099999999999994</v>
      </c>
      <c r="AO553" s="1" t="str">
        <f t="shared" si="85"/>
        <v>T-21 mm</v>
      </c>
      <c r="AP553" s="1">
        <f t="shared" si="97"/>
        <v>0</v>
      </c>
      <c r="AQ553" s="1">
        <v>78.099999999999994</v>
      </c>
      <c r="AR553" s="1" t="s">
        <v>508</v>
      </c>
      <c r="AS553" s="6" t="s">
        <v>509</v>
      </c>
      <c r="AT553" s="1" t="s">
        <v>510</v>
      </c>
      <c r="AU553" s="1" t="s">
        <v>504</v>
      </c>
      <c r="AV553" s="1" t="s">
        <v>9</v>
      </c>
    </row>
    <row r="554" spans="1:48">
      <c r="A554" s="1">
        <f t="shared" si="92"/>
        <v>137.1</v>
      </c>
      <c r="B554" s="1" t="str">
        <f t="shared" si="93"/>
        <v>T-27 mm</v>
      </c>
      <c r="C554" s="1" t="str">
        <f t="shared" si="94"/>
        <v>1</v>
      </c>
      <c r="D554" s="1">
        <v>137.1</v>
      </c>
      <c r="E554" s="1" t="s">
        <v>514</v>
      </c>
      <c r="F554" s="7" t="s">
        <v>515</v>
      </c>
      <c r="G554" s="1" t="s">
        <v>516</v>
      </c>
      <c r="H554" s="1" t="s">
        <v>504</v>
      </c>
      <c r="I554" s="1" t="s">
        <v>9</v>
      </c>
      <c r="P554" s="1">
        <f t="shared" si="95"/>
        <v>137.1</v>
      </c>
      <c r="Q554" s="1" t="str">
        <f t="shared" si="96"/>
        <v>T-27 mm</v>
      </c>
      <c r="R554" s="1" t="s">
        <v>519</v>
      </c>
      <c r="S554" s="1">
        <v>137.1</v>
      </c>
      <c r="T554" s="1" t="s">
        <v>514</v>
      </c>
      <c r="U554" s="7" t="s">
        <v>515</v>
      </c>
      <c r="V554" s="1" t="s">
        <v>516</v>
      </c>
      <c r="W554" s="1" t="s">
        <v>504</v>
      </c>
      <c r="X554" s="1" t="s">
        <v>9</v>
      </c>
      <c r="Z554" s="49"/>
      <c r="AA554" s="49">
        <v>137.1</v>
      </c>
      <c r="AB554" s="49" t="s">
        <v>514</v>
      </c>
      <c r="AC554" s="49" t="s">
        <v>519</v>
      </c>
      <c r="AD554" s="49"/>
      <c r="AE554" s="49"/>
      <c r="AF554" s="49"/>
      <c r="AG554" s="49">
        <f t="shared" si="76"/>
        <v>137.1</v>
      </c>
      <c r="AH554" s="49" t="str">
        <f t="shared" si="77"/>
        <v>T-27 mm</v>
      </c>
      <c r="AI554" s="49" t="str">
        <f t="shared" si="78"/>
        <v>1</v>
      </c>
      <c r="AJ554" s="49"/>
      <c r="AK554" s="49"/>
      <c r="AL554" s="49"/>
      <c r="AM554" s="49"/>
      <c r="AN554" s="49">
        <v>137.1</v>
      </c>
      <c r="AO554" s="1" t="str">
        <f t="shared" si="85"/>
        <v>T-27 mm</v>
      </c>
      <c r="AP554" s="1">
        <f t="shared" si="97"/>
        <v>0</v>
      </c>
      <c r="AQ554" s="1">
        <v>137.1</v>
      </c>
      <c r="AR554" s="1" t="s">
        <v>514</v>
      </c>
      <c r="AS554" s="7" t="s">
        <v>515</v>
      </c>
      <c r="AT554" s="1" t="s">
        <v>516</v>
      </c>
      <c r="AU554" s="1" t="s">
        <v>504</v>
      </c>
      <c r="AV554" s="1" t="s">
        <v>9</v>
      </c>
    </row>
    <row r="555" spans="1:48">
      <c r="A555" s="1">
        <f t="shared" si="92"/>
        <v>222.1</v>
      </c>
      <c r="B555" s="1" t="str">
        <f t="shared" si="93"/>
        <v>T-35 mm</v>
      </c>
      <c r="C555" s="1" t="str">
        <f t="shared" si="94"/>
        <v>1-1/4</v>
      </c>
      <c r="D555" s="1">
        <v>222.1</v>
      </c>
      <c r="E555" s="1" t="s">
        <v>520</v>
      </c>
      <c r="F555" s="7" t="s">
        <v>521</v>
      </c>
      <c r="G555" s="1" t="s">
        <v>522</v>
      </c>
      <c r="H555" s="1" t="s">
        <v>504</v>
      </c>
      <c r="I555" s="1" t="s">
        <v>9</v>
      </c>
      <c r="P555" s="1">
        <f t="shared" si="95"/>
        <v>222.1</v>
      </c>
      <c r="Q555" s="1" t="str">
        <f t="shared" si="96"/>
        <v>T-35 mm</v>
      </c>
      <c r="R555" s="1" t="s">
        <v>523</v>
      </c>
      <c r="S555" s="1">
        <v>222.1</v>
      </c>
      <c r="T555" s="1" t="s">
        <v>520</v>
      </c>
      <c r="U555" s="7" t="s">
        <v>521</v>
      </c>
      <c r="V555" s="1" t="s">
        <v>522</v>
      </c>
      <c r="W555" s="1" t="s">
        <v>504</v>
      </c>
      <c r="X555" s="1" t="s">
        <v>9</v>
      </c>
      <c r="Z555" s="49"/>
      <c r="AA555" s="49">
        <v>222.1</v>
      </c>
      <c r="AB555" s="49" t="s">
        <v>520</v>
      </c>
      <c r="AC555" s="49" t="s">
        <v>523</v>
      </c>
      <c r="AD555" s="49"/>
      <c r="AE555" s="49"/>
      <c r="AF555" s="49"/>
      <c r="AG555" s="49">
        <f t="shared" si="76"/>
        <v>222.1</v>
      </c>
      <c r="AH555" s="49" t="str">
        <f t="shared" si="77"/>
        <v>T-35 mm</v>
      </c>
      <c r="AI555" s="49" t="str">
        <f t="shared" si="78"/>
        <v>1-1/4</v>
      </c>
      <c r="AJ555" s="49"/>
      <c r="AK555" s="49"/>
      <c r="AL555" s="49"/>
      <c r="AM555" s="49"/>
      <c r="AN555" s="49">
        <v>222.1</v>
      </c>
      <c r="AO555" s="1" t="str">
        <f t="shared" si="85"/>
        <v>T-35 mm</v>
      </c>
      <c r="AP555" s="1">
        <f t="shared" si="97"/>
        <v>0</v>
      </c>
      <c r="AQ555" s="1">
        <v>222.1</v>
      </c>
      <c r="AR555" s="1" t="s">
        <v>520</v>
      </c>
      <c r="AS555" s="7" t="s">
        <v>521</v>
      </c>
      <c r="AT555" s="1" t="s">
        <v>522</v>
      </c>
      <c r="AU555" s="1" t="s">
        <v>504</v>
      </c>
      <c r="AV555" s="1" t="s">
        <v>9</v>
      </c>
    </row>
    <row r="556" spans="1:48">
      <c r="A556" s="1">
        <f t="shared" si="92"/>
        <v>387.1</v>
      </c>
      <c r="B556" s="1" t="str">
        <f t="shared" si="93"/>
        <v>T-41 mm</v>
      </c>
      <c r="C556" s="1" t="str">
        <f t="shared" si="94"/>
        <v>1-1/2</v>
      </c>
      <c r="D556" s="1">
        <v>387.1</v>
      </c>
      <c r="E556" s="1" t="s">
        <v>524</v>
      </c>
      <c r="F556" s="7" t="s">
        <v>525</v>
      </c>
      <c r="G556" s="1" t="s">
        <v>526</v>
      </c>
      <c r="H556" s="1" t="s">
        <v>504</v>
      </c>
      <c r="I556" s="1" t="s">
        <v>9</v>
      </c>
      <c r="P556" s="1">
        <f t="shared" si="95"/>
        <v>387.1</v>
      </c>
      <c r="Q556" s="1" t="str">
        <f t="shared" si="96"/>
        <v>T-41 mm</v>
      </c>
      <c r="R556" s="1" t="s">
        <v>527</v>
      </c>
      <c r="S556" s="1">
        <v>387.1</v>
      </c>
      <c r="T556" s="1" t="s">
        <v>524</v>
      </c>
      <c r="U556" s="7" t="s">
        <v>525</v>
      </c>
      <c r="V556" s="1" t="s">
        <v>526</v>
      </c>
      <c r="W556" s="1" t="s">
        <v>504</v>
      </c>
      <c r="X556" s="1" t="s">
        <v>9</v>
      </c>
      <c r="Z556" s="49"/>
      <c r="AA556" s="49">
        <v>387.1</v>
      </c>
      <c r="AB556" s="49" t="s">
        <v>524</v>
      </c>
      <c r="AC556" s="49" t="s">
        <v>527</v>
      </c>
      <c r="AD556" s="49"/>
      <c r="AE556" s="49"/>
      <c r="AF556" s="49"/>
      <c r="AG556" s="49">
        <f t="shared" si="76"/>
        <v>387.1</v>
      </c>
      <c r="AH556" s="49" t="str">
        <f t="shared" si="77"/>
        <v>T-41 mm</v>
      </c>
      <c r="AI556" s="49" t="str">
        <f t="shared" si="78"/>
        <v>1-1/2</v>
      </c>
      <c r="AJ556" s="49"/>
      <c r="AK556" s="49"/>
      <c r="AL556" s="49"/>
      <c r="AM556" s="49"/>
      <c r="AN556" s="49">
        <v>387.1</v>
      </c>
      <c r="AO556" s="1" t="str">
        <f t="shared" si="85"/>
        <v>T-41 mm</v>
      </c>
      <c r="AP556" s="1">
        <f t="shared" si="97"/>
        <v>0</v>
      </c>
      <c r="AQ556" s="1">
        <v>387.1</v>
      </c>
      <c r="AR556" s="1" t="s">
        <v>524</v>
      </c>
      <c r="AS556" s="7" t="s">
        <v>525</v>
      </c>
      <c r="AT556" s="1" t="s">
        <v>526</v>
      </c>
      <c r="AU556" s="1" t="s">
        <v>504</v>
      </c>
      <c r="AV556" s="1" t="s">
        <v>9</v>
      </c>
    </row>
    <row r="557" spans="1:48">
      <c r="A557" s="1">
        <f t="shared" si="92"/>
        <v>526.1</v>
      </c>
      <c r="B557" s="1" t="str">
        <f t="shared" si="93"/>
        <v>T-53 mm</v>
      </c>
      <c r="C557" s="1" t="str">
        <f t="shared" si="94"/>
        <v>2</v>
      </c>
      <c r="D557" s="1">
        <v>526.1</v>
      </c>
      <c r="E557" s="1" t="s">
        <v>528</v>
      </c>
      <c r="F557" s="7" t="s">
        <v>529</v>
      </c>
      <c r="G557" s="1" t="s">
        <v>530</v>
      </c>
      <c r="H557" s="1" t="s">
        <v>504</v>
      </c>
      <c r="I557" s="1" t="s">
        <v>9</v>
      </c>
      <c r="P557" s="1">
        <f t="shared" si="95"/>
        <v>526.1</v>
      </c>
      <c r="Q557" s="1" t="str">
        <f t="shared" si="96"/>
        <v>T-53 mm</v>
      </c>
      <c r="R557" s="1" t="s">
        <v>531</v>
      </c>
      <c r="S557" s="1">
        <v>526.1</v>
      </c>
      <c r="T557" s="1" t="s">
        <v>528</v>
      </c>
      <c r="U557" s="7" t="s">
        <v>529</v>
      </c>
      <c r="V557" s="1" t="s">
        <v>530</v>
      </c>
      <c r="W557" s="1" t="s">
        <v>504</v>
      </c>
      <c r="X557" s="1" t="s">
        <v>9</v>
      </c>
      <c r="Z557" s="49"/>
      <c r="AA557" s="49">
        <v>526.1</v>
      </c>
      <c r="AB557" s="49" t="s">
        <v>528</v>
      </c>
      <c r="AC557" s="49" t="s">
        <v>531</v>
      </c>
      <c r="AD557" s="49"/>
      <c r="AE557" s="49"/>
      <c r="AF557" s="49"/>
      <c r="AG557" s="49">
        <f t="shared" si="76"/>
        <v>526.1</v>
      </c>
      <c r="AH557" s="49" t="str">
        <f t="shared" si="77"/>
        <v>T-53 mm</v>
      </c>
      <c r="AI557" s="49" t="str">
        <f t="shared" si="78"/>
        <v>2</v>
      </c>
      <c r="AJ557" s="49"/>
      <c r="AK557" s="49"/>
      <c r="AL557" s="49"/>
      <c r="AM557" s="49"/>
      <c r="AN557" s="49">
        <v>526.1</v>
      </c>
      <c r="AO557" s="1" t="str">
        <f t="shared" si="85"/>
        <v>T-53 mm</v>
      </c>
      <c r="AP557" s="1">
        <f t="shared" si="97"/>
        <v>0</v>
      </c>
      <c r="AQ557" s="1">
        <v>526.1</v>
      </c>
      <c r="AR557" s="1" t="s">
        <v>528</v>
      </c>
      <c r="AS557" s="7" t="s">
        <v>529</v>
      </c>
      <c r="AT557" s="1" t="s">
        <v>530</v>
      </c>
      <c r="AU557" s="1" t="s">
        <v>504</v>
      </c>
      <c r="AV557" s="1" t="s">
        <v>9</v>
      </c>
    </row>
    <row r="558" spans="1:48">
      <c r="A558" s="1">
        <f t="shared" si="92"/>
        <v>867.1</v>
      </c>
      <c r="B558" s="1" t="str">
        <f t="shared" si="93"/>
        <v>T-63 mm</v>
      </c>
      <c r="C558" s="1" t="str">
        <f t="shared" si="94"/>
        <v>2-1/2</v>
      </c>
      <c r="D558" s="1">
        <v>867.1</v>
      </c>
      <c r="E558" s="1" t="s">
        <v>532</v>
      </c>
      <c r="F558" s="7" t="s">
        <v>533</v>
      </c>
      <c r="G558" s="1" t="s">
        <v>532</v>
      </c>
      <c r="H558" s="1" t="s">
        <v>504</v>
      </c>
      <c r="I558" s="1" t="s">
        <v>9</v>
      </c>
      <c r="P558" s="1">
        <f t="shared" si="95"/>
        <v>867.1</v>
      </c>
      <c r="Q558" s="1" t="str">
        <f t="shared" si="96"/>
        <v>T-63 mm</v>
      </c>
      <c r="R558" s="1" t="s">
        <v>534</v>
      </c>
      <c r="S558" s="1">
        <v>867.1</v>
      </c>
      <c r="T558" s="1" t="s">
        <v>532</v>
      </c>
      <c r="U558" s="7" t="s">
        <v>533</v>
      </c>
      <c r="V558" s="1" t="s">
        <v>532</v>
      </c>
      <c r="W558" s="1" t="s">
        <v>504</v>
      </c>
      <c r="X558" s="1" t="s">
        <v>9</v>
      </c>
      <c r="Z558" s="49"/>
      <c r="AA558" s="49">
        <v>867.1</v>
      </c>
      <c r="AB558" s="49" t="s">
        <v>532</v>
      </c>
      <c r="AC558" s="49" t="s">
        <v>534</v>
      </c>
      <c r="AD558" s="49"/>
      <c r="AE558" s="49"/>
      <c r="AF558" s="49"/>
      <c r="AG558" s="49">
        <f t="shared" si="76"/>
        <v>867.1</v>
      </c>
      <c r="AH558" s="49" t="str">
        <f t="shared" si="77"/>
        <v>T-63 mm</v>
      </c>
      <c r="AI558" s="49" t="str">
        <f t="shared" si="78"/>
        <v>2-1/2</v>
      </c>
      <c r="AJ558" s="49"/>
      <c r="AK558" s="49"/>
      <c r="AL558" s="49"/>
      <c r="AM558" s="49"/>
      <c r="AN558" s="49">
        <v>867.1</v>
      </c>
      <c r="AO558" s="1" t="str">
        <f t="shared" si="85"/>
        <v>T-63 mm</v>
      </c>
      <c r="AP558" s="1">
        <f t="shared" si="97"/>
        <v>0</v>
      </c>
      <c r="AQ558" s="1">
        <v>867.1</v>
      </c>
      <c r="AR558" s="1" t="s">
        <v>532</v>
      </c>
      <c r="AS558" s="7" t="s">
        <v>533</v>
      </c>
      <c r="AT558" s="1" t="s">
        <v>532</v>
      </c>
      <c r="AU558" s="1" t="s">
        <v>504</v>
      </c>
      <c r="AV558" s="1" t="s">
        <v>9</v>
      </c>
    </row>
    <row r="559" spans="1:48">
      <c r="A559" s="1">
        <f t="shared" si="92"/>
        <v>1236.0999999999999</v>
      </c>
      <c r="B559" s="1" t="str">
        <f t="shared" si="93"/>
        <v>T-78 mm</v>
      </c>
      <c r="C559" s="1" t="str">
        <f t="shared" si="94"/>
        <v>3</v>
      </c>
      <c r="D559" s="1">
        <v>1236.0999999999999</v>
      </c>
      <c r="E559" s="1" t="s">
        <v>535</v>
      </c>
      <c r="F559" s="7" t="s">
        <v>536</v>
      </c>
      <c r="G559" s="1" t="s">
        <v>537</v>
      </c>
      <c r="H559" s="1" t="s">
        <v>504</v>
      </c>
      <c r="I559" s="1" t="s">
        <v>9</v>
      </c>
      <c r="P559" s="1">
        <f t="shared" si="95"/>
        <v>1236.0999999999999</v>
      </c>
      <c r="Q559" s="1" t="str">
        <f t="shared" si="96"/>
        <v>T-78 mm</v>
      </c>
      <c r="R559" s="1" t="s">
        <v>538</v>
      </c>
      <c r="S559" s="1">
        <v>1236.0999999999999</v>
      </c>
      <c r="T559" s="1" t="s">
        <v>535</v>
      </c>
      <c r="U559" s="7" t="s">
        <v>536</v>
      </c>
      <c r="V559" s="1" t="s">
        <v>537</v>
      </c>
      <c r="W559" s="1" t="s">
        <v>504</v>
      </c>
      <c r="X559" s="1" t="s">
        <v>9</v>
      </c>
      <c r="Z559" s="49"/>
      <c r="AA559" s="49">
        <v>1236.0999999999999</v>
      </c>
      <c r="AB559" s="49" t="s">
        <v>535</v>
      </c>
      <c r="AC559" s="49" t="s">
        <v>538</v>
      </c>
      <c r="AD559" s="49"/>
      <c r="AE559" s="49"/>
      <c r="AF559" s="49"/>
      <c r="AG559" s="49">
        <f t="shared" si="76"/>
        <v>1236.0999999999999</v>
      </c>
      <c r="AH559" s="49" t="str">
        <f t="shared" si="77"/>
        <v>T-78 mm</v>
      </c>
      <c r="AI559" s="49" t="str">
        <f t="shared" si="78"/>
        <v>3</v>
      </c>
      <c r="AJ559" s="49"/>
      <c r="AK559" s="49"/>
      <c r="AL559" s="49"/>
      <c r="AM559" s="49"/>
      <c r="AN559" s="49">
        <v>1236.0999999999999</v>
      </c>
      <c r="AO559" s="1" t="str">
        <f t="shared" si="85"/>
        <v>T-78 mm</v>
      </c>
      <c r="AP559" s="1">
        <f t="shared" si="97"/>
        <v>0</v>
      </c>
      <c r="AQ559" s="1">
        <v>1236.0999999999999</v>
      </c>
      <c r="AR559" s="1" t="s">
        <v>535</v>
      </c>
      <c r="AS559" s="7" t="s">
        <v>536</v>
      </c>
      <c r="AT559" s="1" t="s">
        <v>537</v>
      </c>
      <c r="AU559" s="1" t="s">
        <v>504</v>
      </c>
      <c r="AV559" s="1" t="s">
        <v>9</v>
      </c>
    </row>
    <row r="560" spans="1:48">
      <c r="A560" s="1">
        <f t="shared" si="92"/>
        <v>1904.1</v>
      </c>
      <c r="B560" s="1" t="str">
        <f t="shared" si="93"/>
        <v>T-103 mm</v>
      </c>
      <c r="C560" s="1" t="str">
        <f t="shared" si="94"/>
        <v>4</v>
      </c>
      <c r="D560" s="1">
        <v>1904.1</v>
      </c>
      <c r="E560" s="1" t="s">
        <v>539</v>
      </c>
      <c r="F560" s="7" t="s">
        <v>540</v>
      </c>
      <c r="G560" s="1" t="s">
        <v>541</v>
      </c>
      <c r="H560" s="1" t="s">
        <v>504</v>
      </c>
      <c r="I560" s="1" t="s">
        <v>9</v>
      </c>
      <c r="P560" s="1">
        <f t="shared" si="95"/>
        <v>1904.1</v>
      </c>
      <c r="Q560" s="1" t="str">
        <f t="shared" si="96"/>
        <v>T-103 mm</v>
      </c>
      <c r="R560" s="1" t="s">
        <v>542</v>
      </c>
      <c r="S560" s="1">
        <v>1904.1</v>
      </c>
      <c r="T560" s="1" t="s">
        <v>539</v>
      </c>
      <c r="U560" s="7" t="s">
        <v>540</v>
      </c>
      <c r="V560" s="1" t="s">
        <v>541</v>
      </c>
      <c r="W560" s="1" t="s">
        <v>504</v>
      </c>
      <c r="X560" s="1" t="s">
        <v>9</v>
      </c>
      <c r="Z560" s="49"/>
      <c r="AA560" s="49">
        <v>1904.1</v>
      </c>
      <c r="AB560" s="49" t="s">
        <v>539</v>
      </c>
      <c r="AC560" s="49" t="s">
        <v>542</v>
      </c>
      <c r="AD560" s="49"/>
      <c r="AE560" s="49"/>
      <c r="AF560" s="49"/>
      <c r="AG560" s="49">
        <f t="shared" si="76"/>
        <v>1904.1</v>
      </c>
      <c r="AH560" s="49" t="str">
        <f t="shared" si="77"/>
        <v>T-103 mm</v>
      </c>
      <c r="AI560" s="49" t="str">
        <f t="shared" si="78"/>
        <v>4</v>
      </c>
      <c r="AJ560" s="49"/>
      <c r="AK560" s="49"/>
      <c r="AL560" s="49"/>
      <c r="AM560" s="49"/>
      <c r="AN560" s="49">
        <v>1904.1</v>
      </c>
      <c r="AO560" s="1" t="str">
        <f t="shared" si="85"/>
        <v>T-103 mm</v>
      </c>
      <c r="AP560" s="1">
        <f t="shared" si="97"/>
        <v>0</v>
      </c>
      <c r="AQ560" s="1">
        <v>1904.1</v>
      </c>
      <c r="AR560" s="1" t="s">
        <v>539</v>
      </c>
      <c r="AS560" s="7" t="s">
        <v>540</v>
      </c>
      <c r="AT560" s="1" t="s">
        <v>541</v>
      </c>
      <c r="AU560" s="1" t="s">
        <v>504</v>
      </c>
      <c r="AV560" s="1" t="s">
        <v>9</v>
      </c>
    </row>
    <row r="561" spans="1:35">
      <c r="Z561" s="49"/>
      <c r="AA561" s="49">
        <v>0</v>
      </c>
      <c r="AB561" s="49">
        <v>0</v>
      </c>
      <c r="AC561" s="49">
        <v>0</v>
      </c>
      <c r="AD561" s="49"/>
      <c r="AE561" s="49"/>
      <c r="AF561" s="49"/>
      <c r="AG561" s="49">
        <f t="shared" si="76"/>
        <v>0</v>
      </c>
      <c r="AH561" s="49">
        <f t="shared" si="77"/>
        <v>0</v>
      </c>
      <c r="AI561" s="49">
        <f t="shared" si="78"/>
        <v>0</v>
      </c>
    </row>
    <row r="562" spans="1:35">
      <c r="Z562" s="49"/>
      <c r="AA562" s="49">
        <v>0</v>
      </c>
      <c r="AB562" s="49">
        <v>0</v>
      </c>
      <c r="AC562" s="49">
        <v>0</v>
      </c>
      <c r="AD562" s="49"/>
      <c r="AE562" s="49"/>
      <c r="AF562" s="49"/>
      <c r="AG562" s="49">
        <f t="shared" si="76"/>
        <v>0</v>
      </c>
      <c r="AH562" s="49">
        <f t="shared" si="77"/>
        <v>0</v>
      </c>
      <c r="AI562" s="49">
        <f t="shared" si="78"/>
        <v>0</v>
      </c>
    </row>
    <row r="563" spans="1:35">
      <c r="A563" s="2" t="s">
        <v>543</v>
      </c>
      <c r="B563" s="11"/>
      <c r="C563" s="11"/>
      <c r="D563" s="11"/>
      <c r="E563" s="11"/>
      <c r="F563" s="11"/>
      <c r="G563" s="11"/>
      <c r="H563" s="11"/>
      <c r="Z563" s="49"/>
      <c r="AA563" s="49" t="s">
        <v>543</v>
      </c>
      <c r="AB563" s="49">
        <v>0</v>
      </c>
      <c r="AC563" s="49">
        <v>0</v>
      </c>
      <c r="AD563" s="49"/>
      <c r="AE563" s="49"/>
      <c r="AF563" s="49"/>
      <c r="AG563" s="49" t="str">
        <f t="shared" si="76"/>
        <v>DIMENSIONES DE CHAROLAS</v>
      </c>
      <c r="AH563" s="49">
        <f t="shared" si="77"/>
        <v>0</v>
      </c>
      <c r="AI563" s="49">
        <f t="shared" si="78"/>
        <v>0</v>
      </c>
    </row>
    <row r="564" spans="1:35">
      <c r="A564" s="11"/>
      <c r="B564" s="11"/>
      <c r="C564" s="11"/>
      <c r="D564" s="11"/>
      <c r="E564" s="11"/>
      <c r="F564" s="11"/>
      <c r="G564" s="11"/>
      <c r="H564" s="11"/>
      <c r="Z564" s="49"/>
      <c r="AA564" s="49">
        <v>0</v>
      </c>
      <c r="AB564" s="49">
        <v>0</v>
      </c>
      <c r="AC564" s="49">
        <v>0</v>
      </c>
      <c r="AD564" s="49"/>
      <c r="AE564" s="49"/>
      <c r="AF564" s="49"/>
      <c r="AG564" s="49">
        <f t="shared" si="76"/>
        <v>0</v>
      </c>
      <c r="AH564" s="49">
        <f t="shared" si="77"/>
        <v>0</v>
      </c>
      <c r="AI564" s="49">
        <f t="shared" si="78"/>
        <v>0</v>
      </c>
    </row>
    <row r="565" spans="1:35">
      <c r="Z565" s="49"/>
      <c r="AA565" s="49">
        <v>0</v>
      </c>
      <c r="AB565" s="49">
        <v>0</v>
      </c>
      <c r="AC565" s="49">
        <v>0</v>
      </c>
      <c r="AD565" s="49"/>
      <c r="AE565" s="49"/>
      <c r="AF565" s="49"/>
      <c r="AG565" s="49">
        <f t="shared" si="76"/>
        <v>0</v>
      </c>
      <c r="AH565" s="49">
        <f t="shared" si="77"/>
        <v>0</v>
      </c>
      <c r="AI565" s="49">
        <f t="shared" si="78"/>
        <v>0</v>
      </c>
    </row>
    <row r="566" spans="1:35">
      <c r="Z566" s="49"/>
      <c r="AA566" s="49">
        <v>0</v>
      </c>
      <c r="AB566" s="49">
        <v>0</v>
      </c>
      <c r="AC566" s="49">
        <v>0</v>
      </c>
      <c r="AD566" s="49"/>
      <c r="AE566" s="49"/>
      <c r="AF566" s="49"/>
      <c r="AG566" s="49">
        <f t="shared" si="76"/>
        <v>0</v>
      </c>
      <c r="AH566" s="49">
        <f t="shared" si="77"/>
        <v>0</v>
      </c>
      <c r="AI566" s="49">
        <f t="shared" si="78"/>
        <v>0</v>
      </c>
    </row>
    <row r="567" spans="1:35">
      <c r="Z567" s="49"/>
      <c r="AA567" s="49">
        <v>0</v>
      </c>
      <c r="AB567" s="49">
        <v>0</v>
      </c>
      <c r="AC567" s="49">
        <v>0</v>
      </c>
      <c r="AD567" s="49"/>
      <c r="AE567" s="49"/>
      <c r="AF567" s="49"/>
      <c r="AG567" s="49">
        <f t="shared" si="76"/>
        <v>0</v>
      </c>
      <c r="AH567" s="49">
        <f t="shared" si="77"/>
        <v>0</v>
      </c>
      <c r="AI567" s="49">
        <f t="shared" si="78"/>
        <v>0</v>
      </c>
    </row>
    <row r="568" spans="1:35">
      <c r="A568" s="1" t="s">
        <v>544</v>
      </c>
      <c r="Z568" s="49"/>
      <c r="AA568" s="49" t="s">
        <v>544</v>
      </c>
      <c r="AB568" s="49">
        <v>0</v>
      </c>
      <c r="AC568" s="49">
        <v>0</v>
      </c>
      <c r="AD568" s="49"/>
      <c r="AE568" s="49"/>
      <c r="AF568" s="49"/>
      <c r="AG568" s="49" t="str">
        <f t="shared" si="76"/>
        <v>ANCHOS DE CHAROLA ESCALERA</v>
      </c>
      <c r="AH568" s="49">
        <f t="shared" si="77"/>
        <v>0</v>
      </c>
      <c r="AI568" s="49">
        <f t="shared" si="78"/>
        <v>0</v>
      </c>
    </row>
    <row r="569" spans="1:35">
      <c r="Z569" s="49"/>
      <c r="AA569" s="49">
        <v>0</v>
      </c>
      <c r="AB569" s="49">
        <v>0</v>
      </c>
      <c r="AC569" s="49">
        <v>0</v>
      </c>
      <c r="AD569" s="49"/>
      <c r="AE569" s="49"/>
      <c r="AF569" s="49"/>
      <c r="AG569" s="49">
        <f t="shared" si="76"/>
        <v>0</v>
      </c>
      <c r="AH569" s="49">
        <f t="shared" si="77"/>
        <v>0</v>
      </c>
      <c r="AI569" s="49">
        <f t="shared" si="78"/>
        <v>0</v>
      </c>
    </row>
    <row r="570" spans="1:35">
      <c r="A570" s="1" t="s">
        <v>378</v>
      </c>
      <c r="B570" s="192" t="str">
        <f>K9</f>
        <v>NOM</v>
      </c>
      <c r="C570" s="1" t="s">
        <v>545</v>
      </c>
      <c r="D570" s="1" t="s">
        <v>545</v>
      </c>
      <c r="Z570" s="49"/>
      <c r="AA570" s="49" t="s">
        <v>378</v>
      </c>
      <c r="AB570" s="49" t="s">
        <v>500</v>
      </c>
      <c r="AC570" s="49" t="s">
        <v>545</v>
      </c>
      <c r="AD570" s="49"/>
      <c r="AE570" s="49"/>
      <c r="AF570" s="49"/>
      <c r="AG570" s="49" t="str">
        <f t="shared" si="76"/>
        <v>RANGO</v>
      </c>
      <c r="AH570" s="49" t="str">
        <f t="shared" si="77"/>
        <v>NOM</v>
      </c>
      <c r="AI570" s="49" t="str">
        <f t="shared" si="78"/>
        <v>ANCHO</v>
      </c>
    </row>
    <row r="571" spans="1:35">
      <c r="C571" s="1" t="s">
        <v>546</v>
      </c>
      <c r="D571" s="1" t="s">
        <v>547</v>
      </c>
      <c r="Z571" s="49"/>
      <c r="AA571" s="49">
        <v>0</v>
      </c>
      <c r="AB571" s="49">
        <v>0</v>
      </c>
      <c r="AC571" s="49" t="s">
        <v>546</v>
      </c>
      <c r="AD571" s="49"/>
      <c r="AE571" s="49"/>
      <c r="AF571" s="49"/>
      <c r="AG571" s="49">
        <f t="shared" si="76"/>
        <v>0</v>
      </c>
      <c r="AH571" s="49">
        <f t="shared" si="77"/>
        <v>0</v>
      </c>
      <c r="AI571" s="49" t="str">
        <f t="shared" si="78"/>
        <v>CM</v>
      </c>
    </row>
    <row r="572" spans="1:35">
      <c r="Z572" s="49"/>
      <c r="AA572" s="49">
        <v>0</v>
      </c>
      <c r="AB572" s="49">
        <v>0</v>
      </c>
      <c r="AC572" s="49">
        <v>0</v>
      </c>
      <c r="AD572" s="49"/>
      <c r="AE572" s="49"/>
      <c r="AF572" s="49"/>
      <c r="AG572" s="49">
        <f t="shared" si="76"/>
        <v>0</v>
      </c>
      <c r="AH572" s="49">
        <f t="shared" si="77"/>
        <v>0</v>
      </c>
      <c r="AI572" s="49">
        <f t="shared" si="78"/>
        <v>0</v>
      </c>
    </row>
    <row r="573" spans="1:35">
      <c r="A573" s="1">
        <f t="shared" ref="A573:A583" si="98">AG573</f>
        <v>0</v>
      </c>
      <c r="B573" s="1" t="str">
        <f>IF($B$570="IN",D573,C573)</f>
        <v>CH-10cm</v>
      </c>
      <c r="C573" s="1" t="str">
        <f t="shared" ref="C573:C583" si="99">AI573</f>
        <v>CH-10cm</v>
      </c>
      <c r="D573" s="1" t="s">
        <v>548</v>
      </c>
      <c r="Z573" s="49"/>
      <c r="AA573" s="49">
        <v>0</v>
      </c>
      <c r="AB573" s="49" t="s">
        <v>549</v>
      </c>
      <c r="AC573" s="49" t="s">
        <v>549</v>
      </c>
      <c r="AD573" s="49"/>
      <c r="AE573" s="49"/>
      <c r="AF573" s="49"/>
      <c r="AG573" s="49">
        <f t="shared" si="76"/>
        <v>0</v>
      </c>
      <c r="AH573" s="49" t="str">
        <f t="shared" si="77"/>
        <v>CH-10cm</v>
      </c>
      <c r="AI573" s="49" t="str">
        <f t="shared" si="78"/>
        <v>CH-10cm</v>
      </c>
    </row>
    <row r="574" spans="1:35">
      <c r="A574" s="1">
        <f t="shared" si="98"/>
        <v>100.1</v>
      </c>
      <c r="B574" s="1" t="str">
        <f t="shared" ref="B574:B583" si="100">IF($B$570="IN",D574,C574)</f>
        <v>CH-15cm</v>
      </c>
      <c r="C574" s="1" t="str">
        <f t="shared" si="99"/>
        <v>CH-15cm</v>
      </c>
      <c r="D574" s="1" t="s">
        <v>550</v>
      </c>
      <c r="Z574" s="49"/>
      <c r="AA574" s="49">
        <v>100.1</v>
      </c>
      <c r="AB574" s="49" t="s">
        <v>551</v>
      </c>
      <c r="AC574" s="49" t="s">
        <v>551</v>
      </c>
      <c r="AD574" s="49"/>
      <c r="AE574" s="49"/>
      <c r="AF574" s="49"/>
      <c r="AG574" s="49">
        <f t="shared" si="76"/>
        <v>100.1</v>
      </c>
      <c r="AH574" s="49" t="str">
        <f t="shared" si="77"/>
        <v>CH-15cm</v>
      </c>
      <c r="AI574" s="49" t="str">
        <f t="shared" si="78"/>
        <v>CH-15cm</v>
      </c>
    </row>
    <row r="575" spans="1:35">
      <c r="A575" s="1">
        <f t="shared" si="98"/>
        <v>150.1</v>
      </c>
      <c r="B575" s="1" t="str">
        <f t="shared" si="100"/>
        <v>CH-22cm</v>
      </c>
      <c r="C575" s="1" t="str">
        <f t="shared" si="99"/>
        <v>CH-22cm</v>
      </c>
      <c r="D575" s="1" t="s">
        <v>552</v>
      </c>
      <c r="Z575" s="49"/>
      <c r="AA575" s="49">
        <v>150.1</v>
      </c>
      <c r="AB575" s="49" t="s">
        <v>553</v>
      </c>
      <c r="AC575" s="49" t="s">
        <v>553</v>
      </c>
      <c r="AD575" s="49"/>
      <c r="AE575" s="49"/>
      <c r="AF575" s="49"/>
      <c r="AG575" s="49">
        <f t="shared" si="76"/>
        <v>150.1</v>
      </c>
      <c r="AH575" s="49" t="str">
        <f t="shared" si="77"/>
        <v>CH-22cm</v>
      </c>
      <c r="AI575" s="49" t="str">
        <f t="shared" si="78"/>
        <v>CH-22cm</v>
      </c>
    </row>
    <row r="576" spans="1:35">
      <c r="A576" s="1">
        <f t="shared" si="98"/>
        <v>220.1</v>
      </c>
      <c r="B576" s="1" t="str">
        <f t="shared" si="100"/>
        <v>CH-30cm</v>
      </c>
      <c r="C576" s="1" t="str">
        <f t="shared" si="99"/>
        <v>CH-30cm</v>
      </c>
      <c r="D576" s="1" t="s">
        <v>554</v>
      </c>
      <c r="Z576" s="49"/>
      <c r="AA576" s="49">
        <v>220.1</v>
      </c>
      <c r="AB576" s="49" t="s">
        <v>555</v>
      </c>
      <c r="AC576" s="49" t="s">
        <v>555</v>
      </c>
      <c r="AD576" s="49"/>
      <c r="AE576" s="49"/>
      <c r="AF576" s="49"/>
      <c r="AG576" s="49">
        <f t="shared" si="76"/>
        <v>220.1</v>
      </c>
      <c r="AH576" s="49" t="str">
        <f t="shared" si="77"/>
        <v>CH-30cm</v>
      </c>
      <c r="AI576" s="49" t="str">
        <f t="shared" si="78"/>
        <v>CH-30cm</v>
      </c>
    </row>
    <row r="577" spans="1:35">
      <c r="A577" s="1">
        <f t="shared" si="98"/>
        <v>300.10000000000002</v>
      </c>
      <c r="B577" s="1" t="str">
        <f t="shared" si="100"/>
        <v>CH-40cm</v>
      </c>
      <c r="C577" s="1" t="str">
        <f t="shared" si="99"/>
        <v>CH-40cm</v>
      </c>
      <c r="D577" s="1" t="s">
        <v>556</v>
      </c>
      <c r="Z577" s="49"/>
      <c r="AA577" s="49">
        <v>300.10000000000002</v>
      </c>
      <c r="AB577" s="49" t="s">
        <v>557</v>
      </c>
      <c r="AC577" s="49" t="s">
        <v>557</v>
      </c>
      <c r="AD577" s="49"/>
      <c r="AE577" s="49"/>
      <c r="AF577" s="49"/>
      <c r="AG577" s="49">
        <f t="shared" si="76"/>
        <v>300.10000000000002</v>
      </c>
      <c r="AH577" s="49" t="str">
        <f t="shared" si="77"/>
        <v>CH-40cm</v>
      </c>
      <c r="AI577" s="49" t="str">
        <f t="shared" si="78"/>
        <v>CH-40cm</v>
      </c>
    </row>
    <row r="578" spans="1:35">
      <c r="A578" s="1">
        <f t="shared" si="98"/>
        <v>400.1</v>
      </c>
      <c r="B578" s="1" t="str">
        <f t="shared" si="100"/>
        <v>CH-45cm</v>
      </c>
      <c r="C578" s="1" t="str">
        <f t="shared" si="99"/>
        <v>CH-45cm</v>
      </c>
      <c r="D578" s="1" t="s">
        <v>558</v>
      </c>
      <c r="Z578" s="49"/>
      <c r="AA578" s="49">
        <v>400.1</v>
      </c>
      <c r="AB578" s="49" t="s">
        <v>559</v>
      </c>
      <c r="AC578" s="49" t="s">
        <v>559</v>
      </c>
      <c r="AD578" s="49"/>
      <c r="AE578" s="49"/>
      <c r="AF578" s="49"/>
      <c r="AG578" s="49">
        <f t="shared" si="76"/>
        <v>400.1</v>
      </c>
      <c r="AH578" s="49" t="str">
        <f t="shared" si="77"/>
        <v>CH-45cm</v>
      </c>
      <c r="AI578" s="49" t="str">
        <f t="shared" si="78"/>
        <v>CH-45cm</v>
      </c>
    </row>
    <row r="579" spans="1:35">
      <c r="A579" s="1">
        <f t="shared" si="98"/>
        <v>450.1</v>
      </c>
      <c r="B579" s="1" t="str">
        <f t="shared" si="100"/>
        <v>CH-51cm</v>
      </c>
      <c r="C579" s="1" t="str">
        <f t="shared" si="99"/>
        <v>CH-51cm</v>
      </c>
      <c r="D579" s="1" t="s">
        <v>560</v>
      </c>
      <c r="Z579" s="49"/>
      <c r="AA579" s="49">
        <v>450.1</v>
      </c>
      <c r="AB579" s="49" t="s">
        <v>561</v>
      </c>
      <c r="AC579" s="49" t="s">
        <v>561</v>
      </c>
      <c r="AD579" s="49"/>
      <c r="AE579" s="49"/>
      <c r="AF579" s="49"/>
      <c r="AG579" s="49">
        <f t="shared" si="76"/>
        <v>450.1</v>
      </c>
      <c r="AH579" s="49" t="str">
        <f t="shared" si="77"/>
        <v>CH-51cm</v>
      </c>
      <c r="AI579" s="49" t="str">
        <f t="shared" si="78"/>
        <v>CH-51cm</v>
      </c>
    </row>
    <row r="580" spans="1:35">
      <c r="A580" s="1">
        <f t="shared" si="98"/>
        <v>510.1</v>
      </c>
      <c r="B580" s="1" t="str">
        <f t="shared" si="100"/>
        <v>CH-61cm</v>
      </c>
      <c r="C580" s="1" t="str">
        <f t="shared" si="99"/>
        <v>CH-61cm</v>
      </c>
      <c r="D580" s="1" t="s">
        <v>562</v>
      </c>
      <c r="Z580" s="49"/>
      <c r="AA580" s="49">
        <v>510.1</v>
      </c>
      <c r="AB580" s="49" t="s">
        <v>563</v>
      </c>
      <c r="AC580" s="49" t="s">
        <v>563</v>
      </c>
      <c r="AD580" s="49"/>
      <c r="AE580" s="49"/>
      <c r="AF580" s="49"/>
      <c r="AG580" s="49">
        <f t="shared" si="76"/>
        <v>510.1</v>
      </c>
      <c r="AH580" s="49" t="str">
        <f t="shared" si="77"/>
        <v>CH-61cm</v>
      </c>
      <c r="AI580" s="49" t="str">
        <f t="shared" si="78"/>
        <v>CH-61cm</v>
      </c>
    </row>
    <row r="581" spans="1:35">
      <c r="A581" s="1">
        <f t="shared" si="98"/>
        <v>610.1</v>
      </c>
      <c r="B581" s="1" t="str">
        <f t="shared" si="100"/>
        <v>CH-76cm</v>
      </c>
      <c r="C581" s="1" t="str">
        <f t="shared" si="99"/>
        <v>CH-76cm</v>
      </c>
      <c r="D581" s="1" t="s">
        <v>564</v>
      </c>
      <c r="Z581" s="49"/>
      <c r="AA581" s="49">
        <v>610.1</v>
      </c>
      <c r="AB581" s="49" t="s">
        <v>565</v>
      </c>
      <c r="AC581" s="49" t="s">
        <v>565</v>
      </c>
      <c r="AD581" s="49"/>
      <c r="AE581" s="49"/>
      <c r="AF581" s="49"/>
      <c r="AG581" s="49">
        <f t="shared" si="76"/>
        <v>610.1</v>
      </c>
      <c r="AH581" s="49" t="str">
        <f t="shared" si="77"/>
        <v>CH-76cm</v>
      </c>
      <c r="AI581" s="49" t="str">
        <f t="shared" si="78"/>
        <v>CH-76cm</v>
      </c>
    </row>
    <row r="582" spans="1:35">
      <c r="A582" s="1">
        <f t="shared" si="98"/>
        <v>760.1</v>
      </c>
      <c r="B582" s="1" t="str">
        <f t="shared" si="100"/>
        <v>CH-91cm</v>
      </c>
      <c r="C582" s="1" t="str">
        <f t="shared" si="99"/>
        <v>CH-91cm</v>
      </c>
      <c r="D582" s="1" t="s">
        <v>566</v>
      </c>
      <c r="Z582" s="49"/>
      <c r="AA582" s="49">
        <v>760.1</v>
      </c>
      <c r="AB582" s="49" t="s">
        <v>567</v>
      </c>
      <c r="AC582" s="49" t="s">
        <v>567</v>
      </c>
      <c r="AD582" s="49"/>
      <c r="AE582" s="49"/>
      <c r="AF582" s="49"/>
      <c r="AG582" s="49">
        <f t="shared" si="76"/>
        <v>760.1</v>
      </c>
      <c r="AH582" s="49" t="str">
        <f t="shared" si="77"/>
        <v>CH-91cm</v>
      </c>
      <c r="AI582" s="49" t="str">
        <f t="shared" si="78"/>
        <v>CH-91cm</v>
      </c>
    </row>
    <row r="583" spans="1:35">
      <c r="A583" s="1">
        <f t="shared" si="98"/>
        <v>910.1</v>
      </c>
      <c r="B583" s="1" t="str">
        <f t="shared" si="100"/>
        <v>2CH-91cm</v>
      </c>
      <c r="C583" s="1" t="str">
        <f t="shared" si="99"/>
        <v>2CH-91cm</v>
      </c>
      <c r="D583" s="1" t="s">
        <v>568</v>
      </c>
      <c r="Z583" s="49"/>
      <c r="AA583" s="49">
        <v>910.1</v>
      </c>
      <c r="AB583" s="49" t="s">
        <v>569</v>
      </c>
      <c r="AC583" s="49" t="s">
        <v>569</v>
      </c>
      <c r="AD583" s="49"/>
      <c r="AE583" s="49"/>
      <c r="AF583" s="49"/>
      <c r="AG583" s="49">
        <f t="shared" si="76"/>
        <v>910.1</v>
      </c>
      <c r="AH583" s="49" t="str">
        <f t="shared" si="77"/>
        <v>2CH-91cm</v>
      </c>
      <c r="AI583" s="49" t="str">
        <f t="shared" si="78"/>
        <v>2CH-91cm</v>
      </c>
    </row>
    <row r="584" spans="1:35">
      <c r="Z584" s="49"/>
      <c r="AA584" s="49">
        <v>0</v>
      </c>
      <c r="AB584" s="49">
        <v>0</v>
      </c>
      <c r="AC584" s="49">
        <v>0</v>
      </c>
      <c r="AD584" s="49"/>
      <c r="AE584" s="49"/>
      <c r="AF584" s="49"/>
      <c r="AG584" s="49">
        <f t="shared" si="76"/>
        <v>0</v>
      </c>
      <c r="AH584" s="49">
        <f t="shared" si="77"/>
        <v>0</v>
      </c>
      <c r="AI584" s="49">
        <f t="shared" si="78"/>
        <v>0</v>
      </c>
    </row>
    <row r="585" spans="1:35">
      <c r="Z585" s="49"/>
      <c r="AA585" s="49">
        <v>0</v>
      </c>
      <c r="AB585" s="49">
        <v>0</v>
      </c>
      <c r="AC585" s="49">
        <v>0</v>
      </c>
      <c r="AD585" s="49"/>
      <c r="AE585" s="49"/>
      <c r="AF585" s="49"/>
      <c r="AG585" s="49">
        <f t="shared" si="76"/>
        <v>0</v>
      </c>
      <c r="AH585" s="49">
        <f t="shared" si="77"/>
        <v>0</v>
      </c>
      <c r="AI585" s="49">
        <f t="shared" si="78"/>
        <v>0</v>
      </c>
    </row>
    <row r="586" spans="1:35">
      <c r="Z586" s="49"/>
      <c r="AA586" s="49">
        <v>0</v>
      </c>
      <c r="AB586" s="49">
        <v>0</v>
      </c>
      <c r="AC586" s="49">
        <v>0</v>
      </c>
      <c r="AD586" s="49"/>
      <c r="AE586" s="49"/>
      <c r="AF586" s="49"/>
      <c r="AG586" s="49">
        <f t="shared" si="76"/>
        <v>0</v>
      </c>
      <c r="AH586" s="49">
        <f t="shared" si="77"/>
        <v>0</v>
      </c>
      <c r="AI586" s="49">
        <f t="shared" si="78"/>
        <v>0</v>
      </c>
    </row>
    <row r="587" spans="1:35">
      <c r="A587" s="2" t="s">
        <v>543</v>
      </c>
      <c r="B587" s="11"/>
      <c r="C587" s="11"/>
      <c r="D587" s="11"/>
      <c r="E587" s="11"/>
      <c r="F587" s="11"/>
      <c r="G587" s="11"/>
      <c r="H587" s="11"/>
      <c r="Z587" s="49"/>
      <c r="AA587" s="49" t="s">
        <v>543</v>
      </c>
      <c r="AB587" s="49">
        <v>0</v>
      </c>
      <c r="AC587" s="49">
        <v>0</v>
      </c>
      <c r="AD587" s="49"/>
      <c r="AE587" s="49"/>
      <c r="AF587" s="49"/>
      <c r="AG587" s="49" t="str">
        <f t="shared" si="76"/>
        <v>DIMENSIONES DE CHAROLAS</v>
      </c>
      <c r="AH587" s="49">
        <f t="shared" si="77"/>
        <v>0</v>
      </c>
      <c r="AI587" s="49">
        <f t="shared" si="78"/>
        <v>0</v>
      </c>
    </row>
    <row r="588" spans="1:35">
      <c r="A588" s="11"/>
      <c r="B588" s="11"/>
      <c r="C588" s="11"/>
      <c r="D588" s="11"/>
      <c r="E588" s="11"/>
      <c r="F588" s="11"/>
      <c r="G588" s="11"/>
      <c r="H588" s="11"/>
      <c r="Z588" s="49"/>
      <c r="AA588" s="49">
        <v>0</v>
      </c>
      <c r="AB588" s="49">
        <v>0</v>
      </c>
      <c r="AC588" s="49">
        <v>0</v>
      </c>
      <c r="AD588" s="49"/>
      <c r="AE588" s="49"/>
      <c r="AF588" s="49"/>
      <c r="AG588" s="49">
        <f t="shared" si="76"/>
        <v>0</v>
      </c>
      <c r="AH588" s="49">
        <f t="shared" si="77"/>
        <v>0</v>
      </c>
      <c r="AI588" s="49">
        <f t="shared" si="78"/>
        <v>0</v>
      </c>
    </row>
    <row r="589" spans="1:35">
      <c r="Z589" s="49"/>
      <c r="AA589" s="49">
        <v>0</v>
      </c>
      <c r="AB589" s="49">
        <v>0</v>
      </c>
      <c r="AC589" s="49">
        <v>0</v>
      </c>
      <c r="AD589" s="49"/>
      <c r="AE589" s="49"/>
      <c r="AF589" s="49"/>
      <c r="AG589" s="49">
        <f t="shared" ref="AG589:AG652" si="101">IF($AG$4="BUENO",AA589,0)</f>
        <v>0</v>
      </c>
      <c r="AH589" s="49">
        <f t="shared" ref="AH589:AH652" si="102">IF($AG$4="BUENO",AB589,0)</f>
        <v>0</v>
      </c>
      <c r="AI589" s="49">
        <f t="shared" ref="AI589:AI652" si="103">IF($AG$4="BUENO",AC589,0)</f>
        <v>0</v>
      </c>
    </row>
    <row r="590" spans="1:35">
      <c r="A590" s="1" t="s">
        <v>408</v>
      </c>
      <c r="B590" s="1" t="s">
        <v>26</v>
      </c>
      <c r="Z590" s="49"/>
      <c r="AA590" s="49" t="s">
        <v>408</v>
      </c>
      <c r="AB590" s="49" t="s">
        <v>26</v>
      </c>
      <c r="AC590" s="49">
        <v>0</v>
      </c>
      <c r="AD590" s="49"/>
      <c r="AE590" s="49"/>
      <c r="AF590" s="49"/>
      <c r="AG590" s="49" t="str">
        <f t="shared" si="101"/>
        <v>CALIBRE</v>
      </c>
      <c r="AH590" s="49" t="str">
        <f t="shared" si="102"/>
        <v>AREA</v>
      </c>
      <c r="AI590" s="49">
        <f t="shared" si="103"/>
        <v>0</v>
      </c>
    </row>
    <row r="591" spans="1:35">
      <c r="Z591" s="49"/>
      <c r="AA591" s="49">
        <v>0</v>
      </c>
      <c r="AB591" s="49">
        <v>0</v>
      </c>
      <c r="AC591" s="49">
        <v>0</v>
      </c>
      <c r="AD591" s="49"/>
      <c r="AE591" s="49"/>
      <c r="AF591" s="49"/>
      <c r="AG591" s="49">
        <f t="shared" si="101"/>
        <v>0</v>
      </c>
      <c r="AH591" s="49">
        <f t="shared" si="102"/>
        <v>0</v>
      </c>
      <c r="AI591" s="49">
        <f t="shared" si="103"/>
        <v>0</v>
      </c>
    </row>
    <row r="592" spans="1:35">
      <c r="A592" s="1">
        <f t="shared" ref="A592:A616" si="104">AG592</f>
        <v>18</v>
      </c>
      <c r="B592" s="1">
        <f t="shared" ref="B592:B616" si="105">AH592</f>
        <v>0.82399999999999995</v>
      </c>
      <c r="C592" s="1">
        <f t="shared" ref="C592:C616" si="106">AI592</f>
        <v>0</v>
      </c>
      <c r="Z592" s="49"/>
      <c r="AA592" s="49">
        <v>18</v>
      </c>
      <c r="AB592" s="49">
        <v>0.82399999999999995</v>
      </c>
      <c r="AC592" s="49">
        <v>0</v>
      </c>
      <c r="AD592" s="49"/>
      <c r="AE592" s="49"/>
      <c r="AF592" s="49"/>
      <c r="AG592" s="49">
        <f t="shared" si="101"/>
        <v>18</v>
      </c>
      <c r="AH592" s="49">
        <f t="shared" si="102"/>
        <v>0.82399999999999995</v>
      </c>
      <c r="AI592" s="49">
        <f t="shared" si="103"/>
        <v>0</v>
      </c>
    </row>
    <row r="593" spans="1:35">
      <c r="A593" s="1">
        <f t="shared" si="104"/>
        <v>16</v>
      </c>
      <c r="B593" s="1">
        <f t="shared" si="105"/>
        <v>1.31</v>
      </c>
      <c r="C593" s="1">
        <f t="shared" si="106"/>
        <v>0</v>
      </c>
      <c r="Z593" s="49"/>
      <c r="AA593" s="49">
        <v>16</v>
      </c>
      <c r="AB593" s="49">
        <v>1.31</v>
      </c>
      <c r="AC593" s="49">
        <v>0</v>
      </c>
      <c r="AD593" s="49"/>
      <c r="AE593" s="49"/>
      <c r="AF593" s="49"/>
      <c r="AG593" s="49">
        <f t="shared" si="101"/>
        <v>16</v>
      </c>
      <c r="AH593" s="49">
        <f t="shared" si="102"/>
        <v>1.31</v>
      </c>
      <c r="AI593" s="49">
        <f t="shared" si="103"/>
        <v>0</v>
      </c>
    </row>
    <row r="594" spans="1:35">
      <c r="A594" s="1">
        <f t="shared" si="104"/>
        <v>14</v>
      </c>
      <c r="B594" s="1">
        <f t="shared" si="105"/>
        <v>2.08</v>
      </c>
      <c r="C594" s="1">
        <f t="shared" si="106"/>
        <v>0</v>
      </c>
      <c r="Z594" s="49"/>
      <c r="AA594" s="49">
        <v>14</v>
      </c>
      <c r="AB594" s="49">
        <v>2.08</v>
      </c>
      <c r="AC594" s="49">
        <v>0</v>
      </c>
      <c r="AD594" s="49"/>
      <c r="AE594" s="49"/>
      <c r="AF594" s="49"/>
      <c r="AG594" s="49">
        <f t="shared" si="101"/>
        <v>14</v>
      </c>
      <c r="AH594" s="49">
        <f t="shared" si="102"/>
        <v>2.08</v>
      </c>
      <c r="AI594" s="49">
        <f t="shared" si="103"/>
        <v>0</v>
      </c>
    </row>
    <row r="595" spans="1:35">
      <c r="A595" s="1">
        <f t="shared" si="104"/>
        <v>12</v>
      </c>
      <c r="B595" s="1">
        <f t="shared" si="105"/>
        <v>3.31</v>
      </c>
      <c r="C595" s="1">
        <f t="shared" si="106"/>
        <v>0</v>
      </c>
      <c r="Z595" s="49"/>
      <c r="AA595" s="49">
        <v>12</v>
      </c>
      <c r="AB595" s="49">
        <v>3.31</v>
      </c>
      <c r="AC595" s="49">
        <v>0</v>
      </c>
      <c r="AD595" s="49"/>
      <c r="AE595" s="49"/>
      <c r="AF595" s="49"/>
      <c r="AG595" s="49">
        <f t="shared" si="101"/>
        <v>12</v>
      </c>
      <c r="AH595" s="49">
        <f t="shared" si="102"/>
        <v>3.31</v>
      </c>
      <c r="AI595" s="49">
        <f t="shared" si="103"/>
        <v>0</v>
      </c>
    </row>
    <row r="596" spans="1:35">
      <c r="A596" s="1">
        <f t="shared" si="104"/>
        <v>10</v>
      </c>
      <c r="B596" s="1">
        <f t="shared" si="105"/>
        <v>5.26</v>
      </c>
      <c r="C596" s="1">
        <f t="shared" si="106"/>
        <v>0</v>
      </c>
      <c r="Z596" s="49"/>
      <c r="AA596" s="49">
        <v>10</v>
      </c>
      <c r="AB596" s="49">
        <v>5.26</v>
      </c>
      <c r="AC596" s="49">
        <v>0</v>
      </c>
      <c r="AD596" s="49"/>
      <c r="AE596" s="49"/>
      <c r="AF596" s="49"/>
      <c r="AG596" s="49">
        <f t="shared" si="101"/>
        <v>10</v>
      </c>
      <c r="AH596" s="49">
        <f t="shared" si="102"/>
        <v>5.26</v>
      </c>
      <c r="AI596" s="49">
        <f t="shared" si="103"/>
        <v>0</v>
      </c>
    </row>
    <row r="597" spans="1:35">
      <c r="A597" s="1">
        <f t="shared" si="104"/>
        <v>8</v>
      </c>
      <c r="B597" s="1">
        <f t="shared" si="105"/>
        <v>8.3699999999999992</v>
      </c>
      <c r="C597" s="1">
        <f t="shared" si="106"/>
        <v>0</v>
      </c>
      <c r="Z597" s="49"/>
      <c r="AA597" s="49">
        <v>8</v>
      </c>
      <c r="AB597" s="49">
        <v>8.3699999999999992</v>
      </c>
      <c r="AC597" s="49">
        <v>0</v>
      </c>
      <c r="AD597" s="49"/>
      <c r="AE597" s="49"/>
      <c r="AF597" s="49"/>
      <c r="AG597" s="49">
        <f t="shared" si="101"/>
        <v>8</v>
      </c>
      <c r="AH597" s="49">
        <f t="shared" si="102"/>
        <v>8.3699999999999992</v>
      </c>
      <c r="AI597" s="49">
        <f t="shared" si="103"/>
        <v>0</v>
      </c>
    </row>
    <row r="598" spans="1:35">
      <c r="A598" s="1">
        <f t="shared" si="104"/>
        <v>6</v>
      </c>
      <c r="B598" s="1">
        <f t="shared" si="105"/>
        <v>13.3</v>
      </c>
      <c r="C598" s="1">
        <f t="shared" si="106"/>
        <v>0</v>
      </c>
      <c r="Z598" s="49"/>
      <c r="AA598" s="49">
        <v>6</v>
      </c>
      <c r="AB598" s="49">
        <v>13.3</v>
      </c>
      <c r="AC598" s="49">
        <v>0</v>
      </c>
      <c r="AD598" s="49"/>
      <c r="AE598" s="49"/>
      <c r="AF598" s="49"/>
      <c r="AG598" s="49">
        <f t="shared" si="101"/>
        <v>6</v>
      </c>
      <c r="AH598" s="49">
        <f t="shared" si="102"/>
        <v>13.3</v>
      </c>
      <c r="AI598" s="49">
        <f t="shared" si="103"/>
        <v>0</v>
      </c>
    </row>
    <row r="599" spans="1:35">
      <c r="A599" s="1">
        <f t="shared" si="104"/>
        <v>4</v>
      </c>
      <c r="B599" s="1">
        <f t="shared" si="105"/>
        <v>21.2</v>
      </c>
      <c r="C599" s="1">
        <f t="shared" si="106"/>
        <v>0</v>
      </c>
      <c r="Z599" s="49"/>
      <c r="AA599" s="49">
        <v>4</v>
      </c>
      <c r="AB599" s="49">
        <v>21.2</v>
      </c>
      <c r="AC599" s="49">
        <v>0</v>
      </c>
      <c r="AD599" s="49"/>
      <c r="AE599" s="49"/>
      <c r="AF599" s="49"/>
      <c r="AG599" s="49">
        <f t="shared" si="101"/>
        <v>4</v>
      </c>
      <c r="AH599" s="49">
        <f t="shared" si="102"/>
        <v>21.2</v>
      </c>
      <c r="AI599" s="49">
        <f t="shared" si="103"/>
        <v>0</v>
      </c>
    </row>
    <row r="600" spans="1:35">
      <c r="A600" s="1">
        <f t="shared" si="104"/>
        <v>3</v>
      </c>
      <c r="B600" s="1">
        <f t="shared" si="105"/>
        <v>26.7</v>
      </c>
      <c r="C600" s="1">
        <f t="shared" si="106"/>
        <v>0</v>
      </c>
      <c r="Z600" s="49"/>
      <c r="AA600" s="49">
        <v>3</v>
      </c>
      <c r="AB600" s="49">
        <v>26.7</v>
      </c>
      <c r="AC600" s="49">
        <v>0</v>
      </c>
      <c r="AD600" s="49"/>
      <c r="AE600" s="49"/>
      <c r="AF600" s="49"/>
      <c r="AG600" s="49">
        <f t="shared" si="101"/>
        <v>3</v>
      </c>
      <c r="AH600" s="49">
        <f t="shared" si="102"/>
        <v>26.7</v>
      </c>
      <c r="AI600" s="49">
        <f t="shared" si="103"/>
        <v>0</v>
      </c>
    </row>
    <row r="601" spans="1:35">
      <c r="A601" s="1">
        <f t="shared" si="104"/>
        <v>2</v>
      </c>
      <c r="B601" s="1">
        <f t="shared" si="105"/>
        <v>33.6</v>
      </c>
      <c r="C601" s="1">
        <f t="shared" si="106"/>
        <v>0</v>
      </c>
      <c r="Z601" s="49"/>
      <c r="AA601" s="49">
        <v>2</v>
      </c>
      <c r="AB601" s="49">
        <v>33.6</v>
      </c>
      <c r="AC601" s="49">
        <v>0</v>
      </c>
      <c r="AD601" s="49"/>
      <c r="AE601" s="49"/>
      <c r="AF601" s="49"/>
      <c r="AG601" s="49">
        <f t="shared" si="101"/>
        <v>2</v>
      </c>
      <c r="AH601" s="49">
        <f t="shared" si="102"/>
        <v>33.6</v>
      </c>
      <c r="AI601" s="49">
        <f t="shared" si="103"/>
        <v>0</v>
      </c>
    </row>
    <row r="602" spans="1:35">
      <c r="A602" s="1">
        <f t="shared" si="104"/>
        <v>1</v>
      </c>
      <c r="B602" s="1">
        <f t="shared" si="105"/>
        <v>42.4</v>
      </c>
      <c r="C602" s="1">
        <f t="shared" si="106"/>
        <v>0</v>
      </c>
      <c r="Z602" s="49"/>
      <c r="AA602" s="49">
        <v>1</v>
      </c>
      <c r="AB602" s="49">
        <v>42.4</v>
      </c>
      <c r="AC602" s="49">
        <v>0</v>
      </c>
      <c r="AD602" s="49"/>
      <c r="AE602" s="49"/>
      <c r="AF602" s="49"/>
      <c r="AG602" s="49">
        <f t="shared" si="101"/>
        <v>1</v>
      </c>
      <c r="AH602" s="49">
        <f t="shared" si="102"/>
        <v>42.4</v>
      </c>
      <c r="AI602" s="49">
        <f t="shared" si="103"/>
        <v>0</v>
      </c>
    </row>
    <row r="603" spans="1:35">
      <c r="A603" s="1" t="str">
        <f t="shared" si="104"/>
        <v>1/0</v>
      </c>
      <c r="B603" s="1">
        <f t="shared" si="105"/>
        <v>53.5</v>
      </c>
      <c r="C603" s="1">
        <f t="shared" si="106"/>
        <v>0</v>
      </c>
      <c r="Z603" s="49"/>
      <c r="AA603" s="49" t="s">
        <v>0</v>
      </c>
      <c r="AB603" s="49">
        <v>53.5</v>
      </c>
      <c r="AC603" s="49">
        <v>0</v>
      </c>
      <c r="AD603" s="49"/>
      <c r="AE603" s="49"/>
      <c r="AF603" s="49"/>
      <c r="AG603" s="49" t="str">
        <f t="shared" si="101"/>
        <v>1/0</v>
      </c>
      <c r="AH603" s="49">
        <f t="shared" si="102"/>
        <v>53.5</v>
      </c>
      <c r="AI603" s="49">
        <f t="shared" si="103"/>
        <v>0</v>
      </c>
    </row>
    <row r="604" spans="1:35">
      <c r="A604" s="1" t="str">
        <f t="shared" si="104"/>
        <v>2/0</v>
      </c>
      <c r="B604" s="1">
        <f t="shared" si="105"/>
        <v>67.400000000000006</v>
      </c>
      <c r="C604" s="1">
        <f t="shared" si="106"/>
        <v>0</v>
      </c>
      <c r="Z604" s="49"/>
      <c r="AA604" s="49" t="s">
        <v>1</v>
      </c>
      <c r="AB604" s="49">
        <v>67.400000000000006</v>
      </c>
      <c r="AC604" s="49">
        <v>0</v>
      </c>
      <c r="AD604" s="49"/>
      <c r="AE604" s="49"/>
      <c r="AF604" s="49"/>
      <c r="AG604" s="49" t="str">
        <f t="shared" si="101"/>
        <v>2/0</v>
      </c>
      <c r="AH604" s="49">
        <f t="shared" si="102"/>
        <v>67.400000000000006</v>
      </c>
      <c r="AI604" s="49">
        <f t="shared" si="103"/>
        <v>0</v>
      </c>
    </row>
    <row r="605" spans="1:35">
      <c r="A605" s="1" t="str">
        <f t="shared" si="104"/>
        <v>3/0</v>
      </c>
      <c r="B605" s="1">
        <f t="shared" si="105"/>
        <v>85</v>
      </c>
      <c r="C605" s="1">
        <f t="shared" si="106"/>
        <v>0</v>
      </c>
      <c r="Z605" s="49"/>
      <c r="AA605" s="49" t="s">
        <v>2</v>
      </c>
      <c r="AB605" s="49">
        <v>85</v>
      </c>
      <c r="AC605" s="49">
        <v>0</v>
      </c>
      <c r="AD605" s="49"/>
      <c r="AE605" s="49"/>
      <c r="AF605" s="49"/>
      <c r="AG605" s="49" t="str">
        <f t="shared" si="101"/>
        <v>3/0</v>
      </c>
      <c r="AH605" s="49">
        <f t="shared" si="102"/>
        <v>85</v>
      </c>
      <c r="AI605" s="49">
        <f t="shared" si="103"/>
        <v>0</v>
      </c>
    </row>
    <row r="606" spans="1:35">
      <c r="A606" s="1" t="str">
        <f t="shared" si="104"/>
        <v>4/0</v>
      </c>
      <c r="B606" s="1">
        <f t="shared" si="105"/>
        <v>107</v>
      </c>
      <c r="C606" s="1">
        <f t="shared" si="106"/>
        <v>0</v>
      </c>
      <c r="Z606" s="49"/>
      <c r="AA606" s="49" t="s">
        <v>3</v>
      </c>
      <c r="AB606" s="49">
        <v>107</v>
      </c>
      <c r="AC606" s="49">
        <v>0</v>
      </c>
      <c r="AD606" s="49"/>
      <c r="AE606" s="49"/>
      <c r="AF606" s="49"/>
      <c r="AG606" s="49" t="str">
        <f t="shared" si="101"/>
        <v>4/0</v>
      </c>
      <c r="AH606" s="49">
        <f t="shared" si="102"/>
        <v>107</v>
      </c>
      <c r="AI606" s="49">
        <f t="shared" si="103"/>
        <v>0</v>
      </c>
    </row>
    <row r="607" spans="1:35">
      <c r="A607" s="1">
        <f t="shared" si="104"/>
        <v>250</v>
      </c>
      <c r="B607" s="1">
        <f t="shared" si="105"/>
        <v>127</v>
      </c>
      <c r="C607" s="1">
        <f t="shared" si="106"/>
        <v>0</v>
      </c>
      <c r="Z607" s="49"/>
      <c r="AA607" s="49">
        <v>250</v>
      </c>
      <c r="AB607" s="49">
        <v>127</v>
      </c>
      <c r="AC607" s="49">
        <v>0</v>
      </c>
      <c r="AD607" s="49"/>
      <c r="AE607" s="49"/>
      <c r="AF607" s="49"/>
      <c r="AG607" s="49">
        <f t="shared" si="101"/>
        <v>250</v>
      </c>
      <c r="AH607" s="49">
        <f t="shared" si="102"/>
        <v>127</v>
      </c>
      <c r="AI607" s="49">
        <f t="shared" si="103"/>
        <v>0</v>
      </c>
    </row>
    <row r="608" spans="1:35">
      <c r="A608" s="1">
        <f t="shared" si="104"/>
        <v>300</v>
      </c>
      <c r="B608" s="1">
        <f t="shared" si="105"/>
        <v>152</v>
      </c>
      <c r="C608" s="1">
        <f t="shared" si="106"/>
        <v>0</v>
      </c>
      <c r="Z608" s="49"/>
      <c r="AA608" s="49">
        <v>300</v>
      </c>
      <c r="AB608" s="49">
        <v>152</v>
      </c>
      <c r="AC608" s="49">
        <v>0</v>
      </c>
      <c r="AD608" s="49"/>
      <c r="AE608" s="49"/>
      <c r="AF608" s="49"/>
      <c r="AG608" s="49">
        <f t="shared" si="101"/>
        <v>300</v>
      </c>
      <c r="AH608" s="49">
        <f t="shared" si="102"/>
        <v>152</v>
      </c>
      <c r="AI608" s="49">
        <f t="shared" si="103"/>
        <v>0</v>
      </c>
    </row>
    <row r="609" spans="1:35">
      <c r="A609" s="1">
        <f t="shared" si="104"/>
        <v>350</v>
      </c>
      <c r="B609" s="1">
        <f t="shared" si="105"/>
        <v>177</v>
      </c>
      <c r="C609" s="1">
        <f t="shared" si="106"/>
        <v>0</v>
      </c>
      <c r="Z609" s="49"/>
      <c r="AA609" s="49">
        <v>350</v>
      </c>
      <c r="AB609" s="49">
        <v>177</v>
      </c>
      <c r="AC609" s="49">
        <v>0</v>
      </c>
      <c r="AD609" s="49"/>
      <c r="AE609" s="49"/>
      <c r="AF609" s="49"/>
      <c r="AG609" s="49">
        <f t="shared" si="101"/>
        <v>350</v>
      </c>
      <c r="AH609" s="49">
        <f t="shared" si="102"/>
        <v>177</v>
      </c>
      <c r="AI609" s="49">
        <f t="shared" si="103"/>
        <v>0</v>
      </c>
    </row>
    <row r="610" spans="1:35">
      <c r="A610" s="1">
        <f t="shared" si="104"/>
        <v>400</v>
      </c>
      <c r="B610" s="1">
        <f t="shared" si="105"/>
        <v>203</v>
      </c>
      <c r="C610" s="1">
        <f t="shared" si="106"/>
        <v>0</v>
      </c>
      <c r="Z610" s="49"/>
      <c r="AA610" s="49">
        <v>400</v>
      </c>
      <c r="AB610" s="49">
        <v>203</v>
      </c>
      <c r="AC610" s="49">
        <v>0</v>
      </c>
      <c r="AD610" s="49"/>
      <c r="AE610" s="49"/>
      <c r="AF610" s="49"/>
      <c r="AG610" s="49">
        <f t="shared" si="101"/>
        <v>400</v>
      </c>
      <c r="AH610" s="49">
        <f t="shared" si="102"/>
        <v>203</v>
      </c>
      <c r="AI610" s="49">
        <f t="shared" si="103"/>
        <v>0</v>
      </c>
    </row>
    <row r="611" spans="1:35">
      <c r="A611" s="1">
        <f t="shared" si="104"/>
        <v>500</v>
      </c>
      <c r="B611" s="1">
        <f t="shared" si="105"/>
        <v>253</v>
      </c>
      <c r="C611" s="1">
        <f t="shared" si="106"/>
        <v>0</v>
      </c>
      <c r="Z611" s="49"/>
      <c r="AA611" s="49">
        <v>500</v>
      </c>
      <c r="AB611" s="49">
        <v>253</v>
      </c>
      <c r="AC611" s="49">
        <v>0</v>
      </c>
      <c r="AD611" s="49"/>
      <c r="AE611" s="49"/>
      <c r="AF611" s="49"/>
      <c r="AG611" s="49">
        <f t="shared" si="101"/>
        <v>500</v>
      </c>
      <c r="AH611" s="49">
        <f t="shared" si="102"/>
        <v>253</v>
      </c>
      <c r="AI611" s="49">
        <f t="shared" si="103"/>
        <v>0</v>
      </c>
    </row>
    <row r="612" spans="1:35">
      <c r="A612" s="1">
        <f t="shared" si="104"/>
        <v>600</v>
      </c>
      <c r="B612" s="1">
        <f t="shared" si="105"/>
        <v>304</v>
      </c>
      <c r="C612" s="1">
        <f t="shared" si="106"/>
        <v>0</v>
      </c>
      <c r="Z612" s="49"/>
      <c r="AA612" s="49">
        <v>600</v>
      </c>
      <c r="AB612" s="49">
        <v>304</v>
      </c>
      <c r="AC612" s="49">
        <v>0</v>
      </c>
      <c r="AD612" s="49"/>
      <c r="AE612" s="49"/>
      <c r="AF612" s="49"/>
      <c r="AG612" s="49">
        <f t="shared" si="101"/>
        <v>600</v>
      </c>
      <c r="AH612" s="49">
        <f t="shared" si="102"/>
        <v>304</v>
      </c>
      <c r="AI612" s="49">
        <f t="shared" si="103"/>
        <v>0</v>
      </c>
    </row>
    <row r="613" spans="1:35">
      <c r="A613" s="1">
        <f t="shared" si="104"/>
        <v>700</v>
      </c>
      <c r="B613" s="1">
        <f t="shared" si="105"/>
        <v>355</v>
      </c>
      <c r="C613" s="1">
        <f t="shared" si="106"/>
        <v>0</v>
      </c>
      <c r="Z613" s="49"/>
      <c r="AA613" s="49">
        <v>700</v>
      </c>
      <c r="AB613" s="49">
        <v>355</v>
      </c>
      <c r="AC613" s="49">
        <v>0</v>
      </c>
      <c r="AD613" s="49"/>
      <c r="AE613" s="49"/>
      <c r="AF613" s="49"/>
      <c r="AG613" s="49">
        <f t="shared" si="101"/>
        <v>700</v>
      </c>
      <c r="AH613" s="49">
        <f t="shared" si="102"/>
        <v>355</v>
      </c>
      <c r="AI613" s="49">
        <f t="shared" si="103"/>
        <v>0</v>
      </c>
    </row>
    <row r="614" spans="1:35">
      <c r="A614" s="1">
        <f t="shared" si="104"/>
        <v>750</v>
      </c>
      <c r="B614" s="1">
        <f t="shared" si="105"/>
        <v>380</v>
      </c>
      <c r="C614" s="1">
        <f t="shared" si="106"/>
        <v>0</v>
      </c>
      <c r="Z614" s="49"/>
      <c r="AA614" s="49">
        <v>750</v>
      </c>
      <c r="AB614" s="49">
        <v>380</v>
      </c>
      <c r="AC614" s="49">
        <v>0</v>
      </c>
      <c r="AD614" s="49"/>
      <c r="AE614" s="49"/>
      <c r="AF614" s="49"/>
      <c r="AG614" s="49">
        <f t="shared" si="101"/>
        <v>750</v>
      </c>
      <c r="AH614" s="49">
        <f t="shared" si="102"/>
        <v>380</v>
      </c>
      <c r="AI614" s="49">
        <f t="shared" si="103"/>
        <v>0</v>
      </c>
    </row>
    <row r="615" spans="1:35">
      <c r="A615" s="1">
        <f t="shared" si="104"/>
        <v>800</v>
      </c>
      <c r="B615" s="1">
        <f t="shared" si="105"/>
        <v>405</v>
      </c>
      <c r="C615" s="1">
        <f t="shared" si="106"/>
        <v>0</v>
      </c>
      <c r="Z615" s="49"/>
      <c r="AA615" s="49">
        <v>800</v>
      </c>
      <c r="AB615" s="49">
        <v>405</v>
      </c>
      <c r="AC615" s="49">
        <v>0</v>
      </c>
      <c r="AD615" s="49"/>
      <c r="AE615" s="49"/>
      <c r="AF615" s="49"/>
      <c r="AG615" s="49">
        <f t="shared" si="101"/>
        <v>800</v>
      </c>
      <c r="AH615" s="49">
        <f t="shared" si="102"/>
        <v>405</v>
      </c>
      <c r="AI615" s="49">
        <f t="shared" si="103"/>
        <v>0</v>
      </c>
    </row>
    <row r="616" spans="1:35">
      <c r="A616" s="1">
        <f t="shared" si="104"/>
        <v>900</v>
      </c>
      <c r="B616" s="1">
        <f t="shared" si="105"/>
        <v>456</v>
      </c>
      <c r="C616" s="1">
        <f t="shared" si="106"/>
        <v>0</v>
      </c>
      <c r="Z616" s="49"/>
      <c r="AA616" s="49">
        <v>900</v>
      </c>
      <c r="AB616" s="49">
        <v>456</v>
      </c>
      <c r="AC616" s="49">
        <v>0</v>
      </c>
      <c r="AD616" s="49"/>
      <c r="AE616" s="49"/>
      <c r="AF616" s="49"/>
      <c r="AG616" s="49">
        <f t="shared" si="101"/>
        <v>900</v>
      </c>
      <c r="AH616" s="49">
        <f t="shared" si="102"/>
        <v>456</v>
      </c>
      <c r="AI616" s="49">
        <f t="shared" si="103"/>
        <v>0</v>
      </c>
    </row>
    <row r="617" spans="1:35">
      <c r="Z617" s="49"/>
      <c r="AA617" s="49">
        <v>0</v>
      </c>
      <c r="AB617" s="49">
        <v>0</v>
      </c>
      <c r="AC617" s="49">
        <v>0</v>
      </c>
      <c r="AD617" s="49"/>
      <c r="AE617" s="49"/>
      <c r="AF617" s="49"/>
      <c r="AG617" s="49">
        <f t="shared" si="101"/>
        <v>0</v>
      </c>
      <c r="AH617" s="49">
        <f t="shared" si="102"/>
        <v>0</v>
      </c>
      <c r="AI617" s="49">
        <f t="shared" si="103"/>
        <v>0</v>
      </c>
    </row>
    <row r="618" spans="1:35">
      <c r="Z618" s="49"/>
      <c r="AA618" s="49">
        <v>0</v>
      </c>
      <c r="AB618" s="49">
        <v>0</v>
      </c>
      <c r="AC618" s="49">
        <v>0</v>
      </c>
      <c r="AD618" s="49"/>
      <c r="AE618" s="49"/>
      <c r="AF618" s="49"/>
      <c r="AG618" s="49">
        <f t="shared" si="101"/>
        <v>0</v>
      </c>
      <c r="AH618" s="49">
        <f t="shared" si="102"/>
        <v>0</v>
      </c>
      <c r="AI618" s="49">
        <f t="shared" si="103"/>
        <v>0</v>
      </c>
    </row>
    <row r="619" spans="1:35">
      <c r="A619" s="2" t="s">
        <v>570</v>
      </c>
      <c r="B619" s="11"/>
      <c r="C619" s="11"/>
      <c r="D619" s="11"/>
      <c r="E619" s="11"/>
      <c r="F619" s="11"/>
      <c r="G619" s="11"/>
      <c r="H619" s="11"/>
      <c r="Z619" s="49"/>
      <c r="AA619" s="49" t="s">
        <v>570</v>
      </c>
      <c r="AB619" s="49">
        <v>0</v>
      </c>
      <c r="AC619" s="49">
        <v>0</v>
      </c>
      <c r="AD619" s="49"/>
      <c r="AE619" s="49"/>
      <c r="AF619" s="49"/>
      <c r="AG619" s="49" t="str">
        <f t="shared" si="101"/>
        <v>CAPACIDADES COMERCIALES DE TRANSFORMADORES</v>
      </c>
      <c r="AH619" s="49">
        <f t="shared" si="102"/>
        <v>0</v>
      </c>
      <c r="AI619" s="49">
        <f t="shared" si="103"/>
        <v>0</v>
      </c>
    </row>
    <row r="620" spans="1:35">
      <c r="A620" s="11"/>
      <c r="B620" s="11"/>
      <c r="C620" s="11"/>
      <c r="D620" s="11"/>
      <c r="E620" s="11"/>
      <c r="F620" s="11"/>
      <c r="G620" s="11"/>
      <c r="H620" s="11"/>
      <c r="Z620" s="49"/>
      <c r="AA620" s="49">
        <v>0</v>
      </c>
      <c r="AB620" s="49">
        <v>0</v>
      </c>
      <c r="AC620" s="49">
        <v>0</v>
      </c>
      <c r="AD620" s="49"/>
      <c r="AE620" s="49"/>
      <c r="AF620" s="49"/>
      <c r="AG620" s="49">
        <f t="shared" si="101"/>
        <v>0</v>
      </c>
      <c r="AH620" s="49">
        <f t="shared" si="102"/>
        <v>0</v>
      </c>
      <c r="AI620" s="49">
        <f t="shared" si="103"/>
        <v>0</v>
      </c>
    </row>
    <row r="621" spans="1:35">
      <c r="Z621" s="49"/>
      <c r="AA621" s="49">
        <v>0</v>
      </c>
      <c r="AB621" s="49">
        <v>0</v>
      </c>
      <c r="AC621" s="49">
        <v>0</v>
      </c>
      <c r="AD621" s="49"/>
      <c r="AE621" s="49"/>
      <c r="AF621" s="49"/>
      <c r="AG621" s="49">
        <f t="shared" si="101"/>
        <v>0</v>
      </c>
      <c r="AH621" s="49">
        <f t="shared" si="102"/>
        <v>0</v>
      </c>
      <c r="AI621" s="49">
        <f t="shared" si="103"/>
        <v>0</v>
      </c>
    </row>
    <row r="622" spans="1:35">
      <c r="A622" s="8" t="s">
        <v>571</v>
      </c>
      <c r="B622" s="3"/>
      <c r="E622" s="49" t="s">
        <v>1913</v>
      </c>
      <c r="F622" s="49" t="s">
        <v>1914</v>
      </c>
      <c r="Z622" s="49"/>
      <c r="AA622" s="49" t="s">
        <v>571</v>
      </c>
      <c r="AB622" s="49">
        <v>0</v>
      </c>
      <c r="AC622" s="49">
        <v>0</v>
      </c>
      <c r="AD622" s="49"/>
      <c r="AE622" s="49"/>
      <c r="AF622" s="49"/>
      <c r="AG622" s="49" t="str">
        <f t="shared" si="101"/>
        <v>CAPACIDADES DE TRANSFORMADORES</v>
      </c>
      <c r="AH622" s="49">
        <f t="shared" si="102"/>
        <v>0</v>
      </c>
      <c r="AI622" s="49">
        <f t="shared" si="103"/>
        <v>0</v>
      </c>
    </row>
    <row r="623" spans="1:35">
      <c r="A623" s="3"/>
      <c r="B623" s="3"/>
      <c r="Z623" s="49"/>
      <c r="AA623" s="49">
        <v>0</v>
      </c>
      <c r="AB623" s="49">
        <v>0</v>
      </c>
      <c r="AC623" s="49">
        <v>0</v>
      </c>
      <c r="AD623" s="49"/>
      <c r="AE623" s="49"/>
      <c r="AF623" s="49"/>
      <c r="AG623" s="49">
        <f t="shared" si="101"/>
        <v>0</v>
      </c>
      <c r="AH623" s="49">
        <f t="shared" si="102"/>
        <v>0</v>
      </c>
      <c r="AI623" s="49">
        <f t="shared" si="103"/>
        <v>0</v>
      </c>
    </row>
    <row r="624" spans="1:35">
      <c r="A624" s="1">
        <f t="shared" ref="A624" si="107">AG624</f>
        <v>0</v>
      </c>
      <c r="B624" s="1">
        <f>IF(TABLERO!$F$120=3,AH624,F624)</f>
        <v>15</v>
      </c>
      <c r="C624" s="1">
        <f t="shared" ref="C624:C636" si="108">AI624</f>
        <v>0</v>
      </c>
      <c r="E624" s="1">
        <v>15</v>
      </c>
      <c r="F624" s="1">
        <v>5</v>
      </c>
      <c r="Z624" s="49"/>
      <c r="AA624" s="49">
        <v>0</v>
      </c>
      <c r="AB624" s="49">
        <v>15</v>
      </c>
      <c r="AC624" s="49">
        <v>0</v>
      </c>
      <c r="AD624" s="49"/>
      <c r="AE624" s="49"/>
      <c r="AF624" s="49"/>
      <c r="AG624" s="49">
        <f t="shared" si="101"/>
        <v>0</v>
      </c>
      <c r="AH624" s="49">
        <f t="shared" si="102"/>
        <v>15</v>
      </c>
      <c r="AI624" s="49">
        <f t="shared" si="103"/>
        <v>0</v>
      </c>
    </row>
    <row r="625" spans="1:35">
      <c r="A625" s="1">
        <f>IF(TABLERO!$F$120=3,AG625,' '!F624+0.1)</f>
        <v>15.1</v>
      </c>
      <c r="B625" s="1">
        <f>IF(TABLERO!$F$120=3,AH625,F625)</f>
        <v>30</v>
      </c>
      <c r="C625" s="1">
        <f t="shared" si="108"/>
        <v>0</v>
      </c>
      <c r="E625" s="1">
        <v>30</v>
      </c>
      <c r="F625" s="1">
        <v>15</v>
      </c>
      <c r="Z625" s="49"/>
      <c r="AA625" s="49">
        <v>15.1</v>
      </c>
      <c r="AB625" s="49">
        <v>30</v>
      </c>
      <c r="AC625" s="49">
        <v>0</v>
      </c>
      <c r="AD625" s="49"/>
      <c r="AE625" s="49"/>
      <c r="AF625" s="49"/>
      <c r="AG625" s="49">
        <f t="shared" si="101"/>
        <v>15.1</v>
      </c>
      <c r="AH625" s="49">
        <f t="shared" si="102"/>
        <v>30</v>
      </c>
      <c r="AI625" s="49">
        <f t="shared" si="103"/>
        <v>0</v>
      </c>
    </row>
    <row r="626" spans="1:35">
      <c r="A626" s="1">
        <f>IF(TABLERO!$F$120=3,AG626,' '!F625+0.1)</f>
        <v>30.1</v>
      </c>
      <c r="B626" s="1">
        <f>IF(TABLERO!$F$120=3,AH626,F626)</f>
        <v>45</v>
      </c>
      <c r="C626" s="1">
        <f t="shared" si="108"/>
        <v>0</v>
      </c>
      <c r="E626" s="1">
        <v>45</v>
      </c>
      <c r="F626" s="1">
        <v>25</v>
      </c>
      <c r="Z626" s="49"/>
      <c r="AA626" s="49">
        <v>30.1</v>
      </c>
      <c r="AB626" s="49">
        <v>45</v>
      </c>
      <c r="AC626" s="49">
        <v>0</v>
      </c>
      <c r="AD626" s="49"/>
      <c r="AE626" s="49"/>
      <c r="AF626" s="49"/>
      <c r="AG626" s="49">
        <f t="shared" ref="AG626:AG637" si="109">IF($AG$4="BUENO",AA626,0)</f>
        <v>30.1</v>
      </c>
      <c r="AH626" s="49">
        <f t="shared" ref="AH626:AH637" si="110">IF($AG$4="BUENO",AB626,0)</f>
        <v>45</v>
      </c>
      <c r="AI626" s="49">
        <f t="shared" si="103"/>
        <v>0</v>
      </c>
    </row>
    <row r="627" spans="1:35">
      <c r="A627" s="1">
        <f>IF(TABLERO!$F$120=3,AG627,' '!F626+0.1)</f>
        <v>45.1</v>
      </c>
      <c r="B627" s="1">
        <f>IF(TABLERO!$F$120=3,AH627,F627)</f>
        <v>75</v>
      </c>
      <c r="C627" s="1">
        <f t="shared" si="108"/>
        <v>0</v>
      </c>
      <c r="E627" s="1">
        <v>75</v>
      </c>
      <c r="F627" s="1">
        <v>37.5</v>
      </c>
      <c r="Z627" s="49"/>
      <c r="AA627" s="49">
        <v>45.1</v>
      </c>
      <c r="AB627" s="49">
        <v>75</v>
      </c>
      <c r="AC627" s="49">
        <v>0</v>
      </c>
      <c r="AD627" s="49"/>
      <c r="AE627" s="49"/>
      <c r="AF627" s="49"/>
      <c r="AG627" s="49">
        <f t="shared" si="109"/>
        <v>45.1</v>
      </c>
      <c r="AH627" s="49">
        <f t="shared" si="110"/>
        <v>75</v>
      </c>
      <c r="AI627" s="49">
        <f t="shared" si="103"/>
        <v>0</v>
      </c>
    </row>
    <row r="628" spans="1:35">
      <c r="A628" s="1">
        <f>IF(TABLERO!$F$120=3,AG628,' '!F627+0.1)</f>
        <v>75.099999999999994</v>
      </c>
      <c r="B628" s="1">
        <f>IF(TABLERO!$F$120=3,AH628,F628)</f>
        <v>112.5</v>
      </c>
      <c r="C628" s="1">
        <f t="shared" si="108"/>
        <v>0</v>
      </c>
      <c r="E628" s="1">
        <v>112.5</v>
      </c>
      <c r="F628" s="1">
        <v>50</v>
      </c>
      <c r="Z628" s="49"/>
      <c r="AA628" s="49">
        <v>75.099999999999994</v>
      </c>
      <c r="AB628" s="49">
        <v>112.5</v>
      </c>
      <c r="AC628" s="49">
        <v>0</v>
      </c>
      <c r="AD628" s="49"/>
      <c r="AE628" s="49"/>
      <c r="AF628" s="49"/>
      <c r="AG628" s="49">
        <f t="shared" si="109"/>
        <v>75.099999999999994</v>
      </c>
      <c r="AH628" s="49">
        <f t="shared" si="110"/>
        <v>112.5</v>
      </c>
      <c r="AI628" s="49">
        <f t="shared" si="103"/>
        <v>0</v>
      </c>
    </row>
    <row r="629" spans="1:35">
      <c r="A629" s="1">
        <f>IF(TABLERO!$F$120=3,AG629,' '!F628+0.1)</f>
        <v>112.6</v>
      </c>
      <c r="B629" s="1">
        <f>IF(TABLERO!$F$120=3,AH629,F629)</f>
        <v>150</v>
      </c>
      <c r="C629" s="1">
        <f t="shared" si="108"/>
        <v>0</v>
      </c>
      <c r="E629" s="1">
        <v>150</v>
      </c>
      <c r="F629" s="1">
        <v>75</v>
      </c>
      <c r="Z629" s="49"/>
      <c r="AA629" s="49">
        <v>112.6</v>
      </c>
      <c r="AB629" s="49">
        <v>150</v>
      </c>
      <c r="AC629" s="49">
        <v>0</v>
      </c>
      <c r="AD629" s="49"/>
      <c r="AE629" s="49"/>
      <c r="AF629" s="49"/>
      <c r="AG629" s="49">
        <f t="shared" si="109"/>
        <v>112.6</v>
      </c>
      <c r="AH629" s="49">
        <f t="shared" si="110"/>
        <v>150</v>
      </c>
      <c r="AI629" s="49">
        <f t="shared" si="103"/>
        <v>0</v>
      </c>
    </row>
    <row r="630" spans="1:35">
      <c r="A630" s="1">
        <f>IF(TABLERO!$F$120=3,AG630,' '!F629+0.1)</f>
        <v>150.1</v>
      </c>
      <c r="B630" s="1">
        <f>IF(TABLERO!$F$120=3,AH630,F630)</f>
        <v>225</v>
      </c>
      <c r="C630" s="1">
        <f t="shared" si="108"/>
        <v>0</v>
      </c>
      <c r="E630" s="1">
        <v>225</v>
      </c>
      <c r="F630" s="1">
        <v>100</v>
      </c>
      <c r="Z630" s="49"/>
      <c r="AA630" s="49">
        <v>150.1</v>
      </c>
      <c r="AB630" s="49">
        <v>225</v>
      </c>
      <c r="AC630" s="49">
        <v>0</v>
      </c>
      <c r="AD630" s="49"/>
      <c r="AE630" s="49"/>
      <c r="AF630" s="49"/>
      <c r="AG630" s="49">
        <f t="shared" si="109"/>
        <v>150.1</v>
      </c>
      <c r="AH630" s="49">
        <f t="shared" si="110"/>
        <v>225</v>
      </c>
      <c r="AI630" s="49">
        <f t="shared" si="103"/>
        <v>0</v>
      </c>
    </row>
    <row r="631" spans="1:35">
      <c r="A631" s="1">
        <f>IF(TABLERO!$F$120=3,AG631,' '!F630+0.1)</f>
        <v>225.1</v>
      </c>
      <c r="B631" s="1">
        <f>IF(TABLERO!$F$120=3,AH631,F631)</f>
        <v>300</v>
      </c>
      <c r="C631" s="1">
        <f t="shared" si="108"/>
        <v>0</v>
      </c>
      <c r="E631" s="1">
        <v>300</v>
      </c>
      <c r="F631" s="49">
        <v>100</v>
      </c>
      <c r="Z631" s="49"/>
      <c r="AA631" s="49">
        <v>225.1</v>
      </c>
      <c r="AB631" s="49">
        <v>300</v>
      </c>
      <c r="AC631" s="49">
        <v>0</v>
      </c>
      <c r="AD631" s="49"/>
      <c r="AE631" s="49"/>
      <c r="AF631" s="49"/>
      <c r="AG631" s="49">
        <f t="shared" si="109"/>
        <v>225.1</v>
      </c>
      <c r="AH631" s="49">
        <f t="shared" si="110"/>
        <v>300</v>
      </c>
      <c r="AI631" s="49">
        <f t="shared" si="103"/>
        <v>0</v>
      </c>
    </row>
    <row r="632" spans="1:35">
      <c r="A632" s="1">
        <f>IF(TABLERO!$F$120=3,AG632,' '!F631+0.1)</f>
        <v>300.10000000000002</v>
      </c>
      <c r="B632" s="1">
        <f>IF(TABLERO!$F$120=3,AH632,F632)</f>
        <v>500</v>
      </c>
      <c r="C632" s="1">
        <f t="shared" si="108"/>
        <v>0</v>
      </c>
      <c r="E632" s="1">
        <v>500</v>
      </c>
      <c r="F632" s="49">
        <v>100</v>
      </c>
      <c r="Z632" s="49"/>
      <c r="AA632" s="49">
        <v>300.10000000000002</v>
      </c>
      <c r="AB632" s="49">
        <v>500</v>
      </c>
      <c r="AC632" s="49">
        <v>0</v>
      </c>
      <c r="AD632" s="49"/>
      <c r="AE632" s="49"/>
      <c r="AF632" s="49"/>
      <c r="AG632" s="49">
        <f t="shared" si="109"/>
        <v>300.10000000000002</v>
      </c>
      <c r="AH632" s="49">
        <f t="shared" si="110"/>
        <v>500</v>
      </c>
      <c r="AI632" s="49">
        <f t="shared" si="103"/>
        <v>0</v>
      </c>
    </row>
    <row r="633" spans="1:35">
      <c r="A633" s="1">
        <f>IF(TABLERO!$F$120=3,AG633,' '!F632+0.1)</f>
        <v>500.1</v>
      </c>
      <c r="B633" s="1">
        <f>IF(TABLERO!$F$120=3,AH633,F633)</f>
        <v>750</v>
      </c>
      <c r="C633" s="1">
        <f t="shared" si="108"/>
        <v>0</v>
      </c>
      <c r="E633" s="1">
        <v>750</v>
      </c>
      <c r="F633" s="49">
        <v>100</v>
      </c>
      <c r="Z633" s="49"/>
      <c r="AA633" s="49">
        <v>500.1</v>
      </c>
      <c r="AB633" s="49">
        <v>750</v>
      </c>
      <c r="AC633" s="49">
        <v>0</v>
      </c>
      <c r="AD633" s="49"/>
      <c r="AE633" s="49"/>
      <c r="AF633" s="49"/>
      <c r="AG633" s="49">
        <f t="shared" si="109"/>
        <v>500.1</v>
      </c>
      <c r="AH633" s="49">
        <f t="shared" si="110"/>
        <v>750</v>
      </c>
      <c r="AI633" s="49">
        <f t="shared" si="103"/>
        <v>0</v>
      </c>
    </row>
    <row r="634" spans="1:35">
      <c r="A634" s="1">
        <f>IF(TABLERO!$F$120=3,AG634,' '!F633+0.1)</f>
        <v>750.1</v>
      </c>
      <c r="B634" s="1">
        <f>IF(TABLERO!$F$120=3,AH634,F634)</f>
        <v>1000</v>
      </c>
      <c r="C634" s="1">
        <f t="shared" si="108"/>
        <v>0</v>
      </c>
      <c r="E634" s="1">
        <v>1000</v>
      </c>
      <c r="F634" s="49">
        <v>100</v>
      </c>
      <c r="Z634" s="49"/>
      <c r="AA634" s="49">
        <v>750.1</v>
      </c>
      <c r="AB634" s="49">
        <v>1000</v>
      </c>
      <c r="AC634" s="49">
        <v>0</v>
      </c>
      <c r="AD634" s="49"/>
      <c r="AE634" s="49"/>
      <c r="AF634" s="49"/>
      <c r="AG634" s="49">
        <f t="shared" si="109"/>
        <v>750.1</v>
      </c>
      <c r="AH634" s="49">
        <f t="shared" si="110"/>
        <v>1000</v>
      </c>
      <c r="AI634" s="49">
        <f t="shared" si="103"/>
        <v>0</v>
      </c>
    </row>
    <row r="635" spans="1:35">
      <c r="A635" s="1">
        <f>IF(TABLERO!$F$120=3,AG635,' '!F634+0.1)</f>
        <v>1000.1</v>
      </c>
      <c r="B635" s="1">
        <f>IF(TABLERO!$F$120=3,AH635,F635)</f>
        <v>1500</v>
      </c>
      <c r="C635" s="1">
        <f t="shared" si="108"/>
        <v>0</v>
      </c>
      <c r="E635" s="1">
        <v>1500</v>
      </c>
      <c r="F635" s="49">
        <v>100</v>
      </c>
      <c r="Z635" s="49"/>
      <c r="AA635" s="49">
        <v>1000.1</v>
      </c>
      <c r="AB635" s="49">
        <v>1500</v>
      </c>
      <c r="AC635" s="49">
        <v>0</v>
      </c>
      <c r="AD635" s="49"/>
      <c r="AE635" s="49"/>
      <c r="AF635" s="49"/>
      <c r="AG635" s="49">
        <f t="shared" si="109"/>
        <v>1000.1</v>
      </c>
      <c r="AH635" s="49">
        <f t="shared" si="110"/>
        <v>1500</v>
      </c>
      <c r="AI635" s="49">
        <f t="shared" si="103"/>
        <v>0</v>
      </c>
    </row>
    <row r="636" spans="1:35">
      <c r="A636" s="1">
        <f>IF(TABLERO!$F$120=3,AG636,' '!F635+0.1)</f>
        <v>1500.1</v>
      </c>
      <c r="B636" s="1">
        <f>IF(TABLERO!$F$120=3,AH636,F636)</f>
        <v>2000</v>
      </c>
      <c r="C636" s="1">
        <f t="shared" si="108"/>
        <v>0</v>
      </c>
      <c r="E636" s="1">
        <v>2000</v>
      </c>
      <c r="F636" s="49">
        <v>100</v>
      </c>
      <c r="Z636" s="49"/>
      <c r="AA636" s="49">
        <v>1500.1</v>
      </c>
      <c r="AB636" s="49">
        <v>2000</v>
      </c>
      <c r="AC636" s="49">
        <v>0</v>
      </c>
      <c r="AD636" s="49"/>
      <c r="AE636" s="49"/>
      <c r="AF636" s="49"/>
      <c r="AG636" s="49">
        <f t="shared" si="109"/>
        <v>1500.1</v>
      </c>
      <c r="AH636" s="49">
        <f t="shared" si="110"/>
        <v>2000</v>
      </c>
      <c r="AI636" s="49">
        <f t="shared" si="103"/>
        <v>0</v>
      </c>
    </row>
    <row r="637" spans="1:35">
      <c r="A637" s="1">
        <f>IF(TABLERO!$F$120=3,AG637,' '!F636+0.1)</f>
        <v>2000.1</v>
      </c>
      <c r="B637" s="1">
        <f>IF(TABLERO!$F$120=3,AH637,F637)</f>
        <v>2500</v>
      </c>
      <c r="C637" s="1">
        <f>AI637</f>
        <v>0</v>
      </c>
      <c r="E637" s="1">
        <v>2500</v>
      </c>
      <c r="F637" s="49">
        <v>100</v>
      </c>
      <c r="Z637" s="49"/>
      <c r="AA637" s="49">
        <v>2000.1</v>
      </c>
      <c r="AB637" s="49">
        <v>2500</v>
      </c>
      <c r="AC637" s="49">
        <v>0</v>
      </c>
      <c r="AD637" s="49"/>
      <c r="AE637" s="49"/>
      <c r="AF637" s="49"/>
      <c r="AG637" s="49">
        <f t="shared" si="109"/>
        <v>2000.1</v>
      </c>
      <c r="AH637" s="49">
        <f t="shared" si="110"/>
        <v>2500</v>
      </c>
      <c r="AI637" s="49">
        <f t="shared" si="103"/>
        <v>0</v>
      </c>
    </row>
    <row r="638" spans="1:35">
      <c r="Z638" s="49"/>
      <c r="AA638" s="49">
        <v>0</v>
      </c>
      <c r="AB638" s="49">
        <v>0</v>
      </c>
      <c r="AC638" s="49">
        <v>0</v>
      </c>
      <c r="AD638" s="49"/>
      <c r="AE638" s="49"/>
      <c r="AF638" s="49"/>
      <c r="AG638" s="49">
        <f t="shared" si="101"/>
        <v>0</v>
      </c>
      <c r="AH638" s="49">
        <f t="shared" si="102"/>
        <v>0</v>
      </c>
      <c r="AI638" s="49">
        <f t="shared" si="103"/>
        <v>0</v>
      </c>
    </row>
    <row r="639" spans="1:35">
      <c r="A639" s="2" t="s">
        <v>572</v>
      </c>
      <c r="B639" s="11"/>
      <c r="C639" s="11"/>
      <c r="D639" s="11"/>
      <c r="E639" s="11"/>
      <c r="F639" s="11"/>
      <c r="G639" s="11"/>
      <c r="H639" s="11"/>
      <c r="Z639" s="49"/>
      <c r="AA639" s="49" t="s">
        <v>572</v>
      </c>
      <c r="AB639" s="49">
        <v>0</v>
      </c>
      <c r="AC639" s="49">
        <v>0</v>
      </c>
      <c r="AD639" s="49"/>
      <c r="AE639" s="49"/>
      <c r="AF639" s="49"/>
      <c r="AG639" s="49" t="str">
        <f t="shared" si="101"/>
        <v>NOMENCLATURA DE CABLES</v>
      </c>
      <c r="AH639" s="49">
        <f t="shared" si="102"/>
        <v>0</v>
      </c>
      <c r="AI639" s="49">
        <f t="shared" si="103"/>
        <v>0</v>
      </c>
    </row>
    <row r="640" spans="1:35">
      <c r="A640" s="1">
        <f t="shared" ref="A640:C642" si="111">AG640</f>
        <v>14</v>
      </c>
      <c r="B640" s="1" t="str">
        <f t="shared" si="111"/>
        <v>AWG</v>
      </c>
      <c r="C640" s="1">
        <f t="shared" si="111"/>
        <v>0</v>
      </c>
      <c r="Z640" s="49"/>
      <c r="AA640" s="49">
        <v>14</v>
      </c>
      <c r="AB640" s="49" t="s">
        <v>573</v>
      </c>
      <c r="AC640" s="49">
        <v>0</v>
      </c>
      <c r="AD640" s="49"/>
      <c r="AE640" s="49"/>
      <c r="AF640" s="49"/>
      <c r="AG640" s="49">
        <f t="shared" si="101"/>
        <v>14</v>
      </c>
      <c r="AH640" s="49" t="str">
        <f t="shared" si="102"/>
        <v>AWG</v>
      </c>
      <c r="AI640" s="49">
        <f t="shared" si="103"/>
        <v>0</v>
      </c>
    </row>
    <row r="641" spans="1:35">
      <c r="A641" s="1">
        <f t="shared" si="111"/>
        <v>12</v>
      </c>
      <c r="B641" s="1" t="str">
        <f t="shared" si="111"/>
        <v>AWG</v>
      </c>
      <c r="C641" s="1">
        <f t="shared" si="111"/>
        <v>0</v>
      </c>
      <c r="Z641" s="49"/>
      <c r="AA641" s="49">
        <v>12</v>
      </c>
      <c r="AB641" s="49" t="s">
        <v>573</v>
      </c>
      <c r="AC641" s="49">
        <v>0</v>
      </c>
      <c r="AD641" s="49"/>
      <c r="AE641" s="49"/>
      <c r="AF641" s="49"/>
      <c r="AG641" s="49">
        <f t="shared" si="101"/>
        <v>12</v>
      </c>
      <c r="AH641" s="49" t="str">
        <f t="shared" si="102"/>
        <v>AWG</v>
      </c>
      <c r="AI641" s="49">
        <f t="shared" si="103"/>
        <v>0</v>
      </c>
    </row>
    <row r="642" spans="1:35">
      <c r="A642" s="1">
        <f t="shared" si="111"/>
        <v>10</v>
      </c>
      <c r="B642" s="1" t="str">
        <f t="shared" si="111"/>
        <v>AWG</v>
      </c>
      <c r="C642" s="1">
        <f t="shared" si="111"/>
        <v>0</v>
      </c>
      <c r="Z642" s="49"/>
      <c r="AA642" s="49">
        <v>10</v>
      </c>
      <c r="AB642" s="49" t="s">
        <v>573</v>
      </c>
      <c r="AC642" s="49">
        <v>0</v>
      </c>
      <c r="AD642" s="49"/>
      <c r="AE642" s="49"/>
      <c r="AF642" s="49"/>
      <c r="AG642" s="49">
        <f t="shared" si="101"/>
        <v>10</v>
      </c>
      <c r="AH642" s="49" t="str">
        <f t="shared" si="102"/>
        <v>AWG</v>
      </c>
      <c r="AI642" s="49">
        <f t="shared" si="103"/>
        <v>0</v>
      </c>
    </row>
    <row r="643" spans="1:35">
      <c r="A643" s="1">
        <f t="shared" ref="A643:A658" si="112">AG643</f>
        <v>8</v>
      </c>
      <c r="B643" s="1" t="str">
        <f t="shared" ref="B643:B658" si="113">AH643</f>
        <v>AWG</v>
      </c>
      <c r="C643" s="1">
        <f t="shared" ref="C643:C658" si="114">AI643</f>
        <v>0</v>
      </c>
      <c r="Z643" s="49"/>
      <c r="AA643" s="49">
        <v>8</v>
      </c>
      <c r="AB643" s="49" t="s">
        <v>573</v>
      </c>
      <c r="AC643" s="49">
        <v>0</v>
      </c>
      <c r="AD643" s="49"/>
      <c r="AE643" s="49"/>
      <c r="AF643" s="49"/>
      <c r="AG643" s="49">
        <f t="shared" si="101"/>
        <v>8</v>
      </c>
      <c r="AH643" s="49" t="str">
        <f t="shared" si="102"/>
        <v>AWG</v>
      </c>
      <c r="AI643" s="49">
        <f t="shared" si="103"/>
        <v>0</v>
      </c>
    </row>
    <row r="644" spans="1:35">
      <c r="A644" s="1">
        <f t="shared" si="112"/>
        <v>6</v>
      </c>
      <c r="B644" s="1" t="str">
        <f t="shared" si="113"/>
        <v>AWG</v>
      </c>
      <c r="C644" s="1">
        <f t="shared" si="114"/>
        <v>0</v>
      </c>
      <c r="Z644" s="49"/>
      <c r="AA644" s="49">
        <v>6</v>
      </c>
      <c r="AB644" s="49" t="s">
        <v>573</v>
      </c>
      <c r="AC644" s="49">
        <v>0</v>
      </c>
      <c r="AD644" s="49"/>
      <c r="AE644" s="49"/>
      <c r="AF644" s="49"/>
      <c r="AG644" s="49">
        <f t="shared" si="101"/>
        <v>6</v>
      </c>
      <c r="AH644" s="49" t="str">
        <f t="shared" si="102"/>
        <v>AWG</v>
      </c>
      <c r="AI644" s="49">
        <f t="shared" si="103"/>
        <v>0</v>
      </c>
    </row>
    <row r="645" spans="1:35">
      <c r="A645" s="1">
        <f t="shared" si="112"/>
        <v>4</v>
      </c>
      <c r="B645" s="1" t="str">
        <f t="shared" si="113"/>
        <v>AWG</v>
      </c>
      <c r="C645" s="1">
        <f t="shared" si="114"/>
        <v>0</v>
      </c>
      <c r="Z645" s="49"/>
      <c r="AA645" s="49">
        <v>4</v>
      </c>
      <c r="AB645" s="49" t="s">
        <v>573</v>
      </c>
      <c r="AC645" s="49">
        <v>0</v>
      </c>
      <c r="AD645" s="49"/>
      <c r="AE645" s="49"/>
      <c r="AF645" s="49"/>
      <c r="AG645" s="49">
        <f t="shared" si="101"/>
        <v>4</v>
      </c>
      <c r="AH645" s="49" t="str">
        <f t="shared" si="102"/>
        <v>AWG</v>
      </c>
      <c r="AI645" s="49">
        <f t="shared" si="103"/>
        <v>0</v>
      </c>
    </row>
    <row r="646" spans="1:35">
      <c r="A646" s="1">
        <f t="shared" si="112"/>
        <v>2</v>
      </c>
      <c r="B646" s="1" t="str">
        <f t="shared" si="113"/>
        <v>AWG</v>
      </c>
      <c r="C646" s="1">
        <f t="shared" si="114"/>
        <v>0</v>
      </c>
      <c r="Z646" s="49"/>
      <c r="AA646" s="49">
        <v>2</v>
      </c>
      <c r="AB646" s="49" t="s">
        <v>573</v>
      </c>
      <c r="AC646" s="49">
        <v>0</v>
      </c>
      <c r="AD646" s="49"/>
      <c r="AE646" s="49"/>
      <c r="AF646" s="49"/>
      <c r="AG646" s="49">
        <f t="shared" si="101"/>
        <v>2</v>
      </c>
      <c r="AH646" s="49" t="str">
        <f t="shared" si="102"/>
        <v>AWG</v>
      </c>
      <c r="AI646" s="49">
        <f t="shared" si="103"/>
        <v>0</v>
      </c>
    </row>
    <row r="647" spans="1:35">
      <c r="A647" s="1">
        <f t="shared" si="112"/>
        <v>1</v>
      </c>
      <c r="B647" s="1" t="str">
        <f t="shared" si="113"/>
        <v>AWG</v>
      </c>
      <c r="C647" s="1">
        <f t="shared" si="114"/>
        <v>0</v>
      </c>
      <c r="Z647" s="49"/>
      <c r="AA647" s="49">
        <v>1</v>
      </c>
      <c r="AB647" s="49" t="s">
        <v>573</v>
      </c>
      <c r="AC647" s="49">
        <v>0</v>
      </c>
      <c r="AD647" s="49"/>
      <c r="AE647" s="49"/>
      <c r="AF647" s="49"/>
      <c r="AG647" s="49">
        <f t="shared" si="101"/>
        <v>1</v>
      </c>
      <c r="AH647" s="49" t="str">
        <f t="shared" si="102"/>
        <v>AWG</v>
      </c>
      <c r="AI647" s="49">
        <f t="shared" si="103"/>
        <v>0</v>
      </c>
    </row>
    <row r="648" spans="1:35">
      <c r="A648" s="1" t="str">
        <f t="shared" si="112"/>
        <v>1/0</v>
      </c>
      <c r="B648" s="1" t="str">
        <f t="shared" si="113"/>
        <v>AWG</v>
      </c>
      <c r="C648" s="1">
        <f t="shared" si="114"/>
        <v>0</v>
      </c>
      <c r="Z648" s="49"/>
      <c r="AA648" s="49" t="s">
        <v>0</v>
      </c>
      <c r="AB648" s="49" t="s">
        <v>573</v>
      </c>
      <c r="AC648" s="49">
        <v>0</v>
      </c>
      <c r="AD648" s="49"/>
      <c r="AE648" s="49"/>
      <c r="AF648" s="49"/>
      <c r="AG648" s="49" t="str">
        <f t="shared" si="101"/>
        <v>1/0</v>
      </c>
      <c r="AH648" s="49" t="str">
        <f t="shared" si="102"/>
        <v>AWG</v>
      </c>
      <c r="AI648" s="49">
        <f t="shared" si="103"/>
        <v>0</v>
      </c>
    </row>
    <row r="649" spans="1:35">
      <c r="A649" s="1" t="str">
        <f t="shared" si="112"/>
        <v>2/0</v>
      </c>
      <c r="B649" s="1" t="str">
        <f t="shared" si="113"/>
        <v>AWG</v>
      </c>
      <c r="C649" s="1">
        <f t="shared" si="114"/>
        <v>0</v>
      </c>
      <c r="Z649" s="49"/>
      <c r="AA649" s="49" t="s">
        <v>1</v>
      </c>
      <c r="AB649" s="49" t="s">
        <v>573</v>
      </c>
      <c r="AC649" s="49">
        <v>0</v>
      </c>
      <c r="AD649" s="49"/>
      <c r="AE649" s="49"/>
      <c r="AF649" s="49"/>
      <c r="AG649" s="49" t="str">
        <f t="shared" si="101"/>
        <v>2/0</v>
      </c>
      <c r="AH649" s="49" t="str">
        <f t="shared" si="102"/>
        <v>AWG</v>
      </c>
      <c r="AI649" s="49">
        <f t="shared" si="103"/>
        <v>0</v>
      </c>
    </row>
    <row r="650" spans="1:35">
      <c r="A650" s="1" t="str">
        <f t="shared" si="112"/>
        <v>3/0</v>
      </c>
      <c r="B650" s="1" t="str">
        <f t="shared" si="113"/>
        <v>AWG</v>
      </c>
      <c r="C650" s="1">
        <f t="shared" si="114"/>
        <v>0</v>
      </c>
      <c r="Z650" s="49"/>
      <c r="AA650" s="49" t="s">
        <v>2</v>
      </c>
      <c r="AB650" s="49" t="s">
        <v>573</v>
      </c>
      <c r="AC650" s="49">
        <v>0</v>
      </c>
      <c r="AD650" s="49"/>
      <c r="AE650" s="49"/>
      <c r="AF650" s="49"/>
      <c r="AG650" s="49" t="str">
        <f t="shared" si="101"/>
        <v>3/0</v>
      </c>
      <c r="AH650" s="49" t="str">
        <f t="shared" si="102"/>
        <v>AWG</v>
      </c>
      <c r="AI650" s="49">
        <f t="shared" si="103"/>
        <v>0</v>
      </c>
    </row>
    <row r="651" spans="1:35">
      <c r="A651" s="1" t="str">
        <f t="shared" si="112"/>
        <v>4/0</v>
      </c>
      <c r="B651" s="1" t="str">
        <f t="shared" si="113"/>
        <v>AWG</v>
      </c>
      <c r="C651" s="1">
        <f t="shared" si="114"/>
        <v>0</v>
      </c>
      <c r="Z651" s="49"/>
      <c r="AA651" s="49" t="s">
        <v>3</v>
      </c>
      <c r="AB651" s="49" t="s">
        <v>573</v>
      </c>
      <c r="AC651" s="49">
        <v>0</v>
      </c>
      <c r="AD651" s="49"/>
      <c r="AE651" s="49"/>
      <c r="AF651" s="49"/>
      <c r="AG651" s="49" t="str">
        <f t="shared" si="101"/>
        <v>4/0</v>
      </c>
      <c r="AH651" s="49" t="str">
        <f t="shared" si="102"/>
        <v>AWG</v>
      </c>
      <c r="AI651" s="49">
        <f t="shared" si="103"/>
        <v>0</v>
      </c>
    </row>
    <row r="652" spans="1:35">
      <c r="A652" s="1">
        <f t="shared" si="112"/>
        <v>250</v>
      </c>
      <c r="B652" s="1" t="str">
        <f t="shared" si="113"/>
        <v>KCM</v>
      </c>
      <c r="C652" s="1">
        <f t="shared" si="114"/>
        <v>0</v>
      </c>
      <c r="Z652" s="49"/>
      <c r="AA652" s="49">
        <v>250</v>
      </c>
      <c r="AB652" s="49" t="s">
        <v>574</v>
      </c>
      <c r="AC652" s="49">
        <v>0</v>
      </c>
      <c r="AD652" s="49"/>
      <c r="AE652" s="49"/>
      <c r="AF652" s="49"/>
      <c r="AG652" s="49">
        <f t="shared" si="101"/>
        <v>250</v>
      </c>
      <c r="AH652" s="49" t="str">
        <f t="shared" si="102"/>
        <v>KCM</v>
      </c>
      <c r="AI652" s="49">
        <f t="shared" si="103"/>
        <v>0</v>
      </c>
    </row>
    <row r="653" spans="1:35">
      <c r="A653" s="1">
        <f t="shared" si="112"/>
        <v>300</v>
      </c>
      <c r="B653" s="1" t="str">
        <f t="shared" si="113"/>
        <v>KCM</v>
      </c>
      <c r="C653" s="1">
        <f t="shared" si="114"/>
        <v>0</v>
      </c>
      <c r="Z653" s="49"/>
      <c r="AA653" s="49">
        <v>300</v>
      </c>
      <c r="AB653" s="49" t="s">
        <v>574</v>
      </c>
      <c r="AC653" s="49">
        <v>0</v>
      </c>
      <c r="AD653" s="49"/>
      <c r="AE653" s="49"/>
      <c r="AF653" s="49"/>
      <c r="AG653" s="49">
        <f t="shared" ref="AG653:AG717" si="115">IF($AG$4="BUENO",AA653,0)</f>
        <v>300</v>
      </c>
      <c r="AH653" s="49" t="str">
        <f t="shared" ref="AH653:AH717" si="116">IF($AG$4="BUENO",AB653,0)</f>
        <v>KCM</v>
      </c>
      <c r="AI653" s="49">
        <f t="shared" ref="AI653:AI717" si="117">IF($AG$4="BUENO",AC653,0)</f>
        <v>0</v>
      </c>
    </row>
    <row r="654" spans="1:35">
      <c r="A654" s="1">
        <f t="shared" si="112"/>
        <v>350</v>
      </c>
      <c r="B654" s="1" t="str">
        <f t="shared" si="113"/>
        <v>KCM</v>
      </c>
      <c r="C654" s="1">
        <f t="shared" si="114"/>
        <v>0</v>
      </c>
      <c r="Z654" s="49"/>
      <c r="AA654" s="49">
        <v>350</v>
      </c>
      <c r="AB654" s="49" t="s">
        <v>574</v>
      </c>
      <c r="AC654" s="49">
        <v>0</v>
      </c>
      <c r="AD654" s="49"/>
      <c r="AE654" s="49"/>
      <c r="AF654" s="49"/>
      <c r="AG654" s="49">
        <f t="shared" si="115"/>
        <v>350</v>
      </c>
      <c r="AH654" s="49" t="str">
        <f t="shared" si="116"/>
        <v>KCM</v>
      </c>
      <c r="AI654" s="49">
        <f t="shared" si="117"/>
        <v>0</v>
      </c>
    </row>
    <row r="655" spans="1:35">
      <c r="A655" s="1">
        <f t="shared" si="112"/>
        <v>400</v>
      </c>
      <c r="B655" s="1" t="str">
        <f t="shared" si="113"/>
        <v>KCM</v>
      </c>
      <c r="C655" s="1">
        <f t="shared" si="114"/>
        <v>0</v>
      </c>
      <c r="Z655" s="49"/>
      <c r="AA655" s="49">
        <v>400</v>
      </c>
      <c r="AB655" s="49" t="s">
        <v>574</v>
      </c>
      <c r="AC655" s="49">
        <v>0</v>
      </c>
      <c r="AD655" s="49"/>
      <c r="AE655" s="49"/>
      <c r="AF655" s="49"/>
      <c r="AG655" s="49">
        <f t="shared" si="115"/>
        <v>400</v>
      </c>
      <c r="AH655" s="49" t="str">
        <f t="shared" si="116"/>
        <v>KCM</v>
      </c>
      <c r="AI655" s="49">
        <f t="shared" si="117"/>
        <v>0</v>
      </c>
    </row>
    <row r="656" spans="1:35">
      <c r="A656" s="1">
        <f t="shared" si="112"/>
        <v>500</v>
      </c>
      <c r="B656" s="1" t="str">
        <f t="shared" si="113"/>
        <v>KCM</v>
      </c>
      <c r="C656" s="1">
        <f t="shared" si="114"/>
        <v>0</v>
      </c>
      <c r="Z656" s="49"/>
      <c r="AA656" s="49">
        <v>500</v>
      </c>
      <c r="AB656" s="49" t="s">
        <v>574</v>
      </c>
      <c r="AC656" s="49">
        <v>0</v>
      </c>
      <c r="AD656" s="49"/>
      <c r="AE656" s="49"/>
      <c r="AF656" s="49"/>
      <c r="AG656" s="49">
        <f t="shared" si="115"/>
        <v>500</v>
      </c>
      <c r="AH656" s="49" t="str">
        <f t="shared" si="116"/>
        <v>KCM</v>
      </c>
      <c r="AI656" s="49">
        <f t="shared" si="117"/>
        <v>0</v>
      </c>
    </row>
    <row r="657" spans="1:36">
      <c r="A657" s="1">
        <f t="shared" si="112"/>
        <v>600</v>
      </c>
      <c r="B657" s="1" t="str">
        <f t="shared" si="113"/>
        <v>KCM</v>
      </c>
      <c r="C657" s="1">
        <f t="shared" si="114"/>
        <v>0</v>
      </c>
      <c r="Z657" s="49"/>
      <c r="AA657" s="49">
        <v>600</v>
      </c>
      <c r="AB657" s="49" t="s">
        <v>574</v>
      </c>
      <c r="AC657" s="49"/>
      <c r="AD657" s="49"/>
      <c r="AE657" s="49"/>
      <c r="AF657" s="49"/>
      <c r="AG657" s="49">
        <f t="shared" si="115"/>
        <v>600</v>
      </c>
      <c r="AH657" s="49" t="str">
        <f t="shared" si="116"/>
        <v>KCM</v>
      </c>
      <c r="AI657" s="49">
        <f t="shared" si="117"/>
        <v>0</v>
      </c>
    </row>
    <row r="658" spans="1:36">
      <c r="A658" s="1">
        <f t="shared" si="112"/>
        <v>700</v>
      </c>
      <c r="B658" s="1" t="str">
        <f t="shared" si="113"/>
        <v>KCM</v>
      </c>
      <c r="C658" s="1">
        <f t="shared" si="114"/>
        <v>0</v>
      </c>
      <c r="Z658" s="49"/>
      <c r="AA658" s="49">
        <v>700</v>
      </c>
      <c r="AB658" s="49" t="s">
        <v>574</v>
      </c>
      <c r="AC658" s="49">
        <v>0</v>
      </c>
      <c r="AD658" s="49"/>
      <c r="AE658" s="49"/>
      <c r="AF658" s="49"/>
      <c r="AG658" s="49">
        <f t="shared" si="115"/>
        <v>700</v>
      </c>
      <c r="AH658" s="49" t="str">
        <f t="shared" si="116"/>
        <v>KCM</v>
      </c>
      <c r="AI658" s="49">
        <f t="shared" si="117"/>
        <v>0</v>
      </c>
    </row>
    <row r="659" spans="1:36">
      <c r="A659" s="1">
        <f>AG659</f>
        <v>750</v>
      </c>
      <c r="B659" s="1" t="str">
        <f>AH659</f>
        <v>KCM</v>
      </c>
      <c r="C659" s="1">
        <f>AI659</f>
        <v>0</v>
      </c>
      <c r="Z659" s="49"/>
      <c r="AA659" s="49">
        <v>750</v>
      </c>
      <c r="AB659" s="49" t="s">
        <v>574</v>
      </c>
      <c r="AC659" s="49">
        <v>0</v>
      </c>
      <c r="AD659" s="49"/>
      <c r="AE659" s="49"/>
      <c r="AF659" s="49"/>
      <c r="AG659" s="49">
        <f t="shared" si="115"/>
        <v>750</v>
      </c>
      <c r="AH659" s="49" t="str">
        <f t="shared" si="116"/>
        <v>KCM</v>
      </c>
      <c r="AI659" s="49">
        <f t="shared" si="117"/>
        <v>0</v>
      </c>
    </row>
    <row r="660" spans="1:36">
      <c r="Z660" s="49"/>
      <c r="AA660" s="49">
        <v>0</v>
      </c>
      <c r="AB660" s="49">
        <v>0</v>
      </c>
      <c r="AC660" s="49">
        <v>0</v>
      </c>
      <c r="AD660" s="49"/>
      <c r="AE660" s="49"/>
      <c r="AF660" s="49"/>
      <c r="AG660" s="49">
        <f t="shared" si="115"/>
        <v>0</v>
      </c>
      <c r="AH660" s="49">
        <f t="shared" si="116"/>
        <v>0</v>
      </c>
      <c r="AI660" s="49">
        <f t="shared" si="117"/>
        <v>0</v>
      </c>
    </row>
    <row r="661" spans="1:36">
      <c r="A661" s="2" t="s">
        <v>575</v>
      </c>
      <c r="B661" s="11"/>
      <c r="C661" s="11"/>
      <c r="D661" s="11"/>
      <c r="E661" s="11"/>
      <c r="F661" s="11"/>
      <c r="G661" s="11"/>
      <c r="H661" s="11"/>
      <c r="Z661" s="49"/>
      <c r="AA661" s="49" t="s">
        <v>575</v>
      </c>
      <c r="AB661" s="49">
        <v>0</v>
      </c>
      <c r="AC661" s="49">
        <v>0</v>
      </c>
      <c r="AD661" s="49"/>
      <c r="AE661" s="49"/>
      <c r="AF661" s="49"/>
      <c r="AG661" s="49" t="str">
        <f t="shared" si="115"/>
        <v>MOTORES DE CORRIENTE ALTERNA</v>
      </c>
      <c r="AH661" s="49">
        <f t="shared" si="116"/>
        <v>0</v>
      </c>
      <c r="AI661" s="49">
        <f t="shared" si="117"/>
        <v>0</v>
      </c>
    </row>
    <row r="662" spans="1:36">
      <c r="A662" s="11" t="s">
        <v>576</v>
      </c>
      <c r="B662" s="11"/>
      <c r="C662" s="11"/>
      <c r="D662" s="11"/>
      <c r="E662" s="11"/>
      <c r="F662" s="11"/>
      <c r="G662" s="11"/>
      <c r="H662" s="11"/>
      <c r="Z662" s="49"/>
      <c r="AA662" s="49" t="s">
        <v>576</v>
      </c>
      <c r="AB662" s="49">
        <v>0</v>
      </c>
      <c r="AC662" s="49">
        <v>0</v>
      </c>
      <c r="AD662" s="49"/>
      <c r="AE662" s="49"/>
      <c r="AF662" s="49"/>
      <c r="AG662" s="49" t="str">
        <f t="shared" si="115"/>
        <v>MONOFASICOS TABAL 430-148</v>
      </c>
      <c r="AH662" s="49">
        <f t="shared" si="116"/>
        <v>0</v>
      </c>
      <c r="AI662" s="49">
        <f t="shared" si="117"/>
        <v>0</v>
      </c>
    </row>
    <row r="663" spans="1:36">
      <c r="Z663" s="49"/>
      <c r="AA663" s="49">
        <v>0</v>
      </c>
      <c r="AB663" s="49">
        <v>0</v>
      </c>
      <c r="AC663" s="49">
        <v>0</v>
      </c>
      <c r="AD663" s="49"/>
      <c r="AE663" s="49"/>
      <c r="AF663" s="49"/>
      <c r="AG663" s="49">
        <f t="shared" si="115"/>
        <v>0</v>
      </c>
      <c r="AH663" s="49">
        <f t="shared" si="116"/>
        <v>0</v>
      </c>
      <c r="AI663" s="49">
        <f t="shared" si="117"/>
        <v>0</v>
      </c>
    </row>
    <row r="664" spans="1:36">
      <c r="A664" s="1" t="s">
        <v>575</v>
      </c>
      <c r="Z664" s="49"/>
      <c r="AA664" s="49" t="s">
        <v>575</v>
      </c>
      <c r="AB664" s="49">
        <v>0</v>
      </c>
      <c r="AC664" s="49">
        <v>0</v>
      </c>
      <c r="AD664" s="49"/>
      <c r="AE664" s="49"/>
      <c r="AF664" s="49"/>
      <c r="AG664" s="49" t="str">
        <f t="shared" si="115"/>
        <v>MOTORES DE CORRIENTE ALTERNA</v>
      </c>
      <c r="AH664" s="49">
        <f t="shared" si="116"/>
        <v>0</v>
      </c>
      <c r="AI664" s="49">
        <f t="shared" si="117"/>
        <v>0</v>
      </c>
    </row>
    <row r="665" spans="1:36">
      <c r="A665" s="1" t="s">
        <v>577</v>
      </c>
      <c r="Z665" s="49"/>
      <c r="AA665" s="49" t="s">
        <v>577</v>
      </c>
      <c r="AB665" s="49">
        <v>0</v>
      </c>
      <c r="AC665" s="49">
        <v>0</v>
      </c>
      <c r="AD665" s="49"/>
      <c r="AE665" s="49"/>
      <c r="AF665" s="49"/>
      <c r="AG665" s="49" t="str">
        <f t="shared" si="115"/>
        <v>MONOFASICOS TABLA 430-148</v>
      </c>
      <c r="AH665" s="49">
        <f t="shared" si="116"/>
        <v>0</v>
      </c>
      <c r="AI665" s="49">
        <f t="shared" si="117"/>
        <v>0</v>
      </c>
    </row>
    <row r="666" spans="1:36">
      <c r="Z666" s="49"/>
      <c r="AA666" s="49">
        <v>0</v>
      </c>
      <c r="AB666" s="49">
        <v>0</v>
      </c>
      <c r="AC666" s="49">
        <v>0</v>
      </c>
      <c r="AD666" s="49"/>
      <c r="AE666" s="49"/>
      <c r="AF666" s="49"/>
      <c r="AG666" s="49">
        <f t="shared" si="115"/>
        <v>0</v>
      </c>
      <c r="AH666" s="49">
        <f t="shared" si="116"/>
        <v>0</v>
      </c>
      <c r="AI666" s="49">
        <f t="shared" si="117"/>
        <v>0</v>
      </c>
    </row>
    <row r="667" spans="1:36">
      <c r="A667" s="1" t="s">
        <v>578</v>
      </c>
      <c r="B667" s="1" t="s">
        <v>579</v>
      </c>
      <c r="C667" s="1" t="s">
        <v>580</v>
      </c>
      <c r="Z667" s="49"/>
      <c r="AA667" s="49" t="s">
        <v>578</v>
      </c>
      <c r="AB667" s="49" t="s">
        <v>579</v>
      </c>
      <c r="AC667" s="49" t="s">
        <v>580</v>
      </c>
      <c r="AD667" s="49"/>
      <c r="AE667" s="49"/>
      <c r="AF667" s="49"/>
      <c r="AG667" s="49" t="str">
        <f t="shared" si="115"/>
        <v>CP</v>
      </c>
      <c r="AH667" s="49" t="str">
        <f t="shared" si="116"/>
        <v>127V</v>
      </c>
      <c r="AI667" s="49" t="str">
        <f t="shared" si="117"/>
        <v>220V</v>
      </c>
    </row>
    <row r="668" spans="1:36">
      <c r="E668" s="9"/>
      <c r="Z668" s="49"/>
      <c r="AA668" s="49">
        <v>0</v>
      </c>
      <c r="AB668" s="49">
        <v>0</v>
      </c>
      <c r="AC668" s="49">
        <v>0</v>
      </c>
      <c r="AD668" s="49"/>
      <c r="AE668" s="49"/>
      <c r="AF668" s="49"/>
      <c r="AG668" s="49">
        <f t="shared" si="115"/>
        <v>0</v>
      </c>
      <c r="AH668" s="49">
        <f t="shared" si="116"/>
        <v>0</v>
      </c>
      <c r="AI668" s="49">
        <f t="shared" si="117"/>
        <v>0</v>
      </c>
      <c r="AJ668" s="50">
        <v>0</v>
      </c>
    </row>
    <row r="669" spans="1:36">
      <c r="A669" s="1">
        <f t="shared" ref="A669:A680" si="118">AG669</f>
        <v>0.16</v>
      </c>
      <c r="B669" s="1">
        <f t="shared" ref="B669:B680" si="119">AH669</f>
        <v>4</v>
      </c>
      <c r="C669" s="1">
        <f>IF(DATOS!$F$9&gt;220,AJ669,AI669)</f>
        <v>2.4</v>
      </c>
      <c r="D669" s="1">
        <f>B669*127*DATOS!$F$14</f>
        <v>457.2</v>
      </c>
      <c r="E669" s="1">
        <f>C669*220*DATOS!$F$14</f>
        <v>475.2</v>
      </c>
      <c r="Z669" s="49"/>
      <c r="AA669" s="49">
        <v>0.16</v>
      </c>
      <c r="AB669" s="49">
        <v>4</v>
      </c>
      <c r="AC669" s="49">
        <v>2.2000000000000002</v>
      </c>
      <c r="AD669" s="49"/>
      <c r="AE669" s="49"/>
      <c r="AF669" s="49"/>
      <c r="AG669" s="49">
        <f t="shared" si="115"/>
        <v>0.16</v>
      </c>
      <c r="AH669" s="49">
        <f t="shared" si="116"/>
        <v>4</v>
      </c>
      <c r="AI669" s="49">
        <v>2.4</v>
      </c>
      <c r="AJ669" s="50">
        <v>2.2000000000000002</v>
      </c>
    </row>
    <row r="670" spans="1:36">
      <c r="A670" s="1">
        <f t="shared" si="118"/>
        <v>0.25</v>
      </c>
      <c r="B670" s="1">
        <f t="shared" si="119"/>
        <v>5.3</v>
      </c>
      <c r="C670" s="1">
        <f>IF(DATOS!$F$9&gt;220,AJ670,AI670)</f>
        <v>3.2</v>
      </c>
      <c r="D670" s="1">
        <f>B670*127*DATOS!$F$14</f>
        <v>605.79000000000008</v>
      </c>
      <c r="E670" s="1">
        <f>C670*220*DATOS!$F$14</f>
        <v>633.6</v>
      </c>
      <c r="Z670" s="49"/>
      <c r="AA670" s="49">
        <v>0.25</v>
      </c>
      <c r="AB670" s="49">
        <v>5.3</v>
      </c>
      <c r="AC670" s="49">
        <v>2.9</v>
      </c>
      <c r="AD670" s="49"/>
      <c r="AE670" s="49"/>
      <c r="AF670" s="49"/>
      <c r="AG670" s="49">
        <f t="shared" si="115"/>
        <v>0.25</v>
      </c>
      <c r="AH670" s="49">
        <f t="shared" si="116"/>
        <v>5.3</v>
      </c>
      <c r="AI670" s="49">
        <v>3.2</v>
      </c>
      <c r="AJ670" s="50">
        <v>2.9</v>
      </c>
    </row>
    <row r="671" spans="1:36">
      <c r="A671" s="1">
        <f t="shared" si="118"/>
        <v>0.33300000000000002</v>
      </c>
      <c r="B671" s="1">
        <f t="shared" si="119"/>
        <v>6.5</v>
      </c>
      <c r="C671" s="1">
        <f>IF(DATOS!$F$9&gt;220,AJ671,AI671)</f>
        <v>4</v>
      </c>
      <c r="D671" s="1">
        <f>B671*127*DATOS!$F$14</f>
        <v>742.95</v>
      </c>
      <c r="E671" s="1">
        <f>C671*220*DATOS!$F$14</f>
        <v>792</v>
      </c>
      <c r="Z671" s="49"/>
      <c r="AA671" s="49">
        <v>0.33300000000000002</v>
      </c>
      <c r="AB671" s="49">
        <v>6.5</v>
      </c>
      <c r="AC671" s="49">
        <v>3.6</v>
      </c>
      <c r="AD671" s="49"/>
      <c r="AE671" s="49"/>
      <c r="AF671" s="49"/>
      <c r="AG671" s="49">
        <f t="shared" si="115"/>
        <v>0.33300000000000002</v>
      </c>
      <c r="AH671" s="49">
        <f t="shared" si="116"/>
        <v>6.5</v>
      </c>
      <c r="AI671" s="49">
        <v>4</v>
      </c>
      <c r="AJ671" s="50">
        <v>3.6</v>
      </c>
    </row>
    <row r="672" spans="1:36">
      <c r="A672" s="1">
        <f t="shared" si="118"/>
        <v>0.5</v>
      </c>
      <c r="B672" s="1">
        <f t="shared" si="119"/>
        <v>8.9</v>
      </c>
      <c r="C672" s="1">
        <f>IF(DATOS!$F$9&gt;220,AJ672,AI672)</f>
        <v>5.4</v>
      </c>
      <c r="D672" s="1">
        <f>B672*127*DATOS!$F$14</f>
        <v>1017.27</v>
      </c>
      <c r="E672" s="1">
        <f>C672*220*DATOS!$F$14</f>
        <v>1069.2</v>
      </c>
      <c r="Z672" s="49"/>
      <c r="AA672" s="49">
        <v>0.5</v>
      </c>
      <c r="AB672" s="49">
        <v>8.9</v>
      </c>
      <c r="AC672" s="49">
        <v>4.9000000000000004</v>
      </c>
      <c r="AD672" s="49"/>
      <c r="AE672" s="49"/>
      <c r="AF672" s="49"/>
      <c r="AG672" s="49">
        <f t="shared" si="115"/>
        <v>0.5</v>
      </c>
      <c r="AH672" s="49">
        <f t="shared" si="116"/>
        <v>8.9</v>
      </c>
      <c r="AI672" s="49">
        <v>5.4</v>
      </c>
      <c r="AJ672" s="50">
        <v>4.9000000000000004</v>
      </c>
    </row>
    <row r="673" spans="1:36">
      <c r="A673" s="1">
        <f t="shared" si="118"/>
        <v>0.75</v>
      </c>
      <c r="B673" s="1">
        <f t="shared" si="119"/>
        <v>11.5</v>
      </c>
      <c r="C673" s="1">
        <f>IF(DATOS!$F$9&gt;220,AJ673,AI673)</f>
        <v>7.6</v>
      </c>
      <c r="D673" s="1">
        <f>B673*127*DATOS!$F$14</f>
        <v>1314.45</v>
      </c>
      <c r="E673" s="1">
        <f>C673*220*DATOS!$F$14</f>
        <v>1504.8</v>
      </c>
      <c r="Z673" s="49"/>
      <c r="AA673" s="49">
        <v>0.75</v>
      </c>
      <c r="AB673" s="49">
        <v>11.5</v>
      </c>
      <c r="AC673" s="49">
        <v>6.9</v>
      </c>
      <c r="AD673" s="49"/>
      <c r="AE673" s="49"/>
      <c r="AF673" s="49"/>
      <c r="AG673" s="49">
        <f t="shared" si="115"/>
        <v>0.75</v>
      </c>
      <c r="AH673" s="49">
        <f t="shared" si="116"/>
        <v>11.5</v>
      </c>
      <c r="AI673" s="49">
        <v>7.6</v>
      </c>
      <c r="AJ673" s="50">
        <v>6.9</v>
      </c>
    </row>
    <row r="674" spans="1:36">
      <c r="A674" s="1">
        <f t="shared" si="118"/>
        <v>1</v>
      </c>
      <c r="B674" s="1">
        <f t="shared" si="119"/>
        <v>14</v>
      </c>
      <c r="C674" s="1">
        <f>IF(DATOS!$F$9&gt;220,AJ674,AI674)</f>
        <v>8.8000000000000007</v>
      </c>
      <c r="D674" s="1">
        <f>B674*127*DATOS!$F$14</f>
        <v>1600.2</v>
      </c>
      <c r="E674" s="1">
        <f>C674*220*DATOS!$F$14</f>
        <v>1742.4000000000003</v>
      </c>
      <c r="Z674" s="49"/>
      <c r="AA674" s="49">
        <v>1</v>
      </c>
      <c r="AB674" s="49">
        <v>14</v>
      </c>
      <c r="AC674" s="49">
        <v>8</v>
      </c>
      <c r="AD674" s="49"/>
      <c r="AE674" s="49"/>
      <c r="AF674" s="49"/>
      <c r="AG674" s="49">
        <f t="shared" si="115"/>
        <v>1</v>
      </c>
      <c r="AH674" s="49">
        <f t="shared" si="116"/>
        <v>14</v>
      </c>
      <c r="AI674" s="49">
        <v>8.8000000000000007</v>
      </c>
      <c r="AJ674" s="50">
        <v>8</v>
      </c>
    </row>
    <row r="675" spans="1:36">
      <c r="A675" s="1">
        <f t="shared" si="118"/>
        <v>1.5</v>
      </c>
      <c r="B675" s="1">
        <f t="shared" si="119"/>
        <v>18</v>
      </c>
      <c r="C675" s="1">
        <f>IF(DATOS!$F$9&gt;220,AJ675,AI675)</f>
        <v>11</v>
      </c>
      <c r="D675" s="1">
        <f>B675*127*DATOS!$F$14</f>
        <v>2057.4</v>
      </c>
      <c r="E675" s="1">
        <f>C675*220*DATOS!$F$14</f>
        <v>2178</v>
      </c>
      <c r="Z675" s="49"/>
      <c r="AA675" s="49">
        <v>1.5</v>
      </c>
      <c r="AB675" s="49">
        <v>18</v>
      </c>
      <c r="AC675" s="49">
        <v>10</v>
      </c>
      <c r="AD675" s="49"/>
      <c r="AE675" s="49"/>
      <c r="AF675" s="49"/>
      <c r="AG675" s="49">
        <f t="shared" si="115"/>
        <v>1.5</v>
      </c>
      <c r="AH675" s="49">
        <f t="shared" si="116"/>
        <v>18</v>
      </c>
      <c r="AI675" s="49">
        <v>11</v>
      </c>
      <c r="AJ675" s="50">
        <v>10</v>
      </c>
    </row>
    <row r="676" spans="1:36">
      <c r="A676" s="1">
        <f t="shared" si="118"/>
        <v>2</v>
      </c>
      <c r="B676" s="1">
        <f t="shared" si="119"/>
        <v>22</v>
      </c>
      <c r="C676" s="1">
        <f>IF(DATOS!$F$9&gt;220,AJ676,AI676)</f>
        <v>13.2</v>
      </c>
      <c r="D676" s="1">
        <f>B676*127*DATOS!$F$14</f>
        <v>2514.6</v>
      </c>
      <c r="E676" s="1">
        <f>C676*220*DATOS!$F$14</f>
        <v>2613.6</v>
      </c>
      <c r="Z676" s="49"/>
      <c r="AA676" s="49">
        <v>2</v>
      </c>
      <c r="AB676" s="49">
        <v>22</v>
      </c>
      <c r="AC676" s="49">
        <v>12</v>
      </c>
      <c r="AD676" s="49"/>
      <c r="AE676" s="49"/>
      <c r="AF676" s="49"/>
      <c r="AG676" s="49">
        <f t="shared" si="115"/>
        <v>2</v>
      </c>
      <c r="AH676" s="49">
        <f t="shared" si="116"/>
        <v>22</v>
      </c>
      <c r="AI676" s="49">
        <v>13.2</v>
      </c>
      <c r="AJ676" s="50">
        <v>12</v>
      </c>
    </row>
    <row r="677" spans="1:36">
      <c r="A677" s="1">
        <f t="shared" si="118"/>
        <v>3</v>
      </c>
      <c r="B677" s="1">
        <f t="shared" si="119"/>
        <v>31</v>
      </c>
      <c r="C677" s="1">
        <f>IF(DATOS!$F$9&gt;220,AJ677,AI677)</f>
        <v>18.7</v>
      </c>
      <c r="D677" s="1">
        <f>B677*127*DATOS!$F$14</f>
        <v>3543.3</v>
      </c>
      <c r="E677" s="1">
        <f>C677*220*DATOS!$F$14</f>
        <v>3702.6</v>
      </c>
      <c r="Z677" s="49"/>
      <c r="AA677" s="49">
        <v>3</v>
      </c>
      <c r="AB677" s="49">
        <v>31</v>
      </c>
      <c r="AC677" s="49">
        <v>17</v>
      </c>
      <c r="AD677" s="49"/>
      <c r="AE677" s="49"/>
      <c r="AF677" s="49"/>
      <c r="AG677" s="49">
        <f t="shared" si="115"/>
        <v>3</v>
      </c>
      <c r="AH677" s="49">
        <f t="shared" si="116"/>
        <v>31</v>
      </c>
      <c r="AI677" s="49">
        <v>18.7</v>
      </c>
      <c r="AJ677" s="50">
        <v>17</v>
      </c>
    </row>
    <row r="678" spans="1:36">
      <c r="A678" s="1">
        <f t="shared" si="118"/>
        <v>5</v>
      </c>
      <c r="B678" s="1">
        <f t="shared" si="119"/>
        <v>51</v>
      </c>
      <c r="C678" s="1">
        <f>IF(DATOS!$F$9&gt;220,AJ678,AI678)</f>
        <v>30.8</v>
      </c>
      <c r="D678" s="1">
        <f>B678*127*DATOS!$F$14</f>
        <v>5829.3</v>
      </c>
      <c r="E678" s="1">
        <f>C678*220*DATOS!$F$14</f>
        <v>6098.4000000000005</v>
      </c>
      <c r="Z678" s="49"/>
      <c r="AA678" s="49">
        <v>5</v>
      </c>
      <c r="AB678" s="49">
        <v>51</v>
      </c>
      <c r="AC678" s="49">
        <v>28</v>
      </c>
      <c r="AD678" s="49"/>
      <c r="AE678" s="49"/>
      <c r="AF678" s="49"/>
      <c r="AG678" s="49">
        <f t="shared" si="115"/>
        <v>5</v>
      </c>
      <c r="AH678" s="49">
        <f t="shared" si="116"/>
        <v>51</v>
      </c>
      <c r="AI678" s="49">
        <v>30.8</v>
      </c>
      <c r="AJ678" s="50">
        <v>28</v>
      </c>
    </row>
    <row r="679" spans="1:36">
      <c r="A679" s="1">
        <f t="shared" si="118"/>
        <v>7.5</v>
      </c>
      <c r="B679" s="1">
        <f t="shared" si="119"/>
        <v>72</v>
      </c>
      <c r="C679" s="1">
        <f>IF(DATOS!$F$9&gt;220,AJ679,AI679)</f>
        <v>44</v>
      </c>
      <c r="D679" s="1">
        <f>B679*127*DATOS!$F$14</f>
        <v>8229.6</v>
      </c>
      <c r="E679" s="1">
        <f>C679*220*DATOS!$F$14</f>
        <v>8712</v>
      </c>
      <c r="Z679" s="49"/>
      <c r="AA679" s="49">
        <v>7.5</v>
      </c>
      <c r="AB679" s="49">
        <v>72</v>
      </c>
      <c r="AC679" s="49">
        <v>40</v>
      </c>
      <c r="AD679" s="49"/>
      <c r="AE679" s="49"/>
      <c r="AF679" s="49"/>
      <c r="AG679" s="49">
        <f t="shared" si="115"/>
        <v>7.5</v>
      </c>
      <c r="AH679" s="49">
        <f t="shared" si="116"/>
        <v>72</v>
      </c>
      <c r="AI679" s="49">
        <v>44</v>
      </c>
      <c r="AJ679" s="50">
        <v>40</v>
      </c>
    </row>
    <row r="680" spans="1:36">
      <c r="A680" s="1">
        <f t="shared" si="118"/>
        <v>10</v>
      </c>
      <c r="B680" s="1">
        <f t="shared" si="119"/>
        <v>91</v>
      </c>
      <c r="C680" s="1">
        <f>IF(DATOS!$F$9&gt;220,AJ680,AI680)</f>
        <v>55</v>
      </c>
      <c r="D680" s="1">
        <f>B680*127*DATOS!$F$14</f>
        <v>10401.300000000001</v>
      </c>
      <c r="E680" s="1">
        <f>C680*220*DATOS!$F$14</f>
        <v>10890</v>
      </c>
      <c r="Z680" s="49"/>
      <c r="AA680" s="49">
        <v>10</v>
      </c>
      <c r="AB680" s="49">
        <v>91</v>
      </c>
      <c r="AC680" s="49">
        <v>50</v>
      </c>
      <c r="AD680" s="49"/>
      <c r="AE680" s="49"/>
      <c r="AF680" s="49"/>
      <c r="AG680" s="49">
        <f t="shared" si="115"/>
        <v>10</v>
      </c>
      <c r="AH680" s="49">
        <f t="shared" si="116"/>
        <v>91</v>
      </c>
      <c r="AI680" s="49">
        <v>55</v>
      </c>
      <c r="AJ680" s="50">
        <v>50</v>
      </c>
    </row>
    <row r="681" spans="1:36">
      <c r="Z681" s="49"/>
      <c r="AA681" s="49">
        <v>0</v>
      </c>
      <c r="AB681" s="49">
        <v>0</v>
      </c>
      <c r="AC681" s="49">
        <v>0</v>
      </c>
      <c r="AD681" s="49"/>
      <c r="AE681" s="49"/>
      <c r="AF681" s="49"/>
      <c r="AG681" s="49">
        <f t="shared" si="115"/>
        <v>0</v>
      </c>
      <c r="AH681" s="49">
        <f t="shared" si="116"/>
        <v>0</v>
      </c>
      <c r="AI681" s="49">
        <f t="shared" si="117"/>
        <v>0</v>
      </c>
    </row>
    <row r="682" spans="1:36">
      <c r="Z682" s="49"/>
      <c r="AA682" s="49">
        <v>0</v>
      </c>
      <c r="AB682" s="49">
        <v>0</v>
      </c>
      <c r="AC682" s="49">
        <v>0</v>
      </c>
      <c r="AD682" s="49"/>
      <c r="AE682" s="49"/>
      <c r="AF682" s="49"/>
      <c r="AG682" s="49">
        <f t="shared" si="115"/>
        <v>0</v>
      </c>
      <c r="AH682" s="49">
        <f t="shared" si="116"/>
        <v>0</v>
      </c>
      <c r="AI682" s="49">
        <f t="shared" si="117"/>
        <v>0</v>
      </c>
    </row>
    <row r="683" spans="1:36">
      <c r="A683" s="2" t="s">
        <v>575</v>
      </c>
      <c r="B683" s="11"/>
      <c r="C683" s="11"/>
      <c r="D683" s="11"/>
      <c r="E683" s="11"/>
      <c r="F683" s="11"/>
      <c r="G683" s="11"/>
      <c r="H683" s="11"/>
      <c r="Z683" s="49"/>
      <c r="AA683" s="49" t="s">
        <v>575</v>
      </c>
      <c r="AB683" s="49">
        <v>0</v>
      </c>
      <c r="AC683" s="49">
        <v>0</v>
      </c>
      <c r="AD683" s="49"/>
      <c r="AE683" s="49"/>
      <c r="AF683" s="49"/>
      <c r="AG683" s="49" t="str">
        <f t="shared" si="115"/>
        <v>MOTORES DE CORRIENTE ALTERNA</v>
      </c>
      <c r="AH683" s="49">
        <f t="shared" si="116"/>
        <v>0</v>
      </c>
      <c r="AI683" s="49">
        <f t="shared" si="117"/>
        <v>0</v>
      </c>
    </row>
    <row r="684" spans="1:36">
      <c r="A684" s="11" t="s">
        <v>581</v>
      </c>
      <c r="B684" s="11"/>
      <c r="C684" s="11"/>
      <c r="D684" s="11"/>
      <c r="E684" s="11"/>
      <c r="F684" s="11"/>
      <c r="G684" s="11"/>
      <c r="H684" s="11"/>
      <c r="Z684" s="49"/>
      <c r="AA684" s="49" t="s">
        <v>582</v>
      </c>
      <c r="AB684" s="49">
        <v>0</v>
      </c>
      <c r="AC684" s="49">
        <v>0</v>
      </c>
      <c r="AD684" s="49"/>
      <c r="AE684" s="49"/>
      <c r="AF684" s="49"/>
      <c r="AG684" s="49" t="str">
        <f t="shared" si="115"/>
        <v>TRIFASICOS 430-150 CORREGIDA A FP=0.9</v>
      </c>
      <c r="AH684" s="49">
        <f t="shared" si="116"/>
        <v>0</v>
      </c>
      <c r="AI684" s="49">
        <f t="shared" si="117"/>
        <v>0</v>
      </c>
    </row>
    <row r="685" spans="1:36">
      <c r="Z685" s="49"/>
      <c r="AA685" s="49">
        <v>0</v>
      </c>
      <c r="AB685" s="49">
        <v>0</v>
      </c>
      <c r="AC685" s="49">
        <v>0</v>
      </c>
      <c r="AD685" s="49"/>
      <c r="AE685" s="49"/>
      <c r="AF685" s="49"/>
      <c r="AG685" s="49">
        <f t="shared" si="115"/>
        <v>0</v>
      </c>
      <c r="AH685" s="49">
        <f t="shared" si="116"/>
        <v>0</v>
      </c>
      <c r="AI685" s="49">
        <f t="shared" si="117"/>
        <v>0</v>
      </c>
    </row>
    <row r="686" spans="1:36" ht="13.8" thickBot="1">
      <c r="A686" s="1" t="s">
        <v>578</v>
      </c>
      <c r="B686" s="1">
        <v>208</v>
      </c>
      <c r="C686" s="1" t="s">
        <v>583</v>
      </c>
      <c r="D686" s="1">
        <f>D9</f>
        <v>220</v>
      </c>
      <c r="E686" s="1">
        <f>IF(D9&gt;220,D9,460)</f>
        <v>460</v>
      </c>
      <c r="J686" s="131"/>
      <c r="K686" s="132">
        <v>115</v>
      </c>
      <c r="L686" s="132">
        <v>200</v>
      </c>
      <c r="M686" s="132">
        <v>208</v>
      </c>
      <c r="N686" s="132">
        <v>230</v>
      </c>
      <c r="O686" s="132">
        <v>460</v>
      </c>
      <c r="Z686" s="49"/>
      <c r="AA686" s="49" t="s">
        <v>578</v>
      </c>
      <c r="AB686" s="49" t="s">
        <v>580</v>
      </c>
      <c r="AC686" s="49" t="s">
        <v>583</v>
      </c>
      <c r="AD686" s="49"/>
      <c r="AE686" s="49"/>
      <c r="AF686" s="49"/>
      <c r="AG686" s="49" t="str">
        <f t="shared" si="115"/>
        <v>CP</v>
      </c>
      <c r="AH686" s="49" t="str">
        <f t="shared" si="116"/>
        <v>220V</v>
      </c>
      <c r="AI686" s="49" t="str">
        <f t="shared" si="117"/>
        <v>460V</v>
      </c>
    </row>
    <row r="687" spans="1:36">
      <c r="A687" s="1">
        <f t="shared" ref="A687:A707" si="120">AG687</f>
        <v>0.5</v>
      </c>
      <c r="B687" s="1">
        <v>2.4</v>
      </c>
      <c r="C687" s="1">
        <f t="shared" ref="C687:C707" si="121">AI687</f>
        <v>1.0999999999999999</v>
      </c>
      <c r="D687" s="5">
        <f>IF($D$686=220,B687*1.73*0.9*$D$686,E687)</f>
        <v>822.096</v>
      </c>
      <c r="E687" s="5">
        <f>C687*1.73*0.9*$D$686</f>
        <v>376.79399999999998</v>
      </c>
      <c r="J687" s="133" t="s">
        <v>507</v>
      </c>
      <c r="K687" s="134">
        <v>4.3999999999999995</v>
      </c>
      <c r="L687" s="134">
        <v>2.5</v>
      </c>
      <c r="M687" s="134">
        <v>2.4</v>
      </c>
      <c r="N687" s="134">
        <v>2.1999999999999997</v>
      </c>
      <c r="O687" s="134">
        <v>1.0999999999999999</v>
      </c>
      <c r="Z687" s="49"/>
      <c r="AA687" s="49">
        <v>0.5</v>
      </c>
      <c r="AB687" s="49">
        <v>2.1999999999999997</v>
      </c>
      <c r="AC687" s="49">
        <v>1.0999999999999999</v>
      </c>
      <c r="AD687" s="49"/>
      <c r="AE687" s="49"/>
      <c r="AF687" s="49"/>
      <c r="AG687" s="49">
        <f t="shared" si="115"/>
        <v>0.5</v>
      </c>
      <c r="AH687" s="49">
        <f t="shared" si="116"/>
        <v>2.1999999999999997</v>
      </c>
      <c r="AI687" s="49">
        <f t="shared" si="117"/>
        <v>1.0999999999999999</v>
      </c>
    </row>
    <row r="688" spans="1:36">
      <c r="A688" s="1">
        <f t="shared" si="120"/>
        <v>0.75</v>
      </c>
      <c r="B688" s="1">
        <v>3.7</v>
      </c>
      <c r="C688" s="1">
        <f t="shared" si="121"/>
        <v>1.5999999999999999</v>
      </c>
      <c r="D688" s="5">
        <f>IF($D$686=220,B688*1.73*0.9*$D$686,E688)</f>
        <v>1267.3980000000001</v>
      </c>
      <c r="E688" s="5">
        <f t="shared" ref="E688:E707" si="122">C688*1.73*0.9*$D$686</f>
        <v>548.06399999999996</v>
      </c>
      <c r="J688" s="194" t="s">
        <v>513</v>
      </c>
      <c r="K688" s="156">
        <v>6.3999999999999995</v>
      </c>
      <c r="L688" s="156">
        <v>3.7</v>
      </c>
      <c r="M688" s="156">
        <v>3.5</v>
      </c>
      <c r="N688" s="156">
        <v>3.1999999999999997</v>
      </c>
      <c r="O688" s="156">
        <v>1.5999999999999999</v>
      </c>
      <c r="Z688" s="49"/>
      <c r="AA688" s="49">
        <v>0.75</v>
      </c>
      <c r="AB688" s="49">
        <v>3.1999999999999997</v>
      </c>
      <c r="AC688" s="49">
        <v>1.5999999999999999</v>
      </c>
      <c r="AD688" s="49"/>
      <c r="AE688" s="49"/>
      <c r="AF688" s="49"/>
      <c r="AG688" s="49">
        <f t="shared" si="115"/>
        <v>0.75</v>
      </c>
      <c r="AH688" s="49">
        <f t="shared" si="116"/>
        <v>3.1999999999999997</v>
      </c>
      <c r="AI688" s="49">
        <f t="shared" si="117"/>
        <v>1.5999999999999999</v>
      </c>
    </row>
    <row r="689" spans="1:35" ht="13.8" thickBot="1">
      <c r="A689" s="1">
        <f t="shared" si="120"/>
        <v>1</v>
      </c>
      <c r="B689" s="1">
        <v>4.5999999999999996</v>
      </c>
      <c r="C689" s="1">
        <f t="shared" si="121"/>
        <v>2.1</v>
      </c>
      <c r="D689" s="5">
        <f t="shared" ref="D689:D707" si="123">IF($D$686=220,B689*1.73*0.9*$D$686,E689)</f>
        <v>1575.684</v>
      </c>
      <c r="E689" s="5">
        <f t="shared" si="122"/>
        <v>719.33400000000006</v>
      </c>
      <c r="J689" s="130" t="s">
        <v>519</v>
      </c>
      <c r="K689" s="135">
        <v>8.4</v>
      </c>
      <c r="L689" s="135">
        <v>4.8</v>
      </c>
      <c r="M689" s="135">
        <v>4.5999999999999996</v>
      </c>
      <c r="N689" s="135">
        <v>4.2</v>
      </c>
      <c r="O689" s="135">
        <v>2.1</v>
      </c>
      <c r="Z689" s="49"/>
      <c r="AA689" s="49">
        <v>1</v>
      </c>
      <c r="AB689" s="49">
        <v>4.2</v>
      </c>
      <c r="AC689" s="49">
        <v>2.1</v>
      </c>
      <c r="AD689" s="49"/>
      <c r="AE689" s="49"/>
      <c r="AF689" s="49"/>
      <c r="AG689" s="49">
        <f t="shared" si="115"/>
        <v>1</v>
      </c>
      <c r="AH689" s="49">
        <f t="shared" si="116"/>
        <v>4.2</v>
      </c>
      <c r="AI689" s="49">
        <f t="shared" si="117"/>
        <v>2.1</v>
      </c>
    </row>
    <row r="690" spans="1:35">
      <c r="A690" s="1">
        <f t="shared" si="120"/>
        <v>1.5</v>
      </c>
      <c r="B690" s="1">
        <v>6.6</v>
      </c>
      <c r="C690" s="1">
        <f t="shared" si="121"/>
        <v>2.9999999999999996</v>
      </c>
      <c r="D690" s="5">
        <f t="shared" si="123"/>
        <v>2260.7639999999997</v>
      </c>
      <c r="E690" s="5">
        <f t="shared" si="122"/>
        <v>1027.6199999999999</v>
      </c>
      <c r="J690" s="133" t="s">
        <v>527</v>
      </c>
      <c r="K690" s="134">
        <v>11.999999999999998</v>
      </c>
      <c r="L690" s="134">
        <v>6.8999999999999995</v>
      </c>
      <c r="M690" s="134">
        <v>6.6</v>
      </c>
      <c r="N690" s="134">
        <v>5.9999999999999991</v>
      </c>
      <c r="O690" s="134">
        <v>2.9999999999999996</v>
      </c>
      <c r="Z690" s="49"/>
      <c r="AA690" s="49">
        <v>1.5</v>
      </c>
      <c r="AB690" s="49">
        <v>5.9999999999999991</v>
      </c>
      <c r="AC690" s="49">
        <v>2.9999999999999996</v>
      </c>
      <c r="AD690" s="49"/>
      <c r="AE690" s="49"/>
      <c r="AF690" s="49"/>
      <c r="AG690" s="49">
        <f t="shared" si="115"/>
        <v>1.5</v>
      </c>
      <c r="AH690" s="49">
        <f t="shared" si="116"/>
        <v>5.9999999999999991</v>
      </c>
      <c r="AI690" s="49">
        <f t="shared" si="117"/>
        <v>2.9999999999999996</v>
      </c>
    </row>
    <row r="691" spans="1:35">
      <c r="A691" s="1">
        <f t="shared" si="120"/>
        <v>2</v>
      </c>
      <c r="B691" s="1">
        <v>7.5</v>
      </c>
      <c r="C691" s="1">
        <f t="shared" si="121"/>
        <v>3.4</v>
      </c>
      <c r="D691" s="5">
        <f t="shared" si="123"/>
        <v>2569.0500000000002</v>
      </c>
      <c r="E691" s="5">
        <f t="shared" si="122"/>
        <v>1164.636</v>
      </c>
      <c r="J691" s="194" t="s">
        <v>531</v>
      </c>
      <c r="K691" s="156">
        <v>13.6</v>
      </c>
      <c r="L691" s="156">
        <v>7.8</v>
      </c>
      <c r="M691" s="156">
        <v>7.4999999999999991</v>
      </c>
      <c r="N691" s="156">
        <v>6.8</v>
      </c>
      <c r="O691" s="156">
        <v>3.4</v>
      </c>
      <c r="Z691" s="49"/>
      <c r="AA691" s="49">
        <v>2</v>
      </c>
      <c r="AB691" s="49">
        <v>6.8</v>
      </c>
      <c r="AC691" s="49">
        <v>3.4</v>
      </c>
      <c r="AD691" s="49"/>
      <c r="AE691" s="49"/>
      <c r="AF691" s="49"/>
      <c r="AG691" s="49">
        <f t="shared" si="115"/>
        <v>2</v>
      </c>
      <c r="AH691" s="49">
        <f t="shared" si="116"/>
        <v>6.8</v>
      </c>
      <c r="AI691" s="49">
        <f t="shared" si="117"/>
        <v>3.4</v>
      </c>
    </row>
    <row r="692" spans="1:35">
      <c r="A692" s="1">
        <f t="shared" si="120"/>
        <v>3</v>
      </c>
      <c r="B692" s="1">
        <v>10.6</v>
      </c>
      <c r="C692" s="1">
        <f t="shared" si="121"/>
        <v>4.8</v>
      </c>
      <c r="D692" s="5">
        <f t="shared" si="123"/>
        <v>3630.924</v>
      </c>
      <c r="E692" s="5">
        <f t="shared" si="122"/>
        <v>1644.192</v>
      </c>
      <c r="J692" s="194" t="s">
        <v>538</v>
      </c>
      <c r="K692" s="156" t="s">
        <v>584</v>
      </c>
      <c r="L692" s="156">
        <v>10.999999999999998</v>
      </c>
      <c r="M692" s="156">
        <v>10.6</v>
      </c>
      <c r="N692" s="156">
        <v>9.6</v>
      </c>
      <c r="O692" s="156">
        <v>4.8</v>
      </c>
      <c r="Z692" s="49"/>
      <c r="AA692" s="49">
        <v>3</v>
      </c>
      <c r="AB692" s="49">
        <v>9.6</v>
      </c>
      <c r="AC692" s="49">
        <v>4.8</v>
      </c>
      <c r="AD692" s="49"/>
      <c r="AE692" s="49"/>
      <c r="AF692" s="49"/>
      <c r="AG692" s="49">
        <f t="shared" si="115"/>
        <v>3</v>
      </c>
      <c r="AH692" s="49">
        <f t="shared" si="116"/>
        <v>9.6</v>
      </c>
      <c r="AI692" s="49">
        <f t="shared" si="117"/>
        <v>4.8</v>
      </c>
    </row>
    <row r="693" spans="1:35">
      <c r="A693" s="1">
        <f t="shared" si="120"/>
        <v>5</v>
      </c>
      <c r="B693" s="1">
        <v>16.7</v>
      </c>
      <c r="C693" s="1">
        <f t="shared" si="121"/>
        <v>7.5999999999999988</v>
      </c>
      <c r="D693" s="5">
        <f t="shared" si="123"/>
        <v>5720.4179999999997</v>
      </c>
      <c r="E693" s="5">
        <f t="shared" si="122"/>
        <v>2603.3039999999996</v>
      </c>
      <c r="J693" s="194">
        <v>5</v>
      </c>
      <c r="K693" s="156" t="s">
        <v>584</v>
      </c>
      <c r="L693" s="156">
        <v>17.5</v>
      </c>
      <c r="M693" s="156">
        <v>16.7</v>
      </c>
      <c r="N693" s="156">
        <v>15.199999999999998</v>
      </c>
      <c r="O693" s="156">
        <v>7.5999999999999988</v>
      </c>
      <c r="Z693" s="49"/>
      <c r="AA693" s="49">
        <v>5</v>
      </c>
      <c r="AB693" s="49">
        <v>15.199999999999998</v>
      </c>
      <c r="AC693" s="49">
        <v>7.5999999999999988</v>
      </c>
      <c r="AD693" s="49"/>
      <c r="AE693" s="49"/>
      <c r="AF693" s="49"/>
      <c r="AG693" s="49">
        <f t="shared" si="115"/>
        <v>5</v>
      </c>
      <c r="AH693" s="49">
        <f t="shared" si="116"/>
        <v>15.199999999999998</v>
      </c>
      <c r="AI693" s="49">
        <f t="shared" si="117"/>
        <v>7.5999999999999988</v>
      </c>
    </row>
    <row r="694" spans="1:35">
      <c r="A694" s="1">
        <f t="shared" si="120"/>
        <v>7.5</v>
      </c>
      <c r="B694" s="1">
        <v>24.2</v>
      </c>
      <c r="C694" s="1">
        <f t="shared" si="121"/>
        <v>10.999999999999998</v>
      </c>
      <c r="D694" s="5">
        <f t="shared" si="123"/>
        <v>8289.4680000000008</v>
      </c>
      <c r="E694" s="5">
        <f t="shared" si="122"/>
        <v>3767.9399999999996</v>
      </c>
      <c r="J694" s="194" t="s">
        <v>585</v>
      </c>
      <c r="K694" s="156" t="s">
        <v>584</v>
      </c>
      <c r="L694" s="156">
        <v>25.299999999999997</v>
      </c>
      <c r="M694" s="156">
        <v>24.2</v>
      </c>
      <c r="N694" s="156">
        <v>21.999999999999996</v>
      </c>
      <c r="O694" s="156">
        <v>10.999999999999998</v>
      </c>
      <c r="Z694" s="49"/>
      <c r="AA694" s="49">
        <v>7.5</v>
      </c>
      <c r="AB694" s="49">
        <v>21.999999999999996</v>
      </c>
      <c r="AC694" s="49">
        <v>10.999999999999998</v>
      </c>
      <c r="AD694" s="49"/>
      <c r="AE694" s="49"/>
      <c r="AF694" s="49"/>
      <c r="AG694" s="49">
        <f t="shared" si="115"/>
        <v>7.5</v>
      </c>
      <c r="AH694" s="49">
        <f t="shared" si="116"/>
        <v>21.999999999999996</v>
      </c>
      <c r="AI694" s="49">
        <f t="shared" si="117"/>
        <v>10.999999999999998</v>
      </c>
    </row>
    <row r="695" spans="1:35" ht="13.8" thickBot="1">
      <c r="A695" s="1">
        <f t="shared" si="120"/>
        <v>10</v>
      </c>
      <c r="B695" s="1">
        <v>30.8</v>
      </c>
      <c r="C695" s="1">
        <f t="shared" si="121"/>
        <v>14</v>
      </c>
      <c r="D695" s="5">
        <f t="shared" si="123"/>
        <v>10550.232</v>
      </c>
      <c r="E695" s="5">
        <f t="shared" si="122"/>
        <v>4795.5599999999995</v>
      </c>
      <c r="J695" s="130" t="s">
        <v>586</v>
      </c>
      <c r="K695" s="135" t="s">
        <v>584</v>
      </c>
      <c r="L695" s="135">
        <v>32.199999999999996</v>
      </c>
      <c r="M695" s="135">
        <v>30.8</v>
      </c>
      <c r="N695" s="135">
        <v>28</v>
      </c>
      <c r="O695" s="135">
        <v>14</v>
      </c>
      <c r="Z695" s="49"/>
      <c r="AA695" s="49">
        <v>10</v>
      </c>
      <c r="AB695" s="49">
        <v>28</v>
      </c>
      <c r="AC695" s="49">
        <v>14</v>
      </c>
      <c r="AD695" s="49"/>
      <c r="AE695" s="49"/>
      <c r="AF695" s="49"/>
      <c r="AG695" s="49">
        <f t="shared" si="115"/>
        <v>10</v>
      </c>
      <c r="AH695" s="49">
        <f t="shared" si="116"/>
        <v>28</v>
      </c>
      <c r="AI695" s="49">
        <f t="shared" si="117"/>
        <v>14</v>
      </c>
    </row>
    <row r="696" spans="1:35">
      <c r="A696" s="1">
        <f t="shared" si="120"/>
        <v>15</v>
      </c>
      <c r="B696" s="1">
        <v>46.2</v>
      </c>
      <c r="C696" s="1">
        <f t="shared" si="121"/>
        <v>21</v>
      </c>
      <c r="D696" s="5">
        <f t="shared" si="123"/>
        <v>15825.348000000002</v>
      </c>
      <c r="E696" s="5">
        <f t="shared" si="122"/>
        <v>7193.34</v>
      </c>
      <c r="J696" s="133" t="s">
        <v>587</v>
      </c>
      <c r="K696" s="134" t="s">
        <v>584</v>
      </c>
      <c r="L696" s="134">
        <v>48.3</v>
      </c>
      <c r="M696" s="134">
        <v>46.199999999999996</v>
      </c>
      <c r="N696" s="134">
        <v>42</v>
      </c>
      <c r="O696" s="134">
        <v>21</v>
      </c>
      <c r="Z696" s="49"/>
      <c r="AA696" s="49">
        <v>15</v>
      </c>
      <c r="AB696" s="49">
        <v>42</v>
      </c>
      <c r="AC696" s="49">
        <v>21</v>
      </c>
      <c r="AD696" s="49"/>
      <c r="AE696" s="49"/>
      <c r="AF696" s="49"/>
      <c r="AG696" s="49">
        <f t="shared" si="115"/>
        <v>15</v>
      </c>
      <c r="AH696" s="49">
        <f t="shared" si="116"/>
        <v>42</v>
      </c>
      <c r="AI696" s="49">
        <f t="shared" si="117"/>
        <v>21</v>
      </c>
    </row>
    <row r="697" spans="1:35">
      <c r="A697" s="1">
        <f t="shared" si="120"/>
        <v>20</v>
      </c>
      <c r="B697" s="1">
        <v>59.4</v>
      </c>
      <c r="C697" s="1">
        <f t="shared" si="121"/>
        <v>26.999999999999996</v>
      </c>
      <c r="D697" s="5">
        <f t="shared" si="123"/>
        <v>20346.876</v>
      </c>
      <c r="E697" s="5">
        <f t="shared" si="122"/>
        <v>9248.5799999999981</v>
      </c>
      <c r="J697" s="194" t="s">
        <v>588</v>
      </c>
      <c r="K697" s="156" t="s">
        <v>584</v>
      </c>
      <c r="L697" s="156">
        <v>62.099999999999994</v>
      </c>
      <c r="M697" s="156">
        <v>59.4</v>
      </c>
      <c r="N697" s="156">
        <v>53.999999999999993</v>
      </c>
      <c r="O697" s="156">
        <v>26.999999999999996</v>
      </c>
      <c r="Z697" s="49"/>
      <c r="AA697" s="49">
        <v>20</v>
      </c>
      <c r="AB697" s="49">
        <v>53.999999999999993</v>
      </c>
      <c r="AC697" s="49">
        <v>26.999999999999996</v>
      </c>
      <c r="AD697" s="49"/>
      <c r="AE697" s="49"/>
      <c r="AF697" s="49"/>
      <c r="AG697" s="49">
        <f t="shared" si="115"/>
        <v>20</v>
      </c>
      <c r="AH697" s="49">
        <f t="shared" si="116"/>
        <v>53.999999999999993</v>
      </c>
      <c r="AI697" s="49">
        <f t="shared" si="117"/>
        <v>26.999999999999996</v>
      </c>
    </row>
    <row r="698" spans="1:35" ht="13.8" thickBot="1">
      <c r="A698" s="1">
        <f t="shared" si="120"/>
        <v>25</v>
      </c>
      <c r="B698" s="1">
        <v>74.8</v>
      </c>
      <c r="C698" s="1">
        <f t="shared" si="121"/>
        <v>33.999999999999993</v>
      </c>
      <c r="D698" s="5">
        <f t="shared" si="123"/>
        <v>25621.991999999998</v>
      </c>
      <c r="E698" s="5">
        <f t="shared" si="122"/>
        <v>11646.359999999997</v>
      </c>
      <c r="J698" s="130" t="s">
        <v>589</v>
      </c>
      <c r="K698" s="135" t="s">
        <v>584</v>
      </c>
      <c r="L698" s="135">
        <v>78.199999999999989</v>
      </c>
      <c r="M698" s="135">
        <v>74.8</v>
      </c>
      <c r="N698" s="135">
        <v>67.999999999999986</v>
      </c>
      <c r="O698" s="135">
        <v>33.999999999999993</v>
      </c>
      <c r="Z698" s="49"/>
      <c r="AA698" s="49">
        <v>25</v>
      </c>
      <c r="AB698" s="49">
        <v>67.999999999999986</v>
      </c>
      <c r="AC698" s="49">
        <v>33.999999999999993</v>
      </c>
      <c r="AD698" s="49"/>
      <c r="AE698" s="49"/>
      <c r="AF698" s="49"/>
      <c r="AG698" s="49">
        <f t="shared" si="115"/>
        <v>25</v>
      </c>
      <c r="AH698" s="49">
        <f t="shared" si="116"/>
        <v>67.999999999999986</v>
      </c>
      <c r="AI698" s="49">
        <f t="shared" si="117"/>
        <v>33.999999999999993</v>
      </c>
    </row>
    <row r="699" spans="1:35">
      <c r="A699" s="1">
        <f t="shared" si="120"/>
        <v>30</v>
      </c>
      <c r="B699" s="1">
        <v>88</v>
      </c>
      <c r="C699" s="1">
        <f t="shared" si="121"/>
        <v>40</v>
      </c>
      <c r="D699" s="5">
        <f t="shared" si="123"/>
        <v>30143.520000000004</v>
      </c>
      <c r="E699" s="5">
        <f t="shared" si="122"/>
        <v>13701.6</v>
      </c>
      <c r="J699" s="133" t="s">
        <v>590</v>
      </c>
      <c r="K699" s="134" t="s">
        <v>584</v>
      </c>
      <c r="L699" s="134">
        <v>92</v>
      </c>
      <c r="M699" s="134">
        <v>87.999999999999986</v>
      </c>
      <c r="N699" s="134">
        <v>80</v>
      </c>
      <c r="O699" s="134">
        <v>40</v>
      </c>
      <c r="Z699" s="49"/>
      <c r="AA699" s="49">
        <v>30</v>
      </c>
      <c r="AB699" s="49">
        <v>80</v>
      </c>
      <c r="AC699" s="49">
        <v>40</v>
      </c>
      <c r="AD699" s="49"/>
      <c r="AE699" s="49"/>
      <c r="AF699" s="49"/>
      <c r="AG699" s="49">
        <f t="shared" si="115"/>
        <v>30</v>
      </c>
      <c r="AH699" s="49">
        <f t="shared" si="116"/>
        <v>80</v>
      </c>
      <c r="AI699" s="49">
        <f t="shared" si="117"/>
        <v>40</v>
      </c>
    </row>
    <row r="700" spans="1:35">
      <c r="A700" s="1">
        <f t="shared" si="120"/>
        <v>40</v>
      </c>
      <c r="B700" s="1">
        <v>114</v>
      </c>
      <c r="C700" s="1">
        <f t="shared" si="121"/>
        <v>52</v>
      </c>
      <c r="D700" s="5">
        <f t="shared" si="123"/>
        <v>39049.56</v>
      </c>
      <c r="E700" s="5">
        <f t="shared" si="122"/>
        <v>17812.079999999998</v>
      </c>
      <c r="J700" s="194" t="s">
        <v>591</v>
      </c>
      <c r="K700" s="156" t="s">
        <v>584</v>
      </c>
      <c r="L700" s="156">
        <v>119.99999999999999</v>
      </c>
      <c r="M700" s="156">
        <v>114</v>
      </c>
      <c r="N700" s="156">
        <v>104</v>
      </c>
      <c r="O700" s="156">
        <v>52</v>
      </c>
      <c r="X700" s="1" t="s">
        <v>592</v>
      </c>
      <c r="Z700" s="49"/>
      <c r="AA700" s="49">
        <v>40</v>
      </c>
      <c r="AB700" s="49">
        <v>104</v>
      </c>
      <c r="AC700" s="49">
        <v>52</v>
      </c>
      <c r="AD700" s="49"/>
      <c r="AE700" s="49"/>
      <c r="AF700" s="49"/>
      <c r="AG700" s="49">
        <f t="shared" si="115"/>
        <v>40</v>
      </c>
      <c r="AH700" s="49">
        <f t="shared" si="116"/>
        <v>104</v>
      </c>
      <c r="AI700" s="49">
        <f t="shared" si="117"/>
        <v>52</v>
      </c>
    </row>
    <row r="701" spans="1:35" ht="13.8" thickBot="1">
      <c r="A701" s="1">
        <f t="shared" si="120"/>
        <v>50</v>
      </c>
      <c r="B701" s="1">
        <v>143</v>
      </c>
      <c r="C701" s="1">
        <f t="shared" si="121"/>
        <v>65</v>
      </c>
      <c r="D701" s="5">
        <f t="shared" si="123"/>
        <v>48983.219999999994</v>
      </c>
      <c r="E701" s="5">
        <f t="shared" si="122"/>
        <v>22265.1</v>
      </c>
      <c r="J701" s="130" t="s">
        <v>593</v>
      </c>
      <c r="K701" s="135" t="s">
        <v>584</v>
      </c>
      <c r="L701" s="135">
        <v>150</v>
      </c>
      <c r="M701" s="135">
        <v>143</v>
      </c>
      <c r="N701" s="135">
        <v>130</v>
      </c>
      <c r="O701" s="135">
        <v>65</v>
      </c>
      <c r="X701" s="1" t="s">
        <v>592</v>
      </c>
      <c r="Z701" s="49"/>
      <c r="AA701" s="49">
        <v>50</v>
      </c>
      <c r="AB701" s="49">
        <v>130</v>
      </c>
      <c r="AC701" s="49">
        <v>65</v>
      </c>
      <c r="AD701" s="49"/>
      <c r="AE701" s="49"/>
      <c r="AF701" s="49"/>
      <c r="AG701" s="49">
        <f t="shared" si="115"/>
        <v>50</v>
      </c>
      <c r="AH701" s="49">
        <f t="shared" si="116"/>
        <v>130</v>
      </c>
      <c r="AI701" s="49">
        <f t="shared" si="117"/>
        <v>65</v>
      </c>
    </row>
    <row r="702" spans="1:35">
      <c r="A702" s="1">
        <f t="shared" si="120"/>
        <v>60</v>
      </c>
      <c r="B702" s="1">
        <v>169</v>
      </c>
      <c r="C702" s="1">
        <f t="shared" si="121"/>
        <v>77</v>
      </c>
      <c r="D702" s="5">
        <f t="shared" si="123"/>
        <v>57889.260000000009</v>
      </c>
      <c r="E702" s="5">
        <f t="shared" si="122"/>
        <v>26375.58</v>
      </c>
      <c r="J702" s="133" t="s">
        <v>594</v>
      </c>
      <c r="K702" s="134" t="s">
        <v>584</v>
      </c>
      <c r="L702" s="134">
        <v>176.99999999999997</v>
      </c>
      <c r="M702" s="134">
        <v>169</v>
      </c>
      <c r="N702" s="134">
        <v>154</v>
      </c>
      <c r="O702" s="134">
        <v>77</v>
      </c>
      <c r="X702" s="1" t="s">
        <v>592</v>
      </c>
      <c r="Z702" s="49"/>
      <c r="AA702" s="49">
        <v>60</v>
      </c>
      <c r="AB702" s="49">
        <v>154</v>
      </c>
      <c r="AC702" s="49">
        <v>77</v>
      </c>
      <c r="AD702" s="49"/>
      <c r="AE702" s="49"/>
      <c r="AF702" s="49"/>
      <c r="AG702" s="49">
        <f t="shared" si="115"/>
        <v>60</v>
      </c>
      <c r="AH702" s="49">
        <f t="shared" si="116"/>
        <v>154</v>
      </c>
      <c r="AI702" s="49">
        <f t="shared" si="117"/>
        <v>77</v>
      </c>
    </row>
    <row r="703" spans="1:35">
      <c r="A703" s="1">
        <f t="shared" si="120"/>
        <v>75</v>
      </c>
      <c r="B703" s="1">
        <v>211</v>
      </c>
      <c r="C703" s="1">
        <f t="shared" si="121"/>
        <v>95.999999999999986</v>
      </c>
      <c r="D703" s="5">
        <f t="shared" si="123"/>
        <v>72275.94</v>
      </c>
      <c r="E703" s="5">
        <f t="shared" si="122"/>
        <v>32883.839999999997</v>
      </c>
      <c r="J703" s="194" t="s">
        <v>595</v>
      </c>
      <c r="K703" s="156" t="s">
        <v>584</v>
      </c>
      <c r="L703" s="156">
        <v>220.99999999999997</v>
      </c>
      <c r="M703" s="156">
        <v>210.99999999999997</v>
      </c>
      <c r="N703" s="156">
        <v>191.99999999999997</v>
      </c>
      <c r="O703" s="156">
        <v>95.999999999999986</v>
      </c>
      <c r="X703" s="1" t="s">
        <v>592</v>
      </c>
      <c r="Z703" s="49"/>
      <c r="AA703" s="49">
        <v>75</v>
      </c>
      <c r="AB703" s="49">
        <v>192</v>
      </c>
      <c r="AC703" s="49">
        <v>95.999999999999986</v>
      </c>
      <c r="AD703" s="49"/>
      <c r="AE703" s="49"/>
      <c r="AF703" s="49"/>
      <c r="AG703" s="49">
        <f t="shared" si="115"/>
        <v>75</v>
      </c>
      <c r="AH703" s="49">
        <f t="shared" si="116"/>
        <v>192</v>
      </c>
      <c r="AI703" s="49">
        <f t="shared" si="117"/>
        <v>95.999999999999986</v>
      </c>
    </row>
    <row r="704" spans="1:35" ht="13.8" thickBot="1">
      <c r="A704" s="1">
        <f t="shared" si="120"/>
        <v>100</v>
      </c>
      <c r="B704" s="1">
        <v>273</v>
      </c>
      <c r="C704" s="1">
        <f t="shared" si="121"/>
        <v>124</v>
      </c>
      <c r="D704" s="5">
        <f t="shared" si="123"/>
        <v>93513.420000000013</v>
      </c>
      <c r="E704" s="5">
        <f t="shared" si="122"/>
        <v>42474.96</v>
      </c>
      <c r="J704" s="130" t="s">
        <v>596</v>
      </c>
      <c r="K704" s="135" t="s">
        <v>584</v>
      </c>
      <c r="L704" s="135">
        <v>285</v>
      </c>
      <c r="M704" s="135">
        <v>273</v>
      </c>
      <c r="N704" s="135">
        <v>248</v>
      </c>
      <c r="O704" s="135">
        <v>124</v>
      </c>
      <c r="Z704" s="49"/>
      <c r="AA704" s="49">
        <v>100</v>
      </c>
      <c r="AB704" s="49">
        <v>248</v>
      </c>
      <c r="AC704" s="49">
        <v>124</v>
      </c>
      <c r="AD704" s="49"/>
      <c r="AE704" s="49"/>
      <c r="AF704" s="49"/>
      <c r="AG704" s="49">
        <f t="shared" si="115"/>
        <v>100</v>
      </c>
      <c r="AH704" s="49">
        <f t="shared" si="116"/>
        <v>248</v>
      </c>
      <c r="AI704" s="49">
        <f t="shared" si="117"/>
        <v>124</v>
      </c>
    </row>
    <row r="705" spans="1:35">
      <c r="A705" s="1">
        <f t="shared" si="120"/>
        <v>125</v>
      </c>
      <c r="B705" s="1">
        <v>343</v>
      </c>
      <c r="C705" s="1">
        <f t="shared" si="121"/>
        <v>155.99999999999997</v>
      </c>
      <c r="D705" s="5">
        <f t="shared" si="123"/>
        <v>117491.22000000002</v>
      </c>
      <c r="E705" s="5">
        <f t="shared" si="122"/>
        <v>53436.239999999983</v>
      </c>
      <c r="J705" s="133" t="s">
        <v>597</v>
      </c>
      <c r="K705" s="134" t="s">
        <v>584</v>
      </c>
      <c r="L705" s="134">
        <v>358.99999999999994</v>
      </c>
      <c r="M705" s="134">
        <v>343</v>
      </c>
      <c r="N705" s="134">
        <v>311.99999999999994</v>
      </c>
      <c r="O705" s="134">
        <v>155.99999999999997</v>
      </c>
      <c r="Z705" s="49"/>
      <c r="AA705" s="49">
        <v>125</v>
      </c>
      <c r="AB705" s="49">
        <v>312</v>
      </c>
      <c r="AC705" s="49">
        <v>155.99999999999997</v>
      </c>
      <c r="AD705" s="49"/>
      <c r="AE705" s="49"/>
      <c r="AF705" s="49"/>
      <c r="AG705" s="49">
        <f t="shared" si="115"/>
        <v>125</v>
      </c>
      <c r="AH705" s="49">
        <f t="shared" si="116"/>
        <v>312</v>
      </c>
      <c r="AI705" s="49">
        <f t="shared" si="117"/>
        <v>155.99999999999997</v>
      </c>
    </row>
    <row r="706" spans="1:35">
      <c r="A706" s="1">
        <f t="shared" si="120"/>
        <v>150</v>
      </c>
      <c r="B706" s="1">
        <v>396</v>
      </c>
      <c r="C706" s="1">
        <f t="shared" si="121"/>
        <v>179.99999999999997</v>
      </c>
      <c r="D706" s="5">
        <f t="shared" si="123"/>
        <v>135645.84</v>
      </c>
      <c r="E706" s="5">
        <f t="shared" si="122"/>
        <v>61657.199999999983</v>
      </c>
      <c r="J706" s="194" t="s">
        <v>598</v>
      </c>
      <c r="K706" s="156" t="s">
        <v>584</v>
      </c>
      <c r="L706" s="156">
        <v>413.99999999999994</v>
      </c>
      <c r="M706" s="156">
        <v>396</v>
      </c>
      <c r="N706" s="156">
        <v>359.99999999999994</v>
      </c>
      <c r="O706" s="156">
        <v>179.99999999999997</v>
      </c>
      <c r="X706" s="1" t="s">
        <v>592</v>
      </c>
      <c r="Z706" s="49"/>
      <c r="AA706" s="49">
        <v>150</v>
      </c>
      <c r="AB706" s="49">
        <v>360</v>
      </c>
      <c r="AC706" s="49">
        <v>179.99999999999997</v>
      </c>
      <c r="AD706" s="49"/>
      <c r="AE706" s="49"/>
      <c r="AF706" s="49"/>
      <c r="AG706" s="49">
        <f t="shared" si="115"/>
        <v>150</v>
      </c>
      <c r="AH706" s="49">
        <f t="shared" si="116"/>
        <v>360</v>
      </c>
      <c r="AI706" s="49">
        <f t="shared" si="117"/>
        <v>179.99999999999997</v>
      </c>
    </row>
    <row r="707" spans="1:35" ht="13.8" thickBot="1">
      <c r="A707" s="1">
        <f t="shared" si="120"/>
        <v>200</v>
      </c>
      <c r="B707" s="1">
        <v>528</v>
      </c>
      <c r="C707" s="1">
        <f t="shared" si="121"/>
        <v>239.99999999999997</v>
      </c>
      <c r="D707" s="5">
        <f t="shared" si="123"/>
        <v>180861.12</v>
      </c>
      <c r="E707" s="5">
        <f t="shared" si="122"/>
        <v>82209.599999999991</v>
      </c>
      <c r="J707" s="130" t="s">
        <v>599</v>
      </c>
      <c r="K707" s="135" t="s">
        <v>584</v>
      </c>
      <c r="L707" s="135">
        <v>552</v>
      </c>
      <c r="M707" s="135">
        <v>527.99999999999989</v>
      </c>
      <c r="N707" s="135">
        <v>479.99999999999994</v>
      </c>
      <c r="O707" s="135">
        <v>239.99999999999997</v>
      </c>
      <c r="X707" s="1" t="s">
        <v>592</v>
      </c>
      <c r="Z707" s="49"/>
      <c r="AA707" s="49">
        <v>200</v>
      </c>
      <c r="AB707" s="49">
        <v>480</v>
      </c>
      <c r="AC707" s="49">
        <v>239.99999999999997</v>
      </c>
      <c r="AD707" s="49"/>
      <c r="AE707" s="49"/>
      <c r="AF707" s="49"/>
      <c r="AG707" s="49">
        <f t="shared" si="115"/>
        <v>200</v>
      </c>
      <c r="AH707" s="49">
        <f t="shared" si="116"/>
        <v>480</v>
      </c>
      <c r="AI707" s="49">
        <f t="shared" si="117"/>
        <v>239.99999999999997</v>
      </c>
    </row>
    <row r="708" spans="1:35">
      <c r="A708" s="1">
        <f t="shared" ref="A708:A713" si="124">AG708</f>
        <v>250</v>
      </c>
      <c r="B708" s="1">
        <f t="shared" ref="B708:B713" si="125">AH708</f>
        <v>0</v>
      </c>
      <c r="C708" s="1">
        <f t="shared" ref="C708:C713" si="126">AI708</f>
        <v>302</v>
      </c>
      <c r="D708" s="5">
        <f t="shared" ref="D708:D713" si="127">IF($D$686=220,B708*1.73*0.9*$D$686,E708)</f>
        <v>0</v>
      </c>
      <c r="E708" s="5">
        <f t="shared" ref="E708:E713" si="128">C708*1.73*0.9*$D$686</f>
        <v>103447.08000000002</v>
      </c>
      <c r="J708" s="133" t="s">
        <v>600</v>
      </c>
      <c r="K708" s="134" t="s">
        <v>584</v>
      </c>
      <c r="L708" s="134" t="s">
        <v>584</v>
      </c>
      <c r="M708" s="134" t="s">
        <v>584</v>
      </c>
      <c r="N708" s="134" t="s">
        <v>584</v>
      </c>
      <c r="O708" s="134">
        <v>301.99999999999994</v>
      </c>
      <c r="X708" s="16" t="s">
        <v>592</v>
      </c>
      <c r="Z708" s="49"/>
      <c r="AA708" s="49">
        <v>250</v>
      </c>
      <c r="AB708" s="49">
        <v>0</v>
      </c>
      <c r="AC708" s="49">
        <v>302</v>
      </c>
      <c r="AD708" s="49"/>
      <c r="AE708" s="49"/>
      <c r="AF708" s="49"/>
      <c r="AG708" s="49">
        <f t="shared" si="115"/>
        <v>250</v>
      </c>
      <c r="AH708" s="49">
        <f t="shared" si="116"/>
        <v>0</v>
      </c>
      <c r="AI708" s="49">
        <f t="shared" si="117"/>
        <v>302</v>
      </c>
    </row>
    <row r="709" spans="1:35">
      <c r="A709" s="1">
        <f t="shared" si="124"/>
        <v>300</v>
      </c>
      <c r="B709" s="1">
        <f t="shared" si="125"/>
        <v>0</v>
      </c>
      <c r="C709" s="1">
        <f t="shared" si="126"/>
        <v>361</v>
      </c>
      <c r="D709" s="5">
        <f t="shared" si="127"/>
        <v>0</v>
      </c>
      <c r="E709" s="5">
        <f t="shared" si="128"/>
        <v>123656.94</v>
      </c>
      <c r="J709" s="194" t="s">
        <v>601</v>
      </c>
      <c r="K709" s="156" t="s">
        <v>584</v>
      </c>
      <c r="L709" s="156" t="s">
        <v>584</v>
      </c>
      <c r="M709" s="156" t="s">
        <v>584</v>
      </c>
      <c r="N709" s="156" t="s">
        <v>584</v>
      </c>
      <c r="O709" s="156">
        <v>361</v>
      </c>
      <c r="Z709" s="49"/>
      <c r="AA709" s="49">
        <v>300</v>
      </c>
      <c r="AB709" s="49">
        <v>0</v>
      </c>
      <c r="AC709" s="49">
        <v>361</v>
      </c>
      <c r="AD709" s="49"/>
      <c r="AE709" s="49"/>
      <c r="AF709" s="49"/>
      <c r="AG709" s="49">
        <f t="shared" si="115"/>
        <v>300</v>
      </c>
      <c r="AH709" s="49">
        <f t="shared" si="116"/>
        <v>0</v>
      </c>
      <c r="AI709" s="49">
        <f t="shared" si="117"/>
        <v>361</v>
      </c>
    </row>
    <row r="710" spans="1:35" ht="13.8" thickBot="1">
      <c r="A710" s="1">
        <f t="shared" si="124"/>
        <v>350</v>
      </c>
      <c r="B710" s="1">
        <f t="shared" si="125"/>
        <v>0</v>
      </c>
      <c r="C710" s="1">
        <f t="shared" si="126"/>
        <v>414</v>
      </c>
      <c r="D710" s="5">
        <f t="shared" si="127"/>
        <v>0</v>
      </c>
      <c r="E710" s="5">
        <f t="shared" si="128"/>
        <v>141811.56000000003</v>
      </c>
      <c r="J710" s="130" t="s">
        <v>602</v>
      </c>
      <c r="K710" s="135" t="s">
        <v>584</v>
      </c>
      <c r="L710" s="135" t="s">
        <v>584</v>
      </c>
      <c r="M710" s="135" t="s">
        <v>584</v>
      </c>
      <c r="N710" s="135" t="s">
        <v>584</v>
      </c>
      <c r="O710" s="135">
        <v>413.99999999999994</v>
      </c>
      <c r="Z710" s="49"/>
      <c r="AA710" s="49">
        <v>350</v>
      </c>
      <c r="AB710" s="49">
        <v>0</v>
      </c>
      <c r="AC710" s="49">
        <v>414</v>
      </c>
      <c r="AD710" s="49"/>
      <c r="AE710" s="49"/>
      <c r="AF710" s="49"/>
      <c r="AG710" s="49">
        <f t="shared" si="115"/>
        <v>350</v>
      </c>
      <c r="AH710" s="49">
        <f t="shared" si="116"/>
        <v>0</v>
      </c>
      <c r="AI710" s="49">
        <f t="shared" si="117"/>
        <v>414</v>
      </c>
    </row>
    <row r="711" spans="1:35">
      <c r="A711" s="1">
        <f t="shared" si="124"/>
        <v>400</v>
      </c>
      <c r="B711" s="1">
        <f t="shared" si="125"/>
        <v>0</v>
      </c>
      <c r="C711" s="1">
        <f t="shared" si="126"/>
        <v>477</v>
      </c>
      <c r="D711" s="5">
        <f t="shared" si="127"/>
        <v>0</v>
      </c>
      <c r="E711" s="5">
        <f t="shared" si="128"/>
        <v>163391.58000000002</v>
      </c>
      <c r="J711" s="195" t="s">
        <v>603</v>
      </c>
      <c r="K711" s="188" t="s">
        <v>584</v>
      </c>
      <c r="L711" s="188" t="s">
        <v>584</v>
      </c>
      <c r="M711" s="188" t="s">
        <v>584</v>
      </c>
      <c r="N711" s="188" t="s">
        <v>584</v>
      </c>
      <c r="O711" s="188">
        <v>477</v>
      </c>
      <c r="Z711" s="49"/>
      <c r="AA711" s="49">
        <v>400</v>
      </c>
      <c r="AB711" s="49">
        <v>0</v>
      </c>
      <c r="AC711" s="49">
        <v>477</v>
      </c>
      <c r="AD711" s="49"/>
      <c r="AE711" s="49"/>
      <c r="AF711" s="49"/>
      <c r="AG711" s="49">
        <f t="shared" si="115"/>
        <v>400</v>
      </c>
      <c r="AH711" s="49">
        <f t="shared" si="116"/>
        <v>0</v>
      </c>
      <c r="AI711" s="49">
        <f t="shared" si="117"/>
        <v>477</v>
      </c>
    </row>
    <row r="712" spans="1:35">
      <c r="A712" s="1">
        <f t="shared" si="124"/>
        <v>450</v>
      </c>
      <c r="B712" s="1">
        <f t="shared" si="125"/>
        <v>0</v>
      </c>
      <c r="C712" s="1">
        <f t="shared" si="126"/>
        <v>515</v>
      </c>
      <c r="D712" s="5">
        <f t="shared" si="127"/>
        <v>0</v>
      </c>
      <c r="E712" s="5">
        <f t="shared" si="128"/>
        <v>176408.1</v>
      </c>
      <c r="J712" s="194" t="s">
        <v>604</v>
      </c>
      <c r="K712" s="156" t="s">
        <v>584</v>
      </c>
      <c r="L712" s="156" t="s">
        <v>584</v>
      </c>
      <c r="M712" s="156" t="s">
        <v>584</v>
      </c>
      <c r="N712" s="156" t="s">
        <v>584</v>
      </c>
      <c r="O712" s="156">
        <v>515</v>
      </c>
      <c r="Z712" s="49"/>
      <c r="AA712" s="49">
        <v>450</v>
      </c>
      <c r="AB712" s="49"/>
      <c r="AC712" s="49">
        <v>515</v>
      </c>
      <c r="AD712" s="49"/>
      <c r="AE712" s="49"/>
      <c r="AF712" s="49"/>
      <c r="AG712" s="49">
        <f t="shared" ref="AG712:AI715" si="129">IF($AG$4="BUENO",AA712,0)</f>
        <v>450</v>
      </c>
      <c r="AH712" s="49">
        <f t="shared" si="129"/>
        <v>0</v>
      </c>
      <c r="AI712" s="49">
        <f t="shared" si="129"/>
        <v>515</v>
      </c>
    </row>
    <row r="713" spans="1:35" ht="13.8" thickBot="1">
      <c r="A713" s="1">
        <f t="shared" si="124"/>
        <v>500</v>
      </c>
      <c r="B713" s="1">
        <f t="shared" si="125"/>
        <v>0</v>
      </c>
      <c r="C713" s="1">
        <f t="shared" si="126"/>
        <v>590</v>
      </c>
      <c r="D713" s="5">
        <f t="shared" si="127"/>
        <v>0</v>
      </c>
      <c r="E713" s="5">
        <f t="shared" si="128"/>
        <v>202098.60000000003</v>
      </c>
      <c r="J713" s="130" t="s">
        <v>605</v>
      </c>
      <c r="K713" s="135" t="s">
        <v>584</v>
      </c>
      <c r="L713" s="135" t="s">
        <v>584</v>
      </c>
      <c r="M713" s="135" t="s">
        <v>584</v>
      </c>
      <c r="N713" s="135" t="s">
        <v>584</v>
      </c>
      <c r="O713" s="135">
        <v>590</v>
      </c>
      <c r="Z713" s="49"/>
      <c r="AA713" s="49">
        <v>500</v>
      </c>
      <c r="AB713" s="49">
        <v>0</v>
      </c>
      <c r="AC713" s="49">
        <v>590</v>
      </c>
      <c r="AD713" s="49"/>
      <c r="AE713" s="49"/>
      <c r="AF713" s="49"/>
      <c r="AG713" s="49">
        <f t="shared" si="129"/>
        <v>500</v>
      </c>
      <c r="AH713" s="49">
        <f t="shared" si="129"/>
        <v>0</v>
      </c>
      <c r="AI713" s="49">
        <f t="shared" si="129"/>
        <v>590</v>
      </c>
    </row>
    <row r="714" spans="1:35">
      <c r="A714" s="2" t="s">
        <v>606</v>
      </c>
      <c r="B714" s="11"/>
      <c r="C714" s="11"/>
      <c r="D714" s="11"/>
      <c r="E714" s="11"/>
      <c r="F714" s="11"/>
      <c r="G714" s="11"/>
      <c r="H714" s="11"/>
      <c r="Z714" s="49"/>
      <c r="AA714" s="49" t="s">
        <v>607</v>
      </c>
      <c r="AB714" s="49">
        <v>0</v>
      </c>
      <c r="AC714" s="49">
        <v>0</v>
      </c>
      <c r="AD714" s="49"/>
      <c r="AE714" s="49"/>
      <c r="AF714" s="49"/>
      <c r="AG714" s="49" t="str">
        <f t="shared" si="129"/>
        <v>POR CORTO CIRCUITO</v>
      </c>
      <c r="AH714" s="49">
        <f t="shared" si="129"/>
        <v>0</v>
      </c>
      <c r="AI714" s="49">
        <f t="shared" si="129"/>
        <v>0</v>
      </c>
    </row>
    <row r="715" spans="1:35">
      <c r="A715" s="3" t="s">
        <v>608</v>
      </c>
      <c r="B715" s="3" t="s">
        <v>609</v>
      </c>
      <c r="C715" s="3"/>
      <c r="Z715" s="49"/>
      <c r="AA715" s="49" t="s">
        <v>608</v>
      </c>
      <c r="AB715" s="49" t="s">
        <v>609</v>
      </c>
      <c r="AC715" s="49">
        <v>0</v>
      </c>
      <c r="AD715" s="49"/>
      <c r="AE715" s="49"/>
      <c r="AF715" s="49"/>
      <c r="AG715" s="49" t="str">
        <f t="shared" si="129"/>
        <v>MARGEN</v>
      </c>
      <c r="AH715" s="49" t="str">
        <f t="shared" si="129"/>
        <v>CAL</v>
      </c>
      <c r="AI715" s="49">
        <f t="shared" si="129"/>
        <v>0</v>
      </c>
    </row>
    <row r="716" spans="1:35">
      <c r="A716" s="1">
        <f t="shared" ref="A716:A732" si="130">AG716</f>
        <v>0</v>
      </c>
      <c r="B716" s="1" t="str">
        <f t="shared" ref="B716:B732" si="131">AH716</f>
        <v>14 AWG</v>
      </c>
      <c r="C716" s="1">
        <f t="shared" ref="C716:C732" si="132">AI716</f>
        <v>2.0821000000000001</v>
      </c>
      <c r="E716" s="3">
        <v>14</v>
      </c>
      <c r="F716" s="3">
        <v>2.0821000000000001</v>
      </c>
      <c r="Z716" s="49"/>
      <c r="AA716" s="49">
        <v>0</v>
      </c>
      <c r="AB716" s="49" t="s">
        <v>610</v>
      </c>
      <c r="AC716" s="49">
        <v>2.0821000000000001</v>
      </c>
      <c r="AD716" s="49"/>
      <c r="AE716" s="49"/>
      <c r="AF716" s="49"/>
      <c r="AG716" s="49">
        <f t="shared" si="115"/>
        <v>0</v>
      </c>
      <c r="AH716" s="49" t="str">
        <f t="shared" si="116"/>
        <v>14 AWG</v>
      </c>
      <c r="AI716" s="49">
        <f t="shared" si="117"/>
        <v>2.0821000000000001</v>
      </c>
    </row>
    <row r="717" spans="1:35">
      <c r="A717" s="1">
        <f t="shared" si="130"/>
        <v>2.0821000000000001</v>
      </c>
      <c r="B717" s="1" t="str">
        <f t="shared" si="131"/>
        <v>12 AWG</v>
      </c>
      <c r="C717" s="1">
        <f t="shared" si="132"/>
        <v>3.3071000000000002</v>
      </c>
      <c r="E717" s="3">
        <v>12</v>
      </c>
      <c r="F717" s="3">
        <v>3.3071000000000002</v>
      </c>
      <c r="Z717" s="49"/>
      <c r="AA717" s="49">
        <v>2.0821000000000001</v>
      </c>
      <c r="AB717" s="49" t="s">
        <v>611</v>
      </c>
      <c r="AC717" s="49">
        <v>3.3071000000000002</v>
      </c>
      <c r="AD717" s="49"/>
      <c r="AE717" s="49"/>
      <c r="AF717" s="49"/>
      <c r="AG717" s="49">
        <f t="shared" si="115"/>
        <v>2.0821000000000001</v>
      </c>
      <c r="AH717" s="49" t="str">
        <f t="shared" si="116"/>
        <v>12 AWG</v>
      </c>
      <c r="AI717" s="49">
        <f t="shared" si="117"/>
        <v>3.3071000000000002</v>
      </c>
    </row>
    <row r="718" spans="1:35">
      <c r="A718" s="1">
        <f t="shared" si="130"/>
        <v>3.3071000000000002</v>
      </c>
      <c r="B718" s="1" t="str">
        <f t="shared" si="131"/>
        <v>10 AWG</v>
      </c>
      <c r="C718" s="1">
        <f t="shared" si="132"/>
        <v>5.2601000000000004</v>
      </c>
      <c r="E718" s="3">
        <v>10</v>
      </c>
      <c r="F718" s="3">
        <v>5.2601000000000004</v>
      </c>
      <c r="Z718" s="49"/>
      <c r="AA718" s="49">
        <v>3.3071000000000002</v>
      </c>
      <c r="AB718" s="49" t="s">
        <v>612</v>
      </c>
      <c r="AC718" s="49">
        <v>5.2601000000000004</v>
      </c>
      <c r="AD718" s="49"/>
      <c r="AE718" s="49"/>
      <c r="AF718" s="49"/>
      <c r="AG718" s="49">
        <f t="shared" ref="AG718:AG770" si="133">IF($AG$4="BUENO",AA718,0)</f>
        <v>3.3071000000000002</v>
      </c>
      <c r="AH718" s="49" t="str">
        <f t="shared" ref="AH718:AH770" si="134">IF($AG$4="BUENO",AB718,0)</f>
        <v>10 AWG</v>
      </c>
      <c r="AI718" s="49">
        <f t="shared" ref="AI718:AI770" si="135">IF($AG$4="BUENO",AC718,0)</f>
        <v>5.2601000000000004</v>
      </c>
    </row>
    <row r="719" spans="1:35">
      <c r="A719" s="1">
        <f t="shared" si="130"/>
        <v>5.2601000000000004</v>
      </c>
      <c r="B719" s="1" t="str">
        <f t="shared" si="131"/>
        <v>8 AWG</v>
      </c>
      <c r="C719" s="1">
        <f t="shared" si="132"/>
        <v>8.3671000000000006</v>
      </c>
      <c r="E719" s="3">
        <v>8</v>
      </c>
      <c r="F719" s="3">
        <v>8.3671000000000006</v>
      </c>
      <c r="Z719" s="49"/>
      <c r="AA719" s="49">
        <v>5.2601000000000004</v>
      </c>
      <c r="AB719" s="49" t="s">
        <v>613</v>
      </c>
      <c r="AC719" s="49">
        <v>8.3671000000000006</v>
      </c>
      <c r="AD719" s="49"/>
      <c r="AE719" s="49"/>
      <c r="AF719" s="49"/>
      <c r="AG719" s="49">
        <f t="shared" si="133"/>
        <v>5.2601000000000004</v>
      </c>
      <c r="AH719" s="49" t="str">
        <f t="shared" si="134"/>
        <v>8 AWG</v>
      </c>
      <c r="AI719" s="49">
        <f t="shared" si="135"/>
        <v>8.3671000000000006</v>
      </c>
    </row>
    <row r="720" spans="1:35">
      <c r="A720" s="1">
        <f t="shared" si="130"/>
        <v>8.3671000000000006</v>
      </c>
      <c r="B720" s="1" t="str">
        <f t="shared" si="131"/>
        <v>6 AWG</v>
      </c>
      <c r="C720" s="1">
        <f t="shared" si="132"/>
        <v>13.301</v>
      </c>
      <c r="E720" s="3">
        <v>6</v>
      </c>
      <c r="F720" s="3">
        <v>13.301</v>
      </c>
      <c r="Z720" s="49"/>
      <c r="AA720" s="49">
        <v>8.3671000000000006</v>
      </c>
      <c r="AB720" s="49" t="s">
        <v>614</v>
      </c>
      <c r="AC720" s="49">
        <v>13.301</v>
      </c>
      <c r="AD720" s="49"/>
      <c r="AE720" s="49"/>
      <c r="AF720" s="49"/>
      <c r="AG720" s="49">
        <f t="shared" si="133"/>
        <v>8.3671000000000006</v>
      </c>
      <c r="AH720" s="49" t="str">
        <f t="shared" si="134"/>
        <v>6 AWG</v>
      </c>
      <c r="AI720" s="49">
        <f t="shared" si="135"/>
        <v>13.301</v>
      </c>
    </row>
    <row r="721" spans="1:35">
      <c r="A721" s="1">
        <f t="shared" si="130"/>
        <v>13.301</v>
      </c>
      <c r="B721" s="1" t="str">
        <f t="shared" si="131"/>
        <v>4 AWG</v>
      </c>
      <c r="C721" s="1">
        <f t="shared" si="132"/>
        <v>21.151</v>
      </c>
      <c r="E721" s="3">
        <v>4</v>
      </c>
      <c r="F721" s="3">
        <v>21.151</v>
      </c>
      <c r="Z721" s="49"/>
      <c r="AA721" s="49">
        <v>13.301</v>
      </c>
      <c r="AB721" s="49" t="s">
        <v>615</v>
      </c>
      <c r="AC721" s="49">
        <v>21.151</v>
      </c>
      <c r="AD721" s="49"/>
      <c r="AE721" s="49"/>
      <c r="AF721" s="49"/>
      <c r="AG721" s="49">
        <f t="shared" si="133"/>
        <v>13.301</v>
      </c>
      <c r="AH721" s="49" t="str">
        <f t="shared" si="134"/>
        <v>4 AWG</v>
      </c>
      <c r="AI721" s="49">
        <f t="shared" si="135"/>
        <v>21.151</v>
      </c>
    </row>
    <row r="722" spans="1:35">
      <c r="A722" s="1">
        <f t="shared" si="130"/>
        <v>21.151</v>
      </c>
      <c r="B722" s="1" t="str">
        <f t="shared" si="131"/>
        <v>2 AWG</v>
      </c>
      <c r="C722" s="1">
        <f t="shared" si="132"/>
        <v>33.621000000000002</v>
      </c>
      <c r="E722" s="3">
        <v>2</v>
      </c>
      <c r="F722" s="3">
        <v>33.621000000000002</v>
      </c>
      <c r="Z722" s="49"/>
      <c r="AA722" s="49">
        <v>21.151</v>
      </c>
      <c r="AB722" s="49" t="s">
        <v>616</v>
      </c>
      <c r="AC722" s="49">
        <v>33.621000000000002</v>
      </c>
      <c r="AD722" s="49"/>
      <c r="AE722" s="49"/>
      <c r="AF722" s="49"/>
      <c r="AG722" s="49">
        <f t="shared" si="133"/>
        <v>21.151</v>
      </c>
      <c r="AH722" s="49" t="str">
        <f t="shared" si="134"/>
        <v>2 AWG</v>
      </c>
      <c r="AI722" s="49">
        <f t="shared" si="135"/>
        <v>33.621000000000002</v>
      </c>
    </row>
    <row r="723" spans="1:35">
      <c r="A723" s="1">
        <f t="shared" si="130"/>
        <v>33.621000000000002</v>
      </c>
      <c r="B723" s="1" t="str">
        <f t="shared" si="131"/>
        <v>1/0 AWG</v>
      </c>
      <c r="C723" s="1">
        <f t="shared" si="132"/>
        <v>53.481000000000002</v>
      </c>
      <c r="E723" s="3" t="s">
        <v>617</v>
      </c>
      <c r="F723" s="3">
        <v>53.481000000000002</v>
      </c>
      <c r="Z723" s="49"/>
      <c r="AA723" s="49">
        <v>33.621000000000002</v>
      </c>
      <c r="AB723" s="49" t="s">
        <v>618</v>
      </c>
      <c r="AC723" s="49">
        <v>53.481000000000002</v>
      </c>
      <c r="AD723" s="49"/>
      <c r="AE723" s="49"/>
      <c r="AF723" s="49"/>
      <c r="AG723" s="49">
        <f t="shared" si="133"/>
        <v>33.621000000000002</v>
      </c>
      <c r="AH723" s="49" t="str">
        <f t="shared" si="134"/>
        <v>1/0 AWG</v>
      </c>
      <c r="AI723" s="49">
        <f t="shared" si="135"/>
        <v>53.481000000000002</v>
      </c>
    </row>
    <row r="724" spans="1:35">
      <c r="A724" s="1">
        <f t="shared" si="130"/>
        <v>53.481000000000002</v>
      </c>
      <c r="B724" s="1" t="str">
        <f t="shared" si="131"/>
        <v>2/0 AWG</v>
      </c>
      <c r="C724" s="1">
        <f t="shared" si="132"/>
        <v>67.430999999999997</v>
      </c>
      <c r="E724" s="3" t="s">
        <v>619</v>
      </c>
      <c r="F724" s="3">
        <v>67.430999999999997</v>
      </c>
      <c r="Z724" s="49"/>
      <c r="AA724" s="49">
        <v>53.481000000000002</v>
      </c>
      <c r="AB724" s="49" t="s">
        <v>620</v>
      </c>
      <c r="AC724" s="49">
        <v>67.430999999999997</v>
      </c>
      <c r="AD724" s="49"/>
      <c r="AE724" s="49"/>
      <c r="AF724" s="49"/>
      <c r="AG724" s="49">
        <f t="shared" si="133"/>
        <v>53.481000000000002</v>
      </c>
      <c r="AH724" s="49" t="str">
        <f t="shared" si="134"/>
        <v>2/0 AWG</v>
      </c>
      <c r="AI724" s="49">
        <f t="shared" si="135"/>
        <v>67.430999999999997</v>
      </c>
    </row>
    <row r="725" spans="1:35">
      <c r="A725" s="1">
        <f t="shared" si="130"/>
        <v>67.430999999999997</v>
      </c>
      <c r="B725" s="1" t="str">
        <f t="shared" si="131"/>
        <v>3/0 AWG</v>
      </c>
      <c r="C725" s="1">
        <f t="shared" si="132"/>
        <v>85.010999999999996</v>
      </c>
      <c r="E725" s="160" t="s">
        <v>621</v>
      </c>
      <c r="F725" s="3">
        <v>85.010999999999996</v>
      </c>
      <c r="Z725" s="49"/>
      <c r="AA725" s="49">
        <v>67.430999999999997</v>
      </c>
      <c r="AB725" s="49" t="s">
        <v>622</v>
      </c>
      <c r="AC725" s="49">
        <v>85.010999999999996</v>
      </c>
      <c r="AD725" s="49"/>
      <c r="AE725" s="49"/>
      <c r="AF725" s="49"/>
      <c r="AG725" s="49">
        <f t="shared" si="133"/>
        <v>67.430999999999997</v>
      </c>
      <c r="AH725" s="49" t="str">
        <f t="shared" si="134"/>
        <v>3/0 AWG</v>
      </c>
      <c r="AI725" s="49">
        <f t="shared" si="135"/>
        <v>85.010999999999996</v>
      </c>
    </row>
    <row r="726" spans="1:35">
      <c r="A726" s="1">
        <f t="shared" si="130"/>
        <v>85.010999999999996</v>
      </c>
      <c r="B726" s="1" t="str">
        <f t="shared" si="131"/>
        <v>4/0 AWG</v>
      </c>
      <c r="C726" s="1">
        <f t="shared" si="132"/>
        <v>107.20099999999999</v>
      </c>
      <c r="E726" s="3" t="s">
        <v>623</v>
      </c>
      <c r="F726" s="3">
        <v>107.20099999999999</v>
      </c>
      <c r="Z726" s="49"/>
      <c r="AA726" s="49">
        <v>85.010999999999996</v>
      </c>
      <c r="AB726" s="49" t="s">
        <v>624</v>
      </c>
      <c r="AC726" s="49">
        <v>107.20099999999999</v>
      </c>
      <c r="AD726" s="49"/>
      <c r="AE726" s="49"/>
      <c r="AF726" s="49"/>
      <c r="AG726" s="49">
        <f t="shared" si="133"/>
        <v>85.010999999999996</v>
      </c>
      <c r="AH726" s="49" t="str">
        <f t="shared" si="134"/>
        <v>4/0 AWG</v>
      </c>
      <c r="AI726" s="49">
        <f t="shared" si="135"/>
        <v>107.20099999999999</v>
      </c>
    </row>
    <row r="727" spans="1:35">
      <c r="A727" s="1">
        <f t="shared" si="130"/>
        <v>107.20099999999999</v>
      </c>
      <c r="B727" s="1" t="str">
        <f t="shared" si="131"/>
        <v>250 MCM</v>
      </c>
      <c r="C727" s="1">
        <f t="shared" si="132"/>
        <v>126.70099999999999</v>
      </c>
      <c r="E727" s="3">
        <v>250</v>
      </c>
      <c r="F727" s="3">
        <v>126.70099999999999</v>
      </c>
      <c r="Z727" s="49"/>
      <c r="AA727" s="49">
        <v>107.20099999999999</v>
      </c>
      <c r="AB727" s="49" t="s">
        <v>625</v>
      </c>
      <c r="AC727" s="49">
        <v>126.70099999999999</v>
      </c>
      <c r="AD727" s="49"/>
      <c r="AE727" s="49"/>
      <c r="AF727" s="49"/>
      <c r="AG727" s="49">
        <f t="shared" si="133"/>
        <v>107.20099999999999</v>
      </c>
      <c r="AH727" s="49" t="str">
        <f t="shared" si="134"/>
        <v>250 MCM</v>
      </c>
      <c r="AI727" s="49">
        <f t="shared" si="135"/>
        <v>126.70099999999999</v>
      </c>
    </row>
    <row r="728" spans="1:35">
      <c r="A728" s="1">
        <f t="shared" si="130"/>
        <v>126.70099999999999</v>
      </c>
      <c r="B728" s="1" t="str">
        <f t="shared" si="131"/>
        <v>300 MCM</v>
      </c>
      <c r="C728" s="1">
        <f t="shared" si="132"/>
        <v>152.001</v>
      </c>
      <c r="E728" s="3">
        <v>300</v>
      </c>
      <c r="F728" s="3">
        <v>152.001</v>
      </c>
      <c r="Z728" s="49"/>
      <c r="AA728" s="49">
        <v>126.70099999999999</v>
      </c>
      <c r="AB728" s="49" t="s">
        <v>626</v>
      </c>
      <c r="AC728" s="49">
        <v>152.001</v>
      </c>
      <c r="AD728" s="49"/>
      <c r="AE728" s="49"/>
      <c r="AF728" s="49"/>
      <c r="AG728" s="49">
        <f t="shared" si="133"/>
        <v>126.70099999999999</v>
      </c>
      <c r="AH728" s="49" t="str">
        <f t="shared" si="134"/>
        <v>300 MCM</v>
      </c>
      <c r="AI728" s="49">
        <f t="shared" si="135"/>
        <v>152.001</v>
      </c>
    </row>
    <row r="729" spans="1:35">
      <c r="A729" s="1">
        <f t="shared" si="130"/>
        <v>152.001</v>
      </c>
      <c r="B729" s="1" t="str">
        <f t="shared" si="131"/>
        <v>400 MCM</v>
      </c>
      <c r="C729" s="1">
        <f t="shared" si="132"/>
        <v>202.70099999999999</v>
      </c>
      <c r="E729" s="3">
        <v>350</v>
      </c>
      <c r="F729" s="3">
        <v>177.3</v>
      </c>
      <c r="Z729" s="49"/>
      <c r="AA729" s="49">
        <v>152.001</v>
      </c>
      <c r="AB729" s="49" t="s">
        <v>627</v>
      </c>
      <c r="AC729" s="49">
        <v>202.70099999999999</v>
      </c>
      <c r="AD729" s="49"/>
      <c r="AE729" s="49"/>
      <c r="AF729" s="49"/>
      <c r="AG729" s="49">
        <f t="shared" si="133"/>
        <v>152.001</v>
      </c>
      <c r="AH729" s="49" t="str">
        <f t="shared" si="134"/>
        <v>400 MCM</v>
      </c>
      <c r="AI729" s="49">
        <f t="shared" si="135"/>
        <v>202.70099999999999</v>
      </c>
    </row>
    <row r="730" spans="1:35">
      <c r="A730" s="1">
        <f t="shared" si="130"/>
        <v>202.70099999999999</v>
      </c>
      <c r="B730" s="1" t="str">
        <f t="shared" si="131"/>
        <v>500 MCM</v>
      </c>
      <c r="C730" s="1">
        <f t="shared" si="132"/>
        <v>253.40100000000001</v>
      </c>
      <c r="E730" s="3">
        <v>400</v>
      </c>
      <c r="F730" s="3">
        <v>202.70099999999999</v>
      </c>
      <c r="Z730" s="49"/>
      <c r="AA730" s="49">
        <v>202.70099999999999</v>
      </c>
      <c r="AB730" s="49" t="s">
        <v>628</v>
      </c>
      <c r="AC730" s="49">
        <v>253.40100000000001</v>
      </c>
      <c r="AD730" s="49"/>
      <c r="AE730" s="49"/>
      <c r="AF730" s="49"/>
      <c r="AG730" s="49">
        <f t="shared" si="133"/>
        <v>202.70099999999999</v>
      </c>
      <c r="AH730" s="49" t="str">
        <f t="shared" si="134"/>
        <v>500 MCM</v>
      </c>
      <c r="AI730" s="49">
        <f t="shared" si="135"/>
        <v>253.40100000000001</v>
      </c>
    </row>
    <row r="731" spans="1:35">
      <c r="A731" s="1">
        <f t="shared" si="130"/>
        <v>253.40100000000001</v>
      </c>
      <c r="B731" s="1" t="str">
        <f t="shared" si="131"/>
        <v>750 MCM</v>
      </c>
      <c r="C731" s="1">
        <f t="shared" si="132"/>
        <v>380.00099999999998</v>
      </c>
      <c r="E731" s="3">
        <v>500</v>
      </c>
      <c r="F731" s="3">
        <v>253.40100000000001</v>
      </c>
      <c r="Z731" s="49"/>
      <c r="AA731" s="49">
        <v>253.40100000000001</v>
      </c>
      <c r="AB731" s="49" t="s">
        <v>629</v>
      </c>
      <c r="AC731" s="49">
        <v>380.00099999999998</v>
      </c>
      <c r="AD731" s="49"/>
      <c r="AE731" s="49"/>
      <c r="AF731" s="49"/>
      <c r="AG731" s="49">
        <f t="shared" si="133"/>
        <v>253.40100000000001</v>
      </c>
      <c r="AH731" s="49" t="str">
        <f t="shared" si="134"/>
        <v>750 MCM</v>
      </c>
      <c r="AI731" s="49">
        <f t="shared" si="135"/>
        <v>380.00099999999998</v>
      </c>
    </row>
    <row r="732" spans="1:35">
      <c r="A732" s="1">
        <f t="shared" si="130"/>
        <v>380.00099999999998</v>
      </c>
      <c r="B732" s="1" t="str">
        <f t="shared" si="131"/>
        <v>1000 MCM</v>
      </c>
      <c r="C732" s="1">
        <f t="shared" si="132"/>
        <v>506.70100000000002</v>
      </c>
      <c r="E732" s="3">
        <v>600</v>
      </c>
      <c r="F732" s="3">
        <v>304</v>
      </c>
      <c r="Z732" s="49"/>
      <c r="AA732" s="49">
        <v>380.00099999999998</v>
      </c>
      <c r="AB732" s="49" t="s">
        <v>630</v>
      </c>
      <c r="AC732" s="49">
        <v>506.70100000000002</v>
      </c>
      <c r="AD732" s="49"/>
      <c r="AE732" s="49"/>
      <c r="AF732" s="49"/>
      <c r="AG732" s="49">
        <f t="shared" si="133"/>
        <v>380.00099999999998</v>
      </c>
      <c r="AH732" s="49" t="str">
        <f t="shared" si="134"/>
        <v>1000 MCM</v>
      </c>
      <c r="AI732" s="49">
        <f t="shared" si="135"/>
        <v>506.70100000000002</v>
      </c>
    </row>
    <row r="733" spans="1:35">
      <c r="E733" s="3">
        <v>750</v>
      </c>
      <c r="F733" s="3">
        <v>380.00099999999998</v>
      </c>
      <c r="Z733" s="49"/>
      <c r="AA733" s="49">
        <v>0</v>
      </c>
      <c r="AB733" s="49">
        <v>0</v>
      </c>
      <c r="AC733" s="49">
        <v>0</v>
      </c>
      <c r="AD733" s="49"/>
      <c r="AE733" s="49"/>
      <c r="AF733" s="49"/>
      <c r="AG733" s="49">
        <f t="shared" si="133"/>
        <v>0</v>
      </c>
      <c r="AH733" s="49">
        <f t="shared" si="134"/>
        <v>0</v>
      </c>
      <c r="AI733" s="49">
        <f t="shared" si="135"/>
        <v>0</v>
      </c>
    </row>
    <row r="734" spans="1:35">
      <c r="E734" s="3">
        <v>1000</v>
      </c>
      <c r="F734" s="3">
        <v>506.70100000000002</v>
      </c>
      <c r="Z734" s="49"/>
      <c r="AA734" s="49">
        <v>0</v>
      </c>
      <c r="AB734" s="49">
        <v>0</v>
      </c>
      <c r="AC734" s="49">
        <v>0</v>
      </c>
      <c r="AD734" s="49"/>
      <c r="AE734" s="49"/>
      <c r="AF734" s="49"/>
      <c r="AG734" s="49">
        <f t="shared" si="133"/>
        <v>0</v>
      </c>
      <c r="AH734" s="49">
        <f t="shared" si="134"/>
        <v>0</v>
      </c>
      <c r="AI734" s="49">
        <f t="shared" si="135"/>
        <v>0</v>
      </c>
    </row>
    <row r="735" spans="1:35">
      <c r="A735" s="2" t="s">
        <v>631</v>
      </c>
      <c r="B735" s="11"/>
      <c r="C735" s="11"/>
      <c r="D735" s="11"/>
      <c r="E735" s="183"/>
      <c r="F735" s="11"/>
      <c r="G735" s="11"/>
      <c r="H735" s="11"/>
      <c r="Z735" s="49"/>
      <c r="AA735" s="49" t="s">
        <v>631</v>
      </c>
      <c r="AB735" s="49">
        <v>0</v>
      </c>
      <c r="AC735" s="49">
        <v>0</v>
      </c>
      <c r="AD735" s="49"/>
      <c r="AE735" s="49"/>
      <c r="AF735" s="49"/>
      <c r="AG735" s="49" t="str">
        <f t="shared" si="133"/>
        <v>CAPACIDADES DE PLANTAS DE EMERGENGIA</v>
      </c>
      <c r="AH735" s="49">
        <f t="shared" si="134"/>
        <v>0</v>
      </c>
      <c r="AI735" s="49">
        <f t="shared" si="135"/>
        <v>0</v>
      </c>
    </row>
    <row r="736" spans="1:35">
      <c r="A736" s="11" t="s">
        <v>632</v>
      </c>
      <c r="B736" s="11"/>
      <c r="C736" s="11"/>
      <c r="D736" s="11"/>
      <c r="E736" s="11"/>
      <c r="F736" s="11"/>
      <c r="G736" s="11"/>
      <c r="H736" s="11"/>
      <c r="Z736" s="49"/>
      <c r="AA736" s="49" t="s">
        <v>632</v>
      </c>
      <c r="AB736" s="49">
        <v>0</v>
      </c>
      <c r="AC736" s="49">
        <v>0</v>
      </c>
      <c r="AD736" s="49"/>
      <c r="AE736" s="49"/>
      <c r="AF736" s="49"/>
      <c r="AG736" s="49" t="str">
        <f t="shared" si="133"/>
        <v>COMERCIALES</v>
      </c>
      <c r="AH736" s="49">
        <f t="shared" si="134"/>
        <v>0</v>
      </c>
      <c r="AI736" s="49">
        <f t="shared" si="135"/>
        <v>0</v>
      </c>
    </row>
    <row r="737" spans="1:35">
      <c r="Z737" s="49"/>
      <c r="AA737" s="49">
        <v>0</v>
      </c>
      <c r="AB737" s="49">
        <v>0</v>
      </c>
      <c r="AC737" s="49">
        <v>0</v>
      </c>
      <c r="AD737" s="49"/>
      <c r="AE737" s="49"/>
      <c r="AF737" s="49"/>
      <c r="AG737" s="49">
        <f t="shared" si="133"/>
        <v>0</v>
      </c>
      <c r="AH737" s="49">
        <f t="shared" si="134"/>
        <v>0</v>
      </c>
      <c r="AI737" s="49">
        <f t="shared" si="135"/>
        <v>0</v>
      </c>
    </row>
    <row r="738" spans="1:35" ht="31.2">
      <c r="B738" s="1087" t="s">
        <v>633</v>
      </c>
      <c r="C738" s="1087" t="s">
        <v>634</v>
      </c>
      <c r="D738" s="1087" t="s">
        <v>635</v>
      </c>
      <c r="E738" s="196" t="s">
        <v>636</v>
      </c>
      <c r="F738" s="1089" t="s">
        <v>637</v>
      </c>
      <c r="G738" s="1090"/>
      <c r="H738" s="1091"/>
      <c r="I738" s="1087" t="s">
        <v>638</v>
      </c>
      <c r="Z738" s="49"/>
      <c r="AA738" s="49">
        <v>0</v>
      </c>
      <c r="AB738" s="49" t="s">
        <v>639</v>
      </c>
      <c r="AC738" s="49" t="s">
        <v>640</v>
      </c>
      <c r="AD738" s="49"/>
      <c r="AE738" s="49"/>
      <c r="AF738" s="49"/>
      <c r="AG738" s="49">
        <f t="shared" si="133"/>
        <v>0</v>
      </c>
      <c r="AH738" s="49" t="str">
        <f t="shared" si="134"/>
        <v>MOTOR </v>
      </c>
      <c r="AI738" s="49" t="str">
        <f t="shared" si="135"/>
        <v>CAPACIDAD CONTINUA APLICACIÓN EMERGENCIA KW. </v>
      </c>
    </row>
    <row r="739" spans="1:35" ht="25.5" customHeight="1">
      <c r="B739" s="1088"/>
      <c r="C739" s="1088"/>
      <c r="D739" s="1088"/>
      <c r="E739" s="197" t="s">
        <v>641</v>
      </c>
      <c r="F739" s="1092"/>
      <c r="G739" s="1093"/>
      <c r="H739" s="1094"/>
      <c r="I739" s="1088"/>
      <c r="Z739" s="49"/>
      <c r="AA739" s="49">
        <v>0</v>
      </c>
      <c r="AB739" s="49">
        <v>0</v>
      </c>
      <c r="AC739" s="49">
        <v>0</v>
      </c>
      <c r="AD739" s="49"/>
      <c r="AE739" s="49"/>
      <c r="AF739" s="49"/>
      <c r="AG739" s="49">
        <f t="shared" si="133"/>
        <v>0</v>
      </c>
      <c r="AH739" s="49">
        <f t="shared" si="134"/>
        <v>0</v>
      </c>
      <c r="AI739" s="49">
        <f t="shared" si="135"/>
        <v>0</v>
      </c>
    </row>
    <row r="740" spans="1:35">
      <c r="B740" s="198"/>
      <c r="C740" s="198"/>
      <c r="D740" s="198"/>
      <c r="E740" s="198"/>
      <c r="F740" s="199" t="s">
        <v>642</v>
      </c>
      <c r="G740" s="199" t="s">
        <v>643</v>
      </c>
      <c r="H740" s="199" t="s">
        <v>644</v>
      </c>
      <c r="I740" s="198"/>
      <c r="Z740" s="49"/>
      <c r="AA740" s="49">
        <v>0</v>
      </c>
      <c r="AB740" s="49">
        <v>0</v>
      </c>
      <c r="AC740" s="49">
        <v>0</v>
      </c>
      <c r="AD740" s="49"/>
      <c r="AE740" s="49"/>
      <c r="AF740" s="49"/>
      <c r="AG740" s="49">
        <f t="shared" si="133"/>
        <v>0</v>
      </c>
      <c r="AH740" s="49">
        <f t="shared" si="134"/>
        <v>0</v>
      </c>
      <c r="AI740" s="49">
        <f t="shared" si="135"/>
        <v>0</v>
      </c>
    </row>
    <row r="741" spans="1:35">
      <c r="A741" s="1">
        <f t="shared" ref="A741:A767" si="136">AG741</f>
        <v>0</v>
      </c>
      <c r="B741" s="1" t="str">
        <f t="shared" ref="B741:B767" si="137">AH741</f>
        <v>4B3.9G2</v>
      </c>
      <c r="C741" s="1">
        <f t="shared" ref="C741:C767" si="138">AI741</f>
        <v>30</v>
      </c>
      <c r="D741" s="200">
        <v>68</v>
      </c>
      <c r="E741" s="200">
        <v>13.6</v>
      </c>
      <c r="F741" s="200">
        <v>175</v>
      </c>
      <c r="G741" s="200">
        <v>68</v>
      </c>
      <c r="H741" s="200">
        <v>114</v>
      </c>
      <c r="I741" s="200">
        <v>699</v>
      </c>
      <c r="Z741" s="49"/>
      <c r="AA741" s="49">
        <v>0</v>
      </c>
      <c r="AB741" s="49" t="s">
        <v>645</v>
      </c>
      <c r="AC741" s="49">
        <v>30</v>
      </c>
      <c r="AD741" s="49"/>
      <c r="AE741" s="49"/>
      <c r="AF741" s="49"/>
      <c r="AG741" s="49">
        <f t="shared" si="133"/>
        <v>0</v>
      </c>
      <c r="AH741" s="49" t="str">
        <f t="shared" si="134"/>
        <v>4B3.9G2</v>
      </c>
      <c r="AI741" s="49">
        <f t="shared" si="135"/>
        <v>30</v>
      </c>
    </row>
    <row r="742" spans="1:35">
      <c r="A742" s="1">
        <f t="shared" si="136"/>
        <v>30.1</v>
      </c>
      <c r="B742" s="1" t="str">
        <f t="shared" si="137"/>
        <v>4B3.9G2</v>
      </c>
      <c r="C742" s="1">
        <f t="shared" si="138"/>
        <v>40</v>
      </c>
      <c r="D742" s="200">
        <v>68</v>
      </c>
      <c r="E742" s="200">
        <v>13.6</v>
      </c>
      <c r="F742" s="200">
        <v>175</v>
      </c>
      <c r="G742" s="200">
        <v>68</v>
      </c>
      <c r="H742" s="200">
        <v>114</v>
      </c>
      <c r="I742" s="200">
        <v>699</v>
      </c>
      <c r="Z742" s="49"/>
      <c r="AA742" s="49">
        <v>30.1</v>
      </c>
      <c r="AB742" s="49" t="s">
        <v>645</v>
      </c>
      <c r="AC742" s="49">
        <v>40</v>
      </c>
      <c r="AD742" s="49"/>
      <c r="AE742" s="49"/>
      <c r="AF742" s="49"/>
      <c r="AG742" s="49">
        <f t="shared" si="133"/>
        <v>30.1</v>
      </c>
      <c r="AH742" s="49" t="str">
        <f t="shared" si="134"/>
        <v>4B3.9G2</v>
      </c>
      <c r="AI742" s="49">
        <f t="shared" si="135"/>
        <v>40</v>
      </c>
    </row>
    <row r="743" spans="1:35">
      <c r="A743" s="1">
        <f t="shared" si="136"/>
        <v>40.1</v>
      </c>
      <c r="B743" s="1" t="str">
        <f t="shared" si="137"/>
        <v>4BT3.9G3</v>
      </c>
      <c r="C743" s="1">
        <f t="shared" si="138"/>
        <v>50</v>
      </c>
      <c r="D743" s="200">
        <v>86</v>
      </c>
      <c r="E743" s="200">
        <v>16</v>
      </c>
      <c r="F743" s="200">
        <v>175</v>
      </c>
      <c r="G743" s="200">
        <v>68</v>
      </c>
      <c r="H743" s="200">
        <v>114</v>
      </c>
      <c r="I743" s="200">
        <v>711</v>
      </c>
      <c r="Z743" s="49"/>
      <c r="AA743" s="49">
        <v>40.1</v>
      </c>
      <c r="AB743" s="49" t="s">
        <v>646</v>
      </c>
      <c r="AC743" s="49">
        <v>50</v>
      </c>
      <c r="AD743" s="49"/>
      <c r="AE743" s="49"/>
      <c r="AF743" s="49"/>
      <c r="AG743" s="49">
        <f t="shared" si="133"/>
        <v>40.1</v>
      </c>
      <c r="AH743" s="49" t="str">
        <f t="shared" si="134"/>
        <v>4BT3.9G3</v>
      </c>
      <c r="AI743" s="49">
        <f t="shared" si="135"/>
        <v>50</v>
      </c>
    </row>
    <row r="744" spans="1:35">
      <c r="A744" s="1">
        <f t="shared" si="136"/>
        <v>50.1</v>
      </c>
      <c r="B744" s="1" t="str">
        <f t="shared" si="137"/>
        <v>4BT3.9G4</v>
      </c>
      <c r="C744" s="1">
        <f t="shared" si="138"/>
        <v>60</v>
      </c>
      <c r="D744" s="200">
        <v>102</v>
      </c>
      <c r="E744" s="200">
        <v>19</v>
      </c>
      <c r="F744" s="200">
        <v>175</v>
      </c>
      <c r="G744" s="200">
        <v>68</v>
      </c>
      <c r="H744" s="200">
        <v>114</v>
      </c>
      <c r="I744" s="200">
        <v>711</v>
      </c>
      <c r="Z744" s="49"/>
      <c r="AA744" s="49">
        <v>50.1</v>
      </c>
      <c r="AB744" s="49" t="s">
        <v>647</v>
      </c>
      <c r="AC744" s="49">
        <v>60</v>
      </c>
      <c r="AD744" s="49"/>
      <c r="AE744" s="49"/>
      <c r="AF744" s="49"/>
      <c r="AG744" s="49">
        <f t="shared" si="133"/>
        <v>50.1</v>
      </c>
      <c r="AH744" s="49" t="str">
        <f t="shared" si="134"/>
        <v>4BT3.9G4</v>
      </c>
      <c r="AI744" s="49">
        <f t="shared" si="135"/>
        <v>60</v>
      </c>
    </row>
    <row r="745" spans="1:35">
      <c r="A745" s="1">
        <f t="shared" si="136"/>
        <v>60.1</v>
      </c>
      <c r="B745" s="1" t="str">
        <f t="shared" si="137"/>
        <v>4BTA3.9G3</v>
      </c>
      <c r="C745" s="1">
        <f t="shared" si="138"/>
        <v>80</v>
      </c>
      <c r="D745" s="200">
        <v>125</v>
      </c>
      <c r="E745" s="200">
        <v>24</v>
      </c>
      <c r="F745" s="200">
        <v>202</v>
      </c>
      <c r="G745" s="200">
        <v>71</v>
      </c>
      <c r="H745" s="200">
        <v>123</v>
      </c>
      <c r="I745" s="200">
        <v>705</v>
      </c>
      <c r="Z745" s="49"/>
      <c r="AA745" s="49">
        <v>60.1</v>
      </c>
      <c r="AB745" s="49" t="s">
        <v>648</v>
      </c>
      <c r="AC745" s="49">
        <v>80</v>
      </c>
      <c r="AD745" s="49"/>
      <c r="AE745" s="49"/>
      <c r="AF745" s="49"/>
      <c r="AG745" s="49">
        <f t="shared" si="133"/>
        <v>60.1</v>
      </c>
      <c r="AH745" s="49" t="str">
        <f t="shared" si="134"/>
        <v>4BTA3.9G3</v>
      </c>
      <c r="AI745" s="49">
        <f t="shared" si="135"/>
        <v>80</v>
      </c>
    </row>
    <row r="746" spans="1:35">
      <c r="A746" s="1">
        <f t="shared" si="136"/>
        <v>80.099999999999994</v>
      </c>
      <c r="B746" s="1" t="str">
        <f t="shared" si="137"/>
        <v>6BT5.9G6</v>
      </c>
      <c r="C746" s="1">
        <f t="shared" si="138"/>
        <v>100</v>
      </c>
      <c r="D746" s="200">
        <v>170</v>
      </c>
      <c r="E746" s="200">
        <v>31</v>
      </c>
      <c r="F746" s="200">
        <v>202</v>
      </c>
      <c r="G746" s="200">
        <v>76</v>
      </c>
      <c r="H746" s="200">
        <v>122</v>
      </c>
      <c r="I746" s="200">
        <v>1204</v>
      </c>
      <c r="Z746" s="49"/>
      <c r="AA746" s="49">
        <v>80.099999999999994</v>
      </c>
      <c r="AB746" s="49" t="s">
        <v>649</v>
      </c>
      <c r="AC746" s="49">
        <v>100</v>
      </c>
      <c r="AD746" s="49"/>
      <c r="AE746" s="49"/>
      <c r="AF746" s="49"/>
      <c r="AG746" s="49">
        <f t="shared" si="133"/>
        <v>80.099999999999994</v>
      </c>
      <c r="AH746" s="49" t="str">
        <f t="shared" si="134"/>
        <v>6BT5.9G6</v>
      </c>
      <c r="AI746" s="49">
        <f t="shared" si="135"/>
        <v>100</v>
      </c>
    </row>
    <row r="747" spans="1:35">
      <c r="A747" s="1">
        <f t="shared" si="136"/>
        <v>100.1</v>
      </c>
      <c r="B747" s="1" t="str">
        <f t="shared" si="137"/>
        <v>6CT8.3G2</v>
      </c>
      <c r="C747" s="1">
        <f t="shared" si="138"/>
        <v>125</v>
      </c>
      <c r="D747" s="200">
        <v>207</v>
      </c>
      <c r="E747" s="200">
        <v>41</v>
      </c>
      <c r="F747" s="200">
        <v>235</v>
      </c>
      <c r="G747" s="200">
        <v>86</v>
      </c>
      <c r="H747" s="200">
        <v>132</v>
      </c>
      <c r="I747" s="200">
        <v>1240</v>
      </c>
      <c r="Z747" s="49"/>
      <c r="AA747" s="49">
        <v>100.1</v>
      </c>
      <c r="AB747" s="49" t="s">
        <v>650</v>
      </c>
      <c r="AC747" s="49">
        <v>125</v>
      </c>
      <c r="AD747" s="49"/>
      <c r="AE747" s="49"/>
      <c r="AF747" s="49"/>
      <c r="AG747" s="49">
        <f t="shared" si="133"/>
        <v>100.1</v>
      </c>
      <c r="AH747" s="49" t="str">
        <f t="shared" si="134"/>
        <v>6CT8.3G2</v>
      </c>
      <c r="AI747" s="49">
        <f t="shared" si="135"/>
        <v>125</v>
      </c>
    </row>
    <row r="748" spans="1:35">
      <c r="A748" s="1">
        <f t="shared" si="136"/>
        <v>125.1</v>
      </c>
      <c r="B748" s="1" t="str">
        <f t="shared" si="137"/>
        <v>6CTA8.3G2</v>
      </c>
      <c r="C748" s="1">
        <f t="shared" si="138"/>
        <v>150</v>
      </c>
      <c r="D748" s="200">
        <v>277</v>
      </c>
      <c r="E748" s="200">
        <v>53</v>
      </c>
      <c r="F748" s="200">
        <v>235</v>
      </c>
      <c r="G748" s="200">
        <v>86</v>
      </c>
      <c r="H748" s="200">
        <v>132</v>
      </c>
      <c r="I748" s="200">
        <v>1240</v>
      </c>
      <c r="Z748" s="49"/>
      <c r="AA748" s="49">
        <v>125.1</v>
      </c>
      <c r="AB748" s="49" t="s">
        <v>651</v>
      </c>
      <c r="AC748" s="49">
        <v>150</v>
      </c>
      <c r="AD748" s="49"/>
      <c r="AE748" s="49"/>
      <c r="AF748" s="49"/>
      <c r="AG748" s="49">
        <f t="shared" si="133"/>
        <v>125.1</v>
      </c>
      <c r="AH748" s="49" t="str">
        <f t="shared" si="134"/>
        <v>6CTA8.3G2</v>
      </c>
      <c r="AI748" s="49">
        <f t="shared" si="135"/>
        <v>150</v>
      </c>
    </row>
    <row r="749" spans="1:35">
      <c r="A749" s="1">
        <f t="shared" si="136"/>
        <v>150.1</v>
      </c>
      <c r="B749" s="1" t="str">
        <f t="shared" si="137"/>
        <v>6CTA8.3G2</v>
      </c>
      <c r="C749" s="1">
        <f t="shared" si="138"/>
        <v>175</v>
      </c>
      <c r="D749" s="200">
        <v>277</v>
      </c>
      <c r="E749" s="200">
        <v>53</v>
      </c>
      <c r="F749" s="200">
        <v>235</v>
      </c>
      <c r="G749" s="200">
        <v>92</v>
      </c>
      <c r="H749" s="200">
        <v>147</v>
      </c>
      <c r="I749" s="200">
        <v>1446</v>
      </c>
      <c r="Z749" s="49"/>
      <c r="AA749" s="49">
        <v>150.1</v>
      </c>
      <c r="AB749" s="49" t="s">
        <v>651</v>
      </c>
      <c r="AC749" s="49">
        <v>175</v>
      </c>
      <c r="AD749" s="49"/>
      <c r="AE749" s="49"/>
      <c r="AF749" s="49"/>
      <c r="AG749" s="49">
        <f t="shared" si="133"/>
        <v>150.1</v>
      </c>
      <c r="AH749" s="49" t="str">
        <f t="shared" si="134"/>
        <v>6CTA8.3G2</v>
      </c>
      <c r="AI749" s="49">
        <f t="shared" si="135"/>
        <v>175</v>
      </c>
    </row>
    <row r="750" spans="1:35" ht="17.25" customHeight="1">
      <c r="A750" s="1">
        <f t="shared" si="136"/>
        <v>175.1</v>
      </c>
      <c r="B750" s="1" t="str">
        <f t="shared" si="137"/>
        <v>6CTAA8.3G1</v>
      </c>
      <c r="C750" s="1">
        <f t="shared" si="138"/>
        <v>200</v>
      </c>
      <c r="D750" s="200">
        <v>317</v>
      </c>
      <c r="E750" s="200">
        <v>59</v>
      </c>
      <c r="F750" s="200">
        <v>260</v>
      </c>
      <c r="G750" s="200">
        <v>120</v>
      </c>
      <c r="H750" s="200">
        <v>145</v>
      </c>
      <c r="I750" s="200">
        <v>2355</v>
      </c>
      <c r="Z750" s="49"/>
      <c r="AA750" s="49">
        <v>175.1</v>
      </c>
      <c r="AB750" s="49" t="s">
        <v>652</v>
      </c>
      <c r="AC750" s="49">
        <v>200</v>
      </c>
      <c r="AD750" s="49"/>
      <c r="AE750" s="49"/>
      <c r="AF750" s="49"/>
      <c r="AG750" s="49">
        <f t="shared" si="133"/>
        <v>175.1</v>
      </c>
      <c r="AH750" s="49" t="str">
        <f t="shared" si="134"/>
        <v>6CTAA8.3G1</v>
      </c>
      <c r="AI750" s="49">
        <f t="shared" si="135"/>
        <v>200</v>
      </c>
    </row>
    <row r="751" spans="1:35">
      <c r="A751" s="1">
        <f t="shared" si="136"/>
        <v>200.1</v>
      </c>
      <c r="B751" s="1" t="str">
        <f t="shared" si="137"/>
        <v>LTA10G2</v>
      </c>
      <c r="C751" s="1">
        <f t="shared" si="138"/>
        <v>220</v>
      </c>
      <c r="D751" s="200">
        <v>345</v>
      </c>
      <c r="E751" s="200">
        <v>63.2</v>
      </c>
      <c r="F751" s="200">
        <v>260</v>
      </c>
      <c r="G751" s="200">
        <v>94</v>
      </c>
      <c r="H751" s="200">
        <v>161</v>
      </c>
      <c r="I751" s="200">
        <v>2355</v>
      </c>
      <c r="Z751" s="49"/>
      <c r="AA751" s="49">
        <v>200.1</v>
      </c>
      <c r="AB751" s="49" t="s">
        <v>653</v>
      </c>
      <c r="AC751" s="49">
        <v>220</v>
      </c>
      <c r="AD751" s="49"/>
      <c r="AE751" s="49"/>
      <c r="AF751" s="49"/>
      <c r="AG751" s="49">
        <f t="shared" si="133"/>
        <v>200.1</v>
      </c>
      <c r="AH751" s="49" t="str">
        <f t="shared" si="134"/>
        <v>LTA10G2</v>
      </c>
      <c r="AI751" s="49">
        <f t="shared" si="135"/>
        <v>220</v>
      </c>
    </row>
    <row r="752" spans="1:35">
      <c r="A752" s="1">
        <f t="shared" si="136"/>
        <v>220.1</v>
      </c>
      <c r="B752" s="1" t="str">
        <f t="shared" si="137"/>
        <v>LTA10G1</v>
      </c>
      <c r="C752" s="1">
        <f t="shared" si="138"/>
        <v>250</v>
      </c>
      <c r="D752" s="200">
        <v>380</v>
      </c>
      <c r="E752" s="200">
        <v>64.7</v>
      </c>
      <c r="F752" s="200">
        <v>260</v>
      </c>
      <c r="G752" s="200">
        <v>94</v>
      </c>
      <c r="H752" s="200">
        <v>161</v>
      </c>
      <c r="I752" s="200">
        <v>2355</v>
      </c>
      <c r="Z752" s="49"/>
      <c r="AA752" s="49">
        <v>220.1</v>
      </c>
      <c r="AB752" s="49" t="s">
        <v>654</v>
      </c>
      <c r="AC752" s="49">
        <v>250</v>
      </c>
      <c r="AD752" s="49"/>
      <c r="AE752" s="49"/>
      <c r="AF752" s="49"/>
      <c r="AG752" s="49">
        <f t="shared" si="133"/>
        <v>220.1</v>
      </c>
      <c r="AH752" s="49" t="str">
        <f t="shared" si="134"/>
        <v>LTA10G1</v>
      </c>
      <c r="AI752" s="49">
        <f t="shared" si="135"/>
        <v>250</v>
      </c>
    </row>
    <row r="753" spans="1:109">
      <c r="A753" s="1">
        <f t="shared" si="136"/>
        <v>250.1</v>
      </c>
      <c r="B753" s="1" t="str">
        <f t="shared" si="137"/>
        <v>NTA855G2</v>
      </c>
      <c r="C753" s="1">
        <f t="shared" si="138"/>
        <v>300</v>
      </c>
      <c r="D753" s="200">
        <v>456</v>
      </c>
      <c r="E753" s="200">
        <v>89</v>
      </c>
      <c r="F753" s="200">
        <v>295</v>
      </c>
      <c r="G753" s="200">
        <v>94</v>
      </c>
      <c r="H753" s="200">
        <v>181</v>
      </c>
      <c r="I753" s="200">
        <v>2513</v>
      </c>
      <c r="Z753" s="49"/>
      <c r="AA753" s="49">
        <v>250.1</v>
      </c>
      <c r="AB753" s="49" t="s">
        <v>655</v>
      </c>
      <c r="AC753" s="49">
        <v>300</v>
      </c>
      <c r="AD753" s="49"/>
      <c r="AE753" s="49"/>
      <c r="AF753" s="49"/>
      <c r="AG753" s="49">
        <f t="shared" si="133"/>
        <v>250.1</v>
      </c>
      <c r="AH753" s="49" t="str">
        <f t="shared" si="134"/>
        <v>NTA855G2</v>
      </c>
      <c r="AI753" s="49">
        <f t="shared" si="135"/>
        <v>300</v>
      </c>
      <c r="AJ753" s="49"/>
      <c r="AK753" s="49"/>
      <c r="AL753" s="49"/>
      <c r="AM753" s="49"/>
      <c r="AN753" s="49"/>
      <c r="AO753" s="49"/>
      <c r="AP753" s="49"/>
      <c r="AQ753" s="49"/>
      <c r="AR753" s="49"/>
      <c r="AS753" s="49"/>
      <c r="AT753" s="49"/>
    </row>
    <row r="754" spans="1:109">
      <c r="A754" s="1">
        <f t="shared" si="136"/>
        <v>300.10000000000002</v>
      </c>
      <c r="B754" s="1" t="str">
        <f t="shared" si="137"/>
        <v>NTA855G3</v>
      </c>
      <c r="C754" s="1">
        <f t="shared" si="138"/>
        <v>350</v>
      </c>
      <c r="D754" s="200">
        <v>535</v>
      </c>
      <c r="E754" s="200">
        <v>96</v>
      </c>
      <c r="F754" s="200">
        <v>295</v>
      </c>
      <c r="G754" s="200">
        <v>114</v>
      </c>
      <c r="H754" s="200">
        <v>184</v>
      </c>
      <c r="I754" s="200">
        <v>2750</v>
      </c>
      <c r="Z754" s="49"/>
      <c r="AA754" s="49">
        <v>300.10000000000002</v>
      </c>
      <c r="AB754" s="49" t="s">
        <v>656</v>
      </c>
      <c r="AC754" s="49">
        <v>350</v>
      </c>
      <c r="AD754" s="49"/>
      <c r="AE754" s="49"/>
      <c r="AF754" s="49"/>
      <c r="AG754" s="49">
        <f t="shared" si="133"/>
        <v>300.10000000000002</v>
      </c>
      <c r="AH754" s="49" t="str">
        <f t="shared" si="134"/>
        <v>NTA855G3</v>
      </c>
      <c r="AI754" s="49">
        <f t="shared" si="135"/>
        <v>350</v>
      </c>
      <c r="AJ754" s="49"/>
      <c r="AK754" s="49"/>
      <c r="AL754" s="49"/>
      <c r="AM754" s="49"/>
      <c r="AN754" s="49"/>
      <c r="AO754" s="49"/>
      <c r="AP754" s="49"/>
      <c r="AQ754" s="49"/>
      <c r="AR754" s="49"/>
      <c r="AS754" s="49"/>
      <c r="AT754" s="49"/>
    </row>
    <row r="755" spans="1:109">
      <c r="A755" s="1">
        <f t="shared" si="136"/>
        <v>350.1</v>
      </c>
      <c r="B755" s="1" t="str">
        <f t="shared" si="137"/>
        <v>NTA855G5</v>
      </c>
      <c r="C755" s="1">
        <f t="shared" si="138"/>
        <v>400</v>
      </c>
      <c r="D755" s="200">
        <v>605</v>
      </c>
      <c r="E755" s="200">
        <v>110</v>
      </c>
      <c r="F755" s="200">
        <v>295</v>
      </c>
      <c r="G755" s="200">
        <v>114</v>
      </c>
      <c r="H755" s="200">
        <v>184</v>
      </c>
      <c r="I755" s="200">
        <v>2750</v>
      </c>
      <c r="Z755" s="49"/>
      <c r="AA755" s="49">
        <v>350.1</v>
      </c>
      <c r="AB755" s="49" t="s">
        <v>657</v>
      </c>
      <c r="AC755" s="49">
        <v>400</v>
      </c>
      <c r="AD755" s="49"/>
      <c r="AE755" s="49"/>
      <c r="AF755" s="49"/>
      <c r="AG755" s="49">
        <f t="shared" si="133"/>
        <v>350.1</v>
      </c>
      <c r="AH755" s="49" t="str">
        <f t="shared" si="134"/>
        <v>NTA855G5</v>
      </c>
      <c r="AI755" s="49">
        <f t="shared" si="135"/>
        <v>400</v>
      </c>
      <c r="AJ755" s="49"/>
      <c r="AK755" s="49"/>
      <c r="AL755" s="49"/>
      <c r="AM755" s="49"/>
      <c r="AN755" s="49"/>
      <c r="AO755" s="49"/>
      <c r="AP755" s="49"/>
      <c r="AQ755" s="49"/>
      <c r="AR755" s="49"/>
      <c r="AS755" s="49"/>
      <c r="AT755" s="49"/>
    </row>
    <row r="756" spans="1:109">
      <c r="A756" s="1">
        <f t="shared" si="136"/>
        <v>400.1</v>
      </c>
      <c r="B756" s="1" t="str">
        <f t="shared" si="137"/>
        <v>QSX15G7</v>
      </c>
      <c r="C756" s="1">
        <f t="shared" si="138"/>
        <v>450</v>
      </c>
      <c r="D756" s="200">
        <v>685</v>
      </c>
      <c r="E756" s="200">
        <v>120</v>
      </c>
      <c r="F756" s="200">
        <v>330</v>
      </c>
      <c r="G756" s="200">
        <v>147</v>
      </c>
      <c r="H756" s="200">
        <v>206</v>
      </c>
      <c r="I756" s="200">
        <v>3815</v>
      </c>
      <c r="Z756" s="49"/>
      <c r="AA756" s="49">
        <v>400.1</v>
      </c>
      <c r="AB756" s="49" t="s">
        <v>658</v>
      </c>
      <c r="AC756" s="49">
        <v>450</v>
      </c>
      <c r="AD756" s="49"/>
      <c r="AE756" s="49"/>
      <c r="AF756" s="49"/>
      <c r="AG756" s="49">
        <f t="shared" si="133"/>
        <v>400.1</v>
      </c>
      <c r="AH756" s="49" t="str">
        <f t="shared" si="134"/>
        <v>QSX15G7</v>
      </c>
      <c r="AI756" s="49">
        <f t="shared" si="135"/>
        <v>450</v>
      </c>
      <c r="AJ756" s="49"/>
      <c r="AK756" s="49"/>
      <c r="AL756" s="49"/>
      <c r="AM756" s="49"/>
      <c r="AN756" s="49"/>
      <c r="AO756" s="49"/>
      <c r="AP756" s="49"/>
      <c r="AQ756" s="49"/>
      <c r="AR756" s="49"/>
      <c r="AS756" s="49"/>
      <c r="AT756" s="49"/>
    </row>
    <row r="757" spans="1:109">
      <c r="A757" s="1">
        <f t="shared" si="136"/>
        <v>450.1</v>
      </c>
      <c r="B757" s="1" t="str">
        <f t="shared" si="137"/>
        <v>QSX15G9</v>
      </c>
      <c r="C757" s="1">
        <f t="shared" si="138"/>
        <v>500</v>
      </c>
      <c r="D757" s="200">
        <v>755</v>
      </c>
      <c r="E757" s="200">
        <v>138</v>
      </c>
      <c r="F757" s="200">
        <v>330</v>
      </c>
      <c r="G757" s="200">
        <v>147</v>
      </c>
      <c r="H757" s="200">
        <v>206</v>
      </c>
      <c r="I757" s="200">
        <v>3815</v>
      </c>
      <c r="Z757" s="49"/>
      <c r="AA757" s="49">
        <v>450.1</v>
      </c>
      <c r="AB757" s="49" t="s">
        <v>659</v>
      </c>
      <c r="AC757" s="49">
        <v>500</v>
      </c>
      <c r="AD757" s="49"/>
      <c r="AE757" s="49"/>
      <c r="AF757" s="49"/>
      <c r="AG757" s="49">
        <f t="shared" si="133"/>
        <v>450.1</v>
      </c>
      <c r="AH757" s="49" t="str">
        <f t="shared" si="134"/>
        <v>QSX15G9</v>
      </c>
      <c r="AI757" s="49">
        <f t="shared" si="135"/>
        <v>500</v>
      </c>
      <c r="AJ757" s="49"/>
      <c r="AK757" s="49"/>
      <c r="AL757" s="49"/>
      <c r="AM757" s="49"/>
      <c r="AN757" s="49"/>
      <c r="AO757" s="49"/>
      <c r="AP757" s="49"/>
      <c r="AQ757" s="49"/>
      <c r="AR757" s="49"/>
      <c r="AS757" s="49"/>
      <c r="AT757" s="49"/>
    </row>
    <row r="758" spans="1:109">
      <c r="A758" s="1">
        <f t="shared" si="136"/>
        <v>500.1</v>
      </c>
      <c r="B758" s="1" t="str">
        <f t="shared" si="137"/>
        <v>VTA28G5</v>
      </c>
      <c r="C758" s="1">
        <f t="shared" si="138"/>
        <v>600</v>
      </c>
      <c r="D758" s="200">
        <v>900</v>
      </c>
      <c r="E758" s="200">
        <v>173</v>
      </c>
      <c r="F758" s="200">
        <v>360</v>
      </c>
      <c r="G758" s="200">
        <v>157</v>
      </c>
      <c r="H758" s="200">
        <v>228</v>
      </c>
      <c r="I758" s="200">
        <v>5333</v>
      </c>
      <c r="Z758" s="49"/>
      <c r="AA758" s="49">
        <v>500.1</v>
      </c>
      <c r="AB758" s="49" t="s">
        <v>660</v>
      </c>
      <c r="AC758" s="49">
        <v>600</v>
      </c>
      <c r="AD758" s="49"/>
      <c r="AE758" s="49"/>
      <c r="AF758" s="49"/>
      <c r="AG758" s="49">
        <f t="shared" si="133"/>
        <v>500.1</v>
      </c>
      <c r="AH758" s="49" t="str">
        <f t="shared" si="134"/>
        <v>VTA28G5</v>
      </c>
      <c r="AI758" s="49">
        <f t="shared" si="135"/>
        <v>600</v>
      </c>
      <c r="AJ758" s="49"/>
      <c r="AK758" s="49"/>
      <c r="AL758" s="49"/>
      <c r="AM758" s="49"/>
      <c r="AN758" s="49"/>
      <c r="AO758" s="49"/>
      <c r="AP758" s="49"/>
      <c r="AQ758" s="49"/>
      <c r="AR758" s="49"/>
      <c r="AS758" s="49"/>
      <c r="AT758" s="49"/>
    </row>
    <row r="759" spans="1:109">
      <c r="A759" s="1">
        <f t="shared" si="136"/>
        <v>600.1</v>
      </c>
      <c r="B759" s="1" t="str">
        <f t="shared" si="137"/>
        <v>QST30G1</v>
      </c>
      <c r="C759" s="1">
        <f t="shared" si="138"/>
        <v>750</v>
      </c>
      <c r="D759" s="200">
        <v>1135</v>
      </c>
      <c r="E759" s="200">
        <v>112</v>
      </c>
      <c r="F759" s="200">
        <v>400</v>
      </c>
      <c r="G759" s="200">
        <v>157</v>
      </c>
      <c r="H759" s="200">
        <v>243</v>
      </c>
      <c r="I759" s="200">
        <v>6219</v>
      </c>
      <c r="Z759" s="49"/>
      <c r="AA759" s="49">
        <v>600.1</v>
      </c>
      <c r="AB759" s="49" t="s">
        <v>661</v>
      </c>
      <c r="AC759" s="49">
        <v>750</v>
      </c>
      <c r="AD759" s="49"/>
      <c r="AE759" s="49"/>
      <c r="AF759" s="49"/>
      <c r="AG759" s="49">
        <f t="shared" si="133"/>
        <v>600.1</v>
      </c>
      <c r="AH759" s="49" t="str">
        <f t="shared" si="134"/>
        <v>QST30G1</v>
      </c>
      <c r="AI759" s="49">
        <f t="shared" si="135"/>
        <v>750</v>
      </c>
      <c r="AJ759" s="49"/>
      <c r="AK759" s="49"/>
      <c r="AL759" s="49"/>
      <c r="AM759" s="49"/>
      <c r="AN759" s="49"/>
      <c r="AO759" s="49"/>
      <c r="AP759" s="49"/>
      <c r="AQ759" s="49"/>
      <c r="AR759" s="49"/>
      <c r="AS759" s="49"/>
      <c r="AT759" s="49"/>
      <c r="DE759" s="1" t="s">
        <v>662</v>
      </c>
    </row>
    <row r="760" spans="1:109">
      <c r="A760" s="1">
        <f t="shared" si="136"/>
        <v>750.1</v>
      </c>
      <c r="B760" s="1" t="str">
        <f t="shared" si="137"/>
        <v>QST30G2</v>
      </c>
      <c r="C760" s="1">
        <f t="shared" si="138"/>
        <v>800</v>
      </c>
      <c r="D760" s="200">
        <v>1200</v>
      </c>
      <c r="E760" s="200">
        <v>227</v>
      </c>
      <c r="F760" s="200">
        <v>400</v>
      </c>
      <c r="G760" s="200">
        <v>157</v>
      </c>
      <c r="H760" s="200">
        <v>243</v>
      </c>
      <c r="I760" s="200">
        <v>6500</v>
      </c>
      <c r="Z760" s="49"/>
      <c r="AA760" s="49">
        <v>750.1</v>
      </c>
      <c r="AB760" s="49" t="s">
        <v>663</v>
      </c>
      <c r="AC760" s="49">
        <v>800</v>
      </c>
      <c r="AD760" s="49"/>
      <c r="AE760" s="49"/>
      <c r="AF760" s="49"/>
      <c r="AG760" s="49">
        <f t="shared" si="133"/>
        <v>750.1</v>
      </c>
      <c r="AH760" s="49" t="str">
        <f t="shared" si="134"/>
        <v>QST30G2</v>
      </c>
      <c r="AI760" s="49">
        <f t="shared" si="135"/>
        <v>800</v>
      </c>
      <c r="AJ760" s="49"/>
      <c r="AK760" s="49"/>
      <c r="AL760" s="49"/>
      <c r="AM760" s="49"/>
      <c r="AN760" s="49"/>
      <c r="AO760" s="49"/>
      <c r="AP760" s="49"/>
      <c r="AQ760" s="49"/>
      <c r="AR760" s="49"/>
      <c r="AS760" s="49"/>
      <c r="AT760" s="49"/>
      <c r="DE760" s="1" t="s">
        <v>662</v>
      </c>
    </row>
    <row r="761" spans="1:109">
      <c r="A761" s="1">
        <f t="shared" si="136"/>
        <v>800.1</v>
      </c>
      <c r="B761" s="1" t="str">
        <f t="shared" si="137"/>
        <v>QST30G3</v>
      </c>
      <c r="C761" s="1">
        <f t="shared" si="138"/>
        <v>900</v>
      </c>
      <c r="D761" s="200">
        <v>1350</v>
      </c>
      <c r="E761" s="200">
        <v>228</v>
      </c>
      <c r="F761" s="200">
        <v>400</v>
      </c>
      <c r="G761" s="200">
        <v>157</v>
      </c>
      <c r="H761" s="200">
        <v>243</v>
      </c>
      <c r="I761" s="200">
        <v>6500</v>
      </c>
      <c r="Z761" s="49"/>
      <c r="AA761" s="49">
        <v>800.1</v>
      </c>
      <c r="AB761" s="49" t="s">
        <v>664</v>
      </c>
      <c r="AC761" s="49">
        <v>900</v>
      </c>
      <c r="AD761" s="49"/>
      <c r="AE761" s="49"/>
      <c r="AF761" s="49"/>
      <c r="AG761" s="49">
        <f t="shared" si="133"/>
        <v>800.1</v>
      </c>
      <c r="AH761" s="49" t="str">
        <f t="shared" si="134"/>
        <v>QST30G3</v>
      </c>
      <c r="AI761" s="49">
        <f t="shared" si="135"/>
        <v>900</v>
      </c>
      <c r="AJ761" s="49"/>
      <c r="AK761" s="49"/>
      <c r="AL761" s="49"/>
      <c r="AM761" s="49"/>
      <c r="AN761" s="49"/>
      <c r="AO761" s="49"/>
      <c r="AP761" s="49"/>
      <c r="AQ761" s="49"/>
      <c r="AR761" s="49"/>
      <c r="AS761" s="49"/>
      <c r="AT761" s="49"/>
      <c r="DE761" s="1" t="s">
        <v>662</v>
      </c>
    </row>
    <row r="762" spans="1:109">
      <c r="A762" s="1">
        <f t="shared" si="136"/>
        <v>900.1</v>
      </c>
      <c r="B762" s="1" t="str">
        <f t="shared" si="137"/>
        <v>QST30G4</v>
      </c>
      <c r="C762" s="1">
        <f t="shared" si="138"/>
        <v>1000</v>
      </c>
      <c r="D762" s="200">
        <v>1490</v>
      </c>
      <c r="E762" s="200">
        <v>267</v>
      </c>
      <c r="F762" s="200">
        <v>427</v>
      </c>
      <c r="G762" s="200">
        <v>193</v>
      </c>
      <c r="H762" s="200">
        <v>246</v>
      </c>
      <c r="I762" s="200">
        <v>7000</v>
      </c>
      <c r="Z762" s="49"/>
      <c r="AA762" s="49">
        <v>900.1</v>
      </c>
      <c r="AB762" s="49" t="s">
        <v>665</v>
      </c>
      <c r="AC762" s="49">
        <v>1000</v>
      </c>
      <c r="AD762" s="49"/>
      <c r="AE762" s="49"/>
      <c r="AF762" s="49"/>
      <c r="AG762" s="49">
        <f t="shared" si="133"/>
        <v>900.1</v>
      </c>
      <c r="AH762" s="49" t="str">
        <f t="shared" si="134"/>
        <v>QST30G4</v>
      </c>
      <c r="AI762" s="49">
        <f t="shared" si="135"/>
        <v>1000</v>
      </c>
      <c r="AJ762" s="49"/>
      <c r="AK762" s="49"/>
      <c r="AL762" s="49"/>
      <c r="AM762" s="49"/>
      <c r="AN762" s="49"/>
      <c r="AO762" s="49"/>
      <c r="AP762" s="49"/>
      <c r="AQ762" s="49"/>
      <c r="AR762" s="49"/>
      <c r="AS762" s="49"/>
      <c r="AT762" s="49"/>
    </row>
    <row r="763" spans="1:109">
      <c r="A763" s="1">
        <f t="shared" si="136"/>
        <v>1000.1</v>
      </c>
      <c r="B763" s="1" t="str">
        <f t="shared" si="137"/>
        <v>KTA50G2</v>
      </c>
      <c r="C763" s="1">
        <f t="shared" si="138"/>
        <v>1100</v>
      </c>
      <c r="D763" s="200">
        <v>1620</v>
      </c>
      <c r="E763" s="200">
        <v>301</v>
      </c>
      <c r="F763" s="200">
        <v>528</v>
      </c>
      <c r="G763" s="200">
        <v>175</v>
      </c>
      <c r="H763" s="200">
        <v>232</v>
      </c>
      <c r="I763" s="200">
        <v>9300</v>
      </c>
      <c r="Z763" s="49"/>
      <c r="AA763" s="49">
        <v>1000.1</v>
      </c>
      <c r="AB763" s="49" t="s">
        <v>666</v>
      </c>
      <c r="AC763" s="49">
        <v>1100</v>
      </c>
      <c r="AD763" s="49"/>
      <c r="AE763" s="49"/>
      <c r="AF763" s="49"/>
      <c r="AG763" s="49">
        <f t="shared" si="133"/>
        <v>1000.1</v>
      </c>
      <c r="AH763" s="49" t="str">
        <f t="shared" si="134"/>
        <v>KTA50G2</v>
      </c>
      <c r="AI763" s="49">
        <f t="shared" si="135"/>
        <v>1100</v>
      </c>
      <c r="AJ763" s="49"/>
      <c r="AK763" s="49"/>
      <c r="AL763" s="49"/>
      <c r="AM763" s="49"/>
      <c r="AN763" s="49"/>
      <c r="AO763" s="49"/>
      <c r="AP763" s="49"/>
      <c r="AQ763" s="49"/>
      <c r="AR763" s="49"/>
      <c r="AS763" s="49"/>
      <c r="AT763" s="49"/>
    </row>
    <row r="764" spans="1:109">
      <c r="A764" s="1">
        <f t="shared" si="136"/>
        <v>1100.0999999999999</v>
      </c>
      <c r="B764" s="1" t="str">
        <f t="shared" si="137"/>
        <v>KTA50G3</v>
      </c>
      <c r="C764" s="1">
        <f t="shared" si="138"/>
        <v>1250</v>
      </c>
      <c r="D764" s="200">
        <v>1850</v>
      </c>
      <c r="E764" s="200">
        <v>293</v>
      </c>
      <c r="F764" s="200">
        <v>528</v>
      </c>
      <c r="G764" s="200">
        <v>175</v>
      </c>
      <c r="H764" s="200">
        <v>232</v>
      </c>
      <c r="I764" s="200">
        <v>9300</v>
      </c>
      <c r="Z764" s="49"/>
      <c r="AA764" s="49">
        <v>1100.0999999999999</v>
      </c>
      <c r="AB764" s="49" t="s">
        <v>667</v>
      </c>
      <c r="AC764" s="49">
        <v>1250</v>
      </c>
      <c r="AD764" s="49"/>
      <c r="AE764" s="49"/>
      <c r="AF764" s="49"/>
      <c r="AG764" s="49">
        <f t="shared" si="133"/>
        <v>1100.0999999999999</v>
      </c>
      <c r="AH764" s="49" t="str">
        <f t="shared" si="134"/>
        <v>KTA50G3</v>
      </c>
      <c r="AI764" s="49">
        <f t="shared" si="135"/>
        <v>1250</v>
      </c>
      <c r="AJ764" s="49"/>
      <c r="AK764" s="49"/>
      <c r="AL764" s="49"/>
      <c r="AM764" s="49"/>
      <c r="AN764" s="49"/>
      <c r="AO764" s="49"/>
      <c r="AP764" s="49"/>
      <c r="AQ764" s="49"/>
      <c r="AR764" s="49"/>
      <c r="AS764" s="49"/>
      <c r="AT764" s="49"/>
    </row>
    <row r="765" spans="1:109">
      <c r="A765" s="1">
        <f t="shared" si="136"/>
        <v>1250.0999999999999</v>
      </c>
      <c r="B765" s="1" t="str">
        <f t="shared" si="137"/>
        <v>KTA50G9</v>
      </c>
      <c r="C765" s="1">
        <f t="shared" si="138"/>
        <v>1500</v>
      </c>
      <c r="D765" s="200">
        <v>2220</v>
      </c>
      <c r="E765" s="200">
        <v>392</v>
      </c>
      <c r="F765" s="200">
        <v>595</v>
      </c>
      <c r="G765" s="200">
        <v>200</v>
      </c>
      <c r="H765" s="200">
        <v>242</v>
      </c>
      <c r="I765" s="200">
        <v>9650</v>
      </c>
      <c r="Z765" s="49"/>
      <c r="AA765" s="49">
        <v>1250.0999999999999</v>
      </c>
      <c r="AB765" s="49" t="s">
        <v>668</v>
      </c>
      <c r="AC765" s="49">
        <v>1500</v>
      </c>
      <c r="AD765" s="49"/>
      <c r="AE765" s="49"/>
      <c r="AF765" s="49"/>
      <c r="AG765" s="49">
        <f t="shared" si="133"/>
        <v>1250.0999999999999</v>
      </c>
      <c r="AH765" s="49" t="str">
        <f t="shared" si="134"/>
        <v>KTA50G9</v>
      </c>
      <c r="AI765" s="49">
        <f t="shared" si="135"/>
        <v>1500</v>
      </c>
      <c r="AJ765" s="49"/>
      <c r="AK765" s="49"/>
      <c r="AL765" s="49"/>
      <c r="AM765" s="49"/>
      <c r="AN765" s="49"/>
      <c r="AO765" s="49"/>
      <c r="AP765" s="49"/>
      <c r="AQ765" s="49"/>
      <c r="AR765" s="49"/>
      <c r="AS765" s="49"/>
      <c r="AT765" s="49"/>
      <c r="DE765" s="1" t="s">
        <v>669</v>
      </c>
    </row>
    <row r="766" spans="1:109">
      <c r="A766" s="1">
        <f t="shared" si="136"/>
        <v>1500.1</v>
      </c>
      <c r="B766" s="1" t="str">
        <f t="shared" si="137"/>
        <v>QSK60G5</v>
      </c>
      <c r="C766" s="1">
        <f t="shared" si="138"/>
        <v>1750</v>
      </c>
      <c r="D766" s="200">
        <v>2547</v>
      </c>
      <c r="E766" s="200">
        <v>447</v>
      </c>
      <c r="F766" s="200">
        <v>600</v>
      </c>
      <c r="G766" s="200">
        <v>249</v>
      </c>
      <c r="H766" s="200">
        <v>321</v>
      </c>
      <c r="I766" s="201">
        <v>14624</v>
      </c>
      <c r="Z766" s="49"/>
      <c r="AA766" s="49">
        <v>1500.1</v>
      </c>
      <c r="AB766" s="49" t="s">
        <v>670</v>
      </c>
      <c r="AC766" s="49">
        <v>1750</v>
      </c>
      <c r="AD766" s="49"/>
      <c r="AE766" s="49"/>
      <c r="AF766" s="49"/>
      <c r="AG766" s="49">
        <f t="shared" si="133"/>
        <v>1500.1</v>
      </c>
      <c r="AH766" s="49" t="str">
        <f t="shared" si="134"/>
        <v>QSK60G5</v>
      </c>
      <c r="AI766" s="49">
        <f t="shared" si="135"/>
        <v>1750</v>
      </c>
      <c r="AJ766" s="49"/>
      <c r="AK766" s="49"/>
      <c r="AL766" s="49"/>
      <c r="AM766" s="49"/>
      <c r="AN766" s="49"/>
      <c r="AO766" s="49"/>
      <c r="AP766" s="49"/>
      <c r="AQ766" s="49"/>
      <c r="AR766" s="49"/>
      <c r="AS766" s="49"/>
      <c r="AT766" s="49"/>
      <c r="DE766" s="1" t="s">
        <v>669</v>
      </c>
    </row>
    <row r="767" spans="1:109">
      <c r="A767" s="1">
        <f t="shared" si="136"/>
        <v>1750.1</v>
      </c>
      <c r="B767" s="1" t="str">
        <f t="shared" si="137"/>
        <v>QSK60G6</v>
      </c>
      <c r="C767" s="1">
        <f t="shared" si="138"/>
        <v>2000</v>
      </c>
      <c r="D767" s="200">
        <v>2922</v>
      </c>
      <c r="E767" s="200">
        <v>521</v>
      </c>
      <c r="F767" s="200">
        <v>600</v>
      </c>
      <c r="G767" s="200">
        <v>249</v>
      </c>
      <c r="H767" s="200">
        <v>321</v>
      </c>
      <c r="I767" s="201">
        <v>14624</v>
      </c>
      <c r="Z767" s="49"/>
      <c r="AA767" s="49">
        <v>1750.1</v>
      </c>
      <c r="AB767" s="49" t="s">
        <v>671</v>
      </c>
      <c r="AC767" s="49">
        <v>2000</v>
      </c>
      <c r="AD767" s="49"/>
      <c r="AE767" s="49"/>
      <c r="AF767" s="49"/>
      <c r="AG767" s="49">
        <f t="shared" si="133"/>
        <v>1750.1</v>
      </c>
      <c r="AH767" s="49" t="str">
        <f t="shared" si="134"/>
        <v>QSK60G6</v>
      </c>
      <c r="AI767" s="49">
        <f t="shared" si="135"/>
        <v>2000</v>
      </c>
      <c r="AJ767" s="49"/>
      <c r="AK767" s="49"/>
      <c r="AL767" s="49"/>
      <c r="AM767" s="49"/>
      <c r="AN767" s="49"/>
      <c r="AO767" s="49"/>
      <c r="AP767" s="49"/>
      <c r="AQ767" s="49"/>
      <c r="AR767" s="49"/>
      <c r="AS767" s="49"/>
      <c r="AT767" s="49"/>
      <c r="DE767" s="16" t="s">
        <v>669</v>
      </c>
    </row>
    <row r="768" spans="1:109">
      <c r="Z768" s="49"/>
      <c r="AA768" s="49">
        <v>0</v>
      </c>
      <c r="AB768" s="49">
        <v>0</v>
      </c>
      <c r="AC768" s="49">
        <v>0</v>
      </c>
      <c r="AD768" s="49"/>
      <c r="AE768" s="49"/>
      <c r="AF768" s="49"/>
      <c r="AG768" s="49">
        <f t="shared" si="133"/>
        <v>0</v>
      </c>
      <c r="AH768" s="49">
        <f t="shared" si="134"/>
        <v>0</v>
      </c>
      <c r="AI768" s="49">
        <f t="shared" si="135"/>
        <v>0</v>
      </c>
      <c r="AJ768" s="49"/>
      <c r="AK768" s="49"/>
      <c r="AL768" s="49"/>
      <c r="AM768" s="49"/>
      <c r="AN768" s="49"/>
      <c r="AO768" s="49"/>
      <c r="AP768" s="49"/>
      <c r="AQ768" s="49"/>
      <c r="AR768" s="49"/>
      <c r="AS768" s="49"/>
      <c r="AT768" s="49"/>
    </row>
    <row r="769" spans="2:46">
      <c r="Z769" s="49"/>
      <c r="AA769" s="49">
        <v>0</v>
      </c>
      <c r="AB769" s="49">
        <v>0</v>
      </c>
      <c r="AC769" s="49">
        <v>0</v>
      </c>
      <c r="AD769" s="49"/>
      <c r="AE769" s="49"/>
      <c r="AF769" s="49"/>
      <c r="AG769" s="49">
        <f t="shared" si="133"/>
        <v>0</v>
      </c>
      <c r="AH769" s="49">
        <f t="shared" si="134"/>
        <v>0</v>
      </c>
      <c r="AI769" s="49">
        <f t="shared" si="135"/>
        <v>0</v>
      </c>
      <c r="AJ769" s="49"/>
      <c r="AK769" s="49"/>
      <c r="AL769" s="49"/>
      <c r="AM769" s="49"/>
      <c r="AN769" s="49"/>
      <c r="AO769" s="49"/>
      <c r="AP769" s="49"/>
      <c r="AQ769" s="49"/>
      <c r="AR769" s="49"/>
      <c r="AS769" s="49"/>
      <c r="AT769" s="49"/>
    </row>
    <row r="770" spans="2:46">
      <c r="Z770" s="49"/>
      <c r="AA770" s="49">
        <v>0</v>
      </c>
      <c r="AB770" s="49">
        <v>0</v>
      </c>
      <c r="AC770" s="49">
        <v>0</v>
      </c>
      <c r="AD770" s="49"/>
      <c r="AE770" s="49"/>
      <c r="AF770" s="49"/>
      <c r="AG770" s="49">
        <f t="shared" si="133"/>
        <v>0</v>
      </c>
      <c r="AH770" s="49">
        <f t="shared" si="134"/>
        <v>0</v>
      </c>
      <c r="AI770" s="49">
        <f t="shared" si="135"/>
        <v>0</v>
      </c>
      <c r="AJ770" s="49"/>
      <c r="AK770" s="49"/>
      <c r="AL770" s="49"/>
      <c r="AM770" s="49"/>
      <c r="AN770" s="49"/>
      <c r="AO770" s="49"/>
      <c r="AP770" s="49"/>
      <c r="AQ770" s="49"/>
      <c r="AR770" s="49"/>
      <c r="AS770" s="49"/>
      <c r="AT770" s="49"/>
    </row>
    <row r="771" spans="2:46" s="15" customFormat="1">
      <c r="Z771" s="202"/>
      <c r="AA771" s="202"/>
      <c r="AB771" s="202"/>
      <c r="AC771" s="202"/>
      <c r="AD771" s="202"/>
      <c r="AE771" s="202"/>
      <c r="AF771" s="202"/>
      <c r="AG771" s="202"/>
      <c r="AH771" s="202"/>
      <c r="AI771" s="202"/>
      <c r="AJ771" s="202"/>
      <c r="AK771" s="202"/>
      <c r="AL771" s="202"/>
      <c r="AM771" s="202"/>
      <c r="AN771" s="202"/>
      <c r="AO771" s="202"/>
      <c r="AP771" s="202"/>
      <c r="AQ771" s="202"/>
      <c r="AR771" s="202"/>
      <c r="AS771" s="202"/>
      <c r="AT771" s="202"/>
    </row>
    <row r="772" spans="2:46" s="94" customFormat="1">
      <c r="D772" s="94" t="s">
        <v>672</v>
      </c>
      <c r="Z772" s="203"/>
      <c r="AA772" s="203"/>
      <c r="AB772" s="203"/>
      <c r="AC772" s="203"/>
      <c r="AD772" s="203"/>
      <c r="AE772" s="203"/>
      <c r="AF772" s="203"/>
      <c r="AG772" s="203"/>
      <c r="AH772" s="203"/>
      <c r="AI772" s="203"/>
      <c r="AJ772" s="203"/>
      <c r="AK772" s="203"/>
      <c r="AL772" s="203"/>
      <c r="AM772" s="203"/>
      <c r="AN772" s="203"/>
      <c r="AO772" s="203"/>
      <c r="AP772" s="203"/>
      <c r="AQ772" s="203"/>
      <c r="AR772" s="203"/>
      <c r="AS772" s="203"/>
      <c r="AT772" s="203"/>
    </row>
    <row r="773" spans="2:46" s="94" customFormat="1">
      <c r="Z773" s="203"/>
      <c r="AA773" s="203"/>
      <c r="AB773" s="203"/>
      <c r="AC773" s="203"/>
      <c r="AD773" s="203"/>
      <c r="AE773" s="203"/>
      <c r="AF773" s="203"/>
      <c r="AG773" s="203"/>
      <c r="AH773" s="203"/>
      <c r="AI773" s="203"/>
      <c r="AJ773" s="203"/>
      <c r="AK773" s="203"/>
      <c r="AL773" s="203"/>
      <c r="AM773" s="203"/>
      <c r="AN773" s="203"/>
      <c r="AO773" s="203"/>
      <c r="AP773" s="203"/>
      <c r="AQ773" s="203"/>
      <c r="AR773" s="203"/>
      <c r="AS773" s="203"/>
      <c r="AT773" s="203"/>
    </row>
    <row r="774" spans="2:46">
      <c r="B774" s="1">
        <v>0</v>
      </c>
      <c r="C774" s="1" t="s">
        <v>501</v>
      </c>
      <c r="D774" s="1">
        <v>16</v>
      </c>
      <c r="E774" s="1">
        <v>78</v>
      </c>
      <c r="Z774" s="49"/>
      <c r="AA774" s="49"/>
      <c r="AB774" s="49"/>
      <c r="AC774" s="49"/>
      <c r="AD774" s="49"/>
      <c r="AE774" s="49"/>
      <c r="AF774" s="49"/>
      <c r="AG774" s="49"/>
      <c r="AH774" s="49"/>
      <c r="AI774" s="49"/>
      <c r="AJ774" s="49"/>
      <c r="AK774" s="49"/>
      <c r="AL774" s="49"/>
      <c r="AM774" s="49"/>
      <c r="AN774" s="49"/>
      <c r="AO774" s="49"/>
      <c r="AP774" s="49"/>
      <c r="AQ774" s="49"/>
      <c r="AR774" s="49"/>
      <c r="AS774" s="49"/>
      <c r="AT774" s="49"/>
    </row>
    <row r="775" spans="2:46">
      <c r="B775" s="1">
        <v>78.099999999999994</v>
      </c>
      <c r="C775" s="1" t="s">
        <v>508</v>
      </c>
      <c r="D775" s="1">
        <v>21</v>
      </c>
      <c r="E775" s="1">
        <v>137</v>
      </c>
      <c r="Z775" s="49"/>
      <c r="AA775" s="49"/>
      <c r="AB775" s="49"/>
      <c r="AC775" s="49"/>
      <c r="AD775" s="49"/>
      <c r="AE775" s="49"/>
      <c r="AF775" s="49"/>
      <c r="AG775" s="49"/>
      <c r="AH775" s="49"/>
      <c r="AI775" s="49"/>
      <c r="AJ775" s="49"/>
      <c r="AK775" s="49"/>
      <c r="AL775" s="49"/>
      <c r="AM775" s="49"/>
      <c r="AN775" s="49"/>
      <c r="AO775" s="49"/>
      <c r="AP775" s="49"/>
      <c r="AQ775" s="49"/>
      <c r="AR775" s="49"/>
      <c r="AS775" s="49"/>
      <c r="AT775" s="49"/>
    </row>
    <row r="776" spans="2:46">
      <c r="B776" s="1">
        <v>137.1</v>
      </c>
      <c r="C776" s="1" t="s">
        <v>514</v>
      </c>
      <c r="D776" s="1">
        <v>27</v>
      </c>
      <c r="E776" s="1">
        <v>222</v>
      </c>
      <c r="Z776" s="49"/>
      <c r="AA776" s="49"/>
      <c r="AB776" s="49"/>
      <c r="AC776" s="49"/>
      <c r="AD776" s="49"/>
      <c r="AE776" s="49"/>
      <c r="AF776" s="49"/>
      <c r="AG776" s="49"/>
      <c r="AH776" s="49"/>
      <c r="AI776" s="49"/>
      <c r="AJ776" s="49"/>
      <c r="AK776" s="49"/>
      <c r="AL776" s="49"/>
      <c r="AM776" s="49"/>
      <c r="AN776" s="49"/>
      <c r="AO776" s="49"/>
      <c r="AP776" s="49"/>
      <c r="AQ776" s="49"/>
      <c r="AR776" s="49"/>
      <c r="AS776" s="49"/>
      <c r="AT776" s="49"/>
    </row>
    <row r="777" spans="2:46">
      <c r="B777" s="1">
        <v>222.1</v>
      </c>
      <c r="C777" s="1" t="s">
        <v>520</v>
      </c>
      <c r="D777" s="1">
        <v>35</v>
      </c>
      <c r="E777" s="1">
        <v>387</v>
      </c>
      <c r="Z777" s="49"/>
      <c r="AA777" s="49"/>
      <c r="AB777" s="49"/>
      <c r="AC777" s="49"/>
      <c r="AD777" s="49"/>
      <c r="AE777" s="49"/>
      <c r="AF777" s="49"/>
      <c r="AG777" s="49"/>
      <c r="AH777" s="49"/>
      <c r="AI777" s="49"/>
      <c r="AJ777" s="49"/>
      <c r="AK777" s="49"/>
      <c r="AL777" s="49"/>
      <c r="AM777" s="49"/>
      <c r="AN777" s="49"/>
      <c r="AO777" s="49"/>
      <c r="AP777" s="49"/>
      <c r="AQ777" s="49"/>
      <c r="AR777" s="49"/>
      <c r="AS777" s="49"/>
      <c r="AT777" s="49"/>
    </row>
    <row r="778" spans="2:46">
      <c r="B778" s="1">
        <v>387.1</v>
      </c>
      <c r="C778" s="1" t="s">
        <v>524</v>
      </c>
      <c r="D778" s="1">
        <v>41</v>
      </c>
      <c r="E778" s="1">
        <v>526</v>
      </c>
      <c r="Z778" s="49"/>
      <c r="AA778" s="49"/>
      <c r="AB778" s="49"/>
      <c r="AC778" s="49"/>
      <c r="AD778" s="49"/>
      <c r="AE778" s="49"/>
      <c r="AF778" s="49"/>
      <c r="AG778" s="49"/>
      <c r="AH778" s="49"/>
      <c r="AI778" s="49"/>
      <c r="AJ778" s="49"/>
      <c r="AK778" s="49"/>
      <c r="AL778" s="49"/>
      <c r="AM778" s="49"/>
      <c r="AN778" s="49"/>
      <c r="AO778" s="49"/>
      <c r="AP778" s="49"/>
      <c r="AQ778" s="49"/>
      <c r="AR778" s="49"/>
      <c r="AS778" s="49"/>
      <c r="AT778" s="49"/>
    </row>
    <row r="779" spans="2:46">
      <c r="B779" s="1">
        <v>526.1</v>
      </c>
      <c r="C779" s="1" t="s">
        <v>528</v>
      </c>
      <c r="D779" s="1">
        <v>53</v>
      </c>
      <c r="E779" s="1">
        <v>867</v>
      </c>
      <c r="Z779" s="49"/>
      <c r="AA779" s="49"/>
      <c r="AB779" s="49"/>
      <c r="AC779" s="49"/>
      <c r="AD779" s="49"/>
      <c r="AE779" s="49"/>
      <c r="AF779" s="49"/>
      <c r="AG779" s="49"/>
      <c r="AH779" s="49"/>
      <c r="AI779" s="49"/>
      <c r="AJ779" s="49"/>
      <c r="AK779" s="49"/>
      <c r="AL779" s="49"/>
      <c r="AM779" s="49"/>
      <c r="AN779" s="49"/>
      <c r="AO779" s="49"/>
      <c r="AP779" s="49"/>
      <c r="AQ779" s="49"/>
      <c r="AR779" s="49"/>
      <c r="AS779" s="49"/>
      <c r="AT779" s="49"/>
    </row>
    <row r="780" spans="2:46">
      <c r="B780" s="1">
        <v>867.1</v>
      </c>
      <c r="C780" s="1" t="s">
        <v>532</v>
      </c>
      <c r="D780" s="1">
        <v>63</v>
      </c>
      <c r="E780" s="1">
        <v>1236</v>
      </c>
      <c r="Z780" s="49"/>
      <c r="AA780" s="49"/>
      <c r="AB780" s="49"/>
      <c r="AC780" s="49"/>
      <c r="AD780" s="49"/>
      <c r="AE780" s="49"/>
      <c r="AF780" s="49"/>
      <c r="AG780" s="49"/>
      <c r="AH780" s="49"/>
      <c r="AI780" s="49"/>
      <c r="AJ780" s="49"/>
      <c r="AK780" s="49"/>
      <c r="AL780" s="49"/>
      <c r="AM780" s="49"/>
      <c r="AN780" s="49"/>
      <c r="AO780" s="49"/>
      <c r="AP780" s="49"/>
      <c r="AQ780" s="49"/>
      <c r="AR780" s="49"/>
      <c r="AS780" s="49"/>
      <c r="AT780" s="49"/>
    </row>
    <row r="781" spans="2:46">
      <c r="B781" s="1">
        <v>1236.0999999999999</v>
      </c>
      <c r="C781" s="1" t="s">
        <v>535</v>
      </c>
      <c r="D781" s="1">
        <v>78</v>
      </c>
      <c r="E781" s="1">
        <v>1904</v>
      </c>
      <c r="Z781" s="49"/>
      <c r="AA781" s="49"/>
      <c r="AB781" s="49"/>
      <c r="AC781" s="49"/>
      <c r="AD781" s="49"/>
      <c r="AE781" s="49"/>
      <c r="AF781" s="49"/>
      <c r="AG781" s="49"/>
      <c r="AH781" s="49"/>
      <c r="AI781" s="49"/>
      <c r="AJ781" s="49"/>
      <c r="AK781" s="49"/>
      <c r="AL781" s="49"/>
      <c r="AM781" s="49"/>
      <c r="AN781" s="49"/>
      <c r="AO781" s="49"/>
      <c r="AP781" s="49"/>
      <c r="AQ781" s="49"/>
      <c r="AR781" s="49"/>
      <c r="AS781" s="49"/>
      <c r="AT781" s="49"/>
    </row>
    <row r="782" spans="2:46">
      <c r="B782" s="1">
        <v>1904.1</v>
      </c>
      <c r="C782" s="1" t="s">
        <v>539</v>
      </c>
      <c r="D782" s="1">
        <v>103</v>
      </c>
      <c r="E782" s="1">
        <v>3282</v>
      </c>
      <c r="Z782" s="49"/>
      <c r="AA782" s="49"/>
      <c r="AB782" s="49"/>
      <c r="AC782" s="49"/>
      <c r="AD782" s="49"/>
      <c r="AE782" s="49"/>
      <c r="AF782" s="49"/>
      <c r="AG782" s="49"/>
      <c r="AH782" s="49"/>
      <c r="AI782" s="49"/>
      <c r="AJ782" s="49"/>
      <c r="AK782" s="49"/>
      <c r="AL782" s="49"/>
      <c r="AM782" s="49"/>
      <c r="AN782" s="49"/>
      <c r="AO782" s="49"/>
      <c r="AP782" s="49"/>
      <c r="AQ782" s="49"/>
      <c r="AR782" s="49"/>
      <c r="AS782" s="49"/>
      <c r="AT782" s="49"/>
    </row>
    <row r="786" spans="1:46" s="12" customFormat="1">
      <c r="A786" s="12" t="s">
        <v>673</v>
      </c>
      <c r="Z786" s="204"/>
      <c r="AA786" s="204"/>
      <c r="AB786" s="204"/>
      <c r="AC786" s="204"/>
      <c r="AD786" s="204"/>
      <c r="AE786" s="204"/>
      <c r="AF786" s="204"/>
      <c r="AG786" s="204"/>
      <c r="AH786" s="204"/>
      <c r="AI786" s="204"/>
      <c r="AJ786" s="204"/>
      <c r="AK786" s="204"/>
      <c r="AL786" s="204"/>
      <c r="AM786" s="204"/>
      <c r="AN786" s="204"/>
      <c r="AO786" s="204"/>
      <c r="AP786" s="204"/>
      <c r="AQ786" s="204"/>
      <c r="AR786" s="204"/>
      <c r="AS786" s="204"/>
      <c r="AT786" s="204"/>
    </row>
    <row r="787" spans="1:46" s="12" customFormat="1">
      <c r="Z787" s="204"/>
      <c r="AA787" s="204"/>
      <c r="AB787" s="204"/>
      <c r="AC787" s="204"/>
      <c r="AD787" s="204"/>
      <c r="AE787" s="204"/>
      <c r="AF787" s="204"/>
      <c r="AG787" s="204"/>
      <c r="AH787" s="204"/>
      <c r="AI787" s="204"/>
      <c r="AJ787" s="204"/>
      <c r="AK787" s="204"/>
      <c r="AL787" s="204"/>
      <c r="AM787" s="204"/>
      <c r="AN787" s="204"/>
      <c r="AO787" s="204"/>
      <c r="AP787" s="204"/>
      <c r="AQ787" s="204"/>
      <c r="AR787" s="204"/>
      <c r="AS787" s="204"/>
      <c r="AT787" s="204"/>
    </row>
    <row r="789" spans="1:46">
      <c r="A789" s="1" t="s">
        <v>571</v>
      </c>
      <c r="H789" s="49" t="s">
        <v>674</v>
      </c>
      <c r="M789" s="49" t="s">
        <v>675</v>
      </c>
      <c r="Z789" s="49"/>
      <c r="AA789" s="49"/>
      <c r="AB789" s="49"/>
      <c r="AC789" s="49"/>
      <c r="AD789" s="49"/>
      <c r="AE789" s="49"/>
      <c r="AF789" s="49"/>
      <c r="AG789" s="49"/>
      <c r="AH789" s="49"/>
      <c r="AI789" s="49"/>
      <c r="AJ789" s="49"/>
      <c r="AK789" s="49"/>
      <c r="AL789" s="49"/>
      <c r="AM789" s="49"/>
      <c r="AN789" s="49"/>
      <c r="AO789" s="49"/>
      <c r="AP789" s="49"/>
      <c r="AQ789" s="49"/>
      <c r="AR789" s="49"/>
      <c r="AS789" s="49"/>
      <c r="AT789" s="49"/>
    </row>
    <row r="791" spans="1:46">
      <c r="A791" s="1">
        <f>IF(TABLERO!$M$18="REG",' '!M791,H791)</f>
        <v>0</v>
      </c>
      <c r="B791" s="1">
        <f>IF(TABLERO!$M$18="REG",' '!N791,I791)</f>
        <v>3</v>
      </c>
      <c r="C791" s="1">
        <v>0</v>
      </c>
      <c r="D791" s="1">
        <f>B791+0.1</f>
        <v>3.1</v>
      </c>
      <c r="H791" s="1">
        <v>0</v>
      </c>
      <c r="I791" s="1">
        <v>3</v>
      </c>
      <c r="J791" s="1">
        <v>0</v>
      </c>
      <c r="K791" s="1">
        <f>I791+0.1</f>
        <v>3.1</v>
      </c>
      <c r="M791" s="1">
        <v>0</v>
      </c>
      <c r="N791" s="1">
        <v>3</v>
      </c>
      <c r="Z791" s="49"/>
      <c r="AA791" s="49"/>
      <c r="AB791" s="49"/>
      <c r="AC791" s="49"/>
      <c r="AD791" s="49"/>
      <c r="AE791" s="49"/>
      <c r="AF791" s="49"/>
      <c r="AG791" s="49"/>
      <c r="AH791" s="49"/>
      <c r="AI791" s="49"/>
      <c r="AJ791" s="49"/>
      <c r="AK791" s="49"/>
      <c r="AL791" s="49"/>
      <c r="AM791" s="49"/>
      <c r="AN791" s="49"/>
      <c r="AO791" s="49"/>
      <c r="AP791" s="49"/>
      <c r="AQ791" s="49"/>
      <c r="AR791" s="49"/>
      <c r="AS791" s="49"/>
      <c r="AT791" s="49"/>
    </row>
    <row r="792" spans="1:46">
      <c r="A792" s="1">
        <f>IF(TABLERO!$M$18="REG",' '!M792,H792)</f>
        <v>3.1</v>
      </c>
      <c r="B792" s="1">
        <f>IF(TABLERO!$M$18="REG",' '!N792,I792)</f>
        <v>5</v>
      </c>
      <c r="C792" s="1">
        <v>0</v>
      </c>
      <c r="D792" s="1">
        <f t="shared" ref="D792:D823" si="139">B792+0.1</f>
        <v>5.0999999999999996</v>
      </c>
      <c r="H792" s="1">
        <v>3.1</v>
      </c>
      <c r="I792" s="1">
        <v>5</v>
      </c>
      <c r="J792" s="1">
        <v>0</v>
      </c>
      <c r="K792" s="1">
        <f t="shared" ref="K792:K823" si="140">I792+0.1</f>
        <v>5.0999999999999996</v>
      </c>
      <c r="M792" s="1">
        <f>N791+0.1</f>
        <v>3.1</v>
      </c>
      <c r="N792" s="1">
        <v>6</v>
      </c>
      <c r="Z792" s="49"/>
      <c r="AA792" s="49"/>
      <c r="AB792" s="49"/>
      <c r="AC792" s="49"/>
      <c r="AD792" s="49"/>
      <c r="AE792" s="49"/>
      <c r="AF792" s="49"/>
      <c r="AG792" s="49"/>
      <c r="AH792" s="49"/>
      <c r="AI792" s="49"/>
      <c r="AJ792" s="49"/>
      <c r="AK792" s="49"/>
      <c r="AL792" s="49"/>
      <c r="AM792" s="49"/>
      <c r="AN792" s="49"/>
      <c r="AO792" s="49"/>
      <c r="AP792" s="49"/>
      <c r="AQ792" s="49"/>
      <c r="AR792" s="49"/>
      <c r="AS792" s="49"/>
      <c r="AT792" s="49"/>
    </row>
    <row r="793" spans="1:46">
      <c r="A793" s="1">
        <f>IF(TABLERO!$M$18="REG",' '!M793,H793)</f>
        <v>5.0999999999999996</v>
      </c>
      <c r="B793" s="1">
        <f>IF(TABLERO!$M$18="REG",' '!N793,I793)</f>
        <v>7</v>
      </c>
      <c r="C793" s="1">
        <v>0</v>
      </c>
      <c r="D793" s="1">
        <f t="shared" si="139"/>
        <v>7.1</v>
      </c>
      <c r="H793" s="1">
        <v>5.0999999999999996</v>
      </c>
      <c r="I793" s="1">
        <v>7</v>
      </c>
      <c r="J793" s="1">
        <v>0</v>
      </c>
      <c r="K793" s="1">
        <f t="shared" si="140"/>
        <v>7.1</v>
      </c>
      <c r="M793" s="1">
        <f t="shared" ref="M793:M802" si="141">N792+0.1</f>
        <v>6.1</v>
      </c>
      <c r="N793" s="1">
        <v>10</v>
      </c>
      <c r="Z793" s="49"/>
      <c r="AA793" s="49"/>
      <c r="AB793" s="49"/>
      <c r="AC793" s="49"/>
      <c r="AD793" s="49"/>
      <c r="AE793" s="49"/>
      <c r="AF793" s="49"/>
      <c r="AG793" s="49"/>
      <c r="AH793" s="49"/>
      <c r="AI793" s="49"/>
      <c r="AJ793" s="49"/>
      <c r="AK793" s="49"/>
      <c r="AL793" s="49"/>
      <c r="AM793" s="49"/>
      <c r="AN793" s="49"/>
      <c r="AO793" s="49"/>
      <c r="AP793" s="49"/>
      <c r="AQ793" s="49"/>
      <c r="AR793" s="49"/>
      <c r="AS793" s="49"/>
      <c r="AT793" s="49"/>
    </row>
    <row r="794" spans="1:46">
      <c r="A794" s="1">
        <f>IF(TABLERO!$M$18="REG",' '!M794,H794)</f>
        <v>7.1</v>
      </c>
      <c r="B794" s="1">
        <f>IF(TABLERO!$M$18="REG",' '!N794,I794)</f>
        <v>10</v>
      </c>
      <c r="C794" s="1">
        <v>0</v>
      </c>
      <c r="D794" s="1">
        <f t="shared" si="139"/>
        <v>10.1</v>
      </c>
      <c r="H794" s="1">
        <v>7.1</v>
      </c>
      <c r="I794" s="1">
        <v>10</v>
      </c>
      <c r="J794" s="1">
        <v>0</v>
      </c>
      <c r="K794" s="1">
        <f t="shared" si="140"/>
        <v>10.1</v>
      </c>
      <c r="M794" s="1">
        <f t="shared" si="141"/>
        <v>10.1</v>
      </c>
      <c r="N794" s="1">
        <v>15</v>
      </c>
      <c r="Z794" s="49"/>
      <c r="AA794" s="49"/>
      <c r="AB794" s="49"/>
      <c r="AC794" s="49"/>
      <c r="AD794" s="49"/>
      <c r="AE794" s="49"/>
      <c r="AF794" s="49"/>
      <c r="AG794" s="49"/>
      <c r="AH794" s="49"/>
      <c r="AI794" s="49"/>
      <c r="AJ794" s="49"/>
      <c r="AK794" s="49"/>
      <c r="AL794" s="49"/>
      <c r="AM794" s="49"/>
      <c r="AN794" s="49"/>
      <c r="AO794" s="49"/>
      <c r="AP794" s="49"/>
      <c r="AQ794" s="49"/>
      <c r="AR794" s="49"/>
      <c r="AS794" s="49"/>
      <c r="AT794" s="49"/>
    </row>
    <row r="795" spans="1:46">
      <c r="A795" s="1">
        <f>IF(TABLERO!$M$18="REG",' '!M795,H795)</f>
        <v>10.1</v>
      </c>
      <c r="B795" s="1">
        <f>IF(TABLERO!$M$18="REG",' '!N795,I795)</f>
        <v>12</v>
      </c>
      <c r="C795" s="1">
        <v>0</v>
      </c>
      <c r="D795" s="1">
        <f t="shared" si="139"/>
        <v>12.1</v>
      </c>
      <c r="H795" s="1">
        <v>10.1</v>
      </c>
      <c r="I795" s="1">
        <v>12</v>
      </c>
      <c r="J795" s="1">
        <v>0</v>
      </c>
      <c r="K795" s="1">
        <f t="shared" si="140"/>
        <v>12.1</v>
      </c>
      <c r="M795" s="1">
        <f t="shared" si="141"/>
        <v>15.1</v>
      </c>
      <c r="N795" s="1">
        <v>24</v>
      </c>
      <c r="Z795" s="49"/>
      <c r="AA795" s="49"/>
      <c r="AB795" s="49"/>
      <c r="AC795" s="49"/>
      <c r="AD795" s="49"/>
      <c r="AE795" s="49"/>
      <c r="AF795" s="49"/>
      <c r="AG795" s="49"/>
      <c r="AH795" s="49"/>
      <c r="AI795" s="49"/>
      <c r="AJ795" s="49"/>
      <c r="AK795" s="49"/>
      <c r="AL795" s="49"/>
      <c r="AM795" s="49"/>
      <c r="AN795" s="49"/>
      <c r="AO795" s="49"/>
      <c r="AP795" s="49"/>
      <c r="AQ795" s="49"/>
      <c r="AR795" s="49"/>
      <c r="AS795" s="49"/>
      <c r="AT795" s="49"/>
    </row>
    <row r="796" spans="1:46">
      <c r="A796" s="1">
        <f>IF(TABLERO!$M$18="REG",' '!M796,H796)</f>
        <v>12.1</v>
      </c>
      <c r="B796" s="1">
        <f>IF(TABLERO!$M$18="REG",' '!N796,I796)</f>
        <v>15</v>
      </c>
      <c r="C796" s="1">
        <v>0</v>
      </c>
      <c r="D796" s="1">
        <f t="shared" si="139"/>
        <v>15.1</v>
      </c>
      <c r="H796" s="1">
        <v>12.1</v>
      </c>
      <c r="I796" s="1">
        <v>15</v>
      </c>
      <c r="J796" s="1">
        <v>0</v>
      </c>
      <c r="K796" s="1">
        <f t="shared" si="140"/>
        <v>15.1</v>
      </c>
      <c r="M796" s="1">
        <f t="shared" si="141"/>
        <v>24.1</v>
      </c>
      <c r="N796" s="1">
        <v>30</v>
      </c>
      <c r="Z796" s="49"/>
      <c r="AA796" s="49"/>
      <c r="AB796" s="49"/>
      <c r="AC796" s="49"/>
      <c r="AD796" s="49"/>
      <c r="AE796" s="49"/>
      <c r="AF796" s="49"/>
      <c r="AG796" s="49"/>
      <c r="AH796" s="49"/>
      <c r="AI796" s="49"/>
      <c r="AJ796" s="49"/>
      <c r="AK796" s="49"/>
      <c r="AL796" s="49"/>
      <c r="AM796" s="49"/>
      <c r="AN796" s="49"/>
      <c r="AO796" s="49"/>
      <c r="AP796" s="49"/>
      <c r="AQ796" s="49"/>
      <c r="AR796" s="49"/>
      <c r="AS796" s="49"/>
      <c r="AT796" s="49"/>
    </row>
    <row r="797" spans="1:46">
      <c r="A797" s="1">
        <f>IF(TABLERO!$M$18="REG",' '!M797,H797)</f>
        <v>15.1</v>
      </c>
      <c r="B797" s="1">
        <f>IF(TABLERO!$M$18="REG",' '!N797,I797)</f>
        <v>20</v>
      </c>
      <c r="C797" s="1">
        <v>0</v>
      </c>
      <c r="D797" s="1">
        <f t="shared" si="139"/>
        <v>20.100000000000001</v>
      </c>
      <c r="H797" s="1">
        <v>15.1</v>
      </c>
      <c r="I797" s="1">
        <v>20</v>
      </c>
      <c r="J797" s="1">
        <v>0</v>
      </c>
      <c r="K797" s="1">
        <f t="shared" si="140"/>
        <v>20.100000000000001</v>
      </c>
      <c r="M797" s="1">
        <f t="shared" si="141"/>
        <v>30.1</v>
      </c>
      <c r="N797" s="1">
        <v>45</v>
      </c>
      <c r="Z797" s="49"/>
      <c r="AA797" s="49"/>
      <c r="AB797" s="49"/>
      <c r="AC797" s="49"/>
      <c r="AD797" s="49"/>
      <c r="AE797" s="49"/>
      <c r="AF797" s="49"/>
      <c r="AG797" s="49"/>
      <c r="AH797" s="49"/>
      <c r="AI797" s="49"/>
      <c r="AJ797" s="49"/>
      <c r="AK797" s="49"/>
      <c r="AL797" s="49"/>
      <c r="AM797" s="49"/>
      <c r="AN797" s="49"/>
      <c r="AO797" s="49"/>
      <c r="AP797" s="49"/>
      <c r="AQ797" s="49"/>
      <c r="AR797" s="49"/>
      <c r="AS797" s="49"/>
      <c r="AT797" s="49"/>
    </row>
    <row r="798" spans="1:46">
      <c r="A798" s="1">
        <f>IF(TABLERO!$M$18="REG",' '!M798,H798)</f>
        <v>20.100000000000001</v>
      </c>
      <c r="B798" s="1">
        <f>IF(TABLERO!$M$18="REG",' '!N798,I798)</f>
        <v>25</v>
      </c>
      <c r="C798" s="1">
        <v>0</v>
      </c>
      <c r="D798" s="1">
        <f t="shared" si="139"/>
        <v>25.1</v>
      </c>
      <c r="H798" s="1">
        <v>20.100000000000001</v>
      </c>
      <c r="I798" s="1">
        <v>25</v>
      </c>
      <c r="J798" s="1">
        <v>0</v>
      </c>
      <c r="K798" s="1">
        <f t="shared" si="140"/>
        <v>25.1</v>
      </c>
      <c r="M798" s="1">
        <f t="shared" si="141"/>
        <v>45.1</v>
      </c>
      <c r="N798" s="1">
        <v>60</v>
      </c>
      <c r="Z798" s="49"/>
      <c r="AA798" s="49"/>
      <c r="AB798" s="49"/>
      <c r="AC798" s="49"/>
      <c r="AD798" s="49"/>
      <c r="AE798" s="49"/>
      <c r="AF798" s="49"/>
      <c r="AG798" s="49"/>
      <c r="AH798" s="49"/>
      <c r="AI798" s="49"/>
      <c r="AJ798" s="49"/>
      <c r="AK798" s="49"/>
      <c r="AL798" s="49"/>
      <c r="AM798" s="49"/>
      <c r="AN798" s="49"/>
      <c r="AO798" s="49"/>
      <c r="AP798" s="49"/>
      <c r="AQ798" s="49"/>
      <c r="AR798" s="49"/>
      <c r="AS798" s="49"/>
      <c r="AT798" s="49"/>
    </row>
    <row r="799" spans="1:46">
      <c r="A799" s="1">
        <f>IF(TABLERO!$M$18="REG",' '!M799,H799)</f>
        <v>25.1</v>
      </c>
      <c r="B799" s="1">
        <f>IF(TABLERO!$M$18="REG",' '!N799,I799)</f>
        <v>30</v>
      </c>
      <c r="C799" s="1">
        <v>0</v>
      </c>
      <c r="D799" s="1">
        <f t="shared" si="139"/>
        <v>30.1</v>
      </c>
      <c r="H799" s="1">
        <v>25.1</v>
      </c>
      <c r="I799" s="1">
        <v>30</v>
      </c>
      <c r="J799" s="1">
        <v>0</v>
      </c>
      <c r="K799" s="1">
        <f t="shared" si="140"/>
        <v>30.1</v>
      </c>
      <c r="M799" s="1">
        <f t="shared" si="141"/>
        <v>60.1</v>
      </c>
      <c r="N799" s="1">
        <v>80</v>
      </c>
      <c r="Z799" s="49"/>
      <c r="AA799" s="49"/>
      <c r="AB799" s="49"/>
      <c r="AC799" s="49"/>
      <c r="AD799" s="49"/>
      <c r="AE799" s="49"/>
      <c r="AF799" s="49"/>
      <c r="AG799" s="49"/>
      <c r="AH799" s="49"/>
      <c r="AI799" s="49"/>
      <c r="AJ799" s="49"/>
      <c r="AK799" s="49"/>
      <c r="AL799" s="49"/>
      <c r="AM799" s="49"/>
      <c r="AN799" s="49"/>
      <c r="AO799" s="49"/>
      <c r="AP799" s="49"/>
      <c r="AQ799" s="49"/>
      <c r="AR799" s="49"/>
      <c r="AS799" s="49"/>
      <c r="AT799" s="49"/>
    </row>
    <row r="800" spans="1:46">
      <c r="A800" s="1">
        <f>IF(TABLERO!$M$18="REG",' '!M800,H800)</f>
        <v>30.1</v>
      </c>
      <c r="B800" s="1">
        <f>IF(TABLERO!$M$18="REG",' '!N800,I800)</f>
        <v>35</v>
      </c>
      <c r="C800" s="1">
        <v>0</v>
      </c>
      <c r="D800" s="1">
        <f t="shared" si="139"/>
        <v>35.1</v>
      </c>
      <c r="H800" s="1">
        <v>30.1</v>
      </c>
      <c r="I800" s="1">
        <v>35</v>
      </c>
      <c r="J800" s="1">
        <v>0</v>
      </c>
      <c r="K800" s="1">
        <f t="shared" si="140"/>
        <v>35.1</v>
      </c>
      <c r="M800" s="1">
        <f t="shared" si="141"/>
        <v>80.099999999999994</v>
      </c>
      <c r="N800" s="1">
        <v>100</v>
      </c>
      <c r="Z800" s="49"/>
      <c r="AA800" s="49"/>
      <c r="AB800" s="49"/>
      <c r="AC800" s="49"/>
      <c r="AD800" s="49"/>
      <c r="AE800" s="49"/>
      <c r="AF800" s="49"/>
      <c r="AG800" s="49"/>
      <c r="AH800" s="49"/>
      <c r="AI800" s="49"/>
      <c r="AJ800" s="49"/>
      <c r="AK800" s="49"/>
      <c r="AL800" s="49"/>
      <c r="AM800" s="49"/>
      <c r="AN800" s="49"/>
      <c r="AO800" s="49"/>
      <c r="AP800" s="49"/>
      <c r="AQ800" s="49"/>
      <c r="AR800" s="49"/>
      <c r="AS800" s="49"/>
      <c r="AT800" s="49"/>
    </row>
    <row r="801" spans="1:14">
      <c r="A801" s="1">
        <f>IF(TABLERO!$M$18="REG",' '!M801,H801)</f>
        <v>35.1</v>
      </c>
      <c r="B801" s="1">
        <f>IF(TABLERO!$M$18="REG",' '!N801,I801)</f>
        <v>40</v>
      </c>
      <c r="C801" s="1">
        <v>0</v>
      </c>
      <c r="D801" s="1">
        <f t="shared" si="139"/>
        <v>40.1</v>
      </c>
      <c r="H801" s="1">
        <v>35.1</v>
      </c>
      <c r="I801" s="1">
        <v>40</v>
      </c>
      <c r="J801" s="1">
        <v>0</v>
      </c>
      <c r="K801" s="1">
        <f t="shared" si="140"/>
        <v>40.1</v>
      </c>
      <c r="M801" s="1">
        <f t="shared" si="141"/>
        <v>100.1</v>
      </c>
      <c r="N801" s="1">
        <v>120</v>
      </c>
    </row>
    <row r="802" spans="1:14">
      <c r="A802" s="1">
        <f>IF(TABLERO!$M$18="REG",' '!M802,H802)</f>
        <v>40.1</v>
      </c>
      <c r="B802" s="1">
        <f>IF(TABLERO!$M$18="REG",' '!N802,I802)</f>
        <v>50</v>
      </c>
      <c r="C802" s="1">
        <v>0</v>
      </c>
      <c r="D802" s="1">
        <f t="shared" si="139"/>
        <v>50.1</v>
      </c>
      <c r="H802" s="1">
        <v>40.1</v>
      </c>
      <c r="I802" s="1">
        <v>50</v>
      </c>
      <c r="J802" s="1">
        <v>0</v>
      </c>
      <c r="K802" s="1">
        <f t="shared" si="140"/>
        <v>50.1</v>
      </c>
      <c r="M802" s="1">
        <f t="shared" si="141"/>
        <v>120.1</v>
      </c>
      <c r="N802" s="1">
        <v>150</v>
      </c>
    </row>
    <row r="803" spans="1:14">
      <c r="A803" s="1">
        <f>IF(TABLERO!$M$18="REG",' '!M803,H803)</f>
        <v>50.1</v>
      </c>
      <c r="B803" s="1">
        <f>IF(TABLERO!$M$18="REG",' '!N803,I803)</f>
        <v>60</v>
      </c>
      <c r="C803" s="1">
        <v>0</v>
      </c>
      <c r="D803" s="1">
        <f t="shared" si="139"/>
        <v>60.1</v>
      </c>
      <c r="H803" s="1">
        <v>50.1</v>
      </c>
      <c r="I803" s="1">
        <v>60</v>
      </c>
      <c r="J803" s="1">
        <v>0</v>
      </c>
      <c r="K803" s="1">
        <f t="shared" si="140"/>
        <v>60.1</v>
      </c>
      <c r="M803" s="1">
        <v>150.1</v>
      </c>
      <c r="N803" s="49" t="s">
        <v>676</v>
      </c>
    </row>
    <row r="804" spans="1:14">
      <c r="A804" s="1">
        <f>IF(TABLERO!$M$18="REG",' '!M804,H804)</f>
        <v>60.1</v>
      </c>
      <c r="B804" s="1">
        <f>IF(TABLERO!$M$18="REG",' '!N804,I804)</f>
        <v>70</v>
      </c>
      <c r="C804" s="1">
        <v>0</v>
      </c>
      <c r="D804" s="1">
        <f t="shared" si="139"/>
        <v>70.099999999999994</v>
      </c>
      <c r="H804" s="1">
        <v>60.1</v>
      </c>
      <c r="I804" s="1">
        <v>70</v>
      </c>
      <c r="J804" s="1">
        <v>0</v>
      </c>
      <c r="K804" s="1">
        <f t="shared" si="140"/>
        <v>70.099999999999994</v>
      </c>
      <c r="M804" s="1">
        <f>M803+50</f>
        <v>200.1</v>
      </c>
      <c r="N804" s="49" t="s">
        <v>676</v>
      </c>
    </row>
    <row r="805" spans="1:14">
      <c r="A805" s="1">
        <f>IF(TABLERO!$M$18="REG",' '!M805,H805)</f>
        <v>70.099999999999994</v>
      </c>
      <c r="B805" s="1">
        <f>IF(TABLERO!$M$18="REG",' '!N805,I805)</f>
        <v>80</v>
      </c>
      <c r="D805" s="1">
        <f t="shared" si="139"/>
        <v>80.099999999999994</v>
      </c>
      <c r="H805" s="1">
        <v>70.099999999999994</v>
      </c>
      <c r="I805" s="1">
        <v>80</v>
      </c>
      <c r="K805" s="1">
        <f t="shared" si="140"/>
        <v>80.099999999999994</v>
      </c>
      <c r="M805" s="1">
        <f t="shared" ref="M805:M823" si="142">M804+50</f>
        <v>250.1</v>
      </c>
      <c r="N805" s="49" t="s">
        <v>676</v>
      </c>
    </row>
    <row r="806" spans="1:14">
      <c r="A806" s="1">
        <f>IF(TABLERO!$M$18="REG",' '!M806,H806)</f>
        <v>80.099999999999994</v>
      </c>
      <c r="B806" s="1">
        <f>IF(TABLERO!$M$18="REG",' '!N806,I806)</f>
        <v>90</v>
      </c>
      <c r="D806" s="1">
        <f t="shared" si="139"/>
        <v>90.1</v>
      </c>
      <c r="H806" s="1">
        <v>80.099999999999994</v>
      </c>
      <c r="I806" s="1">
        <v>90</v>
      </c>
      <c r="K806" s="1">
        <f t="shared" si="140"/>
        <v>90.1</v>
      </c>
      <c r="M806" s="1">
        <f t="shared" si="142"/>
        <v>300.10000000000002</v>
      </c>
      <c r="N806" s="49" t="s">
        <v>676</v>
      </c>
    </row>
    <row r="807" spans="1:14">
      <c r="A807" s="1">
        <f>IF(TABLERO!$M$18="REG",' '!M807,H807)</f>
        <v>90.1</v>
      </c>
      <c r="B807" s="1">
        <f>IF(TABLERO!$M$18="REG",' '!N807,I807)</f>
        <v>100</v>
      </c>
      <c r="D807" s="1">
        <f t="shared" si="139"/>
        <v>100.1</v>
      </c>
      <c r="H807" s="1">
        <v>90.1</v>
      </c>
      <c r="I807" s="1">
        <v>100</v>
      </c>
      <c r="K807" s="1">
        <f t="shared" si="140"/>
        <v>100.1</v>
      </c>
      <c r="M807" s="1">
        <f t="shared" si="142"/>
        <v>350.1</v>
      </c>
      <c r="N807" s="49" t="s">
        <v>676</v>
      </c>
    </row>
    <row r="808" spans="1:14">
      <c r="A808" s="1">
        <f>IF(TABLERO!$M$18="REG",' '!M808,H808)</f>
        <v>100.1</v>
      </c>
      <c r="B808" s="1">
        <f>IF(TABLERO!$M$18="REG",' '!N808,I808)</f>
        <v>120</v>
      </c>
      <c r="D808" s="1">
        <f t="shared" si="139"/>
        <v>120.1</v>
      </c>
      <c r="H808" s="1">
        <v>100.1</v>
      </c>
      <c r="I808" s="1">
        <v>120</v>
      </c>
      <c r="K808" s="1">
        <f t="shared" si="140"/>
        <v>120.1</v>
      </c>
      <c r="M808" s="1">
        <f t="shared" si="142"/>
        <v>400.1</v>
      </c>
      <c r="N808" s="49" t="s">
        <v>676</v>
      </c>
    </row>
    <row r="809" spans="1:14">
      <c r="A809" s="1">
        <f>IF(TABLERO!$M$18="REG",' '!M809,H809)</f>
        <v>120.1</v>
      </c>
      <c r="B809" s="1">
        <f>IF(TABLERO!$M$18="REG",' '!N809,I809)</f>
        <v>130</v>
      </c>
      <c r="D809" s="1">
        <f t="shared" si="139"/>
        <v>130.1</v>
      </c>
      <c r="H809" s="1">
        <v>120.1</v>
      </c>
      <c r="I809" s="1">
        <v>130</v>
      </c>
      <c r="K809" s="1">
        <f t="shared" si="140"/>
        <v>130.1</v>
      </c>
      <c r="M809" s="1">
        <f t="shared" si="142"/>
        <v>450.1</v>
      </c>
      <c r="N809" s="49" t="s">
        <v>676</v>
      </c>
    </row>
    <row r="810" spans="1:14">
      <c r="A810" s="1">
        <f>IF(TABLERO!$M$18="REG",' '!M810,H810)</f>
        <v>130.1</v>
      </c>
      <c r="B810" s="1">
        <f>IF(TABLERO!$M$18="REG",' '!N810,I810)</f>
        <v>150</v>
      </c>
      <c r="D810" s="1">
        <f t="shared" si="139"/>
        <v>150.1</v>
      </c>
      <c r="H810" s="1">
        <v>130.1</v>
      </c>
      <c r="I810" s="1">
        <v>150</v>
      </c>
      <c r="K810" s="1">
        <f t="shared" si="140"/>
        <v>150.1</v>
      </c>
      <c r="M810" s="1">
        <f t="shared" si="142"/>
        <v>500.1</v>
      </c>
      <c r="N810" s="49" t="s">
        <v>676</v>
      </c>
    </row>
    <row r="811" spans="1:14">
      <c r="A811" s="1">
        <f>IF(TABLERO!$M$18="REG",' '!M811,H811)</f>
        <v>150.1</v>
      </c>
      <c r="B811" s="1">
        <f>IF(TABLERO!$M$18="REG",' '!N811,I811)</f>
        <v>175</v>
      </c>
      <c r="D811" s="1">
        <f t="shared" si="139"/>
        <v>175.1</v>
      </c>
      <c r="H811" s="1">
        <v>150.1</v>
      </c>
      <c r="I811" s="1">
        <v>175</v>
      </c>
      <c r="K811" s="1">
        <f t="shared" si="140"/>
        <v>175.1</v>
      </c>
      <c r="M811" s="1">
        <f t="shared" si="142"/>
        <v>550.1</v>
      </c>
      <c r="N811" s="49" t="s">
        <v>676</v>
      </c>
    </row>
    <row r="812" spans="1:14">
      <c r="A812" s="1">
        <f>IF(TABLERO!$M$18="REG",' '!M812,H812)</f>
        <v>175.1</v>
      </c>
      <c r="B812" s="1">
        <f>IF(TABLERO!$M$18="REG",' '!N812,I812)</f>
        <v>200</v>
      </c>
      <c r="D812" s="1">
        <f t="shared" si="139"/>
        <v>200.1</v>
      </c>
      <c r="H812" s="1">
        <v>175.1</v>
      </c>
      <c r="I812" s="1">
        <v>200</v>
      </c>
      <c r="K812" s="1">
        <f t="shared" si="140"/>
        <v>200.1</v>
      </c>
      <c r="M812" s="1">
        <f t="shared" si="142"/>
        <v>600.1</v>
      </c>
      <c r="N812" s="49" t="s">
        <v>676</v>
      </c>
    </row>
    <row r="813" spans="1:14">
      <c r="A813" s="1">
        <f>IF(TABLERO!$M$18="REG",' '!M813,H813)</f>
        <v>200.1</v>
      </c>
      <c r="B813" s="1">
        <f>IF(TABLERO!$M$18="REG",' '!N813,I813)</f>
        <v>225</v>
      </c>
      <c r="D813" s="1">
        <f t="shared" si="139"/>
        <v>225.1</v>
      </c>
      <c r="H813" s="1">
        <v>200.1</v>
      </c>
      <c r="I813" s="1">
        <v>225</v>
      </c>
      <c r="K813" s="1">
        <f t="shared" si="140"/>
        <v>225.1</v>
      </c>
      <c r="M813" s="1">
        <f t="shared" si="142"/>
        <v>650.1</v>
      </c>
      <c r="N813" s="49" t="s">
        <v>676</v>
      </c>
    </row>
    <row r="814" spans="1:14">
      <c r="A814" s="1">
        <f>IF(TABLERO!$M$18="REG",' '!M814,H814)</f>
        <v>225.1</v>
      </c>
      <c r="B814" s="1">
        <f>IF(TABLERO!$M$18="REG",' '!N814,I814)</f>
        <v>250</v>
      </c>
      <c r="D814" s="1">
        <f t="shared" si="139"/>
        <v>250.1</v>
      </c>
      <c r="H814" s="1">
        <v>225.1</v>
      </c>
      <c r="I814" s="1">
        <v>250</v>
      </c>
      <c r="K814" s="1">
        <f t="shared" si="140"/>
        <v>250.1</v>
      </c>
      <c r="M814" s="1">
        <f t="shared" si="142"/>
        <v>700.1</v>
      </c>
      <c r="N814" s="49" t="s">
        <v>676</v>
      </c>
    </row>
    <row r="815" spans="1:14">
      <c r="A815" s="1">
        <f>IF(TABLERO!$M$18="REG",' '!M815,H815)</f>
        <v>250.1</v>
      </c>
      <c r="B815" s="1">
        <f>IF(TABLERO!$M$18="REG",' '!N815,I815)</f>
        <v>300</v>
      </c>
      <c r="D815" s="1">
        <f t="shared" si="139"/>
        <v>300.10000000000002</v>
      </c>
      <c r="H815" s="1">
        <v>250.1</v>
      </c>
      <c r="I815" s="1">
        <v>300</v>
      </c>
      <c r="K815" s="1">
        <f t="shared" si="140"/>
        <v>300.10000000000002</v>
      </c>
      <c r="M815" s="1">
        <f t="shared" si="142"/>
        <v>750.1</v>
      </c>
      <c r="N815" s="49" t="s">
        <v>676</v>
      </c>
    </row>
    <row r="816" spans="1:14">
      <c r="A816" s="1">
        <f>IF(TABLERO!$M$18="REG",' '!M816,H816)</f>
        <v>300.10000000000002</v>
      </c>
      <c r="B816" s="1">
        <f>IF(TABLERO!$M$18="REG",' '!N816,I816)</f>
        <v>400</v>
      </c>
      <c r="D816" s="1">
        <f t="shared" si="139"/>
        <v>400.1</v>
      </c>
      <c r="H816" s="1">
        <v>300.10000000000002</v>
      </c>
      <c r="I816" s="1">
        <v>400</v>
      </c>
      <c r="K816" s="1">
        <f t="shared" si="140"/>
        <v>400.1</v>
      </c>
      <c r="M816" s="1">
        <f t="shared" si="142"/>
        <v>800.1</v>
      </c>
      <c r="N816" s="49" t="s">
        <v>676</v>
      </c>
    </row>
    <row r="817" spans="1:16">
      <c r="A817" s="1">
        <f>IF(TABLERO!$M$18="REG",' '!M817,H817)</f>
        <v>400.1</v>
      </c>
      <c r="B817" s="1">
        <f>IF(TABLERO!$M$18="REG",' '!N817,I817)</f>
        <v>500</v>
      </c>
      <c r="D817" s="1">
        <f t="shared" si="139"/>
        <v>500.1</v>
      </c>
      <c r="H817" s="1">
        <v>400.1</v>
      </c>
      <c r="I817" s="1">
        <v>500</v>
      </c>
      <c r="K817" s="1">
        <f t="shared" si="140"/>
        <v>500.1</v>
      </c>
      <c r="M817" s="1">
        <f t="shared" si="142"/>
        <v>850.1</v>
      </c>
      <c r="N817" s="49" t="s">
        <v>676</v>
      </c>
    </row>
    <row r="818" spans="1:16">
      <c r="A818" s="1">
        <f>IF(TABLERO!$M$18="REG",' '!M818,H818)</f>
        <v>500.1</v>
      </c>
      <c r="B818" s="1">
        <f>IF(TABLERO!$M$18="REG",' '!N818,I818)</f>
        <v>600</v>
      </c>
      <c r="D818" s="1">
        <f t="shared" si="139"/>
        <v>600.1</v>
      </c>
      <c r="H818" s="1">
        <v>500.1</v>
      </c>
      <c r="I818" s="1">
        <v>600</v>
      </c>
      <c r="K818" s="1">
        <f t="shared" si="140"/>
        <v>600.1</v>
      </c>
      <c r="M818" s="1">
        <f t="shared" si="142"/>
        <v>900.1</v>
      </c>
      <c r="N818" s="49" t="s">
        <v>676</v>
      </c>
    </row>
    <row r="819" spans="1:16">
      <c r="A819" s="1">
        <f>IF(TABLERO!$M$18="REG",' '!M819,H819)</f>
        <v>600.1</v>
      </c>
      <c r="B819" s="1">
        <f>IF(TABLERO!$M$18="REG",' '!N819,I819)</f>
        <v>750</v>
      </c>
      <c r="D819" s="1">
        <f t="shared" si="139"/>
        <v>750.1</v>
      </c>
      <c r="H819" s="1">
        <v>600.1</v>
      </c>
      <c r="I819" s="1">
        <v>750</v>
      </c>
      <c r="K819" s="1">
        <f t="shared" si="140"/>
        <v>750.1</v>
      </c>
      <c r="M819" s="1">
        <f t="shared" si="142"/>
        <v>950.1</v>
      </c>
      <c r="N819" s="49" t="s">
        <v>676</v>
      </c>
    </row>
    <row r="820" spans="1:16">
      <c r="A820" s="1">
        <f>IF(TABLERO!$M$18="REG",' '!M820,H820)</f>
        <v>750.1</v>
      </c>
      <c r="B820" s="1">
        <f>IF(TABLERO!$M$18="REG",' '!N820,I820)</f>
        <v>800</v>
      </c>
      <c r="D820" s="1">
        <f t="shared" si="139"/>
        <v>800.1</v>
      </c>
      <c r="H820" s="1">
        <v>750.1</v>
      </c>
      <c r="I820" s="1">
        <v>800</v>
      </c>
      <c r="K820" s="1">
        <f t="shared" si="140"/>
        <v>800.1</v>
      </c>
      <c r="M820" s="1">
        <f t="shared" si="142"/>
        <v>1000.1</v>
      </c>
      <c r="N820" s="49" t="s">
        <v>676</v>
      </c>
    </row>
    <row r="821" spans="1:16">
      <c r="A821" s="1">
        <f>IF(TABLERO!$M$18="REG",' '!M821,H821)</f>
        <v>800.1</v>
      </c>
      <c r="B821" s="1">
        <f>IF(TABLERO!$M$18="REG",' '!N821,I821)</f>
        <v>1000</v>
      </c>
      <c r="D821" s="1">
        <f t="shared" si="139"/>
        <v>1000.1</v>
      </c>
      <c r="H821" s="1">
        <v>800.1</v>
      </c>
      <c r="I821" s="1">
        <v>1000</v>
      </c>
      <c r="K821" s="1">
        <f t="shared" si="140"/>
        <v>1000.1</v>
      </c>
      <c r="M821" s="1">
        <f t="shared" si="142"/>
        <v>1050.0999999999999</v>
      </c>
      <c r="N821" s="49" t="s">
        <v>676</v>
      </c>
    </row>
    <row r="822" spans="1:16">
      <c r="A822" s="1">
        <f>IF(TABLERO!$M$18="REG",' '!M822,H822)</f>
        <v>1000.1</v>
      </c>
      <c r="B822" s="1">
        <f>IF(TABLERO!$M$18="REG",' '!N822,I822)</f>
        <v>1500</v>
      </c>
      <c r="D822" s="1">
        <f t="shared" si="139"/>
        <v>1500.1</v>
      </c>
      <c r="H822" s="1">
        <v>1000.1</v>
      </c>
      <c r="I822" s="1">
        <v>1500</v>
      </c>
      <c r="K822" s="1">
        <f t="shared" si="140"/>
        <v>1500.1</v>
      </c>
      <c r="M822" s="1">
        <f t="shared" si="142"/>
        <v>1100.0999999999999</v>
      </c>
      <c r="N822" s="49" t="s">
        <v>676</v>
      </c>
    </row>
    <row r="823" spans="1:16">
      <c r="A823" s="1">
        <f>IF(TABLERO!$M$18="REG",' '!M823,H823)</f>
        <v>1500.1</v>
      </c>
      <c r="B823" s="1">
        <f>IF(TABLERO!$M$18="REG",' '!N823,I823)</f>
        <v>2000</v>
      </c>
      <c r="D823" s="1">
        <f t="shared" si="139"/>
        <v>2000.1</v>
      </c>
      <c r="H823" s="1">
        <v>1500.1</v>
      </c>
      <c r="I823" s="1">
        <v>2000</v>
      </c>
      <c r="K823" s="1">
        <f t="shared" si="140"/>
        <v>2000.1</v>
      </c>
      <c r="M823" s="1">
        <f t="shared" si="142"/>
        <v>1150.0999999999999</v>
      </c>
      <c r="N823" s="49" t="s">
        <v>676</v>
      </c>
    </row>
    <row r="827" spans="1:16">
      <c r="A827"/>
      <c r="B827"/>
      <c r="C827" t="s">
        <v>677</v>
      </c>
      <c r="D827"/>
      <c r="E827"/>
      <c r="F827"/>
      <c r="G827"/>
      <c r="H827"/>
      <c r="I827"/>
      <c r="J827"/>
      <c r="K827"/>
      <c r="L827"/>
      <c r="M827"/>
      <c r="N827"/>
      <c r="O827"/>
      <c r="P827"/>
    </row>
    <row r="828" spans="1:16" ht="38.25" customHeight="1">
      <c r="A828"/>
      <c r="B828"/>
      <c r="C828" s="1099" t="s">
        <v>678</v>
      </c>
      <c r="D828" s="1100"/>
      <c r="E828" s="1099" t="s">
        <v>679</v>
      </c>
      <c r="F828" s="1100"/>
      <c r="G828" s="1100"/>
      <c r="H828" s="1099" t="s">
        <v>680</v>
      </c>
      <c r="I828" s="1100"/>
      <c r="J828" s="1100"/>
      <c r="K828" s="1099" t="s">
        <v>681</v>
      </c>
      <c r="L828" s="1100"/>
      <c r="M828" s="1100"/>
      <c r="N828" s="1099" t="s">
        <v>682</v>
      </c>
      <c r="O828" s="1100"/>
      <c r="P828" s="1100"/>
    </row>
    <row r="829" spans="1:16" ht="39.6">
      <c r="A829" s="108"/>
      <c r="B829" s="127" t="s">
        <v>683</v>
      </c>
      <c r="C829" s="127" t="s">
        <v>684</v>
      </c>
      <c r="D829" s="127" t="s">
        <v>685</v>
      </c>
      <c r="E829" s="127" t="s">
        <v>686</v>
      </c>
      <c r="F829" s="127" t="s">
        <v>687</v>
      </c>
      <c r="G829" s="127" t="s">
        <v>688</v>
      </c>
      <c r="H829" s="127" t="s">
        <v>686</v>
      </c>
      <c r="I829" s="127" t="s">
        <v>687</v>
      </c>
      <c r="J829" s="127" t="s">
        <v>688</v>
      </c>
      <c r="K829" s="127" t="s">
        <v>686</v>
      </c>
      <c r="L829" s="127" t="s">
        <v>687</v>
      </c>
      <c r="M829" s="127" t="s">
        <v>688</v>
      </c>
      <c r="N829" s="127" t="s">
        <v>686</v>
      </c>
      <c r="O829" s="127" t="s">
        <v>687</v>
      </c>
      <c r="P829" s="127" t="s">
        <v>688</v>
      </c>
    </row>
    <row r="830" spans="1:16">
      <c r="A830" s="108">
        <v>2.08</v>
      </c>
      <c r="B830" s="129">
        <v>14</v>
      </c>
      <c r="C830" s="108">
        <v>0.19</v>
      </c>
      <c r="D830" s="108">
        <v>0.24</v>
      </c>
      <c r="E830" s="108">
        <v>10.199999999999999</v>
      </c>
      <c r="F830" s="108">
        <v>10.199999999999999</v>
      </c>
      <c r="G830" s="108">
        <v>10.199999999999999</v>
      </c>
      <c r="H830" s="128" t="s">
        <v>447</v>
      </c>
      <c r="I830" s="128" t="s">
        <v>447</v>
      </c>
      <c r="J830" s="128" t="s">
        <v>447</v>
      </c>
      <c r="K830" s="108">
        <v>8.9</v>
      </c>
      <c r="L830" s="108">
        <v>8.9</v>
      </c>
      <c r="M830" s="108">
        <v>8.9</v>
      </c>
      <c r="N830" s="128" t="s">
        <v>447</v>
      </c>
      <c r="O830" s="128" t="s">
        <v>447</v>
      </c>
      <c r="P830" s="128" t="s">
        <v>447</v>
      </c>
    </row>
    <row r="831" spans="1:16">
      <c r="A831" s="108">
        <v>3.31</v>
      </c>
      <c r="B831" s="129">
        <v>12</v>
      </c>
      <c r="C831" s="108">
        <v>0.17699999999999999</v>
      </c>
      <c r="D831" s="108">
        <v>0.223</v>
      </c>
      <c r="E831" s="108">
        <v>6.6</v>
      </c>
      <c r="F831" s="108">
        <v>6.6</v>
      </c>
      <c r="G831" s="108">
        <v>6.6</v>
      </c>
      <c r="H831" s="128" t="s">
        <v>447</v>
      </c>
      <c r="I831" s="128" t="s">
        <v>447</v>
      </c>
      <c r="J831" s="128" t="s">
        <v>447</v>
      </c>
      <c r="K831" s="108">
        <v>5.6</v>
      </c>
      <c r="L831" s="108">
        <v>5.6</v>
      </c>
      <c r="M831" s="108">
        <v>5.6</v>
      </c>
      <c r="N831" s="128" t="s">
        <v>447</v>
      </c>
      <c r="O831" s="128" t="s">
        <v>447</v>
      </c>
      <c r="P831" s="128" t="s">
        <v>447</v>
      </c>
    </row>
    <row r="832" spans="1:16">
      <c r="A832" s="108">
        <v>5.26</v>
      </c>
      <c r="B832" s="129">
        <v>10</v>
      </c>
      <c r="C832" s="108">
        <v>0.16400000000000001</v>
      </c>
      <c r="D832" s="108">
        <v>0.20699999999999999</v>
      </c>
      <c r="E832" s="108">
        <v>3.9</v>
      </c>
      <c r="F832" s="108">
        <v>3.9</v>
      </c>
      <c r="G832" s="108">
        <v>3.9</v>
      </c>
      <c r="H832" s="128" t="s">
        <v>447</v>
      </c>
      <c r="I832" s="128" t="s">
        <v>447</v>
      </c>
      <c r="J832" s="128" t="s">
        <v>447</v>
      </c>
      <c r="K832" s="108">
        <v>3.6</v>
      </c>
      <c r="L832" s="108">
        <v>3.6</v>
      </c>
      <c r="M832" s="108">
        <v>3.6</v>
      </c>
      <c r="N832" s="128" t="s">
        <v>447</v>
      </c>
      <c r="O832" s="128" t="s">
        <v>447</v>
      </c>
      <c r="P832" s="128" t="s">
        <v>447</v>
      </c>
    </row>
    <row r="833" spans="1:16">
      <c r="A833" s="108">
        <v>8.36</v>
      </c>
      <c r="B833" s="129">
        <v>8</v>
      </c>
      <c r="C833" s="108">
        <v>0.17100000000000001</v>
      </c>
      <c r="D833" s="108">
        <v>0.21299999999999999</v>
      </c>
      <c r="E833" s="108">
        <v>2.56</v>
      </c>
      <c r="F833" s="108">
        <v>2.56</v>
      </c>
      <c r="G833" s="108">
        <v>2.56</v>
      </c>
      <c r="H833" s="128" t="s">
        <v>447</v>
      </c>
      <c r="I833" s="128" t="s">
        <v>447</v>
      </c>
      <c r="J833" s="128" t="s">
        <v>447</v>
      </c>
      <c r="K833" s="108">
        <v>2.2599999999999998</v>
      </c>
      <c r="L833" s="108">
        <v>2.2599999999999998</v>
      </c>
      <c r="M833" s="108">
        <v>2.2999999999999998</v>
      </c>
      <c r="N833" s="128" t="s">
        <v>447</v>
      </c>
      <c r="O833" s="128" t="s">
        <v>447</v>
      </c>
      <c r="P833" s="128" t="s">
        <v>447</v>
      </c>
    </row>
    <row r="834" spans="1:16">
      <c r="A834" s="108">
        <v>13.3</v>
      </c>
      <c r="B834" s="129">
        <v>6</v>
      </c>
      <c r="C834" s="108">
        <v>0.16700000000000001</v>
      </c>
      <c r="D834" s="108">
        <v>0.21</v>
      </c>
      <c r="E834" s="108">
        <v>1.61</v>
      </c>
      <c r="F834" s="108">
        <v>1.61</v>
      </c>
      <c r="G834" s="108">
        <v>1.61</v>
      </c>
      <c r="H834" s="108">
        <v>2.66</v>
      </c>
      <c r="I834" s="108">
        <v>2.66</v>
      </c>
      <c r="J834" s="108">
        <v>2.66</v>
      </c>
      <c r="K834" s="108">
        <v>1.44</v>
      </c>
      <c r="L834" s="108">
        <v>1.48</v>
      </c>
      <c r="M834" s="108">
        <v>1.48</v>
      </c>
      <c r="N834" s="108">
        <v>2.33</v>
      </c>
      <c r="O834" s="108">
        <v>2.36</v>
      </c>
      <c r="P834" s="108">
        <v>2.36</v>
      </c>
    </row>
    <row r="835" spans="1:16">
      <c r="A835" s="108">
        <v>21.15</v>
      </c>
      <c r="B835" s="129">
        <v>4</v>
      </c>
      <c r="C835" s="108">
        <v>0.157</v>
      </c>
      <c r="D835" s="108">
        <v>0.19700000000000001</v>
      </c>
      <c r="E835" s="108">
        <v>1.02</v>
      </c>
      <c r="F835" s="108">
        <v>1.02</v>
      </c>
      <c r="G835" s="108">
        <v>1.02</v>
      </c>
      <c r="H835" s="108">
        <v>1.67</v>
      </c>
      <c r="I835" s="108">
        <v>1.67</v>
      </c>
      <c r="J835" s="108">
        <v>1.67</v>
      </c>
      <c r="K835" s="108">
        <v>0.95</v>
      </c>
      <c r="L835" s="108">
        <v>0.95</v>
      </c>
      <c r="M835" s="108">
        <v>0.98</v>
      </c>
      <c r="N835" s="108">
        <v>1.51</v>
      </c>
      <c r="O835" s="108">
        <v>1.51</v>
      </c>
      <c r="P835" s="108">
        <v>1.51</v>
      </c>
    </row>
    <row r="836" spans="1:16">
      <c r="A836" s="108">
        <v>26.67</v>
      </c>
      <c r="B836" s="129">
        <v>3</v>
      </c>
      <c r="C836" s="108">
        <v>0.154</v>
      </c>
      <c r="D836" s="108">
        <v>0.19400000000000001</v>
      </c>
      <c r="E836" s="108">
        <v>0.82</v>
      </c>
      <c r="F836" s="108">
        <v>0.82</v>
      </c>
      <c r="G836" s="108">
        <v>0.82</v>
      </c>
      <c r="H836" s="108">
        <v>1.31</v>
      </c>
      <c r="I836" s="108">
        <v>1.35</v>
      </c>
      <c r="J836" s="108">
        <v>1.31</v>
      </c>
      <c r="K836" s="108">
        <v>0.75</v>
      </c>
      <c r="L836" s="108">
        <v>0.79</v>
      </c>
      <c r="M836" s="108">
        <v>0.79</v>
      </c>
      <c r="N836" s="108">
        <v>1.21</v>
      </c>
      <c r="O836" s="108">
        <v>1.21</v>
      </c>
      <c r="P836" s="108">
        <v>1.21</v>
      </c>
    </row>
    <row r="837" spans="1:16">
      <c r="A837" s="108">
        <v>33.619999999999997</v>
      </c>
      <c r="B837" s="129">
        <v>2</v>
      </c>
      <c r="C837" s="108">
        <v>0.14799999999999999</v>
      </c>
      <c r="D837" s="108">
        <v>0.187</v>
      </c>
      <c r="E837" s="108">
        <v>0.62</v>
      </c>
      <c r="F837" s="108">
        <v>0.66</v>
      </c>
      <c r="G837" s="108">
        <v>0.66</v>
      </c>
      <c r="H837" s="108">
        <v>1.05</v>
      </c>
      <c r="I837" s="108">
        <v>1.05</v>
      </c>
      <c r="J837" s="108">
        <v>1.05</v>
      </c>
      <c r="K837" s="108">
        <v>0.62</v>
      </c>
      <c r="L837" s="108">
        <v>0.62</v>
      </c>
      <c r="M837" s="108">
        <v>0.66</v>
      </c>
      <c r="N837" s="108">
        <v>0.98</v>
      </c>
      <c r="O837" s="108">
        <v>0.98</v>
      </c>
      <c r="P837" s="108">
        <v>0.98</v>
      </c>
    </row>
    <row r="838" spans="1:16">
      <c r="A838" s="108">
        <v>42.41</v>
      </c>
      <c r="B838" s="129">
        <v>1</v>
      </c>
      <c r="C838" s="108">
        <v>0.151</v>
      </c>
      <c r="D838" s="108">
        <v>0.187</v>
      </c>
      <c r="E838" s="108">
        <v>0.49</v>
      </c>
      <c r="F838" s="108">
        <v>0.52</v>
      </c>
      <c r="G838" s="108">
        <v>0.52</v>
      </c>
      <c r="H838" s="108">
        <v>0.82</v>
      </c>
      <c r="I838" s="108">
        <v>0.85</v>
      </c>
      <c r="J838" s="108">
        <v>0.82</v>
      </c>
      <c r="K838" s="108">
        <v>0.52</v>
      </c>
      <c r="L838" s="108">
        <v>0.52</v>
      </c>
      <c r="M838" s="108">
        <v>0.52</v>
      </c>
      <c r="N838" s="108">
        <v>0.79</v>
      </c>
      <c r="O838" s="108">
        <v>0.79</v>
      </c>
      <c r="P838" s="108">
        <v>0.82</v>
      </c>
    </row>
    <row r="839" spans="1:16">
      <c r="A839" s="108">
        <v>53.49</v>
      </c>
      <c r="B839" s="129" t="s">
        <v>0</v>
      </c>
      <c r="C839" s="108">
        <v>0.14399999999999999</v>
      </c>
      <c r="D839" s="108">
        <v>0.18</v>
      </c>
      <c r="E839" s="108">
        <v>0.39</v>
      </c>
      <c r="F839" s="108">
        <v>0.43</v>
      </c>
      <c r="G839" s="108">
        <v>0.39</v>
      </c>
      <c r="H839" s="108">
        <v>0.66</v>
      </c>
      <c r="I839" s="108">
        <v>0.69</v>
      </c>
      <c r="J839" s="108">
        <v>0.66</v>
      </c>
      <c r="K839" s="108">
        <v>0.43</v>
      </c>
      <c r="L839" s="108">
        <v>0.43</v>
      </c>
      <c r="M839" s="108">
        <v>0.43</v>
      </c>
      <c r="N839" s="108">
        <v>0.62</v>
      </c>
      <c r="O839" s="108">
        <v>0.66</v>
      </c>
      <c r="P839" s="108">
        <v>0.66</v>
      </c>
    </row>
    <row r="840" spans="1:16">
      <c r="A840" s="108">
        <v>67.430000000000007</v>
      </c>
      <c r="B840" s="129" t="s">
        <v>1</v>
      </c>
      <c r="C840" s="108">
        <v>0.14099999999999999</v>
      </c>
      <c r="D840" s="108">
        <v>0.17699999999999999</v>
      </c>
      <c r="E840" s="108">
        <v>0.33</v>
      </c>
      <c r="F840" s="108">
        <v>0.33</v>
      </c>
      <c r="G840" s="108">
        <v>0.33</v>
      </c>
      <c r="H840" s="108">
        <v>0.52</v>
      </c>
      <c r="I840" s="108">
        <v>0.52</v>
      </c>
      <c r="J840" s="108">
        <v>0.52</v>
      </c>
      <c r="K840" s="108">
        <v>0.36</v>
      </c>
      <c r="L840" s="108">
        <v>0.36</v>
      </c>
      <c r="M840" s="108">
        <v>0.36</v>
      </c>
      <c r="N840" s="108">
        <v>0.52</v>
      </c>
      <c r="O840" s="108">
        <v>0.52</v>
      </c>
      <c r="P840" s="108">
        <v>0.52</v>
      </c>
    </row>
    <row r="841" spans="1:16">
      <c r="A841" s="108">
        <v>85.01</v>
      </c>
      <c r="B841" s="129" t="s">
        <v>2</v>
      </c>
      <c r="C841" s="108">
        <v>0.13800000000000001</v>
      </c>
      <c r="D841" s="108">
        <v>0.17100000000000001</v>
      </c>
      <c r="E841" s="108">
        <v>0.253</v>
      </c>
      <c r="F841" s="108">
        <v>0.26900000000000002</v>
      </c>
      <c r="G841" s="108">
        <v>0.25900000000000001</v>
      </c>
      <c r="H841" s="108">
        <v>0.43</v>
      </c>
      <c r="I841" s="108">
        <v>0.43</v>
      </c>
      <c r="J841" s="108">
        <v>0.43</v>
      </c>
      <c r="K841" s="108">
        <v>0.28899999999999998</v>
      </c>
      <c r="L841" s="108">
        <v>0.30199999999999999</v>
      </c>
      <c r="M841" s="108">
        <v>0.308</v>
      </c>
      <c r="N841" s="108">
        <v>0.43</v>
      </c>
      <c r="O841" s="108">
        <v>0.43</v>
      </c>
      <c r="P841" s="108">
        <v>0.46</v>
      </c>
    </row>
    <row r="842" spans="1:16">
      <c r="A842" s="108">
        <v>107.2</v>
      </c>
      <c r="B842" s="129" t="s">
        <v>3</v>
      </c>
      <c r="C842" s="108">
        <v>0.13500000000000001</v>
      </c>
      <c r="D842" s="108">
        <v>0.16700000000000001</v>
      </c>
      <c r="E842" s="108">
        <v>0.20300000000000001</v>
      </c>
      <c r="F842" s="108">
        <v>0.22</v>
      </c>
      <c r="G842" s="108">
        <v>0.20699999999999999</v>
      </c>
      <c r="H842" s="108">
        <v>0.33</v>
      </c>
      <c r="I842" s="108">
        <v>0.36</v>
      </c>
      <c r="J842" s="108">
        <v>0.33</v>
      </c>
      <c r="K842" s="108">
        <v>0.24299999999999999</v>
      </c>
      <c r="L842" s="108">
        <v>0.25600000000000001</v>
      </c>
      <c r="M842" s="108">
        <v>0.26200000000000001</v>
      </c>
      <c r="N842" s="108">
        <v>0.36</v>
      </c>
      <c r="O842" s="108">
        <v>0.36</v>
      </c>
      <c r="P842" s="108">
        <v>0.36</v>
      </c>
    </row>
    <row r="843" spans="1:16">
      <c r="A843" s="108">
        <v>127</v>
      </c>
      <c r="B843" s="129">
        <v>250</v>
      </c>
      <c r="C843" s="108">
        <v>0.13500000000000001</v>
      </c>
      <c r="D843" s="108">
        <v>0.17100000000000001</v>
      </c>
      <c r="E843" s="108">
        <v>0.17100000000000001</v>
      </c>
      <c r="F843" s="108">
        <v>0.187</v>
      </c>
      <c r="G843" s="108">
        <v>0.17699999999999999</v>
      </c>
      <c r="H843" s="108">
        <v>0.27900000000000003</v>
      </c>
      <c r="I843" s="108">
        <v>0.29499999999999998</v>
      </c>
      <c r="J843" s="108">
        <v>0.28199999999999997</v>
      </c>
      <c r="K843" s="108">
        <v>0.217</v>
      </c>
      <c r="L843" s="108">
        <v>0.23</v>
      </c>
      <c r="M843" s="108">
        <v>0.24</v>
      </c>
      <c r="N843" s="108">
        <v>0.308</v>
      </c>
      <c r="O843" s="108">
        <v>0.32200000000000001</v>
      </c>
      <c r="P843" s="108">
        <v>0.33</v>
      </c>
    </row>
    <row r="844" spans="1:16">
      <c r="A844" s="108">
        <v>152</v>
      </c>
      <c r="B844" s="129">
        <v>300</v>
      </c>
      <c r="C844" s="108">
        <v>0.13500000000000001</v>
      </c>
      <c r="D844" s="108">
        <v>0.16700000000000001</v>
      </c>
      <c r="E844" s="108">
        <v>0.14399999999999999</v>
      </c>
      <c r="F844" s="108">
        <v>0.161</v>
      </c>
      <c r="G844" s="108">
        <v>0.14799999999999999</v>
      </c>
      <c r="H844" s="108">
        <v>0.23300000000000001</v>
      </c>
      <c r="I844" s="108">
        <v>0.249</v>
      </c>
      <c r="J844" s="108">
        <v>0.23599999999999999</v>
      </c>
      <c r="K844" s="108">
        <v>0.19400000000000001</v>
      </c>
      <c r="L844" s="108">
        <v>0.20699999999999999</v>
      </c>
      <c r="M844" s="108">
        <v>0.21299999999999999</v>
      </c>
      <c r="N844" s="108">
        <v>0.26900000000000002</v>
      </c>
      <c r="O844" s="108">
        <v>0.28199999999999997</v>
      </c>
      <c r="P844" s="108">
        <v>0.28899999999999998</v>
      </c>
    </row>
    <row r="845" spans="1:16">
      <c r="A845" s="108">
        <v>177</v>
      </c>
      <c r="B845" s="129">
        <v>350</v>
      </c>
      <c r="C845" s="108">
        <v>0.13100000000000001</v>
      </c>
      <c r="D845" s="108">
        <v>0.16400000000000001</v>
      </c>
      <c r="E845" s="108">
        <v>0.125</v>
      </c>
      <c r="F845" s="108">
        <v>0.14099999999999999</v>
      </c>
      <c r="G845" s="108">
        <v>0.128</v>
      </c>
      <c r="H845" s="108">
        <v>0.2</v>
      </c>
      <c r="I845" s="108">
        <v>0.217</v>
      </c>
      <c r="J845" s="108">
        <v>0.20699999999999999</v>
      </c>
      <c r="K845" s="108">
        <v>0.17399999999999999</v>
      </c>
      <c r="L845" s="108">
        <v>0.19</v>
      </c>
      <c r="M845" s="108">
        <v>0.19700000000000001</v>
      </c>
      <c r="N845" s="108">
        <v>0.24</v>
      </c>
      <c r="O845" s="108">
        <v>0.253</v>
      </c>
      <c r="P845" s="108">
        <v>0.26200000000000001</v>
      </c>
    </row>
    <row r="846" spans="1:16">
      <c r="A846" s="108">
        <v>203</v>
      </c>
      <c r="B846" s="129">
        <v>400</v>
      </c>
      <c r="C846" s="108">
        <v>0.13100000000000001</v>
      </c>
      <c r="D846" s="108">
        <v>0.161</v>
      </c>
      <c r="E846" s="108">
        <v>0.108</v>
      </c>
      <c r="F846" s="108">
        <v>0.125</v>
      </c>
      <c r="G846" s="108">
        <v>0.115</v>
      </c>
      <c r="H846" s="108">
        <v>0.17699999999999999</v>
      </c>
      <c r="I846" s="108">
        <v>0.19400000000000001</v>
      </c>
      <c r="J846" s="108">
        <v>0.18</v>
      </c>
      <c r="K846" s="108">
        <v>0.161</v>
      </c>
      <c r="L846" s="108">
        <v>0.17399999999999999</v>
      </c>
      <c r="M846" s="108">
        <v>0.184</v>
      </c>
      <c r="N846" s="108">
        <v>0.217</v>
      </c>
      <c r="O846" s="108">
        <v>0.23300000000000001</v>
      </c>
      <c r="P846" s="108">
        <v>0.24</v>
      </c>
    </row>
    <row r="847" spans="1:16">
      <c r="A847" s="108">
        <v>253</v>
      </c>
      <c r="B847" s="129">
        <v>500</v>
      </c>
      <c r="C847" s="108">
        <v>0.128</v>
      </c>
      <c r="D847" s="108">
        <v>0.157</v>
      </c>
      <c r="E847" s="108">
        <v>8.8999999999999996E-2</v>
      </c>
      <c r="F847" s="108">
        <v>0.105</v>
      </c>
      <c r="G847" s="108">
        <v>9.5000000000000001E-2</v>
      </c>
      <c r="H847" s="108">
        <v>0.14099999999999999</v>
      </c>
      <c r="I847" s="108">
        <v>0.157</v>
      </c>
      <c r="J847" s="108">
        <v>0.14799999999999999</v>
      </c>
      <c r="K847" s="108">
        <v>0.14099999999999999</v>
      </c>
      <c r="L847" s="108">
        <v>0.157</v>
      </c>
      <c r="M847" s="108">
        <v>0.16400000000000001</v>
      </c>
      <c r="N847" s="108">
        <v>0.187</v>
      </c>
      <c r="O847" s="108">
        <v>0.2</v>
      </c>
      <c r="P847" s="108">
        <v>0.21</v>
      </c>
    </row>
    <row r="848" spans="1:16">
      <c r="A848" s="108">
        <v>304</v>
      </c>
      <c r="B848" s="129">
        <v>600</v>
      </c>
      <c r="C848" s="108">
        <v>0.128</v>
      </c>
      <c r="D848" s="108">
        <v>0.157</v>
      </c>
      <c r="E848" s="108">
        <v>7.4999999999999997E-2</v>
      </c>
      <c r="F848" s="108">
        <v>9.1999999999999998E-2</v>
      </c>
      <c r="G848" s="108">
        <v>8.2000000000000003E-2</v>
      </c>
      <c r="H848" s="108">
        <v>0.11799999999999999</v>
      </c>
      <c r="I848" s="108">
        <v>0.13500000000000001</v>
      </c>
      <c r="J848" s="108">
        <v>0.125</v>
      </c>
      <c r="K848" s="108">
        <v>0.13100000000000001</v>
      </c>
      <c r="L848" s="108">
        <v>0.14399999999999999</v>
      </c>
      <c r="M848" s="108">
        <v>0.154</v>
      </c>
      <c r="N848" s="108">
        <v>0.16700000000000001</v>
      </c>
      <c r="O848" s="108">
        <v>0.18</v>
      </c>
      <c r="P848" s="108">
        <v>0.19</v>
      </c>
    </row>
    <row r="849" spans="1:16">
      <c r="A849" s="108">
        <v>380</v>
      </c>
      <c r="B849" s="129">
        <v>750</v>
      </c>
      <c r="C849" s="108">
        <v>0.125</v>
      </c>
      <c r="D849" s="108">
        <v>0.157</v>
      </c>
      <c r="E849" s="108">
        <v>6.2E-2</v>
      </c>
      <c r="F849" s="108">
        <v>7.9000000000000001E-2</v>
      </c>
      <c r="G849" s="108">
        <v>6.9000000000000006E-2</v>
      </c>
      <c r="H849" s="108">
        <v>9.5000000000000001E-2</v>
      </c>
      <c r="I849" s="108">
        <v>0.112</v>
      </c>
      <c r="J849" s="108">
        <v>0.10199999999999999</v>
      </c>
      <c r="K849" s="108">
        <v>0.11799999999999999</v>
      </c>
      <c r="L849" s="108">
        <v>0.13100000000000001</v>
      </c>
      <c r="M849" s="108">
        <v>0.14099999999999999</v>
      </c>
      <c r="N849" s="108">
        <v>0.14799999999999999</v>
      </c>
      <c r="O849" s="108">
        <v>0.161</v>
      </c>
      <c r="P849" s="108">
        <v>0.17100000000000001</v>
      </c>
    </row>
    <row r="850" spans="1:16">
      <c r="A850" s="108">
        <v>507</v>
      </c>
      <c r="B850" s="129">
        <v>1000</v>
      </c>
      <c r="C850" s="108">
        <v>0.121</v>
      </c>
      <c r="D850" s="108">
        <v>0.151</v>
      </c>
      <c r="E850" s="108">
        <v>4.9000000000000002E-2</v>
      </c>
      <c r="F850" s="108">
        <v>6.2E-2</v>
      </c>
      <c r="G850" s="108">
        <v>5.8999999999999997E-2</v>
      </c>
      <c r="H850" s="108">
        <v>7.4999999999999997E-2</v>
      </c>
      <c r="I850" s="108">
        <v>8.8999999999999996E-2</v>
      </c>
      <c r="J850" s="108">
        <v>8.2000000000000003E-2</v>
      </c>
      <c r="K850" s="108">
        <v>0.105</v>
      </c>
      <c r="L850" s="108">
        <v>0.11799999999999999</v>
      </c>
      <c r="M850" s="108">
        <v>0.13100000000000001</v>
      </c>
      <c r="N850" s="108">
        <v>0.128</v>
      </c>
      <c r="O850" s="108">
        <v>0.13800000000000001</v>
      </c>
      <c r="P850" s="108">
        <v>0.151</v>
      </c>
    </row>
    <row r="851" spans="1:16" ht="14.4">
      <c r="A851" s="118"/>
      <c r="B851" s="118"/>
      <c r="C851" s="118"/>
      <c r="D851" s="119"/>
      <c r="E851" s="118"/>
      <c r="F851" s="123"/>
      <c r="G851" s="124"/>
      <c r="H851" s="122"/>
    </row>
    <row r="852" spans="1:16" ht="14.4">
      <c r="A852" s="118"/>
      <c r="B852" s="118"/>
      <c r="C852" s="118"/>
      <c r="D852" s="119"/>
      <c r="E852" s="118"/>
      <c r="F852" s="125"/>
      <c r="G852" s="124"/>
      <c r="H852" s="122"/>
    </row>
    <row r="853" spans="1:16" ht="14.4">
      <c r="A853" s="118"/>
      <c r="B853" s="118"/>
      <c r="C853" s="118"/>
      <c r="D853" s="119"/>
      <c r="E853" s="118"/>
      <c r="F853" s="123"/>
      <c r="G853" s="124"/>
      <c r="H853" s="122"/>
    </row>
    <row r="854" spans="1:16" ht="14.4">
      <c r="A854" s="118"/>
      <c r="B854" s="118"/>
      <c r="C854" s="118"/>
      <c r="D854" s="119"/>
      <c r="E854" s="118"/>
      <c r="F854" s="120"/>
      <c r="G854" s="121"/>
      <c r="H854" s="122"/>
    </row>
    <row r="855" spans="1:16" ht="14.4">
      <c r="A855" s="118"/>
      <c r="B855" s="118"/>
      <c r="C855" s="118"/>
      <c r="D855" s="119"/>
      <c r="E855" s="118"/>
      <c r="F855" s="120"/>
      <c r="G855" s="121"/>
      <c r="H855" s="121"/>
    </row>
    <row r="856" spans="1:16" ht="14.4">
      <c r="A856" s="118"/>
      <c r="B856" s="118"/>
      <c r="C856" s="118"/>
      <c r="D856" s="119"/>
      <c r="E856" s="118"/>
      <c r="F856" s="120"/>
      <c r="G856" s="122"/>
      <c r="H856" s="121"/>
    </row>
    <row r="858" spans="1:16" ht="13.8" thickBot="1">
      <c r="F858" t="s">
        <v>689</v>
      </c>
      <c r="G858"/>
      <c r="H858"/>
      <c r="I858"/>
      <c r="J858" s="108"/>
      <c r="K858" s="108"/>
      <c r="L858" s="108"/>
      <c r="M858" s="108"/>
    </row>
    <row r="859" spans="1:16" ht="13.8" thickTop="1">
      <c r="F859" s="1106" t="s">
        <v>690</v>
      </c>
      <c r="G859" s="1107"/>
      <c r="H859" s="1107"/>
      <c r="I859" s="1107"/>
      <c r="J859" s="1110" t="s">
        <v>691</v>
      </c>
      <c r="K859" s="1107"/>
      <c r="L859" s="1107"/>
      <c r="M859" s="1111"/>
    </row>
    <row r="860" spans="1:16" ht="13.8" thickBot="1">
      <c r="F860" s="1108"/>
      <c r="G860" s="1109"/>
      <c r="H860" s="1109"/>
      <c r="I860" s="1109"/>
      <c r="J860" s="1109"/>
      <c r="K860" s="1109"/>
      <c r="L860" s="1109"/>
      <c r="M860" s="1112"/>
    </row>
    <row r="861" spans="1:16" ht="13.8" thickTop="1">
      <c r="F861" s="1104" t="s">
        <v>460</v>
      </c>
      <c r="G861" s="1105"/>
      <c r="H861" s="1105" t="s">
        <v>461</v>
      </c>
      <c r="I861" s="1105"/>
      <c r="J861" s="1105" t="s">
        <v>460</v>
      </c>
      <c r="K861" s="1105"/>
      <c r="L861" s="1105" t="s">
        <v>461</v>
      </c>
      <c r="M861" s="1113"/>
    </row>
    <row r="862" spans="1:16">
      <c r="B862" s="49"/>
      <c r="F862" s="155" t="s">
        <v>692</v>
      </c>
      <c r="G862" s="156" t="s">
        <v>693</v>
      </c>
      <c r="H862" s="156" t="s">
        <v>692</v>
      </c>
      <c r="I862" s="156" t="s">
        <v>693</v>
      </c>
      <c r="J862" s="156" t="s">
        <v>692</v>
      </c>
      <c r="K862" s="156" t="s">
        <v>693</v>
      </c>
      <c r="L862" s="156" t="s">
        <v>692</v>
      </c>
      <c r="M862" s="157" t="s">
        <v>693</v>
      </c>
    </row>
    <row r="863" spans="1:16">
      <c r="A863" s="1">
        <v>0</v>
      </c>
      <c r="B863" s="49" t="s">
        <v>694</v>
      </c>
      <c r="C863" s="1">
        <v>0</v>
      </c>
      <c r="D863" s="49" t="s">
        <v>695</v>
      </c>
      <c r="F863" s="158" t="s">
        <v>696</v>
      </c>
      <c r="G863" s="159" t="s">
        <v>697</v>
      </c>
      <c r="H863" s="159" t="s">
        <v>698</v>
      </c>
      <c r="I863" s="159" t="s">
        <v>699</v>
      </c>
      <c r="J863" s="156">
        <v>8.3699999999999992</v>
      </c>
      <c r="K863" s="156">
        <v>8</v>
      </c>
      <c r="L863" s="156">
        <v>13.3</v>
      </c>
      <c r="M863" s="157">
        <v>6</v>
      </c>
    </row>
    <row r="864" spans="1:16">
      <c r="A864" s="1">
        <v>33.700000000000003</v>
      </c>
      <c r="B864" s="49" t="s">
        <v>700</v>
      </c>
      <c r="C864" s="1">
        <v>67.3</v>
      </c>
      <c r="D864" s="49" t="s">
        <v>701</v>
      </c>
      <c r="F864" s="158" t="s">
        <v>702</v>
      </c>
      <c r="G864" s="159" t="s">
        <v>703</v>
      </c>
      <c r="H864" s="159" t="s">
        <v>704</v>
      </c>
      <c r="I864" s="159" t="s">
        <v>705</v>
      </c>
      <c r="J864" s="156">
        <v>13.3</v>
      </c>
      <c r="K864" s="156">
        <v>6</v>
      </c>
      <c r="L864" s="156">
        <v>21.2</v>
      </c>
      <c r="M864" s="157">
        <v>4</v>
      </c>
    </row>
    <row r="865" spans="1:13">
      <c r="A865" s="1">
        <v>53.6</v>
      </c>
      <c r="B865" s="49" t="s">
        <v>706</v>
      </c>
      <c r="C865" s="1">
        <v>86</v>
      </c>
      <c r="D865" s="49" t="s">
        <v>707</v>
      </c>
      <c r="F865" s="158" t="s">
        <v>704</v>
      </c>
      <c r="G865" s="159" t="s">
        <v>705</v>
      </c>
      <c r="H865" s="159" t="s">
        <v>708</v>
      </c>
      <c r="I865" s="159" t="s">
        <v>709</v>
      </c>
      <c r="J865" s="156">
        <v>21.2</v>
      </c>
      <c r="K865" s="156">
        <v>4</v>
      </c>
      <c r="L865" s="156">
        <v>33.6</v>
      </c>
      <c r="M865" s="157">
        <v>2</v>
      </c>
    </row>
    <row r="866" spans="1:13">
      <c r="A866" s="1">
        <v>86</v>
      </c>
      <c r="B866" s="49" t="s">
        <v>710</v>
      </c>
      <c r="C866" s="1">
        <v>128</v>
      </c>
      <c r="D866" s="49" t="s">
        <v>711</v>
      </c>
      <c r="F866" s="158" t="s">
        <v>712</v>
      </c>
      <c r="G866" s="159" t="s">
        <v>713</v>
      </c>
      <c r="H866" s="159" t="s">
        <v>714</v>
      </c>
      <c r="I866" s="159" t="s">
        <v>715</v>
      </c>
      <c r="J866" s="156">
        <v>33.6</v>
      </c>
      <c r="K866" s="156">
        <v>2</v>
      </c>
      <c r="L866" s="156">
        <v>53.5</v>
      </c>
      <c r="M866" s="157" t="s">
        <v>0</v>
      </c>
    </row>
    <row r="867" spans="1:13">
      <c r="A867" s="1">
        <v>178</v>
      </c>
      <c r="B867" s="49" t="s">
        <v>716</v>
      </c>
      <c r="C867" s="1">
        <v>254</v>
      </c>
      <c r="D867" s="49" t="s">
        <v>717</v>
      </c>
      <c r="F867" s="158" t="s">
        <v>718</v>
      </c>
      <c r="G867" s="159" t="s">
        <v>719</v>
      </c>
      <c r="H867" s="159" t="s">
        <v>720</v>
      </c>
      <c r="I867" s="159" t="s">
        <v>721</v>
      </c>
      <c r="J867" s="156">
        <v>53.5</v>
      </c>
      <c r="K867" s="156" t="s">
        <v>0</v>
      </c>
      <c r="L867" s="156">
        <v>85</v>
      </c>
      <c r="M867" s="157" t="s">
        <v>2</v>
      </c>
    </row>
    <row r="868" spans="1:13">
      <c r="A868" s="1">
        <v>305</v>
      </c>
      <c r="B868" s="49" t="s">
        <v>722</v>
      </c>
      <c r="C868" s="1">
        <v>457</v>
      </c>
      <c r="D868" s="49" t="s">
        <v>723</v>
      </c>
      <c r="F868" s="158" t="s">
        <v>724</v>
      </c>
      <c r="G868" s="159" t="s">
        <v>725</v>
      </c>
      <c r="H868" s="159" t="s">
        <v>726</v>
      </c>
      <c r="I868" s="159" t="s">
        <v>727</v>
      </c>
      <c r="J868" s="156">
        <v>67.400000000000006</v>
      </c>
      <c r="K868" s="156" t="s">
        <v>1</v>
      </c>
      <c r="L868" s="156">
        <v>107</v>
      </c>
      <c r="M868" s="157" t="s">
        <v>3</v>
      </c>
    </row>
    <row r="869" spans="1:13" ht="13.8" thickBot="1">
      <c r="A869" s="1">
        <v>558</v>
      </c>
      <c r="B869" s="49" t="s">
        <v>728</v>
      </c>
      <c r="C869" s="1">
        <v>888</v>
      </c>
      <c r="D869" s="49" t="s">
        <v>729</v>
      </c>
      <c r="F869" s="207" t="s">
        <v>730</v>
      </c>
      <c r="G869" s="208" t="s">
        <v>731</v>
      </c>
      <c r="H869" s="208" t="s">
        <v>732</v>
      </c>
      <c r="I869" s="208" t="s">
        <v>733</v>
      </c>
      <c r="J869" s="205">
        <v>85</v>
      </c>
      <c r="K869" s="205" t="s">
        <v>2</v>
      </c>
      <c r="L869" s="205">
        <v>127</v>
      </c>
      <c r="M869" s="206">
        <v>250</v>
      </c>
    </row>
    <row r="870" spans="1:13" ht="13.8" thickTop="1"/>
    <row r="872" spans="1:13">
      <c r="B872" s="49"/>
      <c r="E872" s="49" t="s">
        <v>460</v>
      </c>
      <c r="F872" s="49" t="s">
        <v>461</v>
      </c>
    </row>
    <row r="873" spans="1:13">
      <c r="B873" s="49"/>
      <c r="D873" s="1">
        <v>177.3</v>
      </c>
      <c r="E873" s="1" t="str">
        <f>VLOOKUP(D873,A863:B869,2)</f>
        <v>1-2T AWG Cu</v>
      </c>
      <c r="F873" s="1" t="str">
        <f>VLOOKUP(D873,C863:D869,2)</f>
        <v>1-1/0T AWG Al</v>
      </c>
    </row>
    <row r="874" spans="1:13">
      <c r="B874" s="49"/>
    </row>
    <row r="875" spans="1:13">
      <c r="A875" s="1103" t="s">
        <v>734</v>
      </c>
      <c r="B875" s="1097"/>
      <c r="C875" s="1097"/>
    </row>
    <row r="876" spans="1:13">
      <c r="A876" s="49" t="s">
        <v>735</v>
      </c>
      <c r="B876" s="49" t="s">
        <v>692</v>
      </c>
      <c r="C876" s="49" t="s">
        <v>433</v>
      </c>
    </row>
    <row r="877" spans="1:13">
      <c r="A877" s="1">
        <v>0</v>
      </c>
      <c r="B877" s="49">
        <v>0.82350000000000001</v>
      </c>
      <c r="C877" s="146" t="s">
        <v>736</v>
      </c>
      <c r="D877" s="3" t="s">
        <v>737</v>
      </c>
    </row>
    <row r="878" spans="1:13">
      <c r="A878" s="1">
        <v>0.82450000000000001</v>
      </c>
      <c r="B878" s="49">
        <v>1.3069999999999999</v>
      </c>
      <c r="C878" s="146" t="s">
        <v>738</v>
      </c>
      <c r="D878" s="3" t="s">
        <v>739</v>
      </c>
    </row>
    <row r="879" spans="1:13">
      <c r="A879" s="1">
        <v>1.3079999999999998</v>
      </c>
      <c r="B879" s="1">
        <v>2.0819999999999999</v>
      </c>
      <c r="C879" s="146" t="s">
        <v>740</v>
      </c>
      <c r="D879" s="3" t="s">
        <v>741</v>
      </c>
    </row>
    <row r="880" spans="1:13">
      <c r="A880" s="1">
        <v>2.0829999999999997</v>
      </c>
      <c r="B880" s="1">
        <v>3.3069999999999999</v>
      </c>
      <c r="C880" s="146" t="s">
        <v>742</v>
      </c>
      <c r="D880" s="3" t="s">
        <v>743</v>
      </c>
    </row>
    <row r="881" spans="1:4">
      <c r="A881" s="1">
        <v>3.3079999999999998</v>
      </c>
      <c r="B881" s="1">
        <v>5.26</v>
      </c>
      <c r="C881" s="146" t="s">
        <v>744</v>
      </c>
      <c r="D881" s="3" t="s">
        <v>745</v>
      </c>
    </row>
    <row r="882" spans="1:4">
      <c r="A882" s="1">
        <v>5.2610000000000001</v>
      </c>
      <c r="B882" s="1">
        <v>8.3670000000000009</v>
      </c>
      <c r="C882" s="146" t="s">
        <v>746</v>
      </c>
      <c r="D882" s="3" t="s">
        <v>747</v>
      </c>
    </row>
    <row r="883" spans="1:4">
      <c r="A883" s="1">
        <v>8.3680000000000003</v>
      </c>
      <c r="B883" s="1">
        <v>13.3</v>
      </c>
      <c r="C883" s="146" t="s">
        <v>748</v>
      </c>
      <c r="D883" s="3" t="s">
        <v>749</v>
      </c>
    </row>
    <row r="884" spans="1:4">
      <c r="A884" s="1">
        <v>13.301</v>
      </c>
      <c r="B884" s="1">
        <v>21.15</v>
      </c>
      <c r="C884" s="146" t="s">
        <v>750</v>
      </c>
      <c r="D884" s="3" t="s">
        <v>751</v>
      </c>
    </row>
    <row r="885" spans="1:4">
      <c r="A885" s="1">
        <v>21.151</v>
      </c>
      <c r="B885" s="1">
        <v>33.619999999999997</v>
      </c>
      <c r="C885" s="146" t="s">
        <v>752</v>
      </c>
      <c r="D885" s="3" t="s">
        <v>753</v>
      </c>
    </row>
    <row r="886" spans="1:4">
      <c r="A886" s="1">
        <v>33.620999999999995</v>
      </c>
      <c r="B886" s="1">
        <v>42.41</v>
      </c>
      <c r="C886" s="146" t="s">
        <v>754</v>
      </c>
      <c r="D886" s="3" t="s">
        <v>755</v>
      </c>
    </row>
    <row r="887" spans="1:4">
      <c r="A887" s="1">
        <v>42.410999999999994</v>
      </c>
      <c r="B887" s="1">
        <v>53.48</v>
      </c>
      <c r="C887" s="146" t="s">
        <v>756</v>
      </c>
      <c r="D887" s="146" t="s">
        <v>757</v>
      </c>
    </row>
    <row r="888" spans="1:4">
      <c r="A888" s="1">
        <v>53.480999999999995</v>
      </c>
      <c r="B888" s="1">
        <v>67.430000000000007</v>
      </c>
      <c r="C888" s="146" t="s">
        <v>758</v>
      </c>
      <c r="D888" s="146" t="s">
        <v>759</v>
      </c>
    </row>
    <row r="889" spans="1:4">
      <c r="A889" s="1">
        <v>67.431000000000012</v>
      </c>
      <c r="B889" s="1">
        <v>85.01</v>
      </c>
      <c r="C889" s="146" t="s">
        <v>760</v>
      </c>
      <c r="D889" s="146" t="s">
        <v>761</v>
      </c>
    </row>
    <row r="890" spans="1:4">
      <c r="A890" s="1">
        <v>85.01100000000001</v>
      </c>
      <c r="B890" s="1">
        <v>107.2</v>
      </c>
      <c r="C890" s="146" t="s">
        <v>762</v>
      </c>
      <c r="D890" s="146" t="s">
        <v>763</v>
      </c>
    </row>
    <row r="891" spans="1:4">
      <c r="A891" s="1">
        <v>107.20100000000001</v>
      </c>
      <c r="B891" s="1">
        <v>126.7</v>
      </c>
      <c r="C891" s="146" t="s">
        <v>764</v>
      </c>
      <c r="D891" s="3" t="s">
        <v>765</v>
      </c>
    </row>
    <row r="892" spans="1:4">
      <c r="A892" s="1">
        <v>126.70100000000001</v>
      </c>
      <c r="B892" s="1">
        <v>152</v>
      </c>
      <c r="C892" s="146" t="s">
        <v>766</v>
      </c>
      <c r="D892" s="3" t="s">
        <v>767</v>
      </c>
    </row>
    <row r="893" spans="1:4">
      <c r="A893" s="1">
        <v>152.001</v>
      </c>
      <c r="B893" s="1">
        <v>177.3</v>
      </c>
      <c r="C893" s="146" t="s">
        <v>768</v>
      </c>
      <c r="D893" s="3" t="s">
        <v>769</v>
      </c>
    </row>
    <row r="894" spans="1:4">
      <c r="A894" s="1">
        <v>177.30100000000002</v>
      </c>
      <c r="B894" s="1">
        <v>202.7</v>
      </c>
      <c r="C894" s="146" t="s">
        <v>770</v>
      </c>
      <c r="D894" s="3" t="s">
        <v>771</v>
      </c>
    </row>
    <row r="895" spans="1:4">
      <c r="A895" s="1">
        <v>202.70099999999999</v>
      </c>
      <c r="B895" s="1">
        <v>253.4</v>
      </c>
      <c r="C895" s="146" t="s">
        <v>772</v>
      </c>
      <c r="D895" s="3" t="s">
        <v>773</v>
      </c>
    </row>
    <row r="896" spans="1:4">
      <c r="A896" s="1">
        <v>253.40100000000001</v>
      </c>
      <c r="B896" s="1">
        <v>304</v>
      </c>
      <c r="C896" s="146" t="s">
        <v>774</v>
      </c>
      <c r="D896" s="3" t="s">
        <v>775</v>
      </c>
    </row>
    <row r="897" spans="1:4">
      <c r="A897" s="1">
        <v>304.00099999999998</v>
      </c>
      <c r="B897" s="1">
        <v>380</v>
      </c>
      <c r="C897" s="146" t="s">
        <v>776</v>
      </c>
      <c r="D897" s="3" t="s">
        <v>777</v>
      </c>
    </row>
    <row r="898" spans="1:4">
      <c r="A898" s="1">
        <v>380.00099999999998</v>
      </c>
      <c r="B898" s="1">
        <v>506.7</v>
      </c>
      <c r="C898" s="146" t="s">
        <v>778</v>
      </c>
      <c r="D898" s="146" t="s">
        <v>779</v>
      </c>
    </row>
    <row r="966" spans="7:9">
      <c r="G966" s="1" t="s">
        <v>780</v>
      </c>
      <c r="I966" s="1">
        <v>14</v>
      </c>
    </row>
    <row r="967" spans="7:9">
      <c r="G967" s="1" t="s">
        <v>781</v>
      </c>
      <c r="I967" s="1">
        <v>15</v>
      </c>
    </row>
    <row r="968" spans="7:9">
      <c r="G968" s="1" t="s">
        <v>782</v>
      </c>
      <c r="I968" s="1">
        <v>16</v>
      </c>
    </row>
    <row r="969" spans="7:9">
      <c r="G969" s="1" t="s">
        <v>783</v>
      </c>
      <c r="I969" s="1">
        <v>17</v>
      </c>
    </row>
    <row r="970" spans="7:9">
      <c r="G970" s="1" t="s">
        <v>784</v>
      </c>
      <c r="I970" s="1">
        <v>18</v>
      </c>
    </row>
    <row r="971" spans="7:9">
      <c r="G971" s="1" t="s">
        <v>785</v>
      </c>
      <c r="I971" s="1">
        <v>19</v>
      </c>
    </row>
    <row r="972" spans="7:9">
      <c r="G972" s="49" t="s">
        <v>592</v>
      </c>
      <c r="I972" s="1">
        <v>20</v>
      </c>
    </row>
    <row r="973" spans="7:9">
      <c r="G973" s="49" t="s">
        <v>786</v>
      </c>
      <c r="I973" s="1">
        <v>21</v>
      </c>
    </row>
    <row r="974" spans="7:9">
      <c r="G974" s="49" t="s">
        <v>787</v>
      </c>
      <c r="I974" s="1">
        <v>22</v>
      </c>
    </row>
    <row r="975" spans="7:9">
      <c r="G975" s="49" t="s">
        <v>788</v>
      </c>
      <c r="I975" s="1">
        <v>23</v>
      </c>
    </row>
    <row r="976" spans="7:9">
      <c r="G976" s="49" t="s">
        <v>789</v>
      </c>
      <c r="I976" s="1">
        <v>24</v>
      </c>
    </row>
    <row r="977" spans="7:7">
      <c r="G977" s="49"/>
    </row>
    <row r="978" spans="7:7">
      <c r="G978" s="49"/>
    </row>
    <row r="979" spans="7:7">
      <c r="G979" s="49"/>
    </row>
    <row r="980" spans="7:7">
      <c r="G980" s="49"/>
    </row>
    <row r="981" spans="7:7">
      <c r="G981" s="49"/>
    </row>
    <row r="982" spans="7:7">
      <c r="G982" s="49"/>
    </row>
    <row r="986" spans="7:7" hidden="1"/>
    <row r="987" spans="7:7" hidden="1"/>
    <row r="988" spans="7:7" hidden="1"/>
    <row r="989" spans="7:7" hidden="1"/>
    <row r="990" spans="7:7" hidden="1"/>
    <row r="991" spans="7:7" hidden="1"/>
    <row r="992" spans="7:7" hidden="1"/>
    <row r="993" spans="1:13" hidden="1"/>
    <row r="994" spans="1:13" hidden="1"/>
    <row r="995" spans="1:13" hidden="1"/>
    <row r="996" spans="1:13" hidden="1"/>
    <row r="997" spans="1:13" hidden="1"/>
    <row r="998" spans="1:13" hidden="1"/>
    <row r="999" spans="1:13" hidden="1"/>
    <row r="1000" spans="1:13" hidden="1"/>
    <row r="1001" spans="1:13" hidden="1"/>
    <row r="1002" spans="1:13" hidden="1"/>
    <row r="1003" spans="1:13" hidden="1"/>
    <row r="1004" spans="1:13" hidden="1"/>
    <row r="1005" spans="1:13" hidden="1"/>
    <row r="1007" spans="1:13">
      <c r="A1007" s="187" t="s">
        <v>1736</v>
      </c>
      <c r="B1007" s="1" t="str">
        <f>AG4</f>
        <v>BUENO</v>
      </c>
      <c r="M1007" s="10"/>
    </row>
    <row r="1011" spans="1:4">
      <c r="D1011" s="182"/>
    </row>
    <row r="1016" spans="1:4">
      <c r="A1016" s="1" t="s">
        <v>790</v>
      </c>
    </row>
    <row r="1500" spans="2:3">
      <c r="B1500" s="264" t="s">
        <v>1536</v>
      </c>
      <c r="C1500" s="265">
        <v>45200</v>
      </c>
    </row>
    <row r="1501" spans="2:3">
      <c r="B1501" s="264" t="s">
        <v>1537</v>
      </c>
      <c r="C1501" s="265">
        <v>45231</v>
      </c>
    </row>
    <row r="1502" spans="2:3">
      <c r="B1502" s="264" t="s">
        <v>1538</v>
      </c>
      <c r="C1502" s="265">
        <v>45261</v>
      </c>
    </row>
    <row r="1503" spans="2:3">
      <c r="B1503" s="264" t="s">
        <v>1539</v>
      </c>
      <c r="C1503" s="265">
        <v>45292</v>
      </c>
    </row>
    <row r="1504" spans="2:3">
      <c r="B1504" s="264" t="s">
        <v>1540</v>
      </c>
      <c r="C1504" s="265">
        <v>45323</v>
      </c>
    </row>
    <row r="1505" spans="2:7">
      <c r="B1505" s="264" t="s">
        <v>1541</v>
      </c>
      <c r="C1505" s="265">
        <v>45352</v>
      </c>
    </row>
    <row r="1506" spans="2:7">
      <c r="B1506" s="264" t="s">
        <v>1542</v>
      </c>
      <c r="C1506" s="265">
        <v>45383</v>
      </c>
    </row>
    <row r="1507" spans="2:7">
      <c r="B1507" s="264" t="s">
        <v>1543</v>
      </c>
      <c r="C1507" s="265">
        <v>45413</v>
      </c>
    </row>
    <row r="1508" spans="2:7">
      <c r="B1508" s="264" t="s">
        <v>1544</v>
      </c>
      <c r="C1508" s="265">
        <v>45444</v>
      </c>
      <c r="G1508" s="16">
        <v>15</v>
      </c>
    </row>
    <row r="1509" spans="2:7">
      <c r="B1509" s="264" t="s">
        <v>1545</v>
      </c>
      <c r="C1509" s="265">
        <v>45474</v>
      </c>
    </row>
    <row r="1510" spans="2:7">
      <c r="B1510" s="264" t="s">
        <v>1546</v>
      </c>
      <c r="C1510" s="265">
        <v>45505</v>
      </c>
    </row>
    <row r="1511" spans="2:7">
      <c r="B1511" s="264" t="s">
        <v>1547</v>
      </c>
      <c r="C1511" s="265">
        <v>45536</v>
      </c>
    </row>
    <row r="1512" spans="2:7">
      <c r="B1512" s="264" t="s">
        <v>1548</v>
      </c>
      <c r="C1512" s="265">
        <v>45566</v>
      </c>
    </row>
    <row r="1513" spans="2:7">
      <c r="B1513" s="264" t="s">
        <v>1549</v>
      </c>
      <c r="C1513" s="265">
        <v>45597</v>
      </c>
    </row>
    <row r="1514" spans="2:7">
      <c r="B1514" s="264" t="s">
        <v>1550</v>
      </c>
      <c r="C1514" s="265">
        <v>45627</v>
      </c>
    </row>
    <row r="1515" spans="2:7">
      <c r="B1515" s="264" t="s">
        <v>1551</v>
      </c>
      <c r="C1515" s="265">
        <v>45658</v>
      </c>
    </row>
    <row r="1516" spans="2:7">
      <c r="B1516" s="264" t="s">
        <v>1552</v>
      </c>
      <c r="C1516" s="265">
        <v>45689</v>
      </c>
    </row>
    <row r="1517" spans="2:7">
      <c r="B1517" s="264" t="s">
        <v>1553</v>
      </c>
      <c r="C1517" s="265">
        <v>45717</v>
      </c>
    </row>
    <row r="1518" spans="2:7">
      <c r="B1518" s="264" t="s">
        <v>1554</v>
      </c>
      <c r="C1518" s="265">
        <v>45748</v>
      </c>
    </row>
    <row r="1519" spans="2:7">
      <c r="B1519" s="264" t="s">
        <v>1555</v>
      </c>
      <c r="C1519" s="265">
        <v>45778</v>
      </c>
    </row>
    <row r="1520" spans="2:7">
      <c r="B1520" s="264" t="s">
        <v>1556</v>
      </c>
      <c r="C1520" s="265">
        <v>45809</v>
      </c>
    </row>
    <row r="1521" spans="2:3">
      <c r="B1521" s="264" t="s">
        <v>1557</v>
      </c>
      <c r="C1521" s="265">
        <v>45839</v>
      </c>
    </row>
    <row r="1522" spans="2:3">
      <c r="B1522" s="264" t="s">
        <v>1558</v>
      </c>
      <c r="C1522" s="265">
        <v>45870</v>
      </c>
    </row>
    <row r="1523" spans="2:3">
      <c r="B1523" s="264" t="s">
        <v>1559</v>
      </c>
      <c r="C1523" s="265">
        <v>45901</v>
      </c>
    </row>
    <row r="1524" spans="2:3">
      <c r="B1524" s="264" t="s">
        <v>1560</v>
      </c>
      <c r="C1524" s="265">
        <v>45931</v>
      </c>
    </row>
    <row r="1525" spans="2:3">
      <c r="B1525" s="264" t="s">
        <v>1561</v>
      </c>
      <c r="C1525" s="265">
        <v>45962</v>
      </c>
    </row>
    <row r="1526" spans="2:3">
      <c r="B1526" s="264" t="s">
        <v>1562</v>
      </c>
      <c r="C1526" s="265">
        <v>45992</v>
      </c>
    </row>
    <row r="1527" spans="2:3">
      <c r="B1527" s="264" t="s">
        <v>1563</v>
      </c>
      <c r="C1527" s="265">
        <v>46023</v>
      </c>
    </row>
    <row r="1528" spans="2:3">
      <c r="B1528" s="264" t="s">
        <v>1564</v>
      </c>
      <c r="C1528" s="265">
        <v>46054</v>
      </c>
    </row>
    <row r="1529" spans="2:3">
      <c r="B1529" s="264" t="s">
        <v>1565</v>
      </c>
      <c r="C1529" s="265">
        <v>46082</v>
      </c>
    </row>
    <row r="1530" spans="2:3">
      <c r="B1530" s="264" t="s">
        <v>1566</v>
      </c>
      <c r="C1530" s="265">
        <v>46113</v>
      </c>
    </row>
    <row r="1531" spans="2:3">
      <c r="B1531" s="264" t="s">
        <v>1567</v>
      </c>
      <c r="C1531" s="265">
        <v>46143</v>
      </c>
    </row>
    <row r="1532" spans="2:3">
      <c r="B1532" s="264" t="s">
        <v>1568</v>
      </c>
      <c r="C1532" s="265">
        <v>46174</v>
      </c>
    </row>
    <row r="1533" spans="2:3">
      <c r="B1533" s="264" t="s">
        <v>1569</v>
      </c>
      <c r="C1533" s="265">
        <v>46204</v>
      </c>
    </row>
    <row r="1534" spans="2:3">
      <c r="B1534" s="264" t="s">
        <v>1570</v>
      </c>
      <c r="C1534" s="265">
        <v>46235</v>
      </c>
    </row>
    <row r="1535" spans="2:3">
      <c r="B1535" s="264" t="s">
        <v>1571</v>
      </c>
      <c r="C1535" s="265">
        <v>46266</v>
      </c>
    </row>
    <row r="1536" spans="2:3">
      <c r="B1536" s="264" t="s">
        <v>1572</v>
      </c>
      <c r="C1536" s="265">
        <v>46296</v>
      </c>
    </row>
    <row r="1537" spans="2:3">
      <c r="B1537" s="264" t="s">
        <v>1573</v>
      </c>
      <c r="C1537" s="265">
        <v>46327</v>
      </c>
    </row>
    <row r="1538" spans="2:3">
      <c r="B1538" s="264" t="s">
        <v>1574</v>
      </c>
      <c r="C1538" s="265">
        <v>46357</v>
      </c>
    </row>
    <row r="1539" spans="2:3">
      <c r="B1539" s="264" t="s">
        <v>1575</v>
      </c>
      <c r="C1539" s="265">
        <v>46388</v>
      </c>
    </row>
    <row r="1540" spans="2:3">
      <c r="B1540" s="264" t="s">
        <v>1576</v>
      </c>
      <c r="C1540" s="265">
        <v>46419</v>
      </c>
    </row>
    <row r="1541" spans="2:3">
      <c r="B1541" s="264" t="s">
        <v>1577</v>
      </c>
      <c r="C1541" s="265">
        <v>46447</v>
      </c>
    </row>
    <row r="1542" spans="2:3">
      <c r="B1542" s="264" t="s">
        <v>1578</v>
      </c>
      <c r="C1542" s="265">
        <v>46478</v>
      </c>
    </row>
    <row r="1543" spans="2:3">
      <c r="B1543" s="264" t="s">
        <v>1579</v>
      </c>
      <c r="C1543" s="265">
        <v>46508</v>
      </c>
    </row>
    <row r="1544" spans="2:3">
      <c r="B1544" s="264" t="s">
        <v>1580</v>
      </c>
      <c r="C1544" s="265">
        <v>46539</v>
      </c>
    </row>
    <row r="1545" spans="2:3">
      <c r="B1545" s="264" t="s">
        <v>1581</v>
      </c>
      <c r="C1545" s="265">
        <v>46569</v>
      </c>
    </row>
    <row r="1546" spans="2:3">
      <c r="B1546" s="264" t="s">
        <v>1582</v>
      </c>
      <c r="C1546" s="265">
        <v>46600</v>
      </c>
    </row>
    <row r="1547" spans="2:3">
      <c r="B1547" s="264" t="s">
        <v>1583</v>
      </c>
      <c r="C1547" s="265">
        <v>46631</v>
      </c>
    </row>
    <row r="1548" spans="2:3">
      <c r="B1548" s="264" t="s">
        <v>1584</v>
      </c>
      <c r="C1548" s="265">
        <v>46661</v>
      </c>
    </row>
    <row r="1549" spans="2:3">
      <c r="B1549" s="264" t="s">
        <v>1585</v>
      </c>
      <c r="C1549" s="265">
        <v>46692</v>
      </c>
    </row>
    <row r="1550" spans="2:3">
      <c r="B1550" s="264" t="s">
        <v>1586</v>
      </c>
      <c r="C1550" s="265">
        <v>46722</v>
      </c>
    </row>
    <row r="1551" spans="2:3">
      <c r="B1551" s="264" t="s">
        <v>1587</v>
      </c>
      <c r="C1551" s="265">
        <v>46753</v>
      </c>
    </row>
    <row r="1552" spans="2:3">
      <c r="B1552" s="264" t="s">
        <v>1588</v>
      </c>
      <c r="C1552" s="265">
        <v>46784</v>
      </c>
    </row>
    <row r="1553" spans="2:3">
      <c r="B1553" s="264" t="s">
        <v>1589</v>
      </c>
      <c r="C1553" s="265">
        <v>46813</v>
      </c>
    </row>
    <row r="1554" spans="2:3">
      <c r="B1554" s="264" t="s">
        <v>1590</v>
      </c>
      <c r="C1554" s="265">
        <v>46844</v>
      </c>
    </row>
    <row r="1555" spans="2:3">
      <c r="B1555" s="264" t="s">
        <v>1591</v>
      </c>
      <c r="C1555" s="265">
        <v>46874</v>
      </c>
    </row>
    <row r="1556" spans="2:3">
      <c r="B1556" s="264" t="s">
        <v>1592</v>
      </c>
      <c r="C1556" s="265">
        <v>46905</v>
      </c>
    </row>
    <row r="1557" spans="2:3">
      <c r="B1557" s="264" t="s">
        <v>1593</v>
      </c>
      <c r="C1557" s="265">
        <v>46935</v>
      </c>
    </row>
    <row r="1558" spans="2:3">
      <c r="B1558" s="264" t="s">
        <v>1594</v>
      </c>
      <c r="C1558" s="265">
        <v>46966</v>
      </c>
    </row>
    <row r="1559" spans="2:3">
      <c r="B1559" s="264" t="s">
        <v>1595</v>
      </c>
      <c r="C1559" s="265">
        <v>46997</v>
      </c>
    </row>
    <row r="1560" spans="2:3">
      <c r="B1560" s="264" t="s">
        <v>1596</v>
      </c>
      <c r="C1560" s="265">
        <v>47027</v>
      </c>
    </row>
    <row r="1561" spans="2:3">
      <c r="B1561" s="264" t="s">
        <v>1597</v>
      </c>
      <c r="C1561" s="265">
        <v>47058</v>
      </c>
    </row>
    <row r="1562" spans="2:3">
      <c r="B1562" s="264" t="s">
        <v>1598</v>
      </c>
      <c r="C1562" s="265">
        <v>47088</v>
      </c>
    </row>
    <row r="1563" spans="2:3">
      <c r="B1563" s="264" t="s">
        <v>1599</v>
      </c>
      <c r="C1563" s="265">
        <v>47119</v>
      </c>
    </row>
    <row r="1564" spans="2:3">
      <c r="B1564" s="264" t="s">
        <v>1600</v>
      </c>
      <c r="C1564" s="265">
        <v>47150</v>
      </c>
    </row>
    <row r="1565" spans="2:3">
      <c r="B1565" s="264" t="s">
        <v>1601</v>
      </c>
      <c r="C1565" s="265">
        <v>47178</v>
      </c>
    </row>
    <row r="1566" spans="2:3">
      <c r="B1566" s="264" t="s">
        <v>1602</v>
      </c>
      <c r="C1566" s="265">
        <v>47209</v>
      </c>
    </row>
    <row r="1567" spans="2:3">
      <c r="B1567" s="264" t="s">
        <v>1603</v>
      </c>
      <c r="C1567" s="265">
        <v>47239</v>
      </c>
    </row>
    <row r="1568" spans="2:3">
      <c r="B1568" s="264" t="s">
        <v>1604</v>
      </c>
      <c r="C1568" s="265">
        <v>47270</v>
      </c>
    </row>
    <row r="1569" spans="2:3">
      <c r="B1569" s="264" t="s">
        <v>1605</v>
      </c>
      <c r="C1569" s="265">
        <v>47300</v>
      </c>
    </row>
    <row r="1570" spans="2:3">
      <c r="B1570" s="264" t="s">
        <v>1606</v>
      </c>
      <c r="C1570" s="265">
        <v>47331</v>
      </c>
    </row>
    <row r="1571" spans="2:3">
      <c r="B1571" s="264" t="s">
        <v>1607</v>
      </c>
      <c r="C1571" s="265">
        <v>47362</v>
      </c>
    </row>
    <row r="1572" spans="2:3">
      <c r="B1572" s="264" t="s">
        <v>1608</v>
      </c>
      <c r="C1572" s="265">
        <v>47392</v>
      </c>
    </row>
    <row r="1573" spans="2:3">
      <c r="B1573" s="264" t="s">
        <v>1609</v>
      </c>
      <c r="C1573" s="265">
        <v>47423</v>
      </c>
    </row>
    <row r="1574" spans="2:3">
      <c r="B1574" s="264" t="s">
        <v>1610</v>
      </c>
      <c r="C1574" s="265">
        <v>47453</v>
      </c>
    </row>
    <row r="1575" spans="2:3">
      <c r="B1575" s="264" t="s">
        <v>1611</v>
      </c>
      <c r="C1575" s="265">
        <v>47484</v>
      </c>
    </row>
    <row r="1576" spans="2:3">
      <c r="B1576" s="264" t="s">
        <v>1612</v>
      </c>
      <c r="C1576" s="265">
        <v>47515</v>
      </c>
    </row>
    <row r="1577" spans="2:3">
      <c r="B1577" s="264" t="s">
        <v>1613</v>
      </c>
      <c r="C1577" s="265">
        <v>47543</v>
      </c>
    </row>
    <row r="1578" spans="2:3">
      <c r="B1578" s="264" t="s">
        <v>1614</v>
      </c>
      <c r="C1578" s="265">
        <v>47574</v>
      </c>
    </row>
    <row r="1579" spans="2:3">
      <c r="B1579" s="264" t="s">
        <v>1615</v>
      </c>
      <c r="C1579" s="265">
        <v>47604</v>
      </c>
    </row>
    <row r="1580" spans="2:3">
      <c r="B1580" s="264" t="s">
        <v>1616</v>
      </c>
      <c r="C1580" s="265">
        <v>47635</v>
      </c>
    </row>
    <row r="1581" spans="2:3">
      <c r="B1581" s="264" t="s">
        <v>1617</v>
      </c>
      <c r="C1581" s="265">
        <v>47665</v>
      </c>
    </row>
    <row r="1582" spans="2:3">
      <c r="B1582" s="264" t="s">
        <v>1618</v>
      </c>
      <c r="C1582" s="265">
        <v>47696</v>
      </c>
    </row>
    <row r="1583" spans="2:3">
      <c r="B1583" s="264" t="s">
        <v>1619</v>
      </c>
      <c r="C1583" s="265">
        <v>47727</v>
      </c>
    </row>
    <row r="1584" spans="2:3">
      <c r="B1584" s="264" t="s">
        <v>1620</v>
      </c>
      <c r="C1584" s="265">
        <v>47757</v>
      </c>
    </row>
    <row r="1585" spans="2:3">
      <c r="B1585" s="264" t="s">
        <v>1621</v>
      </c>
      <c r="C1585" s="265">
        <v>47788</v>
      </c>
    </row>
    <row r="1586" spans="2:3">
      <c r="B1586" s="264" t="s">
        <v>1622</v>
      </c>
      <c r="C1586" s="265">
        <v>47818</v>
      </c>
    </row>
    <row r="1587" spans="2:3">
      <c r="B1587" s="264" t="s">
        <v>1623</v>
      </c>
      <c r="C1587" s="265">
        <v>47849</v>
      </c>
    </row>
    <row r="1588" spans="2:3">
      <c r="B1588" s="264" t="s">
        <v>1624</v>
      </c>
      <c r="C1588" s="265">
        <v>47880</v>
      </c>
    </row>
    <row r="1589" spans="2:3">
      <c r="B1589" s="264" t="s">
        <v>1625</v>
      </c>
      <c r="C1589" s="265">
        <v>47908</v>
      </c>
    </row>
    <row r="1590" spans="2:3">
      <c r="B1590" s="264" t="s">
        <v>1626</v>
      </c>
      <c r="C1590" s="265">
        <v>47939</v>
      </c>
    </row>
    <row r="1591" spans="2:3">
      <c r="B1591" s="264" t="s">
        <v>1627</v>
      </c>
      <c r="C1591" s="265">
        <v>47969</v>
      </c>
    </row>
    <row r="1592" spans="2:3">
      <c r="B1592" s="264" t="s">
        <v>1628</v>
      </c>
      <c r="C1592" s="265">
        <v>48000</v>
      </c>
    </row>
    <row r="1593" spans="2:3">
      <c r="B1593" s="264" t="s">
        <v>1629</v>
      </c>
      <c r="C1593" s="265">
        <v>48030</v>
      </c>
    </row>
    <row r="1594" spans="2:3">
      <c r="B1594" s="264" t="s">
        <v>1630</v>
      </c>
      <c r="C1594" s="265">
        <v>48061</v>
      </c>
    </row>
    <row r="1595" spans="2:3">
      <c r="B1595" s="264" t="s">
        <v>1631</v>
      </c>
      <c r="C1595" s="265">
        <v>48092</v>
      </c>
    </row>
    <row r="1596" spans="2:3">
      <c r="B1596" s="264" t="s">
        <v>1632</v>
      </c>
      <c r="C1596" s="265">
        <v>48122</v>
      </c>
    </row>
    <row r="1597" spans="2:3">
      <c r="B1597" s="264" t="s">
        <v>1633</v>
      </c>
      <c r="C1597" s="265">
        <v>48153</v>
      </c>
    </row>
    <row r="1598" spans="2:3">
      <c r="B1598" s="264" t="s">
        <v>1634</v>
      </c>
      <c r="C1598" s="265">
        <v>48183</v>
      </c>
    </row>
    <row r="1599" spans="2:3">
      <c r="B1599" s="264" t="s">
        <v>1635</v>
      </c>
      <c r="C1599" s="265">
        <v>48214</v>
      </c>
    </row>
    <row r="1600" spans="2:3">
      <c r="B1600" s="264" t="s">
        <v>1636</v>
      </c>
      <c r="C1600" s="265">
        <v>48245</v>
      </c>
    </row>
    <row r="1601" spans="2:3">
      <c r="B1601" s="264" t="s">
        <v>1637</v>
      </c>
      <c r="C1601" s="265">
        <v>48274</v>
      </c>
    </row>
    <row r="1602" spans="2:3">
      <c r="B1602" s="264" t="s">
        <v>1638</v>
      </c>
      <c r="C1602" s="265">
        <v>48305</v>
      </c>
    </row>
    <row r="1603" spans="2:3">
      <c r="B1603" s="264" t="s">
        <v>1639</v>
      </c>
      <c r="C1603" s="265">
        <v>48335</v>
      </c>
    </row>
    <row r="1604" spans="2:3">
      <c r="B1604" s="264" t="s">
        <v>1640</v>
      </c>
      <c r="C1604" s="265">
        <v>48366</v>
      </c>
    </row>
    <row r="1605" spans="2:3">
      <c r="B1605" s="264" t="s">
        <v>1641</v>
      </c>
      <c r="C1605" s="265">
        <v>48396</v>
      </c>
    </row>
    <row r="1606" spans="2:3">
      <c r="B1606" s="264" t="s">
        <v>1642</v>
      </c>
      <c r="C1606" s="265">
        <v>48427</v>
      </c>
    </row>
    <row r="1607" spans="2:3">
      <c r="B1607" s="264" t="s">
        <v>1643</v>
      </c>
      <c r="C1607" s="265">
        <v>48458</v>
      </c>
    </row>
    <row r="1608" spans="2:3">
      <c r="B1608" s="264" t="s">
        <v>1644</v>
      </c>
      <c r="C1608" s="265">
        <v>48488</v>
      </c>
    </row>
    <row r="1609" spans="2:3">
      <c r="B1609" s="264" t="s">
        <v>1645</v>
      </c>
      <c r="C1609" s="265">
        <v>48519</v>
      </c>
    </row>
    <row r="1610" spans="2:3">
      <c r="B1610" s="264" t="s">
        <v>1646</v>
      </c>
      <c r="C1610" s="265">
        <v>48549</v>
      </c>
    </row>
    <row r="1611" spans="2:3">
      <c r="B1611" s="264" t="s">
        <v>1647</v>
      </c>
      <c r="C1611" s="265">
        <v>48580</v>
      </c>
    </row>
    <row r="1612" spans="2:3">
      <c r="B1612" s="264" t="s">
        <v>1648</v>
      </c>
      <c r="C1612" s="265">
        <v>48611</v>
      </c>
    </row>
    <row r="1613" spans="2:3">
      <c r="B1613" s="264" t="s">
        <v>1649</v>
      </c>
      <c r="C1613" s="265">
        <v>48639</v>
      </c>
    </row>
    <row r="1614" spans="2:3">
      <c r="B1614" s="264" t="s">
        <v>1650</v>
      </c>
      <c r="C1614" s="265">
        <v>48670</v>
      </c>
    </row>
    <row r="1615" spans="2:3">
      <c r="B1615" s="264" t="s">
        <v>1651</v>
      </c>
      <c r="C1615" s="265">
        <v>48700</v>
      </c>
    </row>
    <row r="1616" spans="2:3">
      <c r="B1616" s="264" t="s">
        <v>1652</v>
      </c>
      <c r="C1616" s="265">
        <v>48731</v>
      </c>
    </row>
    <row r="1617" spans="2:3">
      <c r="B1617" s="264" t="s">
        <v>1653</v>
      </c>
      <c r="C1617" s="265">
        <v>48761</v>
      </c>
    </row>
    <row r="1618" spans="2:3">
      <c r="B1618" s="264" t="s">
        <v>1654</v>
      </c>
      <c r="C1618" s="265">
        <v>48792</v>
      </c>
    </row>
    <row r="1619" spans="2:3">
      <c r="B1619" s="264" t="s">
        <v>1655</v>
      </c>
      <c r="C1619" s="265">
        <v>48823</v>
      </c>
    </row>
    <row r="1620" spans="2:3">
      <c r="B1620" s="264" t="s">
        <v>1656</v>
      </c>
      <c r="C1620" s="265">
        <v>48853</v>
      </c>
    </row>
    <row r="1621" spans="2:3">
      <c r="B1621" s="264" t="s">
        <v>1657</v>
      </c>
      <c r="C1621" s="265">
        <v>48884</v>
      </c>
    </row>
    <row r="1622" spans="2:3">
      <c r="B1622" s="264" t="s">
        <v>1658</v>
      </c>
      <c r="C1622" s="265">
        <v>48914</v>
      </c>
    </row>
    <row r="1623" spans="2:3">
      <c r="B1623" s="264" t="s">
        <v>1659</v>
      </c>
      <c r="C1623" s="265">
        <v>48945</v>
      </c>
    </row>
    <row r="1624" spans="2:3">
      <c r="B1624" s="264" t="s">
        <v>1660</v>
      </c>
      <c r="C1624" s="265">
        <v>48976</v>
      </c>
    </row>
    <row r="1625" spans="2:3">
      <c r="B1625" s="264" t="s">
        <v>1661</v>
      </c>
      <c r="C1625" s="265">
        <v>49004</v>
      </c>
    </row>
    <row r="1626" spans="2:3">
      <c r="B1626" s="264" t="s">
        <v>1662</v>
      </c>
      <c r="C1626" s="265">
        <v>49035</v>
      </c>
    </row>
    <row r="1627" spans="2:3">
      <c r="B1627" s="264" t="s">
        <v>1663</v>
      </c>
      <c r="C1627" s="265">
        <v>49065</v>
      </c>
    </row>
    <row r="1628" spans="2:3">
      <c r="B1628" s="264" t="s">
        <v>1664</v>
      </c>
      <c r="C1628" s="265">
        <v>49096</v>
      </c>
    </row>
    <row r="1629" spans="2:3">
      <c r="B1629" s="264" t="s">
        <v>1665</v>
      </c>
      <c r="C1629" s="265">
        <v>49126</v>
      </c>
    </row>
    <row r="1630" spans="2:3">
      <c r="B1630" s="264" t="s">
        <v>1666</v>
      </c>
      <c r="C1630" s="265">
        <v>49157</v>
      </c>
    </row>
    <row r="1631" spans="2:3">
      <c r="B1631" s="264" t="s">
        <v>1667</v>
      </c>
      <c r="C1631" s="265">
        <v>49188</v>
      </c>
    </row>
    <row r="1632" spans="2:3">
      <c r="B1632" s="264" t="s">
        <v>1668</v>
      </c>
      <c r="C1632" s="265">
        <v>49218</v>
      </c>
    </row>
    <row r="1633" spans="2:3">
      <c r="B1633" s="264" t="s">
        <v>1669</v>
      </c>
      <c r="C1633" s="265">
        <v>49249</v>
      </c>
    </row>
    <row r="1634" spans="2:3">
      <c r="B1634" s="264" t="s">
        <v>1670</v>
      </c>
      <c r="C1634" s="265">
        <v>49279</v>
      </c>
    </row>
    <row r="1635" spans="2:3">
      <c r="B1635" s="264" t="s">
        <v>1671</v>
      </c>
      <c r="C1635" s="265">
        <v>49310</v>
      </c>
    </row>
    <row r="1636" spans="2:3">
      <c r="B1636" s="264" t="s">
        <v>1672</v>
      </c>
      <c r="C1636" s="265">
        <v>49341</v>
      </c>
    </row>
    <row r="1637" spans="2:3">
      <c r="B1637" s="264" t="s">
        <v>1673</v>
      </c>
      <c r="C1637" s="265">
        <v>49369</v>
      </c>
    </row>
    <row r="1638" spans="2:3">
      <c r="B1638" s="264" t="s">
        <v>1674</v>
      </c>
      <c r="C1638" s="265">
        <v>49400</v>
      </c>
    </row>
    <row r="1639" spans="2:3">
      <c r="B1639" s="264" t="s">
        <v>1675</v>
      </c>
      <c r="C1639" s="265">
        <v>49430</v>
      </c>
    </row>
    <row r="1640" spans="2:3">
      <c r="B1640" s="264" t="s">
        <v>1676</v>
      </c>
      <c r="C1640" s="265">
        <v>49461</v>
      </c>
    </row>
    <row r="1641" spans="2:3">
      <c r="B1641" s="264" t="s">
        <v>1677</v>
      </c>
      <c r="C1641" s="265">
        <v>49491</v>
      </c>
    </row>
    <row r="1642" spans="2:3">
      <c r="B1642" s="264" t="s">
        <v>1678</v>
      </c>
      <c r="C1642" s="265">
        <v>49522</v>
      </c>
    </row>
    <row r="1643" spans="2:3">
      <c r="B1643" s="264" t="s">
        <v>1679</v>
      </c>
      <c r="C1643" s="265">
        <v>49553</v>
      </c>
    </row>
    <row r="1644" spans="2:3">
      <c r="B1644" s="264" t="s">
        <v>1680</v>
      </c>
      <c r="C1644" s="265">
        <v>49583</v>
      </c>
    </row>
    <row r="1645" spans="2:3">
      <c r="B1645" s="264" t="s">
        <v>1681</v>
      </c>
      <c r="C1645" s="265">
        <v>49614</v>
      </c>
    </row>
    <row r="1646" spans="2:3">
      <c r="B1646" s="264" t="s">
        <v>1682</v>
      </c>
      <c r="C1646" s="265">
        <v>49644</v>
      </c>
    </row>
    <row r="1647" spans="2:3">
      <c r="B1647" s="264" t="s">
        <v>1683</v>
      </c>
      <c r="C1647" s="265">
        <v>49675</v>
      </c>
    </row>
    <row r="1648" spans="2:3">
      <c r="B1648" s="264" t="s">
        <v>1684</v>
      </c>
      <c r="C1648" s="265">
        <v>49706</v>
      </c>
    </row>
    <row r="1649" spans="2:3">
      <c r="B1649" s="264" t="s">
        <v>1685</v>
      </c>
      <c r="C1649" s="265">
        <v>49735</v>
      </c>
    </row>
    <row r="1650" spans="2:3">
      <c r="B1650" s="264" t="s">
        <v>1686</v>
      </c>
      <c r="C1650" s="265">
        <v>49766</v>
      </c>
    </row>
    <row r="1651" spans="2:3">
      <c r="B1651" s="264" t="s">
        <v>1687</v>
      </c>
      <c r="C1651" s="265">
        <v>49796</v>
      </c>
    </row>
    <row r="1652" spans="2:3">
      <c r="B1652" s="264" t="s">
        <v>1688</v>
      </c>
      <c r="C1652" s="265">
        <v>49827</v>
      </c>
    </row>
    <row r="1653" spans="2:3">
      <c r="B1653" s="264" t="s">
        <v>1689</v>
      </c>
      <c r="C1653" s="265">
        <v>49857</v>
      </c>
    </row>
    <row r="1654" spans="2:3">
      <c r="B1654" s="264" t="s">
        <v>1690</v>
      </c>
      <c r="C1654" s="265">
        <v>49888</v>
      </c>
    </row>
    <row r="1655" spans="2:3">
      <c r="B1655" s="264" t="s">
        <v>1691</v>
      </c>
      <c r="C1655" s="265">
        <v>49919</v>
      </c>
    </row>
    <row r="1656" spans="2:3">
      <c r="B1656" s="264" t="s">
        <v>1692</v>
      </c>
      <c r="C1656" s="265">
        <v>49949</v>
      </c>
    </row>
    <row r="1657" spans="2:3">
      <c r="B1657" s="264" t="s">
        <v>1693</v>
      </c>
      <c r="C1657" s="265">
        <v>49980</v>
      </c>
    </row>
    <row r="1658" spans="2:3">
      <c r="B1658" s="264" t="s">
        <v>1694</v>
      </c>
      <c r="C1658" s="265">
        <v>50010</v>
      </c>
    </row>
    <row r="1659" spans="2:3">
      <c r="B1659" s="264" t="s">
        <v>1695</v>
      </c>
      <c r="C1659" s="265">
        <v>50041</v>
      </c>
    </row>
    <row r="1660" spans="2:3">
      <c r="B1660" s="264" t="s">
        <v>1696</v>
      </c>
      <c r="C1660" s="265">
        <v>50072</v>
      </c>
    </row>
    <row r="1661" spans="2:3">
      <c r="B1661" s="264" t="s">
        <v>1697</v>
      </c>
      <c r="C1661" s="265">
        <v>50100</v>
      </c>
    </row>
    <row r="1662" spans="2:3">
      <c r="B1662" s="264" t="s">
        <v>1698</v>
      </c>
      <c r="C1662" s="265">
        <v>50131</v>
      </c>
    </row>
    <row r="1663" spans="2:3">
      <c r="B1663" s="264" t="s">
        <v>1699</v>
      </c>
      <c r="C1663" s="265">
        <v>50161</v>
      </c>
    </row>
    <row r="1664" spans="2:3">
      <c r="B1664" s="264" t="s">
        <v>1700</v>
      </c>
      <c r="C1664" s="265">
        <v>50192</v>
      </c>
    </row>
    <row r="1665" spans="2:3">
      <c r="B1665" s="264" t="s">
        <v>1701</v>
      </c>
      <c r="C1665" s="265">
        <v>50222</v>
      </c>
    </row>
    <row r="1666" spans="2:3">
      <c r="B1666" s="264" t="s">
        <v>1702</v>
      </c>
      <c r="C1666" s="265">
        <v>50253</v>
      </c>
    </row>
    <row r="1667" spans="2:3">
      <c r="B1667" s="264" t="s">
        <v>1703</v>
      </c>
      <c r="C1667" s="265">
        <v>50284</v>
      </c>
    </row>
    <row r="1668" spans="2:3">
      <c r="B1668" s="264" t="s">
        <v>1704</v>
      </c>
      <c r="C1668" s="265">
        <v>50314</v>
      </c>
    </row>
    <row r="1669" spans="2:3">
      <c r="B1669" s="264" t="s">
        <v>1705</v>
      </c>
      <c r="C1669" s="265">
        <v>50345</v>
      </c>
    </row>
    <row r="1670" spans="2:3">
      <c r="B1670" s="264" t="s">
        <v>1706</v>
      </c>
      <c r="C1670" s="265">
        <v>50375</v>
      </c>
    </row>
    <row r="1671" spans="2:3">
      <c r="B1671" s="264" t="s">
        <v>1707</v>
      </c>
      <c r="C1671" s="265">
        <v>50406</v>
      </c>
    </row>
    <row r="1672" spans="2:3">
      <c r="B1672" s="264" t="s">
        <v>1708</v>
      </c>
      <c r="C1672" s="265">
        <v>50437</v>
      </c>
    </row>
    <row r="1673" spans="2:3">
      <c r="B1673" s="264" t="s">
        <v>1709</v>
      </c>
      <c r="C1673" s="265">
        <v>50465</v>
      </c>
    </row>
    <row r="1674" spans="2:3">
      <c r="B1674" s="264" t="s">
        <v>1710</v>
      </c>
      <c r="C1674" s="265">
        <v>50496</v>
      </c>
    </row>
    <row r="1675" spans="2:3">
      <c r="B1675" s="264" t="s">
        <v>1711</v>
      </c>
      <c r="C1675" s="265">
        <v>50526</v>
      </c>
    </row>
    <row r="1676" spans="2:3">
      <c r="B1676" s="264" t="s">
        <v>1712</v>
      </c>
      <c r="C1676" s="265">
        <v>50557</v>
      </c>
    </row>
    <row r="1677" spans="2:3">
      <c r="B1677" s="264" t="s">
        <v>1713</v>
      </c>
      <c r="C1677" s="265">
        <v>50587</v>
      </c>
    </row>
    <row r="1678" spans="2:3">
      <c r="B1678" s="264" t="s">
        <v>1714</v>
      </c>
      <c r="C1678" s="265">
        <v>50618</v>
      </c>
    </row>
    <row r="1679" spans="2:3">
      <c r="B1679" s="264" t="s">
        <v>1715</v>
      </c>
      <c r="C1679" s="265">
        <v>50649</v>
      </c>
    </row>
    <row r="1680" spans="2:3">
      <c r="B1680" s="264" t="s">
        <v>1716</v>
      </c>
      <c r="C1680" s="265">
        <v>50679</v>
      </c>
    </row>
    <row r="1681" spans="2:3">
      <c r="B1681" s="264" t="s">
        <v>1717</v>
      </c>
      <c r="C1681" s="265">
        <v>50710</v>
      </c>
    </row>
    <row r="1682" spans="2:3">
      <c r="B1682" s="264" t="s">
        <v>1718</v>
      </c>
      <c r="C1682" s="265">
        <v>50740</v>
      </c>
    </row>
    <row r="1683" spans="2:3">
      <c r="B1683" s="264" t="s">
        <v>1719</v>
      </c>
      <c r="C1683" s="265">
        <v>50771</v>
      </c>
    </row>
    <row r="1684" spans="2:3">
      <c r="B1684" s="264" t="s">
        <v>1720</v>
      </c>
      <c r="C1684" s="265">
        <v>50802</v>
      </c>
    </row>
    <row r="1685" spans="2:3">
      <c r="B1685" s="264" t="s">
        <v>1721</v>
      </c>
      <c r="C1685" s="265">
        <v>50830</v>
      </c>
    </row>
    <row r="1686" spans="2:3">
      <c r="B1686" s="264" t="s">
        <v>1722</v>
      </c>
      <c r="C1686" s="265">
        <v>50861</v>
      </c>
    </row>
    <row r="1687" spans="2:3">
      <c r="B1687" s="264" t="s">
        <v>1723</v>
      </c>
      <c r="C1687" s="265">
        <v>50891</v>
      </c>
    </row>
    <row r="1688" spans="2:3">
      <c r="B1688" s="264" t="s">
        <v>1724</v>
      </c>
      <c r="C1688" s="265">
        <v>50922</v>
      </c>
    </row>
    <row r="1689" spans="2:3">
      <c r="B1689" s="264" t="s">
        <v>1725</v>
      </c>
      <c r="C1689" s="265">
        <v>50952</v>
      </c>
    </row>
    <row r="1690" spans="2:3">
      <c r="B1690" s="264" t="s">
        <v>1726</v>
      </c>
      <c r="C1690" s="265">
        <v>50983</v>
      </c>
    </row>
    <row r="1691" spans="2:3">
      <c r="B1691" s="264" t="s">
        <v>1727</v>
      </c>
      <c r="C1691" s="265">
        <v>51014</v>
      </c>
    </row>
    <row r="1692" spans="2:3">
      <c r="B1692" s="264" t="s">
        <v>1728</v>
      </c>
      <c r="C1692" s="265">
        <v>51044</v>
      </c>
    </row>
    <row r="1693" spans="2:3">
      <c r="B1693" s="264" t="s">
        <v>1729</v>
      </c>
      <c r="C1693" s="265">
        <v>51075</v>
      </c>
    </row>
    <row r="1694" spans="2:3">
      <c r="B1694" s="264" t="s">
        <v>1730</v>
      </c>
      <c r="C1694" s="265">
        <v>51105</v>
      </c>
    </row>
    <row r="1695" spans="2:3">
      <c r="B1695" s="264" t="s">
        <v>1731</v>
      </c>
      <c r="C1695" s="265">
        <v>51136</v>
      </c>
    </row>
    <row r="1696" spans="2:3">
      <c r="B1696" s="264" t="s">
        <v>1732</v>
      </c>
      <c r="C1696" s="265">
        <v>51167</v>
      </c>
    </row>
    <row r="1697" spans="2:3">
      <c r="B1697" s="264" t="s">
        <v>1733</v>
      </c>
      <c r="C1697" s="265">
        <v>51196</v>
      </c>
    </row>
    <row r="1698" spans="2:3">
      <c r="B1698" s="264" t="s">
        <v>1734</v>
      </c>
      <c r="C1698" s="265">
        <v>51227</v>
      </c>
    </row>
    <row r="1699" spans="2:3">
      <c r="B1699" s="264" t="s">
        <v>1735</v>
      </c>
      <c r="C1699" s="265">
        <v>51257</v>
      </c>
    </row>
    <row r="1979" spans="13:13">
      <c r="M1979" s="16"/>
    </row>
  </sheetData>
  <sheetProtection algorithmName="SHA-512" hashValue="bCSLIkZ+bpErjbVjRa/JqKBLCFuJHGUiUyr7FkK3BfHWVfBQhjbQvDu5IQh2SE0UIHbKp7mfBEkExrzQxq3oCw==" saltValue="98uax8PhGGSHIzy2o8SKEQ==" spinCount="100000" sheet="1" objects="1" scenarios="1" selectLockedCells="1"/>
  <mergeCells count="26">
    <mergeCell ref="A875:C875"/>
    <mergeCell ref="F861:G861"/>
    <mergeCell ref="H861:I861"/>
    <mergeCell ref="J861:K861"/>
    <mergeCell ref="F859:I860"/>
    <mergeCell ref="J859:M860"/>
    <mergeCell ref="L861:M861"/>
    <mergeCell ref="N828:P828"/>
    <mergeCell ref="I150:L150"/>
    <mergeCell ref="D192:F192"/>
    <mergeCell ref="G192:I192"/>
    <mergeCell ref="J192:L192"/>
    <mergeCell ref="C828:D828"/>
    <mergeCell ref="E828:G828"/>
    <mergeCell ref="H828:J828"/>
    <mergeCell ref="K828:M828"/>
    <mergeCell ref="I738:I739"/>
    <mergeCell ref="B738:B739"/>
    <mergeCell ref="C738:C739"/>
    <mergeCell ref="D738:D739"/>
    <mergeCell ref="F738:H739"/>
    <mergeCell ref="B118:D118"/>
    <mergeCell ref="A192:C192"/>
    <mergeCell ref="A194:C194"/>
    <mergeCell ref="A150:D150"/>
    <mergeCell ref="E150:H150"/>
  </mergeCells>
  <phoneticPr fontId="5" type="noConversion"/>
  <pageMargins left="0.75" right="0.75" top="1" bottom="1" header="0" footer="0"/>
  <pageSetup orientation="portrait" horizontalDpi="1200" verticalDpi="1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>
    <tabColor theme="6" tint="0.39997558519241921"/>
  </sheetPr>
  <dimension ref="A1:AK489"/>
  <sheetViews>
    <sheetView zoomScale="85" zoomScaleNormal="85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E12" sqref="E12"/>
    </sheetView>
  </sheetViews>
  <sheetFormatPr baseColWidth="10" defaultColWidth="11.44140625" defaultRowHeight="13.2"/>
  <cols>
    <col min="1" max="1" width="21.5546875" style="1" customWidth="1"/>
    <col min="2" max="2" width="11.44140625" style="1"/>
    <col min="3" max="3" width="20" style="1" customWidth="1"/>
    <col min="4" max="4" width="23.44140625" style="1" customWidth="1"/>
    <col min="5" max="5" width="15.88671875" style="1" customWidth="1"/>
    <col min="6" max="7" width="11.44140625" style="1"/>
    <col min="8" max="8" width="19.33203125" style="1" customWidth="1"/>
    <col min="9" max="9" width="18.5546875" style="1" customWidth="1"/>
    <col min="10" max="10" width="19.33203125" style="1" customWidth="1"/>
    <col min="11" max="11" width="16.6640625" style="1" customWidth="1"/>
    <col min="12" max="14" width="11.44140625" style="1"/>
    <col min="15" max="37" width="11.44140625" style="149"/>
    <col min="38" max="16384" width="11.44140625" style="1"/>
  </cols>
  <sheetData>
    <row r="1" spans="1:37" s="112" customFormat="1" ht="18" thickBot="1">
      <c r="A1" s="1120" t="s">
        <v>791</v>
      </c>
      <c r="B1" s="1121"/>
      <c r="C1" s="1121"/>
      <c r="D1" s="1121"/>
      <c r="E1" s="1121"/>
      <c r="F1" s="1121"/>
      <c r="G1" s="1121"/>
      <c r="H1" s="1121"/>
      <c r="I1" s="1121"/>
      <c r="J1" s="1121"/>
      <c r="K1" s="1121"/>
      <c r="L1" s="1121"/>
      <c r="M1" s="1121"/>
      <c r="N1" s="1121"/>
      <c r="O1" s="150"/>
      <c r="P1" s="150"/>
      <c r="Q1" s="150"/>
      <c r="R1" s="150"/>
      <c r="S1" s="150"/>
      <c r="T1" s="150"/>
      <c r="U1" s="150"/>
      <c r="V1" s="150"/>
      <c r="W1" s="150"/>
      <c r="X1" s="150"/>
      <c r="Y1" s="150"/>
      <c r="Z1" s="150"/>
      <c r="AA1" s="150"/>
      <c r="AB1" s="150"/>
      <c r="AC1" s="150"/>
      <c r="AD1" s="150"/>
      <c r="AE1" s="150"/>
      <c r="AF1" s="150"/>
      <c r="AG1" s="150"/>
      <c r="AH1" s="150"/>
      <c r="AI1" s="150"/>
      <c r="AJ1" s="150"/>
      <c r="AK1" s="150"/>
    </row>
    <row r="2" spans="1:37" ht="13.8" thickBot="1">
      <c r="A2" s="1122" t="s">
        <v>355</v>
      </c>
      <c r="B2" s="1123"/>
      <c r="C2" s="1124"/>
      <c r="D2" s="1124"/>
      <c r="E2" s="1124"/>
      <c r="F2" s="1124"/>
      <c r="G2" s="1124"/>
      <c r="H2" s="1124"/>
      <c r="I2" s="1124"/>
      <c r="J2" s="1124"/>
      <c r="K2" s="1124"/>
      <c r="L2" s="1124"/>
      <c r="M2" s="1124"/>
      <c r="N2" s="1124"/>
    </row>
    <row r="3" spans="1:37" ht="25.8" thickBot="1">
      <c r="A3" s="1115" t="s">
        <v>792</v>
      </c>
      <c r="B3" s="1115"/>
      <c r="C3" s="807" t="s">
        <v>1743</v>
      </c>
      <c r="D3" s="1132" t="s">
        <v>2011</v>
      </c>
      <c r="E3" s="1133"/>
      <c r="F3" s="1133"/>
      <c r="G3" s="1133"/>
      <c r="H3" s="1134"/>
      <c r="I3" s="812" t="s">
        <v>794</v>
      </c>
      <c r="J3" s="825"/>
      <c r="K3" s="813" t="s">
        <v>795</v>
      </c>
      <c r="L3" s="1125" t="s">
        <v>2015</v>
      </c>
      <c r="M3" s="1126"/>
      <c r="N3" s="1127"/>
      <c r="O3" s="151" t="s">
        <v>796</v>
      </c>
      <c r="P3" s="151" t="s">
        <v>5</v>
      </c>
      <c r="Q3" s="151" t="s">
        <v>797</v>
      </c>
      <c r="R3" s="151" t="s">
        <v>798</v>
      </c>
      <c r="S3" s="151" t="s">
        <v>799</v>
      </c>
      <c r="T3" s="151" t="s">
        <v>800</v>
      </c>
    </row>
    <row r="4" spans="1:37" ht="24" customHeight="1" thickBot="1">
      <c r="A4" s="1116" t="s">
        <v>12</v>
      </c>
      <c r="B4" s="1117"/>
      <c r="C4" s="808" t="s">
        <v>1740</v>
      </c>
      <c r="D4" s="1135" t="s">
        <v>2012</v>
      </c>
      <c r="E4" s="1136"/>
      <c r="F4" s="1136"/>
      <c r="G4" s="1136"/>
      <c r="H4" s="1137"/>
      <c r="I4" s="814" t="str">
        <f>P5</f>
        <v/>
      </c>
      <c r="J4" s="826"/>
      <c r="K4" s="815" t="s">
        <v>1749</v>
      </c>
      <c r="L4" s="1128" t="str">
        <f>O4</f>
        <v>NQ424AB225</v>
      </c>
      <c r="M4" s="1129"/>
      <c r="N4" s="1130"/>
      <c r="O4" s="149" t="str">
        <f>IFERROR(VLOOKUP(H8,A58:N384,13,0),H8)</f>
        <v>NQ424AB225</v>
      </c>
      <c r="P4" s="149">
        <f>VLOOKUP(H8,A58:N384,8,0)</f>
        <v>3</v>
      </c>
      <c r="Q4" s="149">
        <f>VLOOKUP(H8,A58:N384,10,0)</f>
        <v>225</v>
      </c>
      <c r="R4" s="149">
        <f>VLOOKUP(H8,A58:N384,11,0)</f>
        <v>100</v>
      </c>
      <c r="S4" s="149">
        <f>VLOOKUP(H8,A58:N384,12,0)</f>
        <v>42</v>
      </c>
      <c r="T4" s="149">
        <f>VLOOKUP(H8,A58:O384,15,0)</f>
        <v>2</v>
      </c>
    </row>
    <row r="5" spans="1:37" ht="26.4" customHeight="1" thickBot="1">
      <c r="A5" s="1118"/>
      <c r="B5" s="1119"/>
      <c r="C5" s="809" t="s">
        <v>1741</v>
      </c>
      <c r="D5" s="1135" t="s">
        <v>2013</v>
      </c>
      <c r="E5" s="1136"/>
      <c r="F5" s="1136"/>
      <c r="G5" s="1136"/>
      <c r="H5" s="1137"/>
      <c r="I5" s="816" t="str">
        <f>Q5</f>
        <v>TABLERO CON PPAL MENOR CAPACIDAD</v>
      </c>
      <c r="J5" s="827"/>
      <c r="K5" s="817" t="s">
        <v>802</v>
      </c>
      <c r="L5" s="1131" t="s">
        <v>2003</v>
      </c>
      <c r="M5" s="1129"/>
      <c r="N5" s="1130"/>
      <c r="P5" s="149" t="str">
        <f>IF(F10&gt;P4,"SELECCIÓN DE FASES ERRONEA","")</f>
        <v/>
      </c>
      <c r="Q5" s="149" t="str">
        <f>IF(TABLERO!BW1&gt;DATOS!Q4,"TABLERO CON PPAL MENOR CAPACIDAD","")</f>
        <v>TABLERO CON PPAL MENOR CAPACIDAD</v>
      </c>
      <c r="R5" s="152" t="str">
        <f>IF(MAX(TABLERO!BW31:BW72)&gt;R4,"DERIVADOS NO CABEN EN TABLERO","")</f>
        <v/>
      </c>
      <c r="S5" s="149" t="str">
        <f>IF(S4&lt;L6,"NUMERO DE POLOS INSUFICIENTE","")</f>
        <v/>
      </c>
    </row>
    <row r="6" spans="1:37" ht="40.799999999999997" customHeight="1" thickBot="1">
      <c r="A6" s="1118"/>
      <c r="B6" s="1119"/>
      <c r="C6" s="810" t="s">
        <v>1742</v>
      </c>
      <c r="D6" s="1138" t="s">
        <v>797</v>
      </c>
      <c r="E6" s="1139"/>
      <c r="F6" s="1139"/>
      <c r="G6" s="1139"/>
      <c r="H6" s="1140"/>
      <c r="I6" s="818" t="str">
        <f>R5</f>
        <v/>
      </c>
      <c r="J6" s="826"/>
      <c r="K6" s="817" t="s">
        <v>803</v>
      </c>
      <c r="L6" s="492">
        <f>M6</f>
        <v>0</v>
      </c>
      <c r="M6" s="819">
        <f>TABLERO!FK116</f>
        <v>0</v>
      </c>
      <c r="N6" s="820"/>
    </row>
    <row r="7" spans="1:37" ht="16.8" thickBot="1">
      <c r="A7" s="766" t="s">
        <v>1747</v>
      </c>
      <c r="B7" s="862" t="s">
        <v>2014</v>
      </c>
      <c r="C7" s="806" t="s">
        <v>1746</v>
      </c>
      <c r="D7" s="863" t="s">
        <v>1736</v>
      </c>
      <c r="E7" s="806" t="s">
        <v>1748</v>
      </c>
      <c r="F7" s="863" t="s">
        <v>1736</v>
      </c>
      <c r="G7" s="806" t="s">
        <v>804</v>
      </c>
      <c r="H7" s="811"/>
      <c r="I7" s="821" t="str">
        <f>S5</f>
        <v/>
      </c>
      <c r="J7" s="824"/>
      <c r="K7" s="822" t="s">
        <v>805</v>
      </c>
      <c r="L7" s="864" t="s">
        <v>1860</v>
      </c>
      <c r="M7" s="823"/>
      <c r="N7" s="824"/>
    </row>
    <row r="8" spans="1:37" ht="16.8" thickBot="1">
      <c r="A8" s="764" t="s">
        <v>806</v>
      </c>
      <c r="B8" s="765"/>
      <c r="C8" s="765"/>
      <c r="D8" s="765"/>
      <c r="E8" s="765"/>
      <c r="F8" s="184"/>
      <c r="G8" s="491" t="s">
        <v>357</v>
      </c>
      <c r="H8" s="1141" t="s">
        <v>1028</v>
      </c>
      <c r="I8" s="1142"/>
      <c r="J8" s="1142"/>
      <c r="K8" s="1142"/>
      <c r="L8" s="1142"/>
      <c r="M8" s="1142"/>
      <c r="N8" s="1143"/>
    </row>
    <row r="9" spans="1:37" ht="18.600000000000001" thickBot="1">
      <c r="A9" s="749"/>
      <c r="B9" s="750"/>
      <c r="C9" s="750"/>
      <c r="D9" s="750"/>
      <c r="E9" s="751" t="s">
        <v>808</v>
      </c>
      <c r="F9" s="762">
        <v>220</v>
      </c>
      <c r="G9" s="756" t="s">
        <v>809</v>
      </c>
      <c r="H9" s="760">
        <f>F9/1.73</f>
        <v>127.16763005780346</v>
      </c>
      <c r="I9" s="757"/>
      <c r="J9" s="494" t="s">
        <v>374</v>
      </c>
      <c r="K9" s="493"/>
      <c r="L9" s="1157" t="str">
        <f>IF(F24&lt;&gt;"TB",F10&amp;"P-"&amp;TABLERO!E1&amp;"A",TABLERO!F116&amp;"P-"&amp;TABLERO!BW116)</f>
        <v>3P-</v>
      </c>
      <c r="M9" s="1157"/>
      <c r="N9" s="495" t="str">
        <f>IF(F24="TR",TABLERO!BW118,IF(F24&lt;&gt;"TB",F10&amp;"P-"&amp;TABLERO!BW1 &amp;" A",""))</f>
        <v/>
      </c>
    </row>
    <row r="10" spans="1:37" ht="15.6" thickBot="1">
      <c r="A10" s="749"/>
      <c r="B10" s="750"/>
      <c r="C10" s="750"/>
      <c r="D10" s="750"/>
      <c r="E10" s="751" t="s">
        <v>810</v>
      </c>
      <c r="F10" s="763">
        <v>3</v>
      </c>
      <c r="G10" s="761" t="s">
        <v>361</v>
      </c>
      <c r="H10" s="720">
        <v>4</v>
      </c>
      <c r="I10" s="757"/>
      <c r="J10" s="1154" t="s">
        <v>811</v>
      </c>
      <c r="K10" s="1155"/>
      <c r="L10" s="1155"/>
      <c r="M10" s="1155"/>
      <c r="N10" s="1156"/>
    </row>
    <row r="11" spans="1:37" ht="15.6" thickBot="1">
      <c r="A11" s="749"/>
      <c r="B11" s="750"/>
      <c r="C11" s="750"/>
      <c r="D11" s="750"/>
      <c r="E11" s="751" t="s">
        <v>363</v>
      </c>
      <c r="F11" s="762" t="s">
        <v>812</v>
      </c>
      <c r="G11" s="757"/>
      <c r="H11" s="757"/>
      <c r="I11" s="757"/>
      <c r="J11" s="773"/>
      <c r="K11" s="783"/>
      <c r="L11" s="784" t="s">
        <v>813</v>
      </c>
      <c r="M11" s="779">
        <v>1</v>
      </c>
      <c r="N11" s="774"/>
    </row>
    <row r="12" spans="1:37" ht="15.6" thickBot="1">
      <c r="A12" s="749"/>
      <c r="B12" s="750"/>
      <c r="C12" s="750"/>
      <c r="D12" s="750"/>
      <c r="E12" s="751" t="s">
        <v>814</v>
      </c>
      <c r="F12" s="763" t="s">
        <v>1739</v>
      </c>
      <c r="G12" s="757"/>
      <c r="H12" s="721" t="s">
        <v>815</v>
      </c>
      <c r="I12" s="722">
        <f>IF(TABLERO!AZ118/F14&gt;501,5.75,IF(TABLERO!AZ118/F14&gt;300,4,IF(TABLERO!AZ118/F14&gt;150,3,1.75)))</f>
        <v>1.75</v>
      </c>
      <c r="J12" s="773"/>
      <c r="K12" s="783"/>
      <c r="L12" s="784" t="s">
        <v>1837</v>
      </c>
      <c r="M12" s="780">
        <v>1</v>
      </c>
      <c r="N12" s="774">
        <f>IF(TABLERO!BK25=0,1,"NORMA")</f>
        <v>1</v>
      </c>
    </row>
    <row r="13" spans="1:37" ht="15.6" thickBot="1">
      <c r="A13" s="749"/>
      <c r="B13" s="750"/>
      <c r="C13" s="750"/>
      <c r="D13" s="750"/>
      <c r="E13" s="751" t="s">
        <v>816</v>
      </c>
      <c r="F13" s="762">
        <v>30</v>
      </c>
      <c r="G13" s="758" t="s">
        <v>817</v>
      </c>
      <c r="H13" s="723" t="s">
        <v>818</v>
      </c>
      <c r="I13" s="724"/>
      <c r="J13" s="773"/>
      <c r="K13" s="783"/>
      <c r="L13" s="784" t="s">
        <v>819</v>
      </c>
      <c r="M13" s="781">
        <v>1</v>
      </c>
      <c r="N13" s="774"/>
    </row>
    <row r="14" spans="1:37" ht="15.6" thickBot="1">
      <c r="A14" s="749"/>
      <c r="B14" s="750"/>
      <c r="C14" s="750"/>
      <c r="D14" s="750"/>
      <c r="E14" s="751" t="s">
        <v>1839</v>
      </c>
      <c r="F14" s="763">
        <v>0.9</v>
      </c>
      <c r="G14" s="796">
        <v>1</v>
      </c>
      <c r="H14" s="725" t="s">
        <v>821</v>
      </c>
      <c r="I14" s="718">
        <f>I12</f>
        <v>1.75</v>
      </c>
      <c r="J14" s="773"/>
      <c r="K14" s="783"/>
      <c r="L14" s="784" t="s">
        <v>822</v>
      </c>
      <c r="M14" s="780">
        <v>1</v>
      </c>
      <c r="N14" s="774"/>
    </row>
    <row r="15" spans="1:37" ht="15.6" thickBot="1">
      <c r="A15" s="749"/>
      <c r="B15" s="750"/>
      <c r="C15" s="750"/>
      <c r="D15" s="750"/>
      <c r="E15" s="751" t="s">
        <v>1750</v>
      </c>
      <c r="F15" s="762">
        <v>100</v>
      </c>
      <c r="G15" s="797"/>
      <c r="H15" s="725" t="s">
        <v>823</v>
      </c>
      <c r="I15" s="719">
        <v>1</v>
      </c>
      <c r="J15" s="773"/>
      <c r="K15" s="783"/>
      <c r="L15" s="784" t="s">
        <v>824</v>
      </c>
      <c r="M15" s="781">
        <v>1</v>
      </c>
      <c r="N15" s="774"/>
    </row>
    <row r="16" spans="1:37" ht="15.6" thickBot="1">
      <c r="A16" s="749"/>
      <c r="B16" s="750"/>
      <c r="C16" s="750"/>
      <c r="D16" s="750"/>
      <c r="E16" s="751" t="s">
        <v>1840</v>
      </c>
      <c r="F16" s="763">
        <v>100</v>
      </c>
      <c r="G16" s="796" t="s">
        <v>597</v>
      </c>
      <c r="H16" s="726" t="s">
        <v>825</v>
      </c>
      <c r="I16" s="718">
        <v>1</v>
      </c>
      <c r="J16" s="773"/>
      <c r="K16" s="783"/>
      <c r="L16" s="784" t="s">
        <v>826</v>
      </c>
      <c r="M16" s="780">
        <v>1</v>
      </c>
      <c r="N16" s="774"/>
    </row>
    <row r="17" spans="1:14" ht="15.6" thickBot="1">
      <c r="A17" s="749"/>
      <c r="B17" s="750"/>
      <c r="C17" s="750"/>
      <c r="D17" s="750"/>
      <c r="E17" s="751" t="s">
        <v>1516</v>
      </c>
      <c r="F17" s="762">
        <v>100</v>
      </c>
      <c r="G17" s="798">
        <v>125</v>
      </c>
      <c r="H17" s="726" t="s">
        <v>1836</v>
      </c>
      <c r="I17" s="729" t="str">
        <f>FIXED(((TABLERO!AZ118/F14)/(1.73*(F9/1000)*(I14/100)))*I16/1000,2)</f>
        <v>2.25</v>
      </c>
      <c r="J17" s="773"/>
      <c r="K17" s="783"/>
      <c r="L17" s="784" t="s">
        <v>827</v>
      </c>
      <c r="M17" s="782">
        <v>1</v>
      </c>
      <c r="N17" s="774"/>
    </row>
    <row r="18" spans="1:14" ht="15.6" thickBot="1">
      <c r="A18" s="749"/>
      <c r="B18" s="750"/>
      <c r="C18" s="750"/>
      <c r="D18" s="750"/>
      <c r="E18" s="751" t="s">
        <v>1517</v>
      </c>
      <c r="F18" s="763">
        <v>150</v>
      </c>
      <c r="G18" s="796">
        <v>125</v>
      </c>
      <c r="H18" s="799" t="s">
        <v>828</v>
      </c>
      <c r="I18" s="800"/>
      <c r="J18" s="775"/>
      <c r="K18" s="776"/>
      <c r="L18" s="777" t="s">
        <v>829</v>
      </c>
      <c r="M18" s="780">
        <v>1</v>
      </c>
      <c r="N18" s="778"/>
    </row>
    <row r="19" spans="1:14" ht="15.6" thickBot="1">
      <c r="A19" s="749"/>
      <c r="B19" s="750"/>
      <c r="C19" s="750"/>
      <c r="D19" s="750"/>
      <c r="E19" s="751" t="s">
        <v>1518</v>
      </c>
      <c r="F19" s="762">
        <v>100</v>
      </c>
      <c r="G19" s="798">
        <v>135</v>
      </c>
      <c r="H19" s="801" t="s">
        <v>830</v>
      </c>
      <c r="I19" s="802"/>
      <c r="J19" s="785"/>
      <c r="K19" s="786"/>
      <c r="L19" s="787" t="s">
        <v>831</v>
      </c>
      <c r="M19" s="788">
        <v>12</v>
      </c>
      <c r="N19" s="789">
        <f>IF(M19=14,15,IF(M19=12,20,IF(M19=10,30,IF(M19=8,40,IF(M19=6,50,30)))))</f>
        <v>20</v>
      </c>
    </row>
    <row r="20" spans="1:14" ht="16.2" thickTop="1" thickBot="1">
      <c r="A20" s="749"/>
      <c r="B20" s="750"/>
      <c r="C20" s="750"/>
      <c r="D20" s="750"/>
      <c r="E20" s="751" t="s">
        <v>832</v>
      </c>
      <c r="F20" s="865" t="s">
        <v>463</v>
      </c>
      <c r="G20" s="756"/>
      <c r="H20" s="803">
        <v>5</v>
      </c>
      <c r="I20" s="802"/>
      <c r="J20" s="728"/>
      <c r="K20" s="768"/>
      <c r="L20" s="767" t="s">
        <v>833</v>
      </c>
      <c r="M20" s="770">
        <v>12</v>
      </c>
      <c r="N20" s="790">
        <f>IF(M20=14,15,IF(M20=12,20,IF(M20=10,30,IF(M20=8,40,IF(M20=6,50,30)))))</f>
        <v>20</v>
      </c>
    </row>
    <row r="21" spans="1:14" ht="15.6" thickBot="1">
      <c r="A21" s="749"/>
      <c r="B21" s="750"/>
      <c r="C21" s="750"/>
      <c r="D21" s="750"/>
      <c r="E21" s="751" t="s">
        <v>834</v>
      </c>
      <c r="F21" s="866" t="s">
        <v>463</v>
      </c>
      <c r="G21" s="757"/>
      <c r="H21" s="804" t="s">
        <v>1830</v>
      </c>
      <c r="I21" s="805"/>
      <c r="J21" s="728"/>
      <c r="K21" s="768"/>
      <c r="L21" s="767" t="s">
        <v>1829</v>
      </c>
      <c r="M21" s="769">
        <v>10</v>
      </c>
      <c r="N21" s="790">
        <f>IF(M21=14,15,IF(M21=12,20,IF(M21=10,30,IF(M21=8,50,IF(M21=6,60,30)))))</f>
        <v>30</v>
      </c>
    </row>
    <row r="22" spans="1:14" ht="15.6" thickBot="1">
      <c r="A22" s="749"/>
      <c r="B22" s="750"/>
      <c r="C22" s="750"/>
      <c r="D22" s="750"/>
      <c r="E22" s="751" t="s">
        <v>835</v>
      </c>
      <c r="F22" s="865" t="s">
        <v>500</v>
      </c>
      <c r="G22" s="757"/>
      <c r="H22" s="759"/>
      <c r="I22" s="757"/>
      <c r="J22" s="728"/>
      <c r="K22" s="768"/>
      <c r="L22" s="767" t="s">
        <v>836</v>
      </c>
      <c r="M22" s="771">
        <v>15</v>
      </c>
      <c r="N22" s="790" t="s">
        <v>12</v>
      </c>
    </row>
    <row r="23" spans="1:14" ht="15.6" thickBot="1">
      <c r="A23" s="749"/>
      <c r="B23" s="750"/>
      <c r="C23" s="750"/>
      <c r="D23" s="750"/>
      <c r="E23" s="751" t="s">
        <v>837</v>
      </c>
      <c r="F23" s="866" t="s">
        <v>500</v>
      </c>
      <c r="G23" s="757"/>
      <c r="H23" s="757"/>
      <c r="I23" s="757"/>
      <c r="J23" s="728"/>
      <c r="K23" s="768"/>
      <c r="L23" s="767" t="s">
        <v>838</v>
      </c>
      <c r="M23" s="772">
        <v>20</v>
      </c>
      <c r="N23" s="790" t="s">
        <v>12</v>
      </c>
    </row>
    <row r="24" spans="1:14" ht="16.2" thickTop="1" thickBot="1">
      <c r="A24" s="749"/>
      <c r="B24" s="750"/>
      <c r="C24" s="750"/>
      <c r="D24" s="750"/>
      <c r="E24" s="751" t="s">
        <v>839</v>
      </c>
      <c r="F24" s="865" t="s">
        <v>840</v>
      </c>
      <c r="G24" s="758" t="s">
        <v>841</v>
      </c>
      <c r="H24" s="867" t="s">
        <v>842</v>
      </c>
      <c r="I24" s="757"/>
      <c r="J24" s="728"/>
      <c r="K24" s="768"/>
      <c r="L24" s="767" t="s">
        <v>843</v>
      </c>
      <c r="M24" s="771">
        <v>15</v>
      </c>
      <c r="N24" s="790" t="s">
        <v>12</v>
      </c>
    </row>
    <row r="25" spans="1:14" ht="15.6" thickBot="1">
      <c r="A25" s="749"/>
      <c r="B25" s="750"/>
      <c r="C25" s="750"/>
      <c r="D25" s="750"/>
      <c r="E25" s="751" t="s">
        <v>369</v>
      </c>
      <c r="F25" s="866" t="s">
        <v>844</v>
      </c>
      <c r="G25" s="757"/>
      <c r="H25" s="757"/>
      <c r="I25" s="757"/>
      <c r="J25" s="728"/>
      <c r="K25" s="768"/>
      <c r="L25" s="767" t="s">
        <v>845</v>
      </c>
      <c r="M25" s="772">
        <v>16</v>
      </c>
      <c r="N25" s="790"/>
    </row>
    <row r="26" spans="1:14" ht="15.6" thickBot="1">
      <c r="A26" s="749"/>
      <c r="B26" s="750"/>
      <c r="C26" s="750"/>
      <c r="D26" s="750"/>
      <c r="E26" s="751" t="s">
        <v>1900</v>
      </c>
      <c r="F26" s="763">
        <v>60</v>
      </c>
      <c r="G26" s="752" t="s">
        <v>817</v>
      </c>
      <c r="H26" s="752"/>
      <c r="I26" s="752"/>
      <c r="J26" s="791"/>
      <c r="K26" s="792"/>
      <c r="L26" s="767" t="s">
        <v>846</v>
      </c>
      <c r="M26" s="771">
        <v>2</v>
      </c>
      <c r="N26" s="793"/>
    </row>
    <row r="27" spans="1:14" ht="15.6" thickBot="1">
      <c r="A27" s="753"/>
      <c r="B27" s="754"/>
      <c r="C27" s="754"/>
      <c r="D27" s="754"/>
      <c r="E27" s="755"/>
      <c r="F27" s="752"/>
      <c r="G27" s="755"/>
      <c r="H27" s="755"/>
      <c r="I27" s="755"/>
      <c r="J27" s="794"/>
      <c r="K27" s="727"/>
      <c r="L27" s="727"/>
      <c r="M27" s="727"/>
      <c r="N27" s="795"/>
    </row>
    <row r="28" spans="1:14" ht="13.8" thickBot="1">
      <c r="A28" s="1147" t="s">
        <v>847</v>
      </c>
      <c r="B28" s="1148"/>
      <c r="C28" s="1149"/>
      <c r="D28" s="1149"/>
      <c r="E28" s="1149"/>
      <c r="F28" s="1149"/>
      <c r="G28" s="1149"/>
      <c r="H28" s="1149"/>
      <c r="I28" s="1148"/>
      <c r="J28" s="1148"/>
      <c r="K28" s="1148"/>
      <c r="L28" s="1148"/>
      <c r="M28" s="1148"/>
      <c r="N28" s="1148"/>
    </row>
    <row r="29" spans="1:14" ht="13.8" thickBot="1">
      <c r="C29" s="113" t="s">
        <v>848</v>
      </c>
      <c r="D29" s="1150" t="s">
        <v>849</v>
      </c>
      <c r="E29" s="1150"/>
      <c r="F29" s="1150"/>
      <c r="G29" s="114" t="s">
        <v>850</v>
      </c>
      <c r="H29" s="115" t="s">
        <v>851</v>
      </c>
    </row>
    <row r="30" spans="1:14">
      <c r="C30" s="209"/>
      <c r="D30" s="1151"/>
      <c r="E30" s="1152"/>
      <c r="F30" s="1153"/>
      <c r="G30" s="210"/>
      <c r="H30" s="211"/>
    </row>
    <row r="31" spans="1:14">
      <c r="C31" s="212"/>
      <c r="D31" s="1158"/>
      <c r="E31" s="1159"/>
      <c r="F31" s="1160"/>
      <c r="G31" s="213"/>
      <c r="H31" s="214"/>
    </row>
    <row r="32" spans="1:14" ht="13.8" thickBot="1">
      <c r="C32" s="215"/>
      <c r="D32" s="1144"/>
      <c r="E32" s="1145"/>
      <c r="F32" s="1146"/>
      <c r="G32" s="216"/>
      <c r="H32" s="217"/>
    </row>
    <row r="36" spans="3:14">
      <c r="I36" s="49" t="s">
        <v>852</v>
      </c>
    </row>
    <row r="38" spans="3:14">
      <c r="C38" s="49" t="s">
        <v>853</v>
      </c>
      <c r="H38" s="1114" t="s">
        <v>854</v>
      </c>
      <c r="I38" s="1114"/>
      <c r="J38" s="1114"/>
      <c r="K38" s="1114"/>
      <c r="L38" s="1114"/>
      <c r="M38" s="139"/>
      <c r="N38" s="145"/>
    </row>
    <row r="39" spans="3:14">
      <c r="H39" s="1114" t="s">
        <v>855</v>
      </c>
      <c r="I39" s="1114"/>
      <c r="J39" s="1114"/>
      <c r="K39" s="1114"/>
      <c r="L39" s="1114"/>
      <c r="M39" s="141">
        <f>TABLERO!CB23*1000</f>
        <v>2250</v>
      </c>
      <c r="N39" s="139" t="s">
        <v>856</v>
      </c>
    </row>
    <row r="40" spans="3:14">
      <c r="C40" s="218" t="e">
        <f>IF(C$4="","",IF(VLOOKUP(C$4,'Base de Datos'!$B$2:$M$2000,7,0)=0,0,VLOOKUP(C$4,'Base de Datos'!$B$2:$M$2000,7,0)))</f>
        <v>#N/A</v>
      </c>
      <c r="H40" s="1114" t="s">
        <v>857</v>
      </c>
      <c r="I40" s="1114"/>
      <c r="J40" s="1114"/>
      <c r="K40" s="1114"/>
      <c r="L40" s="1114"/>
      <c r="M40" s="142">
        <v>3.3000000000000002E-2</v>
      </c>
      <c r="N40" s="139" t="s">
        <v>858</v>
      </c>
    </row>
    <row r="41" spans="3:14">
      <c r="C41" s="218" t="e">
        <f>IF(C$4="","",IF(VLOOKUP(C$4,'Base de Datos'!$B$2:$M$2000,8,0)="",0,VLOOKUP(C$4,'Base de Datos'!$B$2:$M$2000,8,0)))</f>
        <v>#N/A</v>
      </c>
      <c r="H41" s="1114" t="s">
        <v>859</v>
      </c>
      <c r="I41" s="1114"/>
      <c r="J41" s="1114"/>
      <c r="K41" s="1114"/>
      <c r="L41" s="1114"/>
      <c r="M41" s="143">
        <f>IF(K86&gt;100,75,60)</f>
        <v>60</v>
      </c>
      <c r="N41" s="139" t="s">
        <v>860</v>
      </c>
    </row>
    <row r="42" spans="3:14">
      <c r="C42" s="218" t="e">
        <f>IF(C$4="","",IF(C43="","",VLOOKUP(C$4,'Base de Datos'!$B$2:$M$2000,12,0)))</f>
        <v>#N/A</v>
      </c>
      <c r="H42" s="139"/>
      <c r="I42" s="139"/>
      <c r="J42" s="139"/>
      <c r="K42" s="139"/>
      <c r="L42" s="140" t="s">
        <v>861</v>
      </c>
      <c r="M42" s="139"/>
      <c r="N42" s="139"/>
    </row>
    <row r="43" spans="3:14">
      <c r="C43" s="219" t="e">
        <f>IF(C$4="","",IF(VLOOKUP(C$4,'Base de Datos'!$B$2:$M$2000,9,0)=0,"",VLOOKUP(C$4,'Base de Datos'!$B$2:$M$2000,9,0)))</f>
        <v>#N/A</v>
      </c>
      <c r="H43" s="1114" t="s">
        <v>862</v>
      </c>
      <c r="I43" s="1114"/>
      <c r="J43" s="1114"/>
      <c r="K43" s="1114"/>
      <c r="L43" s="1114"/>
      <c r="M43" s="142">
        <f>IF(F21&lt;&gt;"CU",250,200)</f>
        <v>200</v>
      </c>
      <c r="N43" s="139" t="s">
        <v>860</v>
      </c>
    </row>
    <row r="44" spans="3:14">
      <c r="H44" s="140"/>
      <c r="I44" s="140"/>
      <c r="J44" s="140"/>
      <c r="K44" s="140"/>
      <c r="L44" s="140" t="s">
        <v>863</v>
      </c>
      <c r="M44" s="142"/>
      <c r="N44" s="139"/>
    </row>
    <row r="45" spans="3:14">
      <c r="C45" s="49" t="s">
        <v>864</v>
      </c>
      <c r="K45" s="140"/>
    </row>
    <row r="46" spans="3:14">
      <c r="C46" s="49" t="s">
        <v>463</v>
      </c>
      <c r="D46" s="49" t="s">
        <v>460</v>
      </c>
      <c r="K46" s="140"/>
      <c r="L46" s="49" t="s">
        <v>865</v>
      </c>
      <c r="M46" s="144">
        <f>IF(F21="CU",M39/(SQRT((0.0297*(LOG10((M43+234)/(M41+234))))/M40)),M39/(SQRT((0.0125*(LOG10((M43+228)/(M41+228))))/M40)))</f>
        <v>5766.8017323411723</v>
      </c>
    </row>
    <row r="47" spans="3:14">
      <c r="C47" s="49" t="s">
        <v>644</v>
      </c>
      <c r="D47" s="49" t="s">
        <v>866</v>
      </c>
      <c r="K47" s="140"/>
      <c r="L47" s="49" t="s">
        <v>867</v>
      </c>
      <c r="M47" s="1">
        <f>M46/1973.52</f>
        <v>2.9220893288850238</v>
      </c>
    </row>
    <row r="48" spans="3:14">
      <c r="C48" s="49" t="s">
        <v>1894</v>
      </c>
      <c r="D48" s="49" t="s">
        <v>1895</v>
      </c>
      <c r="K48" s="139"/>
      <c r="L48" s="49" t="s">
        <v>868</v>
      </c>
      <c r="M48" s="1" t="str">
        <f>TABLERO!CB25</f>
        <v>12 AWG</v>
      </c>
    </row>
    <row r="49" spans="1:17">
      <c r="C49" s="49" t="s">
        <v>869</v>
      </c>
      <c r="K49" s="139"/>
    </row>
    <row r="50" spans="1:17">
      <c r="C50" s="49" t="s">
        <v>844</v>
      </c>
      <c r="K50" s="139"/>
    </row>
    <row r="51" spans="1:17">
      <c r="C51" s="49" t="s">
        <v>870</v>
      </c>
      <c r="K51" s="144"/>
    </row>
    <row r="53" spans="1:17">
      <c r="P53" s="151" t="s">
        <v>1890</v>
      </c>
    </row>
    <row r="54" spans="1:17">
      <c r="A54" s="1">
        <v>1</v>
      </c>
      <c r="B54" s="1">
        <v>2</v>
      </c>
      <c r="C54" s="1">
        <v>3</v>
      </c>
      <c r="D54" s="1">
        <v>4</v>
      </c>
      <c r="E54" s="1">
        <v>5</v>
      </c>
      <c r="F54" s="1">
        <v>6</v>
      </c>
      <c r="G54" s="1">
        <v>7</v>
      </c>
      <c r="H54" s="1">
        <v>8</v>
      </c>
      <c r="I54" s="1">
        <v>9</v>
      </c>
      <c r="J54" s="1">
        <v>10</v>
      </c>
      <c r="K54" s="1">
        <v>11</v>
      </c>
      <c r="L54" s="1">
        <v>12</v>
      </c>
      <c r="M54" s="1">
        <v>13</v>
      </c>
      <c r="N54" s="1">
        <v>14</v>
      </c>
      <c r="O54" s="149">
        <v>15</v>
      </c>
      <c r="P54" s="149" t="str">
        <f>IF(F24="TR",TABLERO!BW118, IF(F24="PE",TABLERO!BW122,IF(F24="UPS",TABLERO!BW126,IF(F24="REG",TABLERO!BW126,TABLERO!BW116))))</f>
        <v/>
      </c>
      <c r="Q54" s="149" t="str">
        <f>IF(F24&lt;&gt;"TB",TABLERO!E1,TABLERO!BW116)</f>
        <v/>
      </c>
    </row>
    <row r="56" spans="1:17">
      <c r="A56" s="1" t="s">
        <v>15</v>
      </c>
      <c r="H56" s="49" t="s">
        <v>5</v>
      </c>
      <c r="I56" s="1" t="s">
        <v>871</v>
      </c>
      <c r="J56" s="1" t="s">
        <v>872</v>
      </c>
      <c r="K56" s="1" t="s">
        <v>873</v>
      </c>
      <c r="L56" s="1" t="s">
        <v>874</v>
      </c>
      <c r="M56" s="1" t="s">
        <v>796</v>
      </c>
    </row>
    <row r="57" spans="1:17">
      <c r="A57" s="49" t="s">
        <v>875</v>
      </c>
      <c r="J57" s="1" t="s">
        <v>876</v>
      </c>
      <c r="K57" s="1" t="s">
        <v>877</v>
      </c>
      <c r="L57" s="1" t="s">
        <v>878</v>
      </c>
    </row>
    <row r="58" spans="1:17">
      <c r="A58" s="49" t="s">
        <v>879</v>
      </c>
      <c r="H58" s="1">
        <v>3</v>
      </c>
      <c r="I58" s="1">
        <v>1</v>
      </c>
      <c r="J58" s="1">
        <v>2500</v>
      </c>
      <c r="K58" s="1">
        <v>2500</v>
      </c>
      <c r="L58" s="1">
        <v>300</v>
      </c>
      <c r="M58" s="49" t="s">
        <v>879</v>
      </c>
      <c r="N58" s="1" t="s">
        <v>880</v>
      </c>
      <c r="O58" s="149">
        <v>0</v>
      </c>
      <c r="P58" s="151" t="str">
        <f>IF($F$9&gt;600,"**REVISAR TABLERO**",IF($P$54&lt;101,"(HD)","**REVISAR TABLERO**"))</f>
        <v>**REVISAR TABLERO**</v>
      </c>
    </row>
    <row r="59" spans="1:17">
      <c r="A59" s="1" t="s">
        <v>881</v>
      </c>
      <c r="H59" s="1">
        <v>3</v>
      </c>
      <c r="I59" s="1">
        <v>1</v>
      </c>
      <c r="J59" s="1">
        <v>100</v>
      </c>
      <c r="K59" s="1">
        <v>100</v>
      </c>
      <c r="L59" s="1">
        <v>8</v>
      </c>
      <c r="M59" s="1" t="s">
        <v>882</v>
      </c>
      <c r="N59" s="1" t="s">
        <v>880</v>
      </c>
      <c r="O59" s="149">
        <v>4</v>
      </c>
      <c r="P59" s="151" t="str">
        <f>IF($F$9&gt;600,"**REVISAR TABLERO**",IF($P$54&lt;150,"(HD)",IF(AND($P$54&gt;=151,$P$54&lt;=250),"(JD)","**REVISAR TABLERO**")))</f>
        <v>**REVISAR TABLERO**</v>
      </c>
    </row>
    <row r="60" spans="1:17">
      <c r="A60" s="1" t="s">
        <v>883</v>
      </c>
      <c r="H60" s="1">
        <v>3</v>
      </c>
      <c r="I60" s="1">
        <v>1</v>
      </c>
      <c r="J60" s="1">
        <v>250</v>
      </c>
      <c r="K60" s="1">
        <v>250</v>
      </c>
      <c r="L60" s="1">
        <v>14</v>
      </c>
      <c r="M60" s="1" t="s">
        <v>884</v>
      </c>
      <c r="N60" s="1" t="s">
        <v>885</v>
      </c>
      <c r="O60" s="149">
        <v>4</v>
      </c>
      <c r="P60" s="151" t="str">
        <f>IF($F$9&gt;600,"**REVISAR TABLERO**",IF($P$54&lt;150,"(HD)",IF(AND($P$54&gt;=151,$P$54&lt;=250),"(JD)",IF(AND($P$54&gt;=251,$P$54&lt;=400),"(LA)","**REVISAR TABLERO**"))))</f>
        <v>**REVISAR TABLERO**</v>
      </c>
    </row>
    <row r="61" spans="1:17">
      <c r="A61" s="1" t="s">
        <v>886</v>
      </c>
      <c r="H61" s="1">
        <v>3</v>
      </c>
      <c r="I61" s="1">
        <v>1</v>
      </c>
      <c r="J61" s="1">
        <v>400</v>
      </c>
      <c r="K61" s="1">
        <v>250</v>
      </c>
      <c r="L61" s="1">
        <v>8</v>
      </c>
      <c r="M61" s="1" t="s">
        <v>887</v>
      </c>
      <c r="N61" s="1" t="s">
        <v>888</v>
      </c>
      <c r="O61" s="149">
        <v>4</v>
      </c>
      <c r="P61" s="151" t="str">
        <f>IF($F$9&gt;600,"**REVISAR TABLERO**",IF($P$54&lt;150,"(HD)",IF(AND($P$54&gt;=151,$P$54&lt;=250),"(JD)",IF(AND($P$54&gt;=251,$P$54&lt;=400),"(LA)","**REVISAR TABLERO**"))))</f>
        <v>**REVISAR TABLERO**</v>
      </c>
    </row>
    <row r="62" spans="1:17">
      <c r="A62" s="1" t="s">
        <v>889</v>
      </c>
      <c r="H62" s="1">
        <v>3</v>
      </c>
      <c r="I62" s="1">
        <v>1</v>
      </c>
      <c r="J62" s="1">
        <v>400</v>
      </c>
      <c r="K62" s="1">
        <v>250</v>
      </c>
      <c r="L62" s="1">
        <v>14</v>
      </c>
      <c r="M62" s="1" t="s">
        <v>890</v>
      </c>
      <c r="N62" s="1" t="s">
        <v>888</v>
      </c>
      <c r="O62" s="149">
        <v>4</v>
      </c>
      <c r="P62" s="151" t="str">
        <f>IF($F$9&gt;600,"**REVISAR TABLERO**",IF($P$54&lt;150,"(HD)",IF(AND($P$54&gt;=151,$P$54&lt;=250),"(JD)",IF(AND($P$54&gt;=251,$P$54&lt;=400),"(LA)","**REVISAR TABLERO**"))))</f>
        <v>**REVISAR TABLERO**</v>
      </c>
    </row>
    <row r="63" spans="1:17">
      <c r="A63" s="1" t="s">
        <v>891</v>
      </c>
      <c r="H63" s="1">
        <v>3</v>
      </c>
      <c r="I63" s="1">
        <v>1</v>
      </c>
      <c r="J63" s="1">
        <v>400</v>
      </c>
      <c r="K63" s="1">
        <v>250</v>
      </c>
      <c r="L63" s="1">
        <v>18</v>
      </c>
      <c r="M63" s="1" t="s">
        <v>892</v>
      </c>
      <c r="N63" s="1" t="s">
        <v>888</v>
      </c>
      <c r="O63" s="149">
        <v>4</v>
      </c>
      <c r="P63" s="151" t="str">
        <f>IF($F$9&gt;600,"**REVISAR TABLERO**",IF($P$54&lt;150,"(HD)",IF(AND($P$54&gt;=151,$P$54&lt;=250),"(JD)",IF(AND($P$54&gt;=251,$P$54&lt;=400),"(LA)","**REVISAR TABLERO**"))))</f>
        <v>**REVISAR TABLERO**</v>
      </c>
    </row>
    <row r="64" spans="1:17">
      <c r="A64" s="1" t="s">
        <v>893</v>
      </c>
      <c r="H64" s="1">
        <v>3</v>
      </c>
      <c r="I64" s="1">
        <v>2</v>
      </c>
      <c r="J64" s="1">
        <v>600</v>
      </c>
      <c r="K64" s="1">
        <v>400</v>
      </c>
      <c r="L64" s="1">
        <v>8</v>
      </c>
      <c r="M64" s="1" t="s">
        <v>894</v>
      </c>
      <c r="N64" s="1" t="s">
        <v>895</v>
      </c>
      <c r="O64" s="149">
        <v>4</v>
      </c>
      <c r="P64" s="151" t="str">
        <f>IF($F$9&gt;600,"**REVISAR TABLERO**",IF($P$54&lt;150,"(HD)",IF(AND($P$54&gt;=151,$P$54&lt;=250),"(JD)",IF(AND($P$54&gt;=251,$P$54&lt;=400),"(LA)",IF(AND($P$54&gt;=401,$P$54&lt;=600),"(MG)","**REVISAR TABLERO**")))))</f>
        <v>**REVISAR TABLERO**</v>
      </c>
    </row>
    <row r="65" spans="1:16">
      <c r="A65" s="1" t="s">
        <v>896</v>
      </c>
      <c r="H65" s="1">
        <v>3</v>
      </c>
      <c r="I65" s="1">
        <v>2</v>
      </c>
      <c r="J65" s="1">
        <v>600</v>
      </c>
      <c r="K65" s="1">
        <v>400</v>
      </c>
      <c r="L65" s="1">
        <v>14</v>
      </c>
      <c r="M65" s="1" t="s">
        <v>897</v>
      </c>
      <c r="N65" s="1" t="s">
        <v>895</v>
      </c>
      <c r="O65" s="149">
        <v>4</v>
      </c>
      <c r="P65" s="151" t="str">
        <f>IF($F$9&gt;600,"**REVISAR TABLERO**",IF($P$54&lt;150,"(HD)",IF(AND($P$54&gt;=151,$P$54&lt;=250),"(JD)",IF(AND($P$54&gt;=251,$P$54&lt;=400),"(LA)",IF(AND($P$54&gt;=401,$P$54&lt;=600),"(MG)","**REVISAR TABLERO**")))))</f>
        <v>**REVISAR TABLERO**</v>
      </c>
    </row>
    <row r="66" spans="1:16">
      <c r="A66" s="1" t="s">
        <v>898</v>
      </c>
      <c r="H66" s="1">
        <v>3</v>
      </c>
      <c r="I66" s="1">
        <v>2</v>
      </c>
      <c r="J66" s="1">
        <v>600</v>
      </c>
      <c r="K66" s="1">
        <v>400</v>
      </c>
      <c r="L66" s="1">
        <v>18</v>
      </c>
      <c r="M66" s="1" t="s">
        <v>899</v>
      </c>
      <c r="N66" s="1" t="s">
        <v>900</v>
      </c>
      <c r="O66" s="149">
        <v>4</v>
      </c>
      <c r="P66" s="151" t="str">
        <f>IF($F$9&gt;600,"**REVISAR TABLERO**",IF($P$54&lt;150,"(HD)",IF(AND($P$54&gt;=151,$P$54&lt;=250),"(JD)",IF(AND($P$54&gt;=251,$P$54&lt;=400),"(LA)",IF(AND($P$54&gt;=401,$P$54&lt;=800),"(MG)","**REVISAR TABLERO**")))))</f>
        <v>**REVISAR TABLERO**</v>
      </c>
    </row>
    <row r="67" spans="1:16">
      <c r="A67" s="1" t="s">
        <v>901</v>
      </c>
      <c r="H67" s="1">
        <v>3</v>
      </c>
      <c r="I67" s="1">
        <v>2</v>
      </c>
      <c r="J67" s="1">
        <v>800</v>
      </c>
      <c r="K67" s="1">
        <v>400</v>
      </c>
      <c r="L67" s="1">
        <v>8</v>
      </c>
      <c r="M67" s="1" t="s">
        <v>902</v>
      </c>
      <c r="N67" s="1" t="s">
        <v>900</v>
      </c>
      <c r="O67" s="149">
        <v>4</v>
      </c>
      <c r="P67" s="151" t="str">
        <f>IF($F$9&gt;600,"**REVISAR TABLERO**",IF($P$54&lt;150,"(HD)",IF(AND($P$54&gt;=151,$P$54&lt;=250),"(JD)",IF(AND($P$54&gt;=251,$P$54&lt;=400),"(LA)",IF(AND($P$54&gt;=401,$P$54&lt;=800),"(MG)","**REVISAR TABLERO**")))))</f>
        <v>**REVISAR TABLERO**</v>
      </c>
    </row>
    <row r="68" spans="1:16">
      <c r="A68" s="1" t="s">
        <v>903</v>
      </c>
      <c r="H68" s="1">
        <v>3</v>
      </c>
      <c r="I68" s="1">
        <v>2</v>
      </c>
      <c r="J68" s="1">
        <v>800</v>
      </c>
      <c r="K68" s="1">
        <v>400</v>
      </c>
      <c r="L68" s="1">
        <v>14</v>
      </c>
      <c r="M68" s="1" t="s">
        <v>904</v>
      </c>
      <c r="N68" s="1" t="s">
        <v>900</v>
      </c>
      <c r="O68" s="149">
        <v>4</v>
      </c>
      <c r="P68" s="151" t="str">
        <f>IF($F$9&gt;600,"**REVISAR TABLERO**",IF($P$54&lt;150,"(HD)",IF(AND($P$54&gt;=151,$P$54&lt;=250),"(JD)",IF(AND($P$54&gt;=251,$P$54&lt;=400),"(LA)",IF(AND($P$54&gt;=401,$P$54&lt;=800),"(MG)","**REVISAR TABLERO**")))))</f>
        <v>**REVISAR TABLERO**</v>
      </c>
    </row>
    <row r="69" spans="1:16">
      <c r="A69" s="1" t="s">
        <v>905</v>
      </c>
      <c r="H69" s="1">
        <v>3</v>
      </c>
      <c r="I69" s="1">
        <v>2</v>
      </c>
      <c r="J69" s="1">
        <v>800</v>
      </c>
      <c r="K69" s="1">
        <v>400</v>
      </c>
      <c r="L69" s="1">
        <v>18</v>
      </c>
      <c r="M69" s="1" t="s">
        <v>906</v>
      </c>
      <c r="N69" s="1" t="s">
        <v>900</v>
      </c>
      <c r="O69" s="149">
        <v>4</v>
      </c>
      <c r="P69" s="151" t="str">
        <f>IF($F$9&gt;600,"**REVISAR TABLERO**",IF($P$54&lt;150,"(HD)",IF(AND($P$54&gt;=151,$P$54&lt;=250),"(JD)",IF(AND($P$54&gt;=251,$P$54&lt;=400),"(LA)",IF(AND($P$54&gt;=401,$P$54&lt;=800),"(MG)","**REVISAR TABLERO**")))))</f>
        <v>**REVISAR TABLERO**</v>
      </c>
    </row>
    <row r="70" spans="1:16">
      <c r="A70" s="1" t="s">
        <v>907</v>
      </c>
      <c r="H70" s="1">
        <v>3</v>
      </c>
      <c r="I70" s="1">
        <v>3</v>
      </c>
      <c r="J70" s="1">
        <v>1200</v>
      </c>
      <c r="K70" s="1">
        <v>800</v>
      </c>
      <c r="L70" s="1">
        <v>22</v>
      </c>
      <c r="M70" s="1" t="s">
        <v>908</v>
      </c>
      <c r="N70" s="1" t="s">
        <v>909</v>
      </c>
      <c r="O70" s="149">
        <v>4</v>
      </c>
      <c r="P70" s="151" t="str">
        <f>IF($F$9&gt;600,"**REVISAR TABLERO**",IF($P$54&lt;150,"(HD)",IF(AND($P$54&gt;=151,$P$54&lt;=250),"(JD)",IF(AND($P$54&gt;=251,$P$54&lt;=800),"(MG)",IF(AND($P$54&gt;=801,$P$54&lt;=1200),"(PG)","**REVISAR TABLERO**")))))</f>
        <v>**REVISAR TABLERO**</v>
      </c>
    </row>
    <row r="71" spans="1:16">
      <c r="A71" s="1" t="s">
        <v>910</v>
      </c>
      <c r="H71" s="1">
        <v>3</v>
      </c>
      <c r="I71" s="1">
        <v>3</v>
      </c>
      <c r="J71" s="1">
        <v>1200</v>
      </c>
      <c r="K71" s="1">
        <v>800</v>
      </c>
      <c r="L71" s="1">
        <v>22</v>
      </c>
      <c r="M71" s="1" t="s">
        <v>911</v>
      </c>
      <c r="N71" s="1" t="s">
        <v>909</v>
      </c>
      <c r="O71" s="149">
        <v>4</v>
      </c>
      <c r="P71" s="151" t="str">
        <f>IF($F$9&gt;600,"**REVISAR TABLERO**",IF($P$54&lt;150,"(HD)",IF(AND($P$54&gt;=151,$P$54&lt;=250),"(JD)",IF(AND($P$54&gt;=251,$P$54&lt;=800),"(MG)",IF(AND($P$54&gt;=801,$P$54&lt;=1200),"(PG)","**REVISAR TABLERO**")))))</f>
        <v>**REVISAR TABLERO**</v>
      </c>
    </row>
    <row r="72" spans="1:16">
      <c r="A72" s="1" t="s">
        <v>912</v>
      </c>
      <c r="H72" s="1">
        <v>3</v>
      </c>
      <c r="I72" s="1">
        <v>1</v>
      </c>
      <c r="J72" s="1">
        <v>400</v>
      </c>
      <c r="K72" s="1">
        <v>250</v>
      </c>
      <c r="L72" s="1">
        <v>10</v>
      </c>
      <c r="M72" s="1" t="s">
        <v>913</v>
      </c>
      <c r="N72" s="1" t="s">
        <v>914</v>
      </c>
      <c r="O72" s="149">
        <v>4</v>
      </c>
      <c r="P72" s="151" t="str">
        <f>IF($F$9&gt;600,"**REVISAR TABLERO**",IF($P$54&lt;150,"(HD)",IF(AND($P$54&gt;=151,$P$54&lt;=250),"(JD)",IF(AND($P$54&gt;=251,$P$54&lt;=400),"(LA)","**REVISAR TABLERO**"))))</f>
        <v>**REVISAR TABLERO**</v>
      </c>
    </row>
    <row r="73" spans="1:16">
      <c r="A73" s="1" t="s">
        <v>915</v>
      </c>
      <c r="H73" s="1">
        <v>3</v>
      </c>
      <c r="I73" s="1">
        <v>1</v>
      </c>
      <c r="J73" s="1">
        <v>400</v>
      </c>
      <c r="K73" s="1">
        <v>250</v>
      </c>
      <c r="L73" s="1">
        <v>16</v>
      </c>
      <c r="M73" s="1" t="s">
        <v>916</v>
      </c>
      <c r="N73" s="1" t="s">
        <v>914</v>
      </c>
      <c r="O73" s="149">
        <v>4</v>
      </c>
      <c r="P73" s="151" t="str">
        <f>IF($F$9&gt;600,"**REVISAR TABLERO**",IF($P$54&lt;150,"(HD)",IF(AND($P$54&gt;=151,$P$54&lt;=250),"(JD)",IF(AND($P$54&gt;=251,$P$54&lt;=400),"(LA)","**REVISAR TABLERO**"))))</f>
        <v>**REVISAR TABLERO**</v>
      </c>
    </row>
    <row r="74" spans="1:16">
      <c r="A74" s="1" t="s">
        <v>917</v>
      </c>
      <c r="H74" s="1">
        <v>3</v>
      </c>
      <c r="I74" s="1">
        <v>1</v>
      </c>
      <c r="J74" s="1">
        <v>400</v>
      </c>
      <c r="K74" s="1">
        <v>250</v>
      </c>
      <c r="L74" s="1">
        <v>20</v>
      </c>
      <c r="M74" s="1" t="s">
        <v>918</v>
      </c>
      <c r="N74" s="1" t="s">
        <v>914</v>
      </c>
      <c r="O74" s="149">
        <v>4</v>
      </c>
      <c r="P74" s="151" t="str">
        <f>IF($F$9&gt;600,"**REVISAR TABLERO**",IF($P$54&lt;150,"(HD)",IF(AND($P$54&gt;=151,$P$54&lt;=250),"(JD)",IF(AND($P$54&gt;=251,$P$54&lt;=400),"(LA)","**REVISAR TABLERO**"))))</f>
        <v>**REVISAR TABLERO**</v>
      </c>
    </row>
    <row r="75" spans="1:16">
      <c r="A75" s="1" t="s">
        <v>919</v>
      </c>
      <c r="H75" s="1">
        <v>3</v>
      </c>
      <c r="I75" s="1">
        <v>2</v>
      </c>
      <c r="J75" s="1">
        <v>600</v>
      </c>
      <c r="K75" s="1">
        <v>400</v>
      </c>
      <c r="L75" s="1">
        <v>10</v>
      </c>
      <c r="M75" s="1" t="s">
        <v>920</v>
      </c>
      <c r="N75" s="1" t="s">
        <v>921</v>
      </c>
      <c r="O75" s="149">
        <v>4</v>
      </c>
      <c r="P75" s="151" t="str">
        <f>IF($F$9&gt;600,"**REVISAR TABLERO**",IF($P$54&lt;150,"(HD)",IF(AND($P$54&gt;=151,$P$54&lt;=250),"(JD)",IF(AND($P$54&gt;=251,$P$54&lt;=400),"(LA)",IF(AND($P$54&gt;=401,$P$54&lt;=600),"(MG)","**REVISAR TABLERO**")))))</f>
        <v>**REVISAR TABLERO**</v>
      </c>
    </row>
    <row r="76" spans="1:16">
      <c r="A76" s="1" t="s">
        <v>922</v>
      </c>
      <c r="H76" s="1">
        <v>3</v>
      </c>
      <c r="I76" s="1">
        <v>2</v>
      </c>
      <c r="J76" s="1">
        <v>600</v>
      </c>
      <c r="K76" s="1">
        <v>400</v>
      </c>
      <c r="L76" s="1">
        <v>16</v>
      </c>
      <c r="M76" s="1" t="s">
        <v>923</v>
      </c>
      <c r="N76" s="1" t="s">
        <v>921</v>
      </c>
      <c r="O76" s="149">
        <v>4</v>
      </c>
      <c r="P76" s="151" t="str">
        <f>IF($F$9&gt;600,"**REVISAR TABLERO**",IF($P$54&lt;150,"(HD)",IF(AND($P$54&gt;=151,$P$54&lt;=250),"(JD)",IF(AND($P$54&gt;=251,$P$54&lt;=400),"(LA)",IF(AND($P$54&gt;=401,$P$54&lt;=600),"(MG)","**REVISAR TABLERO**")))))</f>
        <v>**REVISAR TABLERO**</v>
      </c>
    </row>
    <row r="77" spans="1:16">
      <c r="A77" s="1" t="s">
        <v>924</v>
      </c>
      <c r="H77" s="1">
        <v>3</v>
      </c>
      <c r="I77" s="1">
        <v>2</v>
      </c>
      <c r="J77" s="1">
        <v>600</v>
      </c>
      <c r="K77" s="1">
        <v>400</v>
      </c>
      <c r="L77" s="1">
        <v>20</v>
      </c>
      <c r="M77" s="1" t="s">
        <v>925</v>
      </c>
      <c r="N77" s="1" t="s">
        <v>926</v>
      </c>
      <c r="O77" s="149">
        <v>4</v>
      </c>
      <c r="P77" s="151" t="str">
        <f>IF($F$9&gt;600,"**REVISAR TABLERO**",IF($P$54&lt;150,"(HD)",IF(AND($P$54&gt;=151,$P$54&lt;=250),"(JD)",IF(AND($P$54&gt;=251,$P$54&lt;=400),"(LA)",IF(AND($P$54&gt;=401,$P$54&lt;=800),"(MG)","**REVISAR TABLERO**")))))</f>
        <v>**REVISAR TABLERO**</v>
      </c>
    </row>
    <row r="78" spans="1:16">
      <c r="A78" s="1" t="s">
        <v>927</v>
      </c>
      <c r="H78" s="1">
        <v>3</v>
      </c>
      <c r="I78" s="1">
        <v>2</v>
      </c>
      <c r="J78" s="1">
        <v>800</v>
      </c>
      <c r="K78" s="1">
        <v>400</v>
      </c>
      <c r="L78" s="1">
        <v>10</v>
      </c>
      <c r="M78" s="1" t="s">
        <v>928</v>
      </c>
      <c r="N78" s="1" t="s">
        <v>926</v>
      </c>
      <c r="O78" s="149">
        <v>4</v>
      </c>
      <c r="P78" s="151" t="str">
        <f>IF($F$9&gt;600,"**REVISAR TABLERO**",IF($P$54&lt;150,"(HD)",IF(AND($P$54&gt;=151,$P$54&lt;=250),"(JD)",IF(AND($P$54&gt;=251,$P$54&lt;=400),"(LA)",IF(AND($P$54&gt;=401,$P$54&lt;=800),"(MG)","**REVISAR TABLERO**")))))</f>
        <v>**REVISAR TABLERO**</v>
      </c>
    </row>
    <row r="79" spans="1:16">
      <c r="A79" s="1" t="s">
        <v>929</v>
      </c>
      <c r="H79" s="1">
        <v>3</v>
      </c>
      <c r="I79" s="1">
        <v>2</v>
      </c>
      <c r="J79" s="1">
        <v>800</v>
      </c>
      <c r="K79" s="1">
        <v>400</v>
      </c>
      <c r="L79" s="1">
        <v>16</v>
      </c>
      <c r="M79" s="1" t="s">
        <v>930</v>
      </c>
      <c r="N79" s="1" t="s">
        <v>926</v>
      </c>
      <c r="O79" s="149">
        <v>4</v>
      </c>
      <c r="P79" s="151" t="str">
        <f>IF($F$9&gt;600,"**REVISAR TABLERO**",IF($P$54&lt;150,"(HD)",IF(AND($P$54&gt;=151,$P$54&lt;=250),"(JD)",IF(AND($P$54&gt;=251,$P$54&lt;=400),"(LA)",IF(AND($P$54&gt;=401,$P$54&lt;=800),"(MG)","**REVISAR TABLERO**")))))</f>
        <v>**REVISAR TABLERO**</v>
      </c>
    </row>
    <row r="80" spans="1:16">
      <c r="A80" s="1" t="s">
        <v>931</v>
      </c>
      <c r="H80" s="1">
        <v>3</v>
      </c>
      <c r="I80" s="1">
        <v>2</v>
      </c>
      <c r="J80" s="1">
        <v>800</v>
      </c>
      <c r="K80" s="1">
        <v>400</v>
      </c>
      <c r="L80" s="1">
        <v>20</v>
      </c>
      <c r="M80" s="1" t="s">
        <v>932</v>
      </c>
      <c r="N80" s="1" t="s">
        <v>926</v>
      </c>
      <c r="O80" s="149">
        <v>4</v>
      </c>
      <c r="P80" s="151" t="str">
        <f>IF($F$9&gt;600,"**REVISAR TABLERO**",IF($P$54&lt;150,"(HD)",IF(AND($P$54&gt;=151,$P$54&lt;=250),"(JD)",IF(AND($P$54&gt;=251,$P$54&lt;=400),"(LA)",IF(AND($P$54&gt;=401,$P$54&lt;=800),"(MG)","**REVISAR TABLERO**")))))</f>
        <v>**REVISAR TABLERO**</v>
      </c>
    </row>
    <row r="81" spans="1:16">
      <c r="A81" s="1" t="s">
        <v>933</v>
      </c>
      <c r="H81" s="1">
        <v>3</v>
      </c>
      <c r="I81" s="1">
        <v>3</v>
      </c>
      <c r="J81" s="1">
        <v>1200</v>
      </c>
      <c r="K81" s="1">
        <v>800</v>
      </c>
      <c r="L81" s="1">
        <v>22</v>
      </c>
      <c r="M81" s="1" t="s">
        <v>934</v>
      </c>
      <c r="N81" s="1" t="s">
        <v>935</v>
      </c>
      <c r="O81" s="149">
        <v>4</v>
      </c>
      <c r="P81" s="151" t="str">
        <f>IF($F$9&gt;600,"**REVISAR TABLERO**",IF($P$54&lt;150,"(HD)",IF(AND($P$54&gt;=151,$P$54&lt;=250),"(JD)",IF(AND($P$54&gt;=251,$P$54&lt;=800),"(MG)",IF(AND($P$54&gt;=801,$P$54&lt;=1200),"(PG)","**REVISAR TABLERO**")))))</f>
        <v>**REVISAR TABLERO**</v>
      </c>
    </row>
    <row r="82" spans="1:16">
      <c r="A82" s="1" t="s">
        <v>936</v>
      </c>
      <c r="H82" s="1">
        <v>3</v>
      </c>
      <c r="I82" s="1">
        <v>3</v>
      </c>
      <c r="J82" s="1">
        <v>1200</v>
      </c>
      <c r="K82" s="1">
        <v>800</v>
      </c>
      <c r="L82" s="1">
        <v>22</v>
      </c>
      <c r="M82" s="1" t="s">
        <v>937</v>
      </c>
      <c r="N82" s="1" t="s">
        <v>935</v>
      </c>
      <c r="O82" s="149">
        <v>4</v>
      </c>
      <c r="P82" s="151" t="str">
        <f>IF($F$9&gt;600,"**REVISAR TABLERO**",IF($P$54&lt;150,"(HD)",IF(AND($P$54&gt;=151,$P$54&lt;=250),"(JD)",IF(AND($P$54&gt;=251,$P$54&lt;=800),"(MG)",IF(AND($P$54&gt;=801,$P$54&lt;=1200),"(PG)","**REVISAR TABLERO**")))))</f>
        <v>**REVISAR TABLERO**</v>
      </c>
    </row>
    <row r="83" spans="1:16">
      <c r="A83" s="49" t="s">
        <v>938</v>
      </c>
    </row>
    <row r="84" spans="1:16" ht="14.4">
      <c r="A84" s="118" t="s">
        <v>939</v>
      </c>
      <c r="B84" s="118"/>
      <c r="C84" s="118"/>
      <c r="D84" s="118"/>
      <c r="E84" s="118"/>
      <c r="F84" s="122"/>
      <c r="G84" s="122"/>
      <c r="H84" s="1">
        <v>2</v>
      </c>
      <c r="J84" s="118">
        <v>100</v>
      </c>
      <c r="K84" s="118">
        <v>100</v>
      </c>
      <c r="L84" s="122">
        <v>18</v>
      </c>
      <c r="M84" s="122" t="s">
        <v>940</v>
      </c>
      <c r="O84" s="149">
        <v>2</v>
      </c>
      <c r="P84" s="151" t="str">
        <f>IF($F$9&gt;240,"**REVISAR TABLERO**",IF($P$54&lt;101,"(QOB)",IF($P$54&gt;100,"**REVISAR TABLERO**")))</f>
        <v>**REVISAR TABLERO**</v>
      </c>
    </row>
    <row r="85" spans="1:16" ht="14.4">
      <c r="A85" s="118" t="s">
        <v>941</v>
      </c>
      <c r="B85" s="118"/>
      <c r="C85" s="118"/>
      <c r="D85" s="118"/>
      <c r="E85" s="118"/>
      <c r="F85" s="122"/>
      <c r="G85" s="122"/>
      <c r="H85" s="1">
        <v>2</v>
      </c>
      <c r="J85" s="118">
        <v>100</v>
      </c>
      <c r="K85" s="118">
        <v>100</v>
      </c>
      <c r="L85" s="122">
        <v>30</v>
      </c>
      <c r="M85" s="122" t="s">
        <v>942</v>
      </c>
      <c r="O85" s="149">
        <v>2</v>
      </c>
      <c r="P85" s="151" t="str">
        <f>IF($F$9&gt;240,"**REVISAR TABLERO**",IF($P$54&lt;101,"(QOB)",IF($P$54&gt;100,"**REVISAR TABLERO**")))</f>
        <v>**REVISAR TABLERO**</v>
      </c>
    </row>
    <row r="86" spans="1:16" ht="14.4">
      <c r="A86" s="118" t="s">
        <v>943</v>
      </c>
      <c r="B86" s="118"/>
      <c r="C86" s="118"/>
      <c r="D86" s="118"/>
      <c r="E86" s="118"/>
      <c r="F86" s="122"/>
      <c r="G86" s="122"/>
      <c r="H86" s="1">
        <v>2</v>
      </c>
      <c r="J86" s="118">
        <v>225</v>
      </c>
      <c r="K86" s="118">
        <v>100</v>
      </c>
      <c r="L86" s="122">
        <v>30</v>
      </c>
      <c r="M86" s="122" t="s">
        <v>944</v>
      </c>
      <c r="O86" s="149">
        <v>2</v>
      </c>
      <c r="P86" s="151" t="str">
        <f>IF($F$9&gt;240,"**REVISAR TABLERO**",IF($P$54&lt;151,"(HD)",IF(AND($P$54&gt;=151,$P$54&lt;=225),"(JD)",IF($P$54&gt;225,"**REVISAR TABLERO**"))))</f>
        <v>**REVISAR TABLERO**</v>
      </c>
    </row>
    <row r="87" spans="1:16" ht="14.4">
      <c r="A87" s="118" t="s">
        <v>945</v>
      </c>
      <c r="B87" s="118"/>
      <c r="C87" s="118"/>
      <c r="D87" s="118"/>
      <c r="E87" s="118"/>
      <c r="F87" s="122"/>
      <c r="G87" s="122"/>
      <c r="H87" s="1">
        <v>2</v>
      </c>
      <c r="J87" s="118">
        <v>225</v>
      </c>
      <c r="K87" s="118">
        <v>100</v>
      </c>
      <c r="L87" s="122">
        <v>42</v>
      </c>
      <c r="M87" s="122" t="s">
        <v>946</v>
      </c>
      <c r="O87" s="149">
        <v>2</v>
      </c>
      <c r="P87" s="151" t="str">
        <f>IF($F$9&gt;240,"**REVISAR TABLERO**",IF($P$54&lt;151,"(HD)",IF(AND($P$54&gt;=151,$P$54&lt;=225),"(JD)",IF($P$54&gt;225,"**REVISAR TABLERO**"))))</f>
        <v>**REVISAR TABLERO**</v>
      </c>
    </row>
    <row r="88" spans="1:16" ht="14.4">
      <c r="A88" s="118" t="s">
        <v>947</v>
      </c>
      <c r="B88" s="118"/>
      <c r="C88" s="118"/>
      <c r="D88" s="118"/>
      <c r="E88" s="118"/>
      <c r="F88" s="122"/>
      <c r="G88" s="122"/>
      <c r="H88" s="1">
        <v>2</v>
      </c>
      <c r="J88" s="118">
        <v>225</v>
      </c>
      <c r="K88" s="118">
        <v>100</v>
      </c>
      <c r="L88" s="122">
        <v>54</v>
      </c>
      <c r="M88" s="122" t="s">
        <v>948</v>
      </c>
      <c r="O88" s="149">
        <v>2</v>
      </c>
      <c r="P88" s="151" t="str">
        <f>IF($F$9&gt;240,"**REVISAR TABLERO**",IF($P$54&lt;151,"(HD)",IF(AND($P$54&gt;=151,$P$54&lt;=225),"(JD)",IF($P$54&gt;225,"**REVISAR TABLERO**"))))</f>
        <v>**REVISAR TABLERO**</v>
      </c>
    </row>
    <row r="89" spans="1:16" ht="14.4">
      <c r="A89" s="118" t="s">
        <v>949</v>
      </c>
      <c r="B89" s="118"/>
      <c r="C89" s="118"/>
      <c r="D89" s="118"/>
      <c r="E89" s="118"/>
      <c r="F89" s="122"/>
      <c r="G89" s="122"/>
      <c r="H89" s="1">
        <v>2</v>
      </c>
      <c r="J89" s="118">
        <v>225</v>
      </c>
      <c r="K89" s="118">
        <v>100</v>
      </c>
      <c r="L89" s="122">
        <v>72</v>
      </c>
      <c r="M89" s="122" t="s">
        <v>950</v>
      </c>
      <c r="O89" s="149">
        <v>2</v>
      </c>
      <c r="P89" s="151" t="str">
        <f>IF($F$9&gt;240,"**REVISAR TABLERO**",IF($P$54&lt;151,"(HD)",IF(AND($P$54&gt;=151,$P$54&lt;=225),"(JD)",IF($P$54&gt;225,"**REVISAR TABLERO**"))))</f>
        <v>**REVISAR TABLERO**</v>
      </c>
    </row>
    <row r="90" spans="1:16" ht="14.4">
      <c r="A90" s="118" t="s">
        <v>951</v>
      </c>
      <c r="B90" s="118"/>
      <c r="C90" s="118"/>
      <c r="D90" s="118"/>
      <c r="E90" s="118"/>
      <c r="F90" s="122"/>
      <c r="G90" s="122"/>
      <c r="H90" s="1">
        <v>2</v>
      </c>
      <c r="J90" s="118">
        <v>225</v>
      </c>
      <c r="K90" s="118">
        <v>100</v>
      </c>
      <c r="L90" s="122">
        <v>84</v>
      </c>
      <c r="M90" s="122" t="s">
        <v>952</v>
      </c>
      <c r="O90" s="149">
        <v>2</v>
      </c>
      <c r="P90" s="151" t="str">
        <f>IF($F$9&gt;240,"**REVISAR TABLERO**",IF($P$54&lt;151,"(HD)",IF(AND($P$54&gt;=151,$P$54&lt;=225),"(JD)",IF($P$54&gt;225,"**REVISAR TABLERO**"))))</f>
        <v>**REVISAR TABLERO**</v>
      </c>
    </row>
    <row r="91" spans="1:16" ht="14.4">
      <c r="A91" s="118" t="s">
        <v>953</v>
      </c>
      <c r="B91" s="118"/>
      <c r="C91" s="118"/>
      <c r="D91" s="118"/>
      <c r="E91" s="118"/>
      <c r="F91" s="122"/>
      <c r="G91" s="122"/>
      <c r="H91" s="1">
        <v>2</v>
      </c>
      <c r="J91" s="118">
        <v>400</v>
      </c>
      <c r="K91" s="118">
        <v>100</v>
      </c>
      <c r="L91" s="122">
        <v>30</v>
      </c>
      <c r="M91" s="122" t="s">
        <v>954</v>
      </c>
      <c r="O91" s="149">
        <v>2</v>
      </c>
      <c r="P91" s="151" t="str">
        <f>IF($F$9&gt;240,"**REVISAR TABLERO**",IF($P$54&lt;151,"(HD)",IF(AND($P$54&gt;=151,$P$54&lt;=250),"(JD)",IF(AND($P$54&gt;=251,$P$54&lt;=400),"(LA)","**REVISAR TABLERO**"))))</f>
        <v>**REVISAR TABLERO**</v>
      </c>
    </row>
    <row r="92" spans="1:16" ht="14.4">
      <c r="A92" s="118" t="s">
        <v>955</v>
      </c>
      <c r="B92" s="118"/>
      <c r="C92" s="118"/>
      <c r="D92" s="118"/>
      <c r="E92" s="118"/>
      <c r="F92" s="122"/>
      <c r="G92" s="122"/>
      <c r="H92" s="1">
        <v>2</v>
      </c>
      <c r="J92" s="118">
        <v>400</v>
      </c>
      <c r="K92" s="118">
        <v>100</v>
      </c>
      <c r="L92" s="122">
        <v>42</v>
      </c>
      <c r="M92" s="122" t="s">
        <v>956</v>
      </c>
      <c r="O92" s="149">
        <v>2</v>
      </c>
      <c r="P92" s="151" t="str">
        <f>IF($F$9&gt;240,"**REVISAR TABLERO**",IF($P$54&lt;151,"(HD)",IF(AND($P$54&gt;=151,$P$54&lt;=250),"(JD)",IF(AND($P$54&gt;=251,$P$54&lt;=400),"(LA)","**REVISAR TABLERO**"))))</f>
        <v>**REVISAR TABLERO**</v>
      </c>
    </row>
    <row r="93" spans="1:16" ht="14.4">
      <c r="A93" s="118" t="s">
        <v>957</v>
      </c>
      <c r="B93" s="118"/>
      <c r="C93" s="118"/>
      <c r="D93" s="118"/>
      <c r="E93" s="118"/>
      <c r="F93" s="122"/>
      <c r="G93" s="122"/>
      <c r="H93" s="1">
        <v>2</v>
      </c>
      <c r="J93" s="118">
        <v>400</v>
      </c>
      <c r="K93" s="118">
        <v>100</v>
      </c>
      <c r="L93" s="122">
        <v>54</v>
      </c>
      <c r="M93" s="122" t="s">
        <v>958</v>
      </c>
      <c r="O93" s="149">
        <v>2</v>
      </c>
      <c r="P93" s="151" t="str">
        <f>IF($F$9&gt;240,"**REVISAR TABLERO**",IF($P$54&lt;151,"(HD)",IF(AND($P$54&gt;=151,$P$54&lt;=250),"(JD)",IF(AND($P$54&gt;=251,$P$54&lt;=400),"(LA)","**REVISAR TABLERO**"))))</f>
        <v>**REVISAR TABLERO**</v>
      </c>
    </row>
    <row r="94" spans="1:16" ht="14.4">
      <c r="A94" s="118" t="s">
        <v>959</v>
      </c>
      <c r="B94" s="118"/>
      <c r="C94" s="118"/>
      <c r="D94" s="118"/>
      <c r="E94" s="118"/>
      <c r="F94" s="122"/>
      <c r="G94" s="122"/>
      <c r="H94" s="1">
        <v>2</v>
      </c>
      <c r="J94" s="118">
        <v>400</v>
      </c>
      <c r="K94" s="118">
        <v>100</v>
      </c>
      <c r="L94" s="122">
        <v>84</v>
      </c>
      <c r="M94" s="122" t="s">
        <v>960</v>
      </c>
      <c r="O94" s="149">
        <v>2</v>
      </c>
      <c r="P94" s="151" t="str">
        <f>IF($F$9&gt;240,"**REVISAR TABLERO**",IF($P$54&lt;151,"(HD)",IF(AND($P$54&gt;=151,$P$54&lt;=250),"(JD)",IF(AND($P$54&gt;=251,$P$54&lt;=400),"(LA)","**REVISAR TABLERO**"))))</f>
        <v>**REVISAR TABLERO**</v>
      </c>
    </row>
    <row r="95" spans="1:16" ht="14.4">
      <c r="A95" s="118" t="s">
        <v>961</v>
      </c>
      <c r="B95" s="118"/>
      <c r="C95" s="118"/>
      <c r="D95" s="118"/>
      <c r="E95" s="118"/>
      <c r="F95" s="122"/>
      <c r="G95" s="122"/>
      <c r="H95" s="1">
        <v>2</v>
      </c>
      <c r="J95" s="118">
        <v>600</v>
      </c>
      <c r="K95" s="118">
        <v>100</v>
      </c>
      <c r="L95" s="122">
        <v>30</v>
      </c>
      <c r="M95" s="122" t="s">
        <v>962</v>
      </c>
      <c r="O95" s="149">
        <v>2</v>
      </c>
      <c r="P95" s="151" t="str">
        <f>IF($F$9&gt;240,"**REVISAR TABLERO**",IF($P$54&lt;151,"(HD)",IF(AND($P$54&gt;=151,$P$54&lt;=250),"(JD)",IF(AND($P$54&gt;=251,$P$54&lt;=400),"(LA)",IF(AND($P$54&gt;=401,$P$54&lt;=600),"(MG)","**REVISAR TABLERO**")))))</f>
        <v>**REVISAR TABLERO**</v>
      </c>
    </row>
    <row r="96" spans="1:16" ht="14.4">
      <c r="A96" s="118" t="s">
        <v>963</v>
      </c>
      <c r="B96" s="118"/>
      <c r="C96" s="118"/>
      <c r="D96" s="118"/>
      <c r="E96" s="118"/>
      <c r="F96" s="122"/>
      <c r="G96" s="122"/>
      <c r="H96" s="1">
        <v>2</v>
      </c>
      <c r="J96" s="118">
        <v>600</v>
      </c>
      <c r="K96" s="118">
        <v>100</v>
      </c>
      <c r="L96" s="122">
        <v>42</v>
      </c>
      <c r="M96" s="122" t="s">
        <v>964</v>
      </c>
      <c r="O96" s="149">
        <v>2</v>
      </c>
      <c r="P96" s="151" t="str">
        <f>IF($F$9&gt;240,"**REVISAR TABLERO**",IF($P$54&lt;151,"(HD)",IF(AND($P$54&gt;=151,$P$54&lt;=250),"(JD)",IF(AND($P$54&gt;=251,$P$54&lt;=400),"(LA)",IF(AND($P$54&gt;=401,$P$54&lt;=600),"(MG)","**REVISAR TABLERO**")))))</f>
        <v>**REVISAR TABLERO**</v>
      </c>
    </row>
    <row r="97" spans="1:16" ht="14.4">
      <c r="A97" s="118" t="s">
        <v>965</v>
      </c>
      <c r="B97" s="118"/>
      <c r="C97" s="118"/>
      <c r="D97" s="118"/>
      <c r="E97" s="118"/>
      <c r="F97" s="122"/>
      <c r="G97" s="122"/>
      <c r="H97" s="1">
        <v>2</v>
      </c>
      <c r="J97" s="118">
        <v>600</v>
      </c>
      <c r="K97" s="118">
        <v>100</v>
      </c>
      <c r="L97" s="122">
        <v>54</v>
      </c>
      <c r="M97" s="122" t="s">
        <v>966</v>
      </c>
      <c r="O97" s="149">
        <v>2</v>
      </c>
      <c r="P97" s="151" t="str">
        <f>IF($F$9&gt;240,"**REVISAR TABLERO**",IF($P$54&lt;151,"(HD)",IF(AND($P$54&gt;=151,$P$54&lt;=250),"(JD)",IF(AND($P$54&gt;=251,$P$54&lt;=400),"(LA)",IF(AND($P$54&gt;=401,$P$54&lt;=600),"(MG)","**REVISAR TABLERO**")))))</f>
        <v>**REVISAR TABLERO**</v>
      </c>
    </row>
    <row r="98" spans="1:16" ht="14.4">
      <c r="A98" s="118" t="s">
        <v>967</v>
      </c>
      <c r="B98" s="118"/>
      <c r="C98" s="118"/>
      <c r="D98" s="118"/>
      <c r="E98" s="118"/>
      <c r="F98" s="122"/>
      <c r="G98" s="122"/>
      <c r="H98" s="1">
        <v>2</v>
      </c>
      <c r="J98" s="118">
        <v>600</v>
      </c>
      <c r="K98" s="118">
        <v>100</v>
      </c>
      <c r="L98" s="122">
        <v>84</v>
      </c>
      <c r="M98" s="122" t="s">
        <v>968</v>
      </c>
      <c r="O98" s="149">
        <v>2</v>
      </c>
      <c r="P98" s="151" t="str">
        <f>IF($F$9&gt;240,"**REVISAR TABLERO**",IF($P$54&lt;151,"(HD)",IF(AND($P$54&gt;=151,$P$54&lt;=250),"(JD)",IF(AND($P$54&gt;=251,$P$54&lt;=400),"(LA)",IF(AND($P$54&gt;=401,$P$54&lt;=600),"(MG)","**REVISAR TABLERO**")))))</f>
        <v>**REVISAR TABLERO**</v>
      </c>
    </row>
    <row r="99" spans="1:16" ht="14.4">
      <c r="A99" s="118"/>
      <c r="B99" s="118"/>
      <c r="C99" s="118"/>
      <c r="D99" s="118"/>
      <c r="E99" s="118"/>
      <c r="F99" s="122"/>
      <c r="G99" s="122"/>
      <c r="J99" s="118"/>
      <c r="K99" s="118"/>
      <c r="L99" s="122"/>
      <c r="M99" s="122"/>
    </row>
    <row r="100" spans="1:16" ht="14.4">
      <c r="A100" s="118"/>
      <c r="B100" s="118"/>
      <c r="C100" s="118"/>
      <c r="D100" s="118"/>
      <c r="E100" s="118"/>
      <c r="F100" s="122"/>
      <c r="G100" s="122"/>
      <c r="J100" s="118"/>
      <c r="K100" s="118"/>
      <c r="L100" s="122"/>
      <c r="M100" s="122"/>
    </row>
    <row r="101" spans="1:16" ht="14.4">
      <c r="A101" s="118" t="s">
        <v>969</v>
      </c>
      <c r="B101" s="118"/>
      <c r="C101" s="118"/>
      <c r="D101" s="118"/>
      <c r="E101" s="118"/>
      <c r="F101" s="122"/>
      <c r="G101" s="122"/>
      <c r="H101" s="1">
        <v>3</v>
      </c>
      <c r="J101" s="118">
        <v>100</v>
      </c>
      <c r="K101" s="118">
        <v>100</v>
      </c>
      <c r="L101" s="122">
        <v>18</v>
      </c>
      <c r="M101" s="122" t="s">
        <v>970</v>
      </c>
      <c r="O101" s="149">
        <v>2</v>
      </c>
      <c r="P101" s="151" t="str">
        <f>IF($F$9&gt;240,"**REVISAR TABLERO**",IF($P$54&lt;101,"(QOB)",IF($P$54&gt;100,"**REVISAR TABLERO**")))</f>
        <v>**REVISAR TABLERO**</v>
      </c>
    </row>
    <row r="102" spans="1:16" ht="14.4">
      <c r="A102" s="118" t="s">
        <v>971</v>
      </c>
      <c r="B102" s="118"/>
      <c r="C102" s="118"/>
      <c r="D102" s="118"/>
      <c r="E102" s="118"/>
      <c r="F102" s="122"/>
      <c r="G102" s="122"/>
      <c r="H102" s="1">
        <v>3</v>
      </c>
      <c r="J102" s="118">
        <v>100</v>
      </c>
      <c r="K102" s="118">
        <v>100</v>
      </c>
      <c r="L102" s="122">
        <v>30</v>
      </c>
      <c r="M102" s="122" t="s">
        <v>972</v>
      </c>
      <c r="O102" s="149">
        <v>2</v>
      </c>
      <c r="P102" s="151" t="str">
        <f>IF($F$9&gt;240,"**REVISAR TABLERO**",IF($P$54&lt;101,"(QOB)",IF($P$54&gt;100,"**REVISAR TABLERO**")))</f>
        <v>**REVISAR TABLERO**</v>
      </c>
    </row>
    <row r="103" spans="1:16" ht="14.4">
      <c r="A103" s="118" t="s">
        <v>971</v>
      </c>
      <c r="B103" s="118"/>
      <c r="C103" s="118"/>
      <c r="D103" s="118"/>
      <c r="E103" s="118"/>
      <c r="F103" s="122"/>
      <c r="G103" s="122"/>
      <c r="H103" s="1">
        <v>3</v>
      </c>
      <c r="J103" s="118">
        <v>100</v>
      </c>
      <c r="K103" s="118">
        <v>100</v>
      </c>
      <c r="L103" s="122">
        <v>30</v>
      </c>
      <c r="M103" s="122" t="s">
        <v>972</v>
      </c>
      <c r="O103" s="149">
        <v>2</v>
      </c>
      <c r="P103" s="151" t="str">
        <f>IF($F$9&gt;240,"**REVISAR TABLERO**",IF($P$54&lt;101,"(QOB)",IF($P$54&gt;100,"**REVISAR TABLERO**")))</f>
        <v>**REVISAR TABLERO**</v>
      </c>
    </row>
    <row r="104" spans="1:16" ht="14.4">
      <c r="A104" s="118" t="s">
        <v>973</v>
      </c>
      <c r="B104" s="118"/>
      <c r="C104" s="118"/>
      <c r="D104" s="118"/>
      <c r="E104" s="118"/>
      <c r="F104" s="122"/>
      <c r="G104" s="122"/>
      <c r="H104" s="1">
        <v>3</v>
      </c>
      <c r="J104" s="118">
        <v>225</v>
      </c>
      <c r="K104" s="118">
        <v>100</v>
      </c>
      <c r="L104" s="122">
        <v>30</v>
      </c>
      <c r="M104" s="122" t="s">
        <v>974</v>
      </c>
      <c r="O104" s="149">
        <v>2</v>
      </c>
      <c r="P104" s="151" t="str">
        <f>IF($F$9&gt;240,"**REVISAR TABLERO**",IF($P$54&lt;151,"(HD)",IF(AND($P$54&gt;=151,$P$54&lt;=225),"(JD)",IF($P$54&gt;225,"**REVISAR TABLERO**"))))</f>
        <v>**REVISAR TABLERO**</v>
      </c>
    </row>
    <row r="105" spans="1:16" ht="14.4">
      <c r="A105" s="118" t="s">
        <v>975</v>
      </c>
      <c r="B105" s="118"/>
      <c r="C105" s="118"/>
      <c r="D105" s="118"/>
      <c r="E105" s="118"/>
      <c r="F105" s="122"/>
      <c r="G105" s="122"/>
      <c r="H105" s="1">
        <v>3</v>
      </c>
      <c r="J105" s="118">
        <v>225</v>
      </c>
      <c r="K105" s="118">
        <v>100</v>
      </c>
      <c r="L105" s="122">
        <v>42</v>
      </c>
      <c r="M105" s="122" t="s">
        <v>976</v>
      </c>
      <c r="O105" s="149">
        <v>2</v>
      </c>
      <c r="P105" s="151" t="str">
        <f>IF($F$9&gt;240,"**REVISAR TABLERO**",IF($P$54&lt;151,"(HD)",IF(AND($P$54&gt;=151,$P$54&lt;=225),"(JD)",IF($P$54&gt;225,"**REVISAR TABLERO**"))))</f>
        <v>**REVISAR TABLERO**</v>
      </c>
    </row>
    <row r="106" spans="1:16" ht="14.4">
      <c r="A106" s="118" t="s">
        <v>977</v>
      </c>
      <c r="B106" s="118"/>
      <c r="C106" s="118"/>
      <c r="D106" s="118"/>
      <c r="E106" s="118"/>
      <c r="F106" s="122"/>
      <c r="G106" s="122"/>
      <c r="H106" s="1">
        <v>3</v>
      </c>
      <c r="J106" s="118">
        <v>225</v>
      </c>
      <c r="K106" s="118">
        <v>100</v>
      </c>
      <c r="L106" s="122">
        <v>54</v>
      </c>
      <c r="M106" s="122" t="s">
        <v>978</v>
      </c>
      <c r="O106" s="149">
        <v>2</v>
      </c>
      <c r="P106" s="151" t="str">
        <f>IF($F$9&gt;240,"**REVISAR TABLERO**",IF($P$54&lt;151,"(HD)",IF(AND($P$54&gt;=151,$P$54&lt;=225),"(JD)",IF($P$54&gt;225,"**REVISAR TABLERO**"))))</f>
        <v>**REVISAR TABLERO**</v>
      </c>
    </row>
    <row r="107" spans="1:16" ht="14.4">
      <c r="A107" s="118" t="s">
        <v>979</v>
      </c>
      <c r="B107" s="118"/>
      <c r="C107" s="118"/>
      <c r="D107" s="118"/>
      <c r="E107" s="118"/>
      <c r="F107" s="122"/>
      <c r="G107" s="122"/>
      <c r="H107" s="1">
        <v>3</v>
      </c>
      <c r="J107" s="118">
        <v>225</v>
      </c>
      <c r="K107" s="118">
        <v>100</v>
      </c>
      <c r="L107" s="122">
        <v>72</v>
      </c>
      <c r="M107" s="122" t="s">
        <v>980</v>
      </c>
      <c r="O107" s="149">
        <v>2</v>
      </c>
      <c r="P107" s="151" t="str">
        <f>IF($F$9&gt;240,"**REVISAR TABLERO**",IF($P$54&lt;151,"(HD)",IF(AND($P$54&gt;=151,$P$54&lt;=225),"(JD)",IF($P$54&gt;225,"**REVISAR TABLERO**"))))</f>
        <v>**REVISAR TABLERO**</v>
      </c>
    </row>
    <row r="108" spans="1:16" ht="14.4">
      <c r="A108" s="118" t="s">
        <v>981</v>
      </c>
      <c r="B108" s="118"/>
      <c r="C108" s="118"/>
      <c r="D108" s="118"/>
      <c r="E108" s="118"/>
      <c r="F108" s="122"/>
      <c r="G108" s="122"/>
      <c r="H108" s="1">
        <v>3</v>
      </c>
      <c r="J108" s="118">
        <v>225</v>
      </c>
      <c r="K108" s="118">
        <v>100</v>
      </c>
      <c r="L108" s="122">
        <v>84</v>
      </c>
      <c r="M108" s="122" t="s">
        <v>982</v>
      </c>
      <c r="O108" s="149">
        <v>2</v>
      </c>
      <c r="P108" s="151" t="str">
        <f>IF($F$9&gt;240,"**REVISAR TABLERO**",IF($P$54&lt;151,"(HD)",IF(AND($P$54&gt;=151,$P$54&lt;=225),"(JD)",IF($P$54&gt;225,"**REVISAR TABLERO**"))))</f>
        <v>**REVISAR TABLERO**</v>
      </c>
    </row>
    <row r="109" spans="1:16" ht="14.4">
      <c r="A109" s="118" t="s">
        <v>983</v>
      </c>
      <c r="B109" s="118"/>
      <c r="C109" s="118"/>
      <c r="D109" s="118"/>
      <c r="E109" s="118"/>
      <c r="F109" s="122"/>
      <c r="G109" s="122"/>
      <c r="H109" s="1">
        <v>3</v>
      </c>
      <c r="J109" s="118">
        <v>400</v>
      </c>
      <c r="K109" s="118">
        <v>100</v>
      </c>
      <c r="L109" s="122">
        <v>30</v>
      </c>
      <c r="M109" s="122" t="s">
        <v>984</v>
      </c>
      <c r="O109" s="149">
        <v>2</v>
      </c>
      <c r="P109" s="151" t="str">
        <f>IF($F$9&gt;240,"**REVISAR TABLERO**",IF($P$54&lt;151,"(HD)",IF(AND($P$54&gt;=151,$P$54&lt;=250),"(JD)",IF(AND($P$54&gt;=251,$P$54&lt;=400),"(LA)","**REVISAR TABLERO**"))))</f>
        <v>**REVISAR TABLERO**</v>
      </c>
    </row>
    <row r="110" spans="1:16" ht="14.4">
      <c r="A110" s="118" t="s">
        <v>985</v>
      </c>
      <c r="B110" s="118"/>
      <c r="C110" s="118"/>
      <c r="D110" s="118"/>
      <c r="E110" s="118"/>
      <c r="F110" s="122"/>
      <c r="G110" s="122"/>
      <c r="H110" s="1">
        <v>3</v>
      </c>
      <c r="J110" s="118">
        <v>400</v>
      </c>
      <c r="K110" s="118">
        <v>100</v>
      </c>
      <c r="L110" s="122">
        <v>42</v>
      </c>
      <c r="M110" s="122" t="s">
        <v>986</v>
      </c>
      <c r="O110" s="149">
        <v>2</v>
      </c>
      <c r="P110" s="151" t="str">
        <f>IF($F$9&gt;240,"**REVISAR TABLERO**",IF($P$54&lt;151,"(HD)",IF(AND($P$54&gt;=151,$P$54&lt;=250),"(JD)",IF(AND($P$54&gt;=251,$P$54&lt;=400),"(LA)","**REVISAR TABLERO**"))))</f>
        <v>**REVISAR TABLERO**</v>
      </c>
    </row>
    <row r="111" spans="1:16" ht="14.4">
      <c r="A111" s="118" t="s">
        <v>987</v>
      </c>
      <c r="B111" s="118"/>
      <c r="C111" s="118"/>
      <c r="D111" s="118"/>
      <c r="E111" s="118"/>
      <c r="F111" s="122"/>
      <c r="G111" s="122"/>
      <c r="H111" s="1">
        <v>3</v>
      </c>
      <c r="J111" s="118">
        <v>400</v>
      </c>
      <c r="K111" s="118">
        <v>100</v>
      </c>
      <c r="L111" s="122">
        <v>54</v>
      </c>
      <c r="M111" s="122" t="s">
        <v>988</v>
      </c>
      <c r="O111" s="149">
        <v>2</v>
      </c>
      <c r="P111" s="151" t="str">
        <f>IF($F$9&gt;240,"**REVISAR TABLERO**",IF($P$54&lt;151,"(HD)",IF(AND($P$54&gt;=151,$P$54&lt;=250),"(JD)",IF(AND($P$54&gt;=251,$P$54&lt;=400),"(LA)","**REVISAR TABLERO**"))))</f>
        <v>**REVISAR TABLERO**</v>
      </c>
    </row>
    <row r="112" spans="1:16" ht="14.4">
      <c r="A112" s="118" t="s">
        <v>989</v>
      </c>
      <c r="B112" s="118"/>
      <c r="C112" s="118"/>
      <c r="D112" s="118"/>
      <c r="E112" s="118"/>
      <c r="F112" s="122"/>
      <c r="G112" s="122"/>
      <c r="H112" s="1">
        <v>3</v>
      </c>
      <c r="J112" s="118">
        <v>400</v>
      </c>
      <c r="K112" s="118">
        <v>100</v>
      </c>
      <c r="L112" s="122">
        <v>72</v>
      </c>
      <c r="M112" s="122" t="s">
        <v>990</v>
      </c>
      <c r="O112" s="149">
        <v>2</v>
      </c>
      <c r="P112" s="151" t="str">
        <f>IF($F$9&gt;240,"**REVISAR TABLERO**",IF($P$54&lt;151,"(HD)",IF(AND($P$54&gt;=151,$P$54&lt;=250),"(JD)",IF(AND($P$54&gt;=251,$P$54&lt;=400),"(LA)","**REVISAR TABLERO**"))))</f>
        <v>**REVISAR TABLERO**</v>
      </c>
    </row>
    <row r="113" spans="1:16" ht="14.4">
      <c r="A113" s="118" t="s">
        <v>991</v>
      </c>
      <c r="B113" s="118"/>
      <c r="C113" s="118"/>
      <c r="D113" s="118"/>
      <c r="E113" s="118"/>
      <c r="F113" s="122"/>
      <c r="G113" s="122"/>
      <c r="H113" s="1">
        <v>3</v>
      </c>
      <c r="J113" s="118">
        <v>400</v>
      </c>
      <c r="K113" s="118">
        <v>100</v>
      </c>
      <c r="L113" s="122">
        <v>84</v>
      </c>
      <c r="M113" s="122" t="s">
        <v>992</v>
      </c>
      <c r="O113" s="149">
        <v>2</v>
      </c>
      <c r="P113" s="151" t="str">
        <f>IF($F$9&gt;240,"**REVISAR TABLERO**",IF($P$54&lt;151,"(HD)",IF(AND($P$54&gt;=151,$P$54&lt;=250),"(JD)",IF(AND($P$54&gt;=251,$P$54&lt;=400),"(LA)","**REVISAR TABLERO**"))))</f>
        <v>**REVISAR TABLERO**</v>
      </c>
    </row>
    <row r="114" spans="1:16" ht="14.4">
      <c r="A114" s="118" t="s">
        <v>993</v>
      </c>
      <c r="B114" s="118"/>
      <c r="C114" s="118"/>
      <c r="D114" s="118"/>
      <c r="E114" s="118"/>
      <c r="F114" s="122"/>
      <c r="G114" s="122"/>
      <c r="H114" s="1">
        <v>3</v>
      </c>
      <c r="J114" s="118">
        <v>600</v>
      </c>
      <c r="K114" s="118">
        <v>100</v>
      </c>
      <c r="L114" s="122">
        <v>30</v>
      </c>
      <c r="M114" s="122" t="s">
        <v>994</v>
      </c>
      <c r="O114" s="149">
        <v>2</v>
      </c>
      <c r="P114" s="151" t="str">
        <f>IF($F$9&gt;240,"**REVISAR TABLERO**",IF($P$54&lt;151,"(HD)",IF(AND($P$54&gt;=151,$P$54&lt;=250),"(JD)",IF(AND($P$54&gt;=251,$P$54&lt;=400),"(LA)",IF(AND($P$54&gt;=401,$P$54&lt;=600),"(MG)","**REVISAR TABLERO**")))))</f>
        <v>**REVISAR TABLERO**</v>
      </c>
    </row>
    <row r="115" spans="1:16" ht="14.4">
      <c r="A115" s="118" t="s">
        <v>995</v>
      </c>
      <c r="B115" s="118"/>
      <c r="C115" s="118"/>
      <c r="D115" s="118"/>
      <c r="E115" s="118"/>
      <c r="F115" s="122"/>
      <c r="G115" s="122"/>
      <c r="H115" s="1">
        <v>3</v>
      </c>
      <c r="J115" s="118">
        <v>600</v>
      </c>
      <c r="K115" s="118">
        <v>100</v>
      </c>
      <c r="L115" s="122">
        <v>42</v>
      </c>
      <c r="M115" s="122" t="s">
        <v>996</v>
      </c>
      <c r="O115" s="149">
        <v>2</v>
      </c>
      <c r="P115" s="151" t="str">
        <f>IF($F$9&gt;240,"**REVISAR TABLERO**",IF($P$54&lt;151,"(HD)",IF(AND($P$54&gt;=151,$P$54&lt;=250),"(JD)",IF(AND($P$54&gt;=251,$P$54&lt;=400),"(LA)",IF(AND($P$54&gt;=401,$P$54&lt;=600),"(MG)","**REVISAR TABLERO**")))))</f>
        <v>**REVISAR TABLERO**</v>
      </c>
    </row>
    <row r="116" spans="1:16" ht="14.4">
      <c r="A116" s="118" t="s">
        <v>997</v>
      </c>
      <c r="B116" s="118"/>
      <c r="C116" s="118"/>
      <c r="D116" s="118"/>
      <c r="E116" s="118"/>
      <c r="F116" s="122"/>
      <c r="G116" s="122"/>
      <c r="H116" s="1">
        <v>3</v>
      </c>
      <c r="J116" s="118">
        <v>600</v>
      </c>
      <c r="K116" s="118">
        <v>100</v>
      </c>
      <c r="L116" s="122">
        <v>54</v>
      </c>
      <c r="M116" s="122" t="s">
        <v>998</v>
      </c>
      <c r="O116" s="149">
        <v>2</v>
      </c>
      <c r="P116" s="151" t="str">
        <f>IF($F$9&gt;240,"**REVISAR TABLERO**",IF($P$54&lt;151,"(HD)",IF(AND($P$54&gt;=151,$P$54&lt;=250),"(JD)",IF(AND($P$54&gt;=251,$P$54&lt;=400),"(LA)",IF(AND($P$54&gt;=401,$P$54&lt;=600),"(MG)","**REVISAR TABLERO**")))))</f>
        <v>**REVISAR TABLERO**</v>
      </c>
    </row>
    <row r="117" spans="1:16" ht="14.4">
      <c r="A117" s="118" t="s">
        <v>999</v>
      </c>
      <c r="B117" s="118"/>
      <c r="C117" s="118"/>
      <c r="D117" s="118"/>
      <c r="E117" s="118"/>
      <c r="F117" s="122"/>
      <c r="G117" s="122"/>
      <c r="H117" s="1">
        <v>3</v>
      </c>
      <c r="J117" s="118">
        <v>600</v>
      </c>
      <c r="K117" s="118">
        <v>100</v>
      </c>
      <c r="L117" s="122">
        <v>84</v>
      </c>
      <c r="M117" s="122" t="s">
        <v>1000</v>
      </c>
      <c r="O117" s="149">
        <v>2</v>
      </c>
      <c r="P117" s="151" t="str">
        <f>IF($F$9&gt;240,"**REVISAR TABLERO**",IF($P$54&lt;151,"(HD)",IF(AND($P$54&gt;=151,$P$54&lt;=250),"(JD)",IF(AND($P$54&gt;=251,$P$54&lt;=400),"(LA)",IF(AND($P$54&gt;=401,$P$54&lt;=600),"(MG)","**REVISAR TABLERO**")))))</f>
        <v>**REVISAR TABLERO**</v>
      </c>
    </row>
    <row r="118" spans="1:16" ht="14.4">
      <c r="A118" s="118"/>
      <c r="B118" s="118"/>
      <c r="C118" s="118"/>
      <c r="D118" s="118"/>
      <c r="E118" s="118"/>
      <c r="F118" s="122"/>
      <c r="G118" s="122"/>
      <c r="J118" s="118"/>
      <c r="K118" s="118"/>
      <c r="L118" s="122"/>
      <c r="M118" s="122"/>
    </row>
    <row r="119" spans="1:16" ht="14.4">
      <c r="A119" s="118" t="s">
        <v>1001</v>
      </c>
      <c r="B119" s="118"/>
      <c r="C119" s="118"/>
      <c r="D119" s="118"/>
      <c r="E119" s="118"/>
      <c r="F119" s="122"/>
      <c r="G119" s="122"/>
      <c r="H119" s="1">
        <v>2</v>
      </c>
      <c r="J119" s="118">
        <v>100</v>
      </c>
      <c r="K119" s="118">
        <v>100</v>
      </c>
      <c r="L119" s="122">
        <v>18</v>
      </c>
      <c r="M119" s="122" t="s">
        <v>1002</v>
      </c>
      <c r="O119" s="149">
        <v>2</v>
      </c>
      <c r="P119" s="151" t="str">
        <f>IF($F$9&gt;240,"**REVISAR TABLERO**",IF($P$54&lt;101,"(QOB)",IF($P$54&gt;100,"**REVISAR TABLERO**")))</f>
        <v>**REVISAR TABLERO**</v>
      </c>
    </row>
    <row r="120" spans="1:16" ht="14.4">
      <c r="A120" s="118" t="s">
        <v>1003</v>
      </c>
      <c r="B120" s="118"/>
      <c r="C120" s="118"/>
      <c r="D120" s="118"/>
      <c r="E120" s="118"/>
      <c r="F120" s="122"/>
      <c r="G120" s="122"/>
      <c r="H120" s="1">
        <v>2</v>
      </c>
      <c r="J120" s="118">
        <v>100</v>
      </c>
      <c r="K120" s="118">
        <v>100</v>
      </c>
      <c r="L120" s="122">
        <v>30</v>
      </c>
      <c r="M120" s="122" t="s">
        <v>1004</v>
      </c>
      <c r="O120" s="149">
        <v>2</v>
      </c>
      <c r="P120" s="151" t="str">
        <f>IF($F$9&gt;240,"**REVISAR TABLERO**",IF($P$54&lt;101,"(QOB)",IF($P$54&gt;100,"**REVISAR TABLERO**")))</f>
        <v>**REVISAR TABLERO**</v>
      </c>
    </row>
    <row r="121" spans="1:16" ht="14.4">
      <c r="A121" s="118" t="s">
        <v>1005</v>
      </c>
      <c r="B121" s="118"/>
      <c r="C121" s="118"/>
      <c r="D121" s="118"/>
      <c r="E121" s="118"/>
      <c r="F121" s="122"/>
      <c r="G121" s="122"/>
      <c r="H121" s="1">
        <v>2</v>
      </c>
      <c r="J121" s="118">
        <v>225</v>
      </c>
      <c r="K121" s="118">
        <v>100</v>
      </c>
      <c r="L121" s="122">
        <v>30</v>
      </c>
      <c r="M121" s="122" t="s">
        <v>1006</v>
      </c>
      <c r="O121" s="149">
        <v>2</v>
      </c>
      <c r="P121" s="151" t="str">
        <f>IF($F$9&gt;240,"**REVISAR TABLERO**",IF($P$54&lt;151,"(HD)",IF(AND($P$54&gt;=151,$P$54&lt;=225),"(JD)","**REVISAR TABLERO**")))</f>
        <v>**REVISAR TABLERO**</v>
      </c>
    </row>
    <row r="122" spans="1:16" ht="14.4">
      <c r="A122" s="118" t="s">
        <v>1007</v>
      </c>
      <c r="B122" s="118"/>
      <c r="C122" s="118"/>
      <c r="D122" s="118"/>
      <c r="E122" s="118"/>
      <c r="F122" s="122"/>
      <c r="G122" s="122"/>
      <c r="H122" s="1">
        <v>2</v>
      </c>
      <c r="J122" s="118">
        <v>225</v>
      </c>
      <c r="K122" s="118">
        <v>100</v>
      </c>
      <c r="L122" s="122">
        <v>42</v>
      </c>
      <c r="M122" s="122" t="s">
        <v>1008</v>
      </c>
      <c r="O122" s="149">
        <v>2</v>
      </c>
      <c r="P122" s="151" t="str">
        <f>IF($F$9&gt;240,"**REVISAR TABLERO**",IF($P$54&lt;151,"(HD)",IF(AND($P$54&gt;=151,$P$54&lt;=225),"(JD)","**REVISAR TABLERO**")))</f>
        <v>**REVISAR TABLERO**</v>
      </c>
    </row>
    <row r="123" spans="1:16" ht="14.4">
      <c r="A123" s="118" t="s">
        <v>1009</v>
      </c>
      <c r="B123" s="118"/>
      <c r="C123" s="118"/>
      <c r="D123" s="118"/>
      <c r="E123" s="118"/>
      <c r="F123" s="122"/>
      <c r="G123" s="122"/>
      <c r="H123" s="1">
        <v>2</v>
      </c>
      <c r="J123" s="118">
        <v>225</v>
      </c>
      <c r="K123" s="118">
        <v>100</v>
      </c>
      <c r="L123" s="122">
        <v>54</v>
      </c>
      <c r="M123" s="122" t="s">
        <v>1010</v>
      </c>
      <c r="O123" s="149">
        <v>2</v>
      </c>
      <c r="P123" s="151" t="str">
        <f>IF($F$9&gt;240,"**REVISAR TABLERO**",IF($P$54&lt;151,"(HD)",IF(AND($P$54&gt;=151,$P$54&lt;=225),"(JD)","**REVISAR TABLERO**")))</f>
        <v>**REVISAR TABLERO**</v>
      </c>
    </row>
    <row r="124" spans="1:16" ht="14.4">
      <c r="A124" s="118" t="s">
        <v>1011</v>
      </c>
      <c r="B124" s="118"/>
      <c r="C124" s="118"/>
      <c r="D124" s="118"/>
      <c r="E124" s="118"/>
      <c r="F124" s="122"/>
      <c r="G124" s="122"/>
      <c r="H124" s="1">
        <v>2</v>
      </c>
      <c r="J124" s="118">
        <v>225</v>
      </c>
      <c r="K124" s="118">
        <v>100</v>
      </c>
      <c r="L124" s="122">
        <v>72</v>
      </c>
      <c r="M124" s="122" t="s">
        <v>1012</v>
      </c>
      <c r="O124" s="149">
        <v>2</v>
      </c>
      <c r="P124" s="151" t="str">
        <f>IF($F$9&gt;240,"**REVISAR TABLERO**",IF($P$54&lt;151,"(HD)",IF(AND($P$54&gt;=151,$P$54&lt;=225),"(JD)","**REVISAR TABLERO**")))</f>
        <v>**REVISAR TABLERO**</v>
      </c>
    </row>
    <row r="125" spans="1:16" ht="14.4">
      <c r="A125" s="118" t="s">
        <v>1013</v>
      </c>
      <c r="B125" s="118"/>
      <c r="C125" s="118"/>
      <c r="D125" s="118"/>
      <c r="E125" s="118"/>
      <c r="F125" s="122"/>
      <c r="G125" s="122"/>
      <c r="H125" s="1">
        <v>2</v>
      </c>
      <c r="J125" s="118">
        <v>225</v>
      </c>
      <c r="K125" s="118">
        <v>100</v>
      </c>
      <c r="L125" s="122">
        <v>84</v>
      </c>
      <c r="M125" s="122" t="s">
        <v>1014</v>
      </c>
      <c r="O125" s="149">
        <v>2</v>
      </c>
      <c r="P125" s="151" t="str">
        <f>IF($F$9&gt;240,"**REVISAR TABLERO**",IF($P$54&lt;151,"(HD)",IF(AND($P$54&gt;=151,$P$54&lt;=225),"(JD)","**REVISAR TABLERO**")))</f>
        <v>**REVISAR TABLERO**</v>
      </c>
    </row>
    <row r="126" spans="1:16" ht="14.4">
      <c r="A126" s="118" t="s">
        <v>1015</v>
      </c>
      <c r="B126" s="118"/>
      <c r="C126" s="118"/>
      <c r="D126" s="118"/>
      <c r="E126" s="118"/>
      <c r="F126" s="122"/>
      <c r="G126" s="122"/>
      <c r="H126" s="1">
        <v>2</v>
      </c>
      <c r="J126" s="118">
        <v>400</v>
      </c>
      <c r="K126" s="118">
        <v>100</v>
      </c>
      <c r="L126" s="122">
        <v>30</v>
      </c>
      <c r="M126" s="122" t="s">
        <v>1016</v>
      </c>
      <c r="O126" s="149">
        <v>2</v>
      </c>
      <c r="P126" s="151" t="str">
        <f>IF($F$9&gt;240,"**REVISAR TABLERO**",IF($P$54&lt;151,"(HD)",IF(AND($P$54&gt;=151,$P$54&lt;=225),"(JD)",IF(AND($P$54&gt;=226,$P$54&lt;=400),"(LA)","**REVISAR TABLERO**"))))</f>
        <v>**REVISAR TABLERO**</v>
      </c>
    </row>
    <row r="127" spans="1:16" ht="14.4">
      <c r="A127" s="118" t="s">
        <v>1017</v>
      </c>
      <c r="B127" s="118"/>
      <c r="C127" s="118"/>
      <c r="D127" s="118"/>
      <c r="E127" s="118"/>
      <c r="F127" s="122"/>
      <c r="G127" s="122"/>
      <c r="H127" s="1">
        <v>2</v>
      </c>
      <c r="J127" s="118">
        <v>400</v>
      </c>
      <c r="K127" s="118">
        <v>100</v>
      </c>
      <c r="L127" s="122">
        <v>42</v>
      </c>
      <c r="M127" s="122" t="s">
        <v>1018</v>
      </c>
      <c r="O127" s="149">
        <v>2</v>
      </c>
      <c r="P127" s="151" t="str">
        <f>IF($F$9&gt;240,"**REVISAR TABLERO**",IF($P$54&lt;151,"(HD)",IF(AND($P$54&gt;=151,$P$54&lt;=225),"(JD)",IF(AND($P$54&gt;=226,$P$54&lt;=400),"(LA)","**REVISAR TABLERO**"))))</f>
        <v>**REVISAR TABLERO**</v>
      </c>
    </row>
    <row r="128" spans="1:16" ht="14.4">
      <c r="A128" s="118" t="s">
        <v>1019</v>
      </c>
      <c r="B128" s="118"/>
      <c r="C128" s="118"/>
      <c r="D128" s="118"/>
      <c r="E128" s="118"/>
      <c r="F128" s="122"/>
      <c r="G128" s="122"/>
      <c r="H128" s="1">
        <v>2</v>
      </c>
      <c r="J128" s="118">
        <v>400</v>
      </c>
      <c r="K128" s="118">
        <v>100</v>
      </c>
      <c r="L128" s="122">
        <v>54</v>
      </c>
      <c r="M128" s="122" t="s">
        <v>1020</v>
      </c>
      <c r="O128" s="149">
        <v>2</v>
      </c>
      <c r="P128" s="151" t="str">
        <f>IF($F$9&gt;240,"**REVISAR TABLERO**",IF($P$54&lt;151,"(HD)",IF(AND($P$54&gt;=151,$P$54&lt;=225),"(JD)",IF(AND($P$54&gt;=226,$P$54&lt;=400),"(LA)","**REVISAR TABLERO**"))))</f>
        <v>**REVISAR TABLERO**</v>
      </c>
    </row>
    <row r="129" spans="1:16" ht="14.4">
      <c r="A129" s="118" t="s">
        <v>1021</v>
      </c>
      <c r="B129" s="118"/>
      <c r="C129" s="118"/>
      <c r="D129" s="118"/>
      <c r="E129" s="118"/>
      <c r="F129" s="122"/>
      <c r="G129" s="122"/>
      <c r="H129" s="1">
        <v>2</v>
      </c>
      <c r="J129" s="118">
        <v>400</v>
      </c>
      <c r="K129" s="118">
        <v>100</v>
      </c>
      <c r="L129" s="122">
        <v>84</v>
      </c>
      <c r="M129" s="122" t="s">
        <v>1022</v>
      </c>
      <c r="O129" s="149">
        <v>2</v>
      </c>
      <c r="P129" s="151" t="str">
        <f>IF($F$9&gt;240,"**REVISAR TABLERO**",IF($P$54&lt;151,"(HD)",IF(AND($P$54&gt;=151,$P$54&lt;=225),"(JD)",IF(AND($P$54&gt;=226,$P$54&lt;=400),"(LA)","**REVISAR TABLERO**"))))</f>
        <v>**REVISAR TABLERO**</v>
      </c>
    </row>
    <row r="130" spans="1:16" ht="14.4">
      <c r="A130" s="118"/>
      <c r="B130" s="118"/>
      <c r="C130" s="118"/>
      <c r="D130" s="118"/>
      <c r="E130" s="118"/>
      <c r="F130" s="122"/>
      <c r="G130" s="122"/>
      <c r="J130" s="118"/>
      <c r="K130" s="118"/>
      <c r="L130" s="122"/>
      <c r="M130" s="122"/>
    </row>
    <row r="131" spans="1:16" ht="14.4">
      <c r="A131" s="118" t="s">
        <v>1023</v>
      </c>
      <c r="B131" s="118"/>
      <c r="C131" s="118"/>
      <c r="D131" s="118"/>
      <c r="E131" s="118"/>
      <c r="F131" s="122"/>
      <c r="G131" s="122"/>
      <c r="H131" s="1">
        <v>3</v>
      </c>
      <c r="J131" s="118">
        <v>100</v>
      </c>
      <c r="K131" s="118">
        <v>100</v>
      </c>
      <c r="L131" s="122">
        <v>18</v>
      </c>
      <c r="M131" s="122" t="s">
        <v>1024</v>
      </c>
      <c r="O131" s="149">
        <v>2</v>
      </c>
      <c r="P131" s="151" t="str">
        <f>IF($F$9&gt;240,"**REVISAR TABLERO**",IF($P$54&lt;101,"(QOB)","**REVISAR TABLERO**"))</f>
        <v>**REVISAR TABLERO**</v>
      </c>
    </row>
    <row r="132" spans="1:16" ht="14.4">
      <c r="A132" s="118" t="s">
        <v>807</v>
      </c>
      <c r="B132" s="118"/>
      <c r="C132" s="118"/>
      <c r="D132" s="118"/>
      <c r="E132" s="118"/>
      <c r="F132" s="122"/>
      <c r="G132" s="122"/>
      <c r="H132" s="1">
        <v>3</v>
      </c>
      <c r="J132" s="118">
        <v>100</v>
      </c>
      <c r="K132" s="118">
        <v>100</v>
      </c>
      <c r="L132" s="122">
        <v>30</v>
      </c>
      <c r="M132" s="122" t="s">
        <v>1025</v>
      </c>
      <c r="O132" s="149">
        <v>2</v>
      </c>
      <c r="P132" s="151" t="str">
        <f>IF($F$9&gt;240,"**REVISAR TABLERO**",IF($P$54&lt;101,"(QOB)","**REVISAR TABLERO**"))</f>
        <v>**REVISAR TABLERO**</v>
      </c>
    </row>
    <row r="133" spans="1:16" ht="14.4">
      <c r="A133" s="118" t="s">
        <v>807</v>
      </c>
      <c r="B133" s="118"/>
      <c r="C133" s="118"/>
      <c r="D133" s="118"/>
      <c r="E133" s="118"/>
      <c r="F133" s="122"/>
      <c r="G133" s="122"/>
      <c r="H133" s="1">
        <v>3</v>
      </c>
      <c r="J133" s="118">
        <v>100</v>
      </c>
      <c r="K133" s="118">
        <v>100</v>
      </c>
      <c r="L133" s="122">
        <v>30</v>
      </c>
      <c r="M133" s="122" t="s">
        <v>1025</v>
      </c>
      <c r="O133" s="149">
        <v>2</v>
      </c>
      <c r="P133" s="151" t="str">
        <f>IF($F$9&gt;240,"**REVISAR TABLERO**",IF($P$54&lt;101,"(QOB)","**REVISAR TABLERO**"))</f>
        <v>**REVISAR TABLERO**</v>
      </c>
    </row>
    <row r="134" spans="1:16" ht="14.4">
      <c r="A134" s="118" t="s">
        <v>1026</v>
      </c>
      <c r="B134" s="118"/>
      <c r="C134" s="118"/>
      <c r="D134" s="118"/>
      <c r="E134" s="118"/>
      <c r="F134" s="122"/>
      <c r="G134" s="122"/>
      <c r="H134" s="1">
        <v>3</v>
      </c>
      <c r="J134" s="118">
        <v>225</v>
      </c>
      <c r="K134" s="118">
        <v>100</v>
      </c>
      <c r="L134" s="122">
        <v>30</v>
      </c>
      <c r="M134" s="122" t="s">
        <v>1027</v>
      </c>
      <c r="O134" s="149">
        <v>2</v>
      </c>
      <c r="P134" s="151" t="str">
        <f>IF($F$9&gt;240,"**REVISAR TABLERO**",IF($P$54&lt;151,"(HD)",IF(AND($P$54&gt;=151,$P$54&lt;=225),"(JD)","**REVISAR TABLERO**")))</f>
        <v>**REVISAR TABLERO**</v>
      </c>
    </row>
    <row r="135" spans="1:16" ht="14.4">
      <c r="A135" s="118" t="s">
        <v>1028</v>
      </c>
      <c r="B135" s="118"/>
      <c r="C135" s="118"/>
      <c r="D135" s="118"/>
      <c r="E135" s="118"/>
      <c r="F135" s="122"/>
      <c r="G135" s="122"/>
      <c r="H135" s="1">
        <v>3</v>
      </c>
      <c r="J135" s="118">
        <v>225</v>
      </c>
      <c r="K135" s="118">
        <v>100</v>
      </c>
      <c r="L135" s="122">
        <v>42</v>
      </c>
      <c r="M135" s="122" t="s">
        <v>1029</v>
      </c>
      <c r="O135" s="149">
        <v>2</v>
      </c>
      <c r="P135" s="151" t="str">
        <f>IF($F$9&gt;240,"**REVISAR TABLERO**",IF($P$54&lt;151,"(HD)",IF(AND($P$54&gt;=151,$P$54&lt;=225),"(JD)","**REVISAR TABLERO**")))</f>
        <v>**REVISAR TABLERO**</v>
      </c>
    </row>
    <row r="136" spans="1:16" ht="14.4">
      <c r="A136" s="118" t="s">
        <v>1030</v>
      </c>
      <c r="B136" s="118"/>
      <c r="C136" s="118"/>
      <c r="D136" s="118"/>
      <c r="E136" s="118"/>
      <c r="F136" s="122"/>
      <c r="G136" s="122"/>
      <c r="H136" s="1">
        <v>3</v>
      </c>
      <c r="J136" s="118">
        <v>225</v>
      </c>
      <c r="K136" s="118">
        <v>100</v>
      </c>
      <c r="L136" s="122">
        <v>54</v>
      </c>
      <c r="M136" s="122" t="s">
        <v>1031</v>
      </c>
      <c r="O136" s="149">
        <v>2</v>
      </c>
      <c r="P136" s="151" t="str">
        <f>IF($F$9&gt;240,"**REVISAR TABLERO**",IF($P$54&lt;151,"(HD)",IF(AND($P$54&gt;=151,$P$54&lt;=225),"(JD)","**REVISAR TABLERO**")))</f>
        <v>**REVISAR TABLERO**</v>
      </c>
    </row>
    <row r="137" spans="1:16" ht="14.4">
      <c r="A137" s="118" t="s">
        <v>1032</v>
      </c>
      <c r="B137" s="118"/>
      <c r="C137" s="118"/>
      <c r="D137" s="118"/>
      <c r="E137" s="118"/>
      <c r="F137" s="122"/>
      <c r="G137" s="122"/>
      <c r="H137" s="1">
        <v>3</v>
      </c>
      <c r="J137" s="118">
        <v>225</v>
      </c>
      <c r="K137" s="118">
        <v>100</v>
      </c>
      <c r="L137" s="122">
        <v>72</v>
      </c>
      <c r="M137" s="122" t="s">
        <v>1033</v>
      </c>
      <c r="O137" s="149">
        <v>2</v>
      </c>
      <c r="P137" s="151" t="str">
        <f>IF($F$9&gt;240,"**REVISAR TABLERO**",IF($P$54&lt;151,"(HD)",IF(AND($P$54&gt;=151,$P$54&lt;=225),"(JD)","**REVISAR TABLERO**")))</f>
        <v>**REVISAR TABLERO**</v>
      </c>
    </row>
    <row r="138" spans="1:16" ht="14.4">
      <c r="A138" s="118" t="s">
        <v>1034</v>
      </c>
      <c r="B138" s="118"/>
      <c r="C138" s="118"/>
      <c r="D138" s="118"/>
      <c r="E138" s="118"/>
      <c r="F138" s="122"/>
      <c r="G138" s="122"/>
      <c r="H138" s="1">
        <v>3</v>
      </c>
      <c r="J138" s="118">
        <v>225</v>
      </c>
      <c r="K138" s="118">
        <v>100</v>
      </c>
      <c r="L138" s="122">
        <v>84</v>
      </c>
      <c r="M138" s="122" t="s">
        <v>1035</v>
      </c>
      <c r="O138" s="149">
        <v>2</v>
      </c>
      <c r="P138" s="151" t="str">
        <f>IF($F$9&gt;240,"**REVISAR TABLERO**",IF($P$54&lt;151,"(HD)",IF(AND($P$54&gt;=151,$P$54&lt;=225),"(JD)","**REVISAR TABLERO**")))</f>
        <v>**REVISAR TABLERO**</v>
      </c>
    </row>
    <row r="139" spans="1:16" ht="14.4">
      <c r="A139" s="118" t="s">
        <v>1036</v>
      </c>
      <c r="B139" s="118"/>
      <c r="C139" s="118"/>
      <c r="D139" s="118"/>
      <c r="E139" s="118"/>
      <c r="F139" s="122"/>
      <c r="G139" s="122"/>
      <c r="H139" s="1">
        <v>3</v>
      </c>
      <c r="J139" s="118">
        <v>400</v>
      </c>
      <c r="K139" s="118">
        <v>100</v>
      </c>
      <c r="L139" s="122">
        <v>30</v>
      </c>
      <c r="M139" s="122" t="s">
        <v>1037</v>
      </c>
      <c r="O139" s="149">
        <v>2</v>
      </c>
      <c r="P139" s="151" t="str">
        <f>IF($F$9&gt;240,"**REVISAR TABLERO**",IF($P$54&lt;151,"(HD)",IF(AND($P$54&gt;=151,$P$54&lt;=225),"(JD)",IF(AND($P$54&gt;=226,$P$54&lt;=400),"(LA)","**REVISAR TABLERO**"))))</f>
        <v>**REVISAR TABLERO**</v>
      </c>
    </row>
    <row r="140" spans="1:16" ht="14.4">
      <c r="A140" s="118" t="s">
        <v>1038</v>
      </c>
      <c r="B140" s="118"/>
      <c r="C140" s="118"/>
      <c r="D140" s="118"/>
      <c r="E140" s="118"/>
      <c r="F140" s="122"/>
      <c r="G140" s="122"/>
      <c r="H140" s="1">
        <v>3</v>
      </c>
      <c r="J140" s="118">
        <v>400</v>
      </c>
      <c r="K140" s="118">
        <v>100</v>
      </c>
      <c r="L140" s="122">
        <v>42</v>
      </c>
      <c r="M140" s="122" t="s">
        <v>1039</v>
      </c>
      <c r="O140" s="149">
        <v>2</v>
      </c>
      <c r="P140" s="151" t="str">
        <f>IF($F$9&gt;240,"**REVISAR TABLERO**",IF($P$54&lt;151,"(HD)",IF(AND($P$54&gt;=151,$P$54&lt;=225),"(JD)",IF(AND($P$54&gt;=226,$P$54&lt;=400),"(LA)","**REVISAR TABLERO**"))))</f>
        <v>**REVISAR TABLERO**</v>
      </c>
    </row>
    <row r="141" spans="1:16" ht="14.4">
      <c r="A141" s="118" t="s">
        <v>1040</v>
      </c>
      <c r="B141" s="118"/>
      <c r="C141" s="118"/>
      <c r="D141" s="118"/>
      <c r="E141" s="118"/>
      <c r="F141" s="122"/>
      <c r="G141" s="122"/>
      <c r="H141" s="1">
        <v>3</v>
      </c>
      <c r="J141" s="118">
        <v>400</v>
      </c>
      <c r="K141" s="118">
        <v>100</v>
      </c>
      <c r="L141" s="122">
        <v>54</v>
      </c>
      <c r="M141" s="122" t="s">
        <v>1041</v>
      </c>
      <c r="O141" s="149">
        <v>2</v>
      </c>
      <c r="P141" s="151" t="str">
        <f>IF($F$9&gt;240,"**REVISAR TABLERO**",IF($P$54&lt;151,"(HD)",IF(AND($P$54&gt;=151,$P$54&lt;=225),"(JD)",IF(AND($P$54&gt;=226,$P$54&lt;=400),"(LA)","**REVISAR TABLERO**"))))</f>
        <v>**REVISAR TABLERO**</v>
      </c>
    </row>
    <row r="142" spans="1:16" ht="14.4">
      <c r="A142" s="118" t="s">
        <v>1042</v>
      </c>
      <c r="B142" s="118"/>
      <c r="C142" s="118"/>
      <c r="D142" s="118"/>
      <c r="E142" s="118"/>
      <c r="F142" s="122"/>
      <c r="G142" s="122"/>
      <c r="H142" s="1">
        <v>3</v>
      </c>
      <c r="J142" s="118">
        <v>400</v>
      </c>
      <c r="K142" s="118">
        <v>100</v>
      </c>
      <c r="L142" s="122">
        <v>72</v>
      </c>
      <c r="M142" s="122" t="s">
        <v>1043</v>
      </c>
      <c r="O142" s="149">
        <v>2</v>
      </c>
      <c r="P142" s="151" t="str">
        <f>IF($F$9&gt;240,"**REVISAR TABLERO**",IF($P$54&lt;151,"(HD)",IF(AND($P$54&gt;=151,$P$54&lt;=225),"(JD)",IF(AND($P$54&gt;=226,$P$54&lt;=400),"(LA)","**REVISAR TABLERO**"))))</f>
        <v>**REVISAR TABLERO**</v>
      </c>
    </row>
    <row r="143" spans="1:16" ht="14.4">
      <c r="A143" s="118" t="s">
        <v>1044</v>
      </c>
      <c r="B143" s="118"/>
      <c r="C143" s="118"/>
      <c r="D143" s="118"/>
      <c r="E143" s="118"/>
      <c r="F143" s="122"/>
      <c r="G143" s="122"/>
      <c r="H143" s="1">
        <v>3</v>
      </c>
      <c r="J143" s="118">
        <v>400</v>
      </c>
      <c r="K143" s="118">
        <v>100</v>
      </c>
      <c r="L143" s="122">
        <v>84</v>
      </c>
      <c r="M143" s="122" t="s">
        <v>1045</v>
      </c>
      <c r="O143" s="149">
        <v>2</v>
      </c>
      <c r="P143" s="151" t="str">
        <f>IF($F$9&gt;240,"**REVISAR TABLERO**",IF($P$54&lt;151,"(HD)",IF(AND($P$54&gt;=151,$P$54&lt;=225),"(JD)",IF(AND($P$54&gt;=226,$P$54&lt;=400),"(LA)","**REVISAR TABLERO**"))))</f>
        <v>**REVISAR TABLERO**</v>
      </c>
    </row>
    <row r="144" spans="1:16" ht="14.4">
      <c r="A144" s="118"/>
      <c r="B144" s="118"/>
      <c r="C144" s="118"/>
      <c r="D144" s="118"/>
      <c r="E144" s="118"/>
      <c r="F144" s="122"/>
      <c r="G144" s="122"/>
      <c r="J144" s="118"/>
      <c r="K144" s="118"/>
      <c r="L144" s="122"/>
      <c r="M144" s="122"/>
    </row>
    <row r="145" spans="1:16" ht="14.4">
      <c r="A145" s="118" t="s">
        <v>1046</v>
      </c>
      <c r="B145" s="118"/>
      <c r="C145" s="118"/>
      <c r="D145" s="118"/>
      <c r="E145" s="118"/>
      <c r="F145" s="122"/>
      <c r="G145" s="122"/>
      <c r="H145" s="1">
        <v>3</v>
      </c>
      <c r="J145" s="118">
        <v>100</v>
      </c>
      <c r="K145" s="118">
        <v>100</v>
      </c>
      <c r="L145" s="122">
        <v>18</v>
      </c>
      <c r="M145" s="122" t="s">
        <v>1047</v>
      </c>
      <c r="O145" s="149">
        <v>2</v>
      </c>
      <c r="P145" s="151" t="str">
        <f>IF($F$9&gt;240,"**REVISAR TABLERO**",IF($P$54&lt;101,"(QOB)","**REVISAR TABLERO**"))</f>
        <v>**REVISAR TABLERO**</v>
      </c>
    </row>
    <row r="146" spans="1:16" ht="14.4">
      <c r="A146" s="118" t="s">
        <v>1048</v>
      </c>
      <c r="B146" s="118"/>
      <c r="C146" s="118"/>
      <c r="D146" s="118"/>
      <c r="E146" s="118"/>
      <c r="F146" s="122"/>
      <c r="G146" s="122"/>
      <c r="H146" s="1">
        <v>3</v>
      </c>
      <c r="J146" s="118">
        <v>100</v>
      </c>
      <c r="K146" s="118">
        <v>100</v>
      </c>
      <c r="L146" s="122">
        <v>30</v>
      </c>
      <c r="M146" s="122" t="s">
        <v>1049</v>
      </c>
      <c r="O146" s="149">
        <v>2</v>
      </c>
      <c r="P146" s="151" t="str">
        <f>IF($F$9&gt;240,"**REVISAR TABLERO**",IF($P$54&lt;101,"(QOB)","**REVISAR TABLERO**"))</f>
        <v>**REVISAR TABLERO**</v>
      </c>
    </row>
    <row r="147" spans="1:16" ht="14.4">
      <c r="A147" s="118" t="s">
        <v>1050</v>
      </c>
      <c r="B147" s="118"/>
      <c r="C147" s="118"/>
      <c r="D147" s="118"/>
      <c r="E147" s="118"/>
      <c r="F147" s="122"/>
      <c r="G147" s="122"/>
      <c r="H147" s="1">
        <v>3</v>
      </c>
      <c r="J147" s="118">
        <v>225</v>
      </c>
      <c r="K147" s="118">
        <v>100</v>
      </c>
      <c r="L147" s="122">
        <v>30</v>
      </c>
      <c r="M147" s="122" t="s">
        <v>1051</v>
      </c>
      <c r="O147" s="149">
        <v>2</v>
      </c>
      <c r="P147" s="151" t="str">
        <f>IF($F$9&gt;240,"**REVISAR TABLERO**",IF($P$54&lt;151,"(HD)",IF(AND($P$54&gt;=151,$P$54&lt;=225),"(JD)","**REVISAR TABLERO**")))</f>
        <v>**REVISAR TABLERO**</v>
      </c>
    </row>
    <row r="148" spans="1:16" ht="14.4">
      <c r="A148" s="118" t="s">
        <v>1052</v>
      </c>
      <c r="B148" s="118"/>
      <c r="C148" s="118"/>
      <c r="D148" s="118"/>
      <c r="E148" s="118"/>
      <c r="F148" s="122"/>
      <c r="G148" s="122"/>
      <c r="H148" s="1">
        <v>3</v>
      </c>
      <c r="J148" s="118">
        <v>225</v>
      </c>
      <c r="K148" s="118">
        <v>100</v>
      </c>
      <c r="L148" s="122">
        <v>42</v>
      </c>
      <c r="M148" s="122" t="s">
        <v>1053</v>
      </c>
      <c r="O148" s="149">
        <v>2</v>
      </c>
      <c r="P148" s="151" t="str">
        <f>IF($F$9&gt;240,"**REVISAR TABLERO**",IF($P$54&lt;151,"(HD)",IF(AND($P$54&gt;=151,$P$54&lt;=225),"(JD)","**REVISAR TABLERO**")))</f>
        <v>**REVISAR TABLERO**</v>
      </c>
    </row>
    <row r="149" spans="1:16" ht="14.4">
      <c r="A149" s="118"/>
      <c r="B149" s="118"/>
      <c r="C149" s="118"/>
      <c r="D149" s="118"/>
      <c r="E149" s="118"/>
      <c r="F149" s="122"/>
      <c r="G149" s="122"/>
      <c r="J149" s="118"/>
      <c r="K149" s="118"/>
      <c r="L149" s="122"/>
      <c r="M149" s="122"/>
    </row>
    <row r="150" spans="1:16" ht="14.4">
      <c r="A150" s="118" t="s">
        <v>1054</v>
      </c>
      <c r="B150" s="118"/>
      <c r="C150" s="118"/>
      <c r="D150" s="118"/>
      <c r="E150" s="118"/>
      <c r="F150" s="122"/>
      <c r="G150" s="122"/>
      <c r="H150" s="1">
        <v>3</v>
      </c>
      <c r="J150" s="118">
        <v>100</v>
      </c>
      <c r="K150" s="118">
        <v>100</v>
      </c>
      <c r="L150" s="122">
        <v>15</v>
      </c>
      <c r="M150" s="122" t="s">
        <v>1055</v>
      </c>
      <c r="O150" s="149">
        <v>2</v>
      </c>
      <c r="P150" s="151" t="str">
        <f>IF($F$9&gt;240,"**REVISAR TABLERO**",IF($P$54&lt;101,"(QOB)","**REVISAR TABLERO**"))</f>
        <v>**REVISAR TABLERO**</v>
      </c>
    </row>
    <row r="151" spans="1:16" ht="14.4">
      <c r="A151" s="118" t="s">
        <v>1056</v>
      </c>
      <c r="B151" s="118"/>
      <c r="C151" s="118"/>
      <c r="D151" s="118"/>
      <c r="E151" s="118"/>
      <c r="F151" s="122"/>
      <c r="G151" s="122"/>
      <c r="H151" s="1">
        <v>3</v>
      </c>
      <c r="J151" s="118">
        <v>100</v>
      </c>
      <c r="K151" s="118">
        <v>100</v>
      </c>
      <c r="L151" s="122">
        <v>27</v>
      </c>
      <c r="M151" s="122" t="s">
        <v>1057</v>
      </c>
      <c r="O151" s="149">
        <v>2</v>
      </c>
      <c r="P151" s="151" t="str">
        <f>IF($F$9&gt;240,"**REVISAR TABLERO**",IF($P$54&lt;101,"(QOB)","**REVISAR TABLERO**"))</f>
        <v>**REVISAR TABLERO**</v>
      </c>
    </row>
    <row r="152" spans="1:16" ht="14.4">
      <c r="A152" s="118" t="s">
        <v>1058</v>
      </c>
      <c r="B152" s="118"/>
      <c r="C152" s="118"/>
      <c r="D152" s="118"/>
      <c r="E152" s="118"/>
      <c r="F152" s="122"/>
      <c r="G152" s="122"/>
      <c r="H152" s="1">
        <v>3</v>
      </c>
      <c r="J152" s="118">
        <v>225</v>
      </c>
      <c r="K152" s="118">
        <v>100</v>
      </c>
      <c r="L152" s="122">
        <v>30</v>
      </c>
      <c r="M152" s="122" t="s">
        <v>1059</v>
      </c>
      <c r="O152" s="149">
        <v>2</v>
      </c>
      <c r="P152" s="151" t="str">
        <f>IF($F$9&gt;240,"**REVISAR TABLERO**",IF($P$54&lt;151,"(HD)",IF(AND($P$54&gt;=151,$P$54&lt;=225),"(JD)","**REVISAR TABLERO**")))</f>
        <v>**REVISAR TABLERO**</v>
      </c>
    </row>
    <row r="153" spans="1:16" ht="14.4">
      <c r="A153" s="118" t="s">
        <v>1060</v>
      </c>
      <c r="B153" s="118"/>
      <c r="C153" s="118"/>
      <c r="D153" s="118"/>
      <c r="E153" s="118"/>
      <c r="F153" s="122"/>
      <c r="G153" s="122"/>
      <c r="H153" s="1">
        <v>3</v>
      </c>
      <c r="J153" s="118">
        <v>225</v>
      </c>
      <c r="K153" s="118">
        <v>100</v>
      </c>
      <c r="L153" s="122">
        <v>42</v>
      </c>
      <c r="M153" s="122" t="s">
        <v>1061</v>
      </c>
      <c r="O153" s="149">
        <v>2</v>
      </c>
      <c r="P153" s="151" t="str">
        <f>IF($F$9&gt;240,"**REVISAR TABLERO**",IF($P$54&lt;151,"(HD)",IF(AND($P$54&gt;=151,$P$54&lt;=225),"(JD)","**REVISAR TABLERO**")))</f>
        <v>**REVISAR TABLERO**</v>
      </c>
    </row>
    <row r="154" spans="1:16" ht="14.4">
      <c r="A154" s="118"/>
      <c r="B154" s="118"/>
      <c r="C154" s="118"/>
      <c r="D154" s="118"/>
      <c r="E154" s="118"/>
      <c r="F154" s="122"/>
      <c r="G154" s="122"/>
      <c r="J154" s="118"/>
      <c r="K154" s="118"/>
      <c r="L154" s="122"/>
      <c r="M154" s="122"/>
    </row>
    <row r="155" spans="1:16" ht="14.4">
      <c r="A155" s="118" t="s">
        <v>1062</v>
      </c>
      <c r="B155" s="118"/>
      <c r="C155" s="118"/>
      <c r="D155" s="118"/>
      <c r="E155" s="118"/>
      <c r="F155" s="122"/>
      <c r="G155" s="122"/>
      <c r="H155" s="1">
        <v>3</v>
      </c>
      <c r="J155" s="118">
        <v>125</v>
      </c>
      <c r="K155" s="118">
        <v>125</v>
      </c>
      <c r="L155" s="122">
        <v>18</v>
      </c>
      <c r="M155" s="122" t="s">
        <v>1063</v>
      </c>
      <c r="O155" s="149">
        <v>3</v>
      </c>
      <c r="P155" s="151" t="str">
        <f>IF($F$9&gt;480,"**REVISAR TABLERO**",IF($P$54&lt;125,"(EDB)","**REVISAR TABLERO**"))</f>
        <v>**REVISAR TABLERO**</v>
      </c>
    </row>
    <row r="156" spans="1:16" ht="14.4">
      <c r="A156" s="118" t="s">
        <v>1064</v>
      </c>
      <c r="B156" s="118"/>
      <c r="C156" s="118"/>
      <c r="D156" s="118"/>
      <c r="E156" s="118"/>
      <c r="F156" s="122"/>
      <c r="G156" s="122"/>
      <c r="H156" s="1">
        <v>3</v>
      </c>
      <c r="J156" s="118">
        <v>125</v>
      </c>
      <c r="K156" s="118">
        <v>125</v>
      </c>
      <c r="L156" s="122">
        <v>30</v>
      </c>
      <c r="M156" s="122" t="s">
        <v>1065</v>
      </c>
      <c r="O156" s="149">
        <v>3</v>
      </c>
      <c r="P156" s="151" t="str">
        <f>IF($F$9&gt;480,"**REVISAR TABLERO**",IF($P$54&lt;125,"(EDB)","**REVISAR TABLERO**"))</f>
        <v>**REVISAR TABLERO**</v>
      </c>
    </row>
    <row r="157" spans="1:16" ht="14.4">
      <c r="A157" s="118" t="s">
        <v>1066</v>
      </c>
      <c r="B157" s="118"/>
      <c r="C157" s="118"/>
      <c r="D157" s="118"/>
      <c r="E157" s="118"/>
      <c r="F157" s="122"/>
      <c r="G157" s="122"/>
      <c r="H157" s="1">
        <v>3</v>
      </c>
      <c r="J157" s="118">
        <v>225</v>
      </c>
      <c r="K157" s="118">
        <v>125</v>
      </c>
      <c r="L157" s="122">
        <v>30</v>
      </c>
      <c r="M157" s="122" t="s">
        <v>1067</v>
      </c>
      <c r="O157" s="149">
        <v>3</v>
      </c>
      <c r="P157" s="151" t="str">
        <f>IF($F$9&gt;480,"**REVISAR TABLERO**",IF($P$54&lt;151,"(HD)",IF(AND($P$54&gt;=151,$P$54&lt;=225),"(JD)","**REVISAR TABLERO**")))</f>
        <v>**REVISAR TABLERO**</v>
      </c>
    </row>
    <row r="158" spans="1:16" ht="14.4">
      <c r="A158" s="118" t="s">
        <v>1068</v>
      </c>
      <c r="B158" s="118"/>
      <c r="C158" s="118"/>
      <c r="D158" s="118"/>
      <c r="E158" s="118"/>
      <c r="F158" s="122"/>
      <c r="G158" s="122"/>
      <c r="H158" s="1">
        <v>3</v>
      </c>
      <c r="J158" s="118">
        <v>225</v>
      </c>
      <c r="K158" s="118">
        <v>125</v>
      </c>
      <c r="L158" s="122">
        <v>42</v>
      </c>
      <c r="M158" s="122" t="s">
        <v>1069</v>
      </c>
      <c r="O158" s="149">
        <v>3</v>
      </c>
      <c r="P158" s="151" t="str">
        <f>IF($F$9&gt;480,"**REVISAR TABLERO**",IF($P$54&lt;151,"(HD)",IF(AND($P$54&gt;=151,$P$54&lt;=225),"(JD)","**REVISAR TABLERO**")))</f>
        <v>**REVISAR TABLERO**</v>
      </c>
    </row>
    <row r="159" spans="1:16" ht="14.4">
      <c r="A159" s="118" t="s">
        <v>1070</v>
      </c>
      <c r="B159" s="118"/>
      <c r="C159" s="118"/>
      <c r="D159" s="118"/>
      <c r="E159" s="118"/>
      <c r="F159" s="122"/>
      <c r="G159" s="122"/>
      <c r="H159" s="1">
        <v>3</v>
      </c>
      <c r="J159" s="118">
        <v>225</v>
      </c>
      <c r="K159" s="118">
        <v>125</v>
      </c>
      <c r="L159" s="122">
        <v>66</v>
      </c>
      <c r="M159" s="122" t="s">
        <v>1071</v>
      </c>
      <c r="O159" s="149">
        <v>3</v>
      </c>
      <c r="P159" s="151" t="str">
        <f>IF($F$9&gt;480,"**REVISAR TABLERO**",IF($P$54&lt;151,"(HD)",IF(AND($P$54&gt;=151,$P$54&lt;=225),"(JD)","**REVISAR TABLERO**")))</f>
        <v>**REVISAR TABLERO**</v>
      </c>
    </row>
    <row r="160" spans="1:16" ht="14.4">
      <c r="A160" s="118" t="s">
        <v>1072</v>
      </c>
      <c r="B160" s="118"/>
      <c r="C160" s="118"/>
      <c r="D160" s="118"/>
      <c r="E160" s="118"/>
      <c r="F160" s="122"/>
      <c r="G160" s="122"/>
      <c r="H160" s="1">
        <v>3</v>
      </c>
      <c r="J160" s="118">
        <v>400</v>
      </c>
      <c r="K160" s="118">
        <v>125</v>
      </c>
      <c r="L160" s="122">
        <v>30</v>
      </c>
      <c r="M160" s="122" t="s">
        <v>1073</v>
      </c>
      <c r="O160" s="149">
        <v>3</v>
      </c>
      <c r="P160" s="151" t="str">
        <f>IF($F$9&gt;480,"**REVISAR TABLERO**",IF($P$54&lt;151,"(HD)",IF(AND($P$54&gt;=151,$P$54&lt;=250),"(JD)",IF(AND($P$54&gt;=251,$P$54&lt;=400),"(LA)","**REVISAR TABLERO**"))))</f>
        <v>**REVISAR TABLERO**</v>
      </c>
    </row>
    <row r="161" spans="1:16" ht="14.4">
      <c r="A161" s="118" t="s">
        <v>1074</v>
      </c>
      <c r="B161" s="118"/>
      <c r="C161" s="118"/>
      <c r="D161" s="118"/>
      <c r="E161" s="118"/>
      <c r="F161" s="122"/>
      <c r="G161" s="122"/>
      <c r="H161" s="1">
        <v>3</v>
      </c>
      <c r="J161" s="118">
        <v>400</v>
      </c>
      <c r="K161" s="118">
        <v>125</v>
      </c>
      <c r="L161" s="122">
        <v>42</v>
      </c>
      <c r="M161" s="122" t="s">
        <v>1075</v>
      </c>
      <c r="O161" s="149">
        <v>3</v>
      </c>
      <c r="P161" s="151" t="str">
        <f>IF($F$9&gt;480,"**REVISAR TABLERO**",IF($P$54&lt;151,"(HD)",IF(AND($P$54&gt;=151,$P$54&lt;=250),"(JD)",IF(AND($P$54&gt;=251,$P$54&lt;=400),"(LA)","**REVISAR TABLERO**"))))</f>
        <v>**REVISAR TABLERO**</v>
      </c>
    </row>
    <row r="162" spans="1:16" ht="14.4">
      <c r="A162" s="118" t="s">
        <v>1076</v>
      </c>
      <c r="B162" s="118"/>
      <c r="C162" s="118"/>
      <c r="D162" s="118"/>
      <c r="E162" s="118"/>
      <c r="F162" s="122"/>
      <c r="G162" s="122"/>
      <c r="H162" s="1">
        <v>3</v>
      </c>
      <c r="J162" s="118">
        <v>400</v>
      </c>
      <c r="K162" s="118">
        <v>125</v>
      </c>
      <c r="L162" s="122">
        <v>66</v>
      </c>
      <c r="M162" s="122" t="s">
        <v>1077</v>
      </c>
      <c r="O162" s="149">
        <v>3</v>
      </c>
      <c r="P162" s="151" t="str">
        <f>IF($F$9&gt;480,"**REVISAR TABLERO**",IF($P$54&lt;151,"(HD)",IF(AND($P$54&gt;=151,$P$54&lt;=250),"(JD)",IF(AND($P$54&gt;=251,$P$54&lt;=400),"(LA)","**REVISAR TABLERO**"))))</f>
        <v>**REVISAR TABLERO**</v>
      </c>
    </row>
    <row r="163" spans="1:16" ht="14.4">
      <c r="A163" s="118" t="s">
        <v>1078</v>
      </c>
      <c r="B163" s="118"/>
      <c r="C163" s="118"/>
      <c r="D163" s="118"/>
      <c r="E163" s="118"/>
      <c r="F163" s="122"/>
      <c r="G163" s="122"/>
      <c r="H163" s="1">
        <v>3</v>
      </c>
      <c r="J163" s="118">
        <v>400</v>
      </c>
      <c r="K163" s="118">
        <v>125</v>
      </c>
      <c r="L163" s="122">
        <v>84</v>
      </c>
      <c r="M163" s="122" t="s">
        <v>1079</v>
      </c>
      <c r="O163" s="149">
        <v>3</v>
      </c>
      <c r="P163" s="151" t="str">
        <f>IF($F$9&gt;480,"**REVISAR TABLERO**",IF($P$54&lt;151,"(HD)",IF(AND($P$54&gt;=151,$P$54&lt;=250),"(JD)",IF(AND($P$54&gt;=251,$P$54&lt;=400),"(LA)","**REVISAR TABLERO**"))))</f>
        <v>**REVISAR TABLERO**</v>
      </c>
    </row>
    <row r="164" spans="1:16" ht="14.4">
      <c r="A164" s="118" t="s">
        <v>1080</v>
      </c>
      <c r="B164" s="118"/>
      <c r="C164" s="118"/>
      <c r="D164" s="118"/>
      <c r="E164" s="118"/>
      <c r="F164" s="122"/>
      <c r="G164" s="122"/>
      <c r="H164" s="1">
        <v>3</v>
      </c>
      <c r="J164" s="118">
        <v>600</v>
      </c>
      <c r="K164" s="118">
        <v>125</v>
      </c>
      <c r="L164" s="122">
        <v>30</v>
      </c>
      <c r="M164" s="122" t="s">
        <v>1081</v>
      </c>
      <c r="O164" s="149">
        <v>3</v>
      </c>
      <c r="P164" s="151" t="str">
        <f>IF($F$9&gt;480,"**REVISAR TABLERO**",IF($P$54&lt;151,"(HD)",IF(AND($P$54&gt;=151,$P$54&lt;=250),"(JD)",IF(AND($P$54&gt;=251,$P$54&lt;=400),"(LA)",IF(AND($P$54&gt;=401,$P$54&lt;=600),"(MG)","**REVISAR TABLERO**")))))</f>
        <v>**REVISAR TABLERO**</v>
      </c>
    </row>
    <row r="165" spans="1:16" ht="14.4">
      <c r="A165" s="118" t="s">
        <v>1082</v>
      </c>
      <c r="B165" s="118"/>
      <c r="C165" s="118"/>
      <c r="D165" s="118"/>
      <c r="E165" s="118"/>
      <c r="F165" s="122"/>
      <c r="G165" s="122"/>
      <c r="H165" s="1">
        <v>3</v>
      </c>
      <c r="J165" s="118">
        <v>600</v>
      </c>
      <c r="K165" s="118">
        <v>125</v>
      </c>
      <c r="L165" s="122">
        <v>42</v>
      </c>
      <c r="M165" s="122" t="s">
        <v>1083</v>
      </c>
      <c r="O165" s="149">
        <v>3</v>
      </c>
      <c r="P165" s="151" t="str">
        <f>IF($F$9&gt;480,"**REVISAR TABLERO**",IF($P$54&lt;151,"(HD)",IF(AND($P$54&gt;=151,$P$54&lt;=250),"(JD)",IF(AND($P$54&gt;=251,$P$54&lt;=400),"(LA)",IF(AND($P$54&gt;=401,$P$54&lt;=600),"(MG)","**REVISAR TABLERO**")))))</f>
        <v>**REVISAR TABLERO**</v>
      </c>
    </row>
    <row r="166" spans="1:16" ht="14.4">
      <c r="A166" s="118" t="s">
        <v>1084</v>
      </c>
      <c r="B166" s="118"/>
      <c r="C166" s="118"/>
      <c r="D166" s="118"/>
      <c r="E166" s="118"/>
      <c r="F166" s="122"/>
      <c r="G166" s="122"/>
      <c r="H166" s="1">
        <v>3</v>
      </c>
      <c r="J166" s="118">
        <v>600</v>
      </c>
      <c r="K166" s="118">
        <v>125</v>
      </c>
      <c r="L166" s="122">
        <v>66</v>
      </c>
      <c r="M166" s="122" t="s">
        <v>1085</v>
      </c>
      <c r="O166" s="149">
        <v>3</v>
      </c>
      <c r="P166" s="151" t="str">
        <f>IF($F$9&gt;480,"**REVISAR TABLERO**",IF($P$54&lt;151,"(HD)",IF(AND($P$54&gt;=151,$P$54&lt;=250),"(JD)",IF(AND($P$54&gt;=251,$P$54&lt;=400),"(LA)",IF(AND($P$54&gt;=401,$P$54&lt;=600),"(MG)","**REVISAR TABLERO**")))))</f>
        <v>**REVISAR TABLERO**</v>
      </c>
    </row>
    <row r="167" spans="1:16" ht="14.4">
      <c r="A167" s="118" t="s">
        <v>1086</v>
      </c>
      <c r="B167" s="118"/>
      <c r="C167" s="118"/>
      <c r="D167" s="118"/>
      <c r="E167" s="118"/>
      <c r="F167" s="122"/>
      <c r="G167" s="122"/>
      <c r="H167" s="1">
        <v>3</v>
      </c>
      <c r="J167" s="118">
        <v>600</v>
      </c>
      <c r="K167" s="118">
        <v>125</v>
      </c>
      <c r="L167" s="122">
        <v>84</v>
      </c>
      <c r="M167" s="122" t="s">
        <v>1087</v>
      </c>
      <c r="O167" s="149">
        <v>3</v>
      </c>
      <c r="P167" s="151" t="str">
        <f>IF($F$9&gt;480,"**REVISAR TABLERO**",IF($P$54&lt;151,"(HD)",IF(AND($P$54&gt;=151,$P$54&lt;=250),"(JD)",IF(AND($P$54&gt;=251,$P$54&lt;=400),"(LA)",IF(AND($P$54&gt;=401,$P$54&lt;=600),"(MG)","**REVISAR TABLERO**")))))</f>
        <v>**REVISAR TABLERO**</v>
      </c>
    </row>
    <row r="168" spans="1:16" ht="14.4">
      <c r="A168" s="118"/>
      <c r="B168" s="118"/>
      <c r="C168" s="118"/>
      <c r="D168" s="118"/>
      <c r="E168" s="118"/>
      <c r="F168" s="122"/>
      <c r="G168" s="122"/>
      <c r="J168" s="118"/>
      <c r="K168" s="118"/>
      <c r="L168" s="122"/>
      <c r="M168" s="122"/>
    </row>
    <row r="169" spans="1:16" ht="14.4">
      <c r="A169" s="118" t="s">
        <v>1088</v>
      </c>
      <c r="B169" s="118"/>
      <c r="C169" s="118"/>
      <c r="D169" s="118"/>
      <c r="E169" s="118"/>
      <c r="F169" s="122"/>
      <c r="G169" s="122"/>
      <c r="H169" s="1">
        <v>3</v>
      </c>
      <c r="J169" s="118">
        <v>125</v>
      </c>
      <c r="K169" s="118">
        <v>125</v>
      </c>
      <c r="L169" s="122">
        <v>18</v>
      </c>
      <c r="M169" s="122" t="s">
        <v>1089</v>
      </c>
      <c r="O169" s="149">
        <v>3</v>
      </c>
      <c r="P169" s="151" t="str">
        <f>IF($F$9&gt;480,"**REVISAR TABLERO**",IF($P$54&lt;125,"(EDB)","**REVISAR TABLERO**"))</f>
        <v>**REVISAR TABLERO**</v>
      </c>
    </row>
    <row r="170" spans="1:16" ht="14.4">
      <c r="A170" s="118" t="s">
        <v>1090</v>
      </c>
      <c r="B170" s="118"/>
      <c r="C170" s="118"/>
      <c r="D170" s="118"/>
      <c r="E170" s="118"/>
      <c r="F170" s="122"/>
      <c r="G170" s="122"/>
      <c r="H170" s="1">
        <v>3</v>
      </c>
      <c r="J170" s="118">
        <v>125</v>
      </c>
      <c r="K170" s="118">
        <v>125</v>
      </c>
      <c r="L170" s="122">
        <v>30</v>
      </c>
      <c r="M170" s="122" t="s">
        <v>1091</v>
      </c>
      <c r="O170" s="149">
        <v>3</v>
      </c>
      <c r="P170" s="151" t="str">
        <f>IF($F$9&gt;480,"**REVISAR TABLERO**",IF($P$54&lt;125,"(EDB)","**REVISAR TABLERO**"))</f>
        <v>**REVISAR TABLERO**</v>
      </c>
    </row>
    <row r="171" spans="1:16" ht="14.4">
      <c r="A171" s="118" t="s">
        <v>1092</v>
      </c>
      <c r="B171" s="118"/>
      <c r="C171" s="118"/>
      <c r="D171" s="118"/>
      <c r="E171" s="118"/>
      <c r="F171" s="122"/>
      <c r="G171" s="122"/>
      <c r="H171" s="1">
        <v>3</v>
      </c>
      <c r="J171" s="118">
        <v>125</v>
      </c>
      <c r="K171" s="118">
        <v>125</v>
      </c>
      <c r="L171" s="122">
        <v>18</v>
      </c>
      <c r="M171" s="122" t="s">
        <v>1093</v>
      </c>
      <c r="O171" s="149">
        <v>3</v>
      </c>
      <c r="P171" s="151" t="str">
        <f>IF($F$9&gt;480,"**REVISAR TABLERO**",IF($P$54&lt;151,"(HD)",IF(AND($P$54&gt;=151,$P$54&lt;=225),"(JD)","**REVISAR TABLERO**")))</f>
        <v>**REVISAR TABLERO**</v>
      </c>
    </row>
    <row r="172" spans="1:16" ht="14.4">
      <c r="A172" s="118" t="s">
        <v>1094</v>
      </c>
      <c r="B172" s="118"/>
      <c r="C172" s="118"/>
      <c r="D172" s="118"/>
      <c r="E172" s="118"/>
      <c r="F172" s="122"/>
      <c r="G172" s="122"/>
      <c r="H172" s="1">
        <v>3</v>
      </c>
      <c r="J172" s="118">
        <v>125</v>
      </c>
      <c r="K172" s="118">
        <v>125</v>
      </c>
      <c r="L172" s="122">
        <v>30</v>
      </c>
      <c r="M172" s="122" t="s">
        <v>1095</v>
      </c>
      <c r="O172" s="149">
        <v>3</v>
      </c>
      <c r="P172" s="151" t="str">
        <f>IF($F$9&gt;480,"**REVISAR TABLERO**",IF($P$54&lt;151,"(HD)",IF(AND($P$54&gt;=151,$P$54&lt;=225),"(JD)","**REVISAR TABLERO**")))</f>
        <v>**REVISAR TABLERO**</v>
      </c>
    </row>
    <row r="173" spans="1:16" ht="14.4">
      <c r="A173" s="118" t="s">
        <v>1096</v>
      </c>
      <c r="B173" s="118"/>
      <c r="C173" s="118"/>
      <c r="D173" s="118"/>
      <c r="E173" s="118"/>
      <c r="F173" s="122"/>
      <c r="G173" s="122"/>
      <c r="H173" s="1">
        <v>3</v>
      </c>
      <c r="J173" s="118">
        <v>225</v>
      </c>
      <c r="K173" s="118">
        <v>125</v>
      </c>
      <c r="L173" s="122">
        <v>30</v>
      </c>
      <c r="M173" s="122" t="s">
        <v>1097</v>
      </c>
      <c r="O173" s="149">
        <v>3</v>
      </c>
      <c r="P173" s="151" t="str">
        <f>IF($F$9&gt;480,"**REVISAR TABLERO**",IF($P$54&lt;151,"(HD)",IF(AND($P$54&gt;=151,$P$54&lt;=225),"(JD)","**REVISAR TABLERO**")))</f>
        <v>**REVISAR TABLERO**</v>
      </c>
    </row>
    <row r="174" spans="1:16" ht="14.4">
      <c r="A174" s="118" t="s">
        <v>1098</v>
      </c>
      <c r="B174" s="118"/>
      <c r="C174" s="118"/>
      <c r="D174" s="118"/>
      <c r="E174" s="118"/>
      <c r="F174" s="122"/>
      <c r="G174" s="122"/>
      <c r="H174" s="1">
        <v>3</v>
      </c>
      <c r="J174" s="118">
        <v>225</v>
      </c>
      <c r="K174" s="118">
        <v>125</v>
      </c>
      <c r="L174" s="122">
        <v>42</v>
      </c>
      <c r="M174" s="122" t="s">
        <v>1099</v>
      </c>
      <c r="O174" s="149">
        <v>3</v>
      </c>
      <c r="P174" s="151" t="str">
        <f>IF($F$9&gt;480,"**REVISAR TABLERO**",IF($P$54&lt;151,"(HD)",IF(AND($P$54&gt;=151,$P$54&lt;=225),"(JD)","**REVISAR TABLERO**")))</f>
        <v>**REVISAR TABLERO**</v>
      </c>
    </row>
    <row r="175" spans="1:16" ht="14.4">
      <c r="A175" s="118" t="s">
        <v>1100</v>
      </c>
      <c r="B175" s="118"/>
      <c r="C175" s="118"/>
      <c r="D175" s="118"/>
      <c r="E175" s="118"/>
      <c r="F175" s="122"/>
      <c r="G175" s="122"/>
      <c r="H175" s="1">
        <v>3</v>
      </c>
      <c r="J175" s="118">
        <v>225</v>
      </c>
      <c r="K175" s="118">
        <v>125</v>
      </c>
      <c r="L175" s="122">
        <v>66</v>
      </c>
      <c r="M175" s="122" t="s">
        <v>1101</v>
      </c>
      <c r="O175" s="149">
        <v>3</v>
      </c>
      <c r="P175" s="151" t="str">
        <f>IF($F$9&gt;480,"**REVISAR TABLERO**",IF($P$54&lt;151,"(HD)",IF(AND($P$54&gt;=151,$P$54&lt;=225),"(JD)","**REVISAR TABLERO**")))</f>
        <v>**REVISAR TABLERO**</v>
      </c>
    </row>
    <row r="176" spans="1:16" ht="14.4">
      <c r="A176" s="118" t="s">
        <v>1102</v>
      </c>
      <c r="B176" s="118"/>
      <c r="C176" s="118"/>
      <c r="D176" s="118"/>
      <c r="E176" s="118"/>
      <c r="F176" s="122"/>
      <c r="G176" s="122"/>
      <c r="H176" s="1">
        <v>3</v>
      </c>
      <c r="J176" s="118">
        <v>400</v>
      </c>
      <c r="K176" s="118">
        <v>125</v>
      </c>
      <c r="L176" s="122">
        <v>30</v>
      </c>
      <c r="M176" s="122" t="s">
        <v>1103</v>
      </c>
      <c r="O176" s="149">
        <v>3</v>
      </c>
      <c r="P176" s="151" t="str">
        <f>IF($F$9&gt;480,"**REVISAR TABLERO**",IF($P$54&lt;151,"(HD)",IF(AND($P$54&gt;=151,$P$54&lt;=250),"(JD)",IF(AND($P$54&gt;=251,$P$54&lt;=400),"(LA)","**REVISAR TABLERO**"))))</f>
        <v>**REVISAR TABLERO**</v>
      </c>
    </row>
    <row r="177" spans="1:16" ht="14.4">
      <c r="A177" s="118" t="s">
        <v>1104</v>
      </c>
      <c r="B177" s="118"/>
      <c r="C177" s="118"/>
      <c r="D177" s="118"/>
      <c r="E177" s="118"/>
      <c r="F177" s="122"/>
      <c r="G177" s="122"/>
      <c r="H177" s="1">
        <v>3</v>
      </c>
      <c r="J177" s="118">
        <v>400</v>
      </c>
      <c r="K177" s="118">
        <v>125</v>
      </c>
      <c r="L177" s="122">
        <v>42</v>
      </c>
      <c r="M177" s="122" t="s">
        <v>1105</v>
      </c>
      <c r="O177" s="149">
        <v>3</v>
      </c>
      <c r="P177" s="151" t="str">
        <f>IF($F$9&gt;480,"**REVISAR TABLERO**",IF($P$54&lt;151,"(HD)",IF(AND($P$54&gt;=151,$P$54&lt;=250),"(JD)",IF(AND($P$54&gt;=251,$P$54&lt;=400),"(LA)","**REVISAR TABLERO**"))))</f>
        <v>**REVISAR TABLERO**</v>
      </c>
    </row>
    <row r="178" spans="1:16" ht="14.4">
      <c r="A178" s="118" t="s">
        <v>1106</v>
      </c>
      <c r="B178" s="118"/>
      <c r="C178" s="118"/>
      <c r="D178" s="118"/>
      <c r="E178" s="118"/>
      <c r="F178" s="122"/>
      <c r="G178" s="122"/>
      <c r="H178" s="1">
        <v>3</v>
      </c>
      <c r="J178" s="118">
        <v>400</v>
      </c>
      <c r="K178" s="118">
        <v>125</v>
      </c>
      <c r="L178" s="122">
        <v>66</v>
      </c>
      <c r="M178" s="122" t="s">
        <v>1107</v>
      </c>
      <c r="O178" s="149">
        <v>3</v>
      </c>
      <c r="P178" s="151" t="str">
        <f>IF($F$9&gt;480,"**REVISAR TABLERO**",IF($P$54&lt;151,"(HD)",IF(AND($P$54&gt;=151,$P$54&lt;=250),"(JD)",IF(AND($P$54&gt;=251,$P$54&lt;=400),"(LA)","**REVISAR TABLERO**"))))</f>
        <v>**REVISAR TABLERO**</v>
      </c>
    </row>
    <row r="179" spans="1:16" ht="14.4">
      <c r="A179" s="118" t="s">
        <v>1108</v>
      </c>
      <c r="B179" s="118"/>
      <c r="C179" s="118"/>
      <c r="D179" s="118"/>
      <c r="E179" s="118"/>
      <c r="F179" s="122"/>
      <c r="G179" s="122"/>
      <c r="H179" s="1">
        <v>3</v>
      </c>
      <c r="J179" s="118">
        <v>400</v>
      </c>
      <c r="K179" s="118">
        <v>125</v>
      </c>
      <c r="L179" s="122">
        <v>84</v>
      </c>
      <c r="M179" s="122" t="s">
        <v>1109</v>
      </c>
      <c r="O179" s="149">
        <v>3</v>
      </c>
      <c r="P179" s="151" t="str">
        <f>IF($F$9&gt;480,"**REVISAR TABLERO**",IF($P$54&lt;151,"(HD)",IF(AND($P$54&gt;=151,$P$54&lt;=250),"(JD)",IF(AND($P$54&gt;=251,$P$54&lt;=400),"(LA)","**REVISAR TABLERO**"))))</f>
        <v>**REVISAR TABLERO**</v>
      </c>
    </row>
    <row r="180" spans="1:16" ht="14.4">
      <c r="A180" s="118" t="s">
        <v>1110</v>
      </c>
      <c r="B180" s="118"/>
      <c r="C180" s="118"/>
      <c r="D180" s="118"/>
      <c r="E180" s="118"/>
      <c r="F180" s="122"/>
      <c r="G180" s="122"/>
      <c r="H180" s="1">
        <v>3</v>
      </c>
      <c r="J180" s="118">
        <v>600</v>
      </c>
      <c r="K180" s="118">
        <v>125</v>
      </c>
      <c r="L180" s="122">
        <v>30</v>
      </c>
      <c r="M180" s="122" t="s">
        <v>1111</v>
      </c>
      <c r="O180" s="149">
        <v>3</v>
      </c>
      <c r="P180" s="151" t="str">
        <f>IF($F$9&gt;480,"**REVISAR TABLERO**",IF($P$54&lt;151,"(HD)",IF(AND($P$54&gt;=151,$P$54&lt;=250),"(JD)",IF(AND($P$54&gt;=251,$P$54&lt;=400),"(LA)",IF(AND($P$54&gt;=401,$P$54&lt;=600),"(MG)","**REVISAR TABLERO**")))))</f>
        <v>**REVISAR TABLERO**</v>
      </c>
    </row>
    <row r="181" spans="1:16" ht="14.4">
      <c r="A181" s="118" t="s">
        <v>1112</v>
      </c>
      <c r="B181" s="118"/>
      <c r="C181" s="118"/>
      <c r="D181" s="118"/>
      <c r="E181" s="118"/>
      <c r="F181" s="122"/>
      <c r="G181" s="122"/>
      <c r="H181" s="1">
        <v>3</v>
      </c>
      <c r="J181" s="118">
        <v>600</v>
      </c>
      <c r="K181" s="118">
        <v>125</v>
      </c>
      <c r="L181" s="122">
        <v>42</v>
      </c>
      <c r="M181" s="122" t="s">
        <v>1113</v>
      </c>
      <c r="O181" s="149">
        <v>3</v>
      </c>
      <c r="P181" s="151" t="str">
        <f>IF($F$9&gt;480,"**REVISAR TABLERO**",IF($P$54&lt;151,"(HD)",IF(AND($P$54&gt;=151,$P$54&lt;=250),"(JD)",IF(AND($P$54&gt;=251,$P$54&lt;=400),"(LA)",IF(AND($P$54&gt;=401,$P$54&lt;=600),"(MG)","**REVISAR TABLERO**")))))</f>
        <v>**REVISAR TABLERO**</v>
      </c>
    </row>
    <row r="182" spans="1:16" ht="14.4">
      <c r="A182" s="118" t="s">
        <v>1114</v>
      </c>
      <c r="B182" s="118"/>
      <c r="C182" s="118"/>
      <c r="D182" s="118"/>
      <c r="E182" s="118"/>
      <c r="F182" s="122"/>
      <c r="G182" s="122"/>
      <c r="H182" s="1">
        <v>3</v>
      </c>
      <c r="J182" s="118">
        <v>600</v>
      </c>
      <c r="K182" s="118">
        <v>125</v>
      </c>
      <c r="L182" s="122">
        <v>66</v>
      </c>
      <c r="M182" s="122" t="s">
        <v>1115</v>
      </c>
      <c r="O182" s="149">
        <v>3</v>
      </c>
      <c r="P182" s="151" t="str">
        <f>IF($F$9&gt;480,"**REVISAR TABLERO**",IF($P$54&lt;151,"(HD)",IF(AND($P$54&gt;=151,$P$54&lt;=250),"(JD)",IF(AND($P$54&gt;=251,$P$54&lt;=400),"(LA)",IF(AND($P$54&gt;=401,$P$54&lt;=600),"(MG)","**REVISAR TABLERO**")))))</f>
        <v>**REVISAR TABLERO**</v>
      </c>
    </row>
    <row r="183" spans="1:16" ht="14.4">
      <c r="A183" s="118" t="s">
        <v>1116</v>
      </c>
      <c r="B183" s="118"/>
      <c r="C183" s="118"/>
      <c r="D183" s="118"/>
      <c r="E183" s="118"/>
      <c r="F183" s="122"/>
      <c r="G183" s="122"/>
      <c r="H183" s="1">
        <v>3</v>
      </c>
      <c r="J183" s="118">
        <v>600</v>
      </c>
      <c r="K183" s="118">
        <v>125</v>
      </c>
      <c r="L183" s="122">
        <v>84</v>
      </c>
      <c r="M183" s="122" t="s">
        <v>1117</v>
      </c>
      <c r="O183" s="149">
        <v>3</v>
      </c>
      <c r="P183" s="151" t="str">
        <f>IF($F$9&gt;480,"**REVISAR TABLERO**",IF($P$54&lt;151,"(HD)",IF(AND($P$54&gt;=151,$P$54&lt;=250),"(JD)",IF(AND($P$54&gt;=251,$P$54&lt;=400),"(LA)",IF(AND($P$54&gt;=401,$P$54&lt;=600),"(MG)","**REVISAR TABLERO**")))))</f>
        <v>**REVISAR TABLERO**</v>
      </c>
    </row>
    <row r="185" spans="1:16">
      <c r="A185" s="49" t="s">
        <v>1118</v>
      </c>
      <c r="H185" s="1">
        <v>2</v>
      </c>
      <c r="J185" s="1">
        <v>60</v>
      </c>
      <c r="K185" s="1">
        <v>60</v>
      </c>
      <c r="L185" s="1">
        <v>4</v>
      </c>
      <c r="M185" s="49" t="s">
        <v>1119</v>
      </c>
      <c r="O185" s="149">
        <v>1</v>
      </c>
      <c r="P185" s="151" t="str">
        <f>IF($F$9&gt;240,"**REVISAR TABLERO**",IF($P$54&lt;61,"(QO)","**REVISAR TABLERO**"))</f>
        <v>**REVISAR TABLERO**</v>
      </c>
    </row>
    <row r="186" spans="1:16">
      <c r="A186" s="49" t="s">
        <v>1891</v>
      </c>
      <c r="H186" s="1">
        <v>2</v>
      </c>
      <c r="J186" s="1">
        <v>100</v>
      </c>
      <c r="K186" s="1">
        <v>50</v>
      </c>
      <c r="L186" s="1">
        <v>6</v>
      </c>
      <c r="M186" s="49" t="s">
        <v>1120</v>
      </c>
      <c r="O186" s="149">
        <v>1</v>
      </c>
      <c r="P186" s="151" t="str">
        <f>IF($F$9&gt;240,"**REVISAR TABLERO**",IF($P$54&lt;61,"(QO)","**REVISAR TABLERO**"))</f>
        <v>**REVISAR TABLERO**</v>
      </c>
    </row>
    <row r="187" spans="1:16">
      <c r="A187" s="49" t="s">
        <v>1892</v>
      </c>
      <c r="H187" s="1">
        <v>2</v>
      </c>
      <c r="J187" s="1">
        <v>100</v>
      </c>
      <c r="K187" s="1">
        <v>50</v>
      </c>
      <c r="L187" s="1">
        <v>8</v>
      </c>
      <c r="M187" s="49" t="s">
        <v>1121</v>
      </c>
      <c r="O187" s="149">
        <v>1</v>
      </c>
      <c r="P187" s="151" t="str">
        <f>IF($F$9&gt;240,"**REVISAR TABLERO**",IF($P$54&lt;61,"(QO)","**REVISAR TABLERO**"))</f>
        <v>**REVISAR TABLERO**</v>
      </c>
    </row>
    <row r="188" spans="1:16">
      <c r="A188" s="49"/>
    </row>
    <row r="189" spans="1:16">
      <c r="A189" s="154" t="s">
        <v>1122</v>
      </c>
      <c r="H189" s="1">
        <v>2</v>
      </c>
      <c r="J189" s="1">
        <v>40</v>
      </c>
      <c r="K189" s="1">
        <v>40</v>
      </c>
      <c r="L189" s="1">
        <v>2</v>
      </c>
      <c r="M189" s="154" t="s">
        <v>1123</v>
      </c>
      <c r="O189" s="149">
        <v>1</v>
      </c>
      <c r="P189" s="151" t="str">
        <f>IF($F$9&gt;240,"**REVISAR TABLERO**",IF($P$54&lt;41,"(QO)","**REVISAR TABLERO**"))</f>
        <v>**REVISAR TABLERO**</v>
      </c>
    </row>
    <row r="190" spans="1:16">
      <c r="A190" s="154" t="s">
        <v>1124</v>
      </c>
      <c r="H190" s="1">
        <v>2</v>
      </c>
      <c r="J190" s="1">
        <v>70</v>
      </c>
      <c r="K190" s="1">
        <v>70</v>
      </c>
      <c r="L190" s="1">
        <v>2</v>
      </c>
      <c r="M190" s="154" t="s">
        <v>1125</v>
      </c>
      <c r="O190" s="149">
        <v>1</v>
      </c>
      <c r="P190" s="151" t="str">
        <f>IF($F$9&gt;240,"**REVISAR TABLERO**",IF($P$54&lt;71,"(QO)","**REVISAR TABLERO**"))</f>
        <v>**REVISAR TABLERO**</v>
      </c>
    </row>
    <row r="191" spans="1:16">
      <c r="A191" s="154" t="s">
        <v>1126</v>
      </c>
      <c r="H191" s="1">
        <v>2</v>
      </c>
      <c r="J191" s="1">
        <v>100</v>
      </c>
      <c r="K191" s="1">
        <v>70</v>
      </c>
      <c r="L191" s="1">
        <v>6</v>
      </c>
      <c r="M191" s="154" t="s">
        <v>1127</v>
      </c>
      <c r="O191" s="149">
        <v>1</v>
      </c>
      <c r="P191" s="151" t="str">
        <f>IF($F$9&gt;240,"**REVISAR TABLERO**",IF($P$54&lt;101,"(QO)","**REVISAR TABLERO**"))</f>
        <v>**REVISAR TABLERO**</v>
      </c>
    </row>
    <row r="192" spans="1:16">
      <c r="A192" s="154" t="s">
        <v>1128</v>
      </c>
      <c r="H192" s="1">
        <v>2</v>
      </c>
      <c r="J192" s="1">
        <v>100</v>
      </c>
      <c r="K192" s="1">
        <v>70</v>
      </c>
      <c r="L192" s="1">
        <v>8</v>
      </c>
      <c r="M192" s="154" t="s">
        <v>1129</v>
      </c>
      <c r="O192" s="149">
        <v>1</v>
      </c>
      <c r="P192" s="151" t="str">
        <f>IF($F$9&gt;240,"**REVISAR TABLERO**",IF($P$54&lt;101,"(QO)","**REVISAR TABLERO**"))</f>
        <v>**REVISAR TABLERO**</v>
      </c>
    </row>
    <row r="193" spans="1:16">
      <c r="A193" s="154" t="s">
        <v>1130</v>
      </c>
      <c r="H193" s="1">
        <v>2</v>
      </c>
      <c r="J193" s="1">
        <v>125</v>
      </c>
      <c r="K193" s="1">
        <v>70</v>
      </c>
      <c r="L193" s="1">
        <v>12</v>
      </c>
      <c r="M193" s="154" t="s">
        <v>1131</v>
      </c>
      <c r="O193" s="149">
        <v>1</v>
      </c>
      <c r="P193" s="151" t="str">
        <f>IF($F$9&gt;240,"**REVISAR TABLERO**",IF($P$54&lt;126,"(QO)","**REVISAR TABLERO**"))</f>
        <v>**REVISAR TABLERO**</v>
      </c>
    </row>
    <row r="194" spans="1:16">
      <c r="A194" s="154" t="s">
        <v>1132</v>
      </c>
      <c r="H194" s="1">
        <v>2</v>
      </c>
      <c r="J194" s="1">
        <v>125</v>
      </c>
      <c r="K194" s="1">
        <v>70</v>
      </c>
      <c r="L194" s="1">
        <v>24</v>
      </c>
      <c r="M194" s="154" t="s">
        <v>1133</v>
      </c>
      <c r="O194" s="149">
        <v>1</v>
      </c>
      <c r="P194" s="151" t="str">
        <f>IF($F$9&gt;240,"**REVISAR TABLERO**",IF($P$54&lt;126,"(QO)","**REVISAR TABLERO**"))</f>
        <v>**REVISAR TABLERO**</v>
      </c>
    </row>
    <row r="195" spans="1:16">
      <c r="A195" s="154" t="s">
        <v>1134</v>
      </c>
      <c r="H195" s="1">
        <v>2</v>
      </c>
      <c r="J195" s="1">
        <v>200</v>
      </c>
      <c r="K195" s="1">
        <v>70</v>
      </c>
      <c r="L195" s="1">
        <v>30</v>
      </c>
      <c r="M195" s="154" t="s">
        <v>1135</v>
      </c>
      <c r="O195" s="149">
        <v>1</v>
      </c>
      <c r="P195" s="151" t="str">
        <f>IF($F$9&gt;240,"**REVISAR TABLERO**",IF($P$54&lt;151,"(HD)",IF(AND($P$54&gt;=151,$P$54&lt;=200),"(JD)","**REVISAR TABLERO**")))</f>
        <v>**REVISAR TABLERO**</v>
      </c>
    </row>
    <row r="196" spans="1:16">
      <c r="A196" s="154" t="s">
        <v>1136</v>
      </c>
      <c r="H196" s="1">
        <v>2</v>
      </c>
      <c r="J196" s="1">
        <v>225</v>
      </c>
      <c r="K196" s="1">
        <v>70</v>
      </c>
      <c r="L196" s="1">
        <v>42</v>
      </c>
      <c r="M196" s="154" t="s">
        <v>1137</v>
      </c>
      <c r="O196" s="149">
        <v>1</v>
      </c>
      <c r="P196" s="151" t="str">
        <f>IF($F$9&gt;240,"**REVISAR TABLERO**",IF($P$54&lt;151,"(HD)",IF(AND($P$54&gt;=151,$P$54&lt;=225),"(JD)","**REVISAR TABLERO**")))</f>
        <v>**REVISAR TABLERO**</v>
      </c>
    </row>
    <row r="197" spans="1:16">
      <c r="A197"/>
    </row>
    <row r="198" spans="1:16">
      <c r="A198" s="154" t="s">
        <v>1138</v>
      </c>
      <c r="H198" s="1">
        <v>3</v>
      </c>
      <c r="J198" s="1">
        <v>60</v>
      </c>
      <c r="K198" s="1">
        <v>60</v>
      </c>
      <c r="L198" s="1">
        <v>3</v>
      </c>
      <c r="M198" s="154" t="s">
        <v>1139</v>
      </c>
      <c r="O198" s="149">
        <v>1</v>
      </c>
      <c r="P198" s="151" t="str">
        <f>IF($F$9&gt;240,"**REVISAR TABLERO**",IF($P$54&lt;41,"(QO)","**REVISAR TABLERO**"))</f>
        <v>**REVISAR TABLERO**</v>
      </c>
    </row>
    <row r="199" spans="1:16">
      <c r="A199" s="154" t="s">
        <v>1140</v>
      </c>
      <c r="H199" s="1">
        <v>3</v>
      </c>
      <c r="J199" s="1">
        <v>125</v>
      </c>
      <c r="K199" s="1">
        <v>100</v>
      </c>
      <c r="L199" s="1">
        <v>12</v>
      </c>
      <c r="M199" s="154" t="s">
        <v>1141</v>
      </c>
      <c r="O199" s="149">
        <v>1</v>
      </c>
      <c r="P199" s="151" t="str">
        <f>IF($F$9&gt;240,"**REVISAR TABLERO**",IF($P$54&lt;126,"(QO)","**REVISAR TABLERO**"))</f>
        <v>**REVISAR TABLERO**</v>
      </c>
    </row>
    <row r="200" spans="1:16">
      <c r="A200" s="154" t="s">
        <v>1142</v>
      </c>
      <c r="H200" s="1">
        <v>3</v>
      </c>
      <c r="J200" s="1">
        <v>125</v>
      </c>
      <c r="K200" s="1">
        <v>100</v>
      </c>
      <c r="L200" s="1">
        <v>20</v>
      </c>
      <c r="M200" s="154" t="s">
        <v>1143</v>
      </c>
      <c r="O200" s="149">
        <v>1</v>
      </c>
      <c r="P200" s="151" t="str">
        <f>IF($F$9&gt;240,"**REVISAR TABLERO**",IF($P$54&lt;126,"(HD)","**REVISAR TABLERO**"))</f>
        <v>**REVISAR TABLERO**</v>
      </c>
    </row>
    <row r="201" spans="1:16">
      <c r="A201" s="154" t="s">
        <v>1144</v>
      </c>
      <c r="H201" s="1">
        <v>3</v>
      </c>
      <c r="J201" s="1">
        <v>200</v>
      </c>
      <c r="K201" s="1">
        <v>100</v>
      </c>
      <c r="L201" s="1">
        <v>30</v>
      </c>
      <c r="M201" s="154" t="s">
        <v>1145</v>
      </c>
      <c r="O201" s="149">
        <v>1</v>
      </c>
      <c r="P201" s="151" t="str">
        <f>IF($F$9&gt;240,"**REVISAR TABLERO**",IF($P$54&lt;151,"(HD)",IF(AND($P$54&gt;=151,$P$54&lt;=200),"(JD)","**REVISAR TABLERO**")))</f>
        <v>**REVISAR TABLERO**</v>
      </c>
    </row>
    <row r="202" spans="1:16">
      <c r="A202" s="154" t="s">
        <v>1146</v>
      </c>
      <c r="H202" s="1">
        <v>3</v>
      </c>
      <c r="J202" s="1">
        <v>225</v>
      </c>
      <c r="K202" s="1">
        <v>100</v>
      </c>
      <c r="L202" s="1">
        <v>42</v>
      </c>
      <c r="M202" s="154" t="s">
        <v>1147</v>
      </c>
      <c r="O202" s="149">
        <v>1</v>
      </c>
      <c r="P202" s="151" t="str">
        <f>IF($F$9&gt;240,"**REVISAR TABLERO**",IF($P$54&lt;151,"(HD)",IF(AND($P$54&gt;=151,$P$54&lt;=225),"(JD)","**REVISAR TABLERO**")))</f>
        <v>**REVISAR TABLERO**</v>
      </c>
    </row>
    <row r="204" spans="1:16">
      <c r="A204" s="154" t="s">
        <v>1148</v>
      </c>
      <c r="H204" s="1">
        <v>2</v>
      </c>
      <c r="J204" s="1">
        <v>100</v>
      </c>
      <c r="K204" s="1">
        <v>70</v>
      </c>
      <c r="L204" s="1">
        <v>12</v>
      </c>
      <c r="M204" s="154" t="s">
        <v>1149</v>
      </c>
      <c r="O204" s="149">
        <v>1</v>
      </c>
      <c r="P204" s="151" t="str">
        <f>IF($F$9&gt;240,"**REVISAR TABLERO**",IF($P$54&lt;71,"(QO)","**REVISAR TABLERO**"))</f>
        <v>**REVISAR TABLERO**</v>
      </c>
    </row>
    <row r="205" spans="1:16">
      <c r="A205" s="154" t="s">
        <v>1150</v>
      </c>
      <c r="H205" s="1">
        <v>2</v>
      </c>
      <c r="J205" s="1">
        <v>100</v>
      </c>
      <c r="K205" s="1">
        <v>70</v>
      </c>
      <c r="L205" s="1">
        <v>20</v>
      </c>
      <c r="M205" s="154" t="s">
        <v>1151</v>
      </c>
      <c r="O205" s="149">
        <v>1</v>
      </c>
      <c r="P205" s="151" t="str">
        <f>IF($F$9&gt;240,"**REVISAR TABLERO**",IF($P$54&lt;71,"(QO)","**REVISAR TABLERO**"))</f>
        <v>**REVISAR TABLERO**</v>
      </c>
    </row>
    <row r="206" spans="1:16">
      <c r="A206" s="154" t="s">
        <v>1152</v>
      </c>
      <c r="H206" s="1">
        <v>2</v>
      </c>
      <c r="J206" s="1">
        <v>200</v>
      </c>
      <c r="K206" s="1">
        <v>70</v>
      </c>
      <c r="L206" s="1">
        <v>30</v>
      </c>
      <c r="M206" s="154" t="s">
        <v>1153</v>
      </c>
      <c r="O206" s="149">
        <v>1</v>
      </c>
      <c r="P206" s="151" t="str">
        <f>IF($F$9&gt;240,"**REVISAR TABLERO**",IF($P$54&lt;101,"(QO)",IF(AND($P$54&gt;=101,$P$54&lt;=150),"(HD)",IF(AND($P$54&gt;=151,$P$54&lt;=201),"(JD)",IF($P$54&gt;201,"**REVISAR TABLERO**")))))</f>
        <v>**REVISAR TABLERO**</v>
      </c>
    </row>
    <row r="207" spans="1:16">
      <c r="A207" s="154" t="s">
        <v>1154</v>
      </c>
      <c r="H207" s="1">
        <v>2</v>
      </c>
      <c r="J207" s="1">
        <v>225</v>
      </c>
      <c r="K207" s="1">
        <v>70</v>
      </c>
      <c r="L207" s="1">
        <v>42</v>
      </c>
      <c r="M207" s="154" t="s">
        <v>1155</v>
      </c>
      <c r="O207" s="149">
        <v>1</v>
      </c>
      <c r="P207" s="151" t="str">
        <f>IF($F$9&gt;240,"**REVISAR TABLERO**",IF($P$54&lt;101,"(QO)",IF(AND($P$54&gt;=101,$P$54&lt;=150),"(HD)",IF(AND($P$54&gt;=151,$P$54&lt;=226),"(JD)",IF($P$54&gt;201,"**REVISAR TABLERO**")))))</f>
        <v>**REVISAR TABLERO**</v>
      </c>
    </row>
    <row r="208" spans="1:16">
      <c r="A208"/>
      <c r="M208"/>
    </row>
    <row r="209" spans="1:16">
      <c r="A209" s="154" t="s">
        <v>1156</v>
      </c>
      <c r="H209" s="1">
        <v>3</v>
      </c>
      <c r="J209" s="1">
        <v>100</v>
      </c>
      <c r="K209" s="1">
        <v>100</v>
      </c>
      <c r="L209" s="1">
        <v>27</v>
      </c>
      <c r="M209" s="154" t="s">
        <v>1157</v>
      </c>
      <c r="O209" s="149">
        <v>1</v>
      </c>
      <c r="P209" s="151" t="str">
        <f>IF($F$9&gt;240,"**REVISAR TABLERO**",IF($P$54&lt;101,"(QO)","**REVISAR TABLERO**"))</f>
        <v>**REVISAR TABLERO**</v>
      </c>
    </row>
    <row r="210" spans="1:16">
      <c r="A210" s="154" t="s">
        <v>1158</v>
      </c>
      <c r="H210" s="1">
        <v>3</v>
      </c>
      <c r="J210" s="1">
        <v>200</v>
      </c>
      <c r="K210" s="1">
        <v>100</v>
      </c>
      <c r="L210" s="1">
        <v>30</v>
      </c>
      <c r="M210" s="154" t="s">
        <v>1159</v>
      </c>
      <c r="O210" s="149">
        <v>1</v>
      </c>
      <c r="P210" s="151" t="str">
        <f>IF($F$9&gt;240,"**REVISAR TABLERO**",IF($P$54&lt;101,"(QO)",IF(AND($P$54&gt;=101,$P$54&lt;=150),"(HD)",IF(AND($P$54&gt;=151,$P$54&lt;=201),"(JD)",IF($P$54&gt;201,"**REVISAR TABLERO**")))))</f>
        <v>**REVISAR TABLERO**</v>
      </c>
    </row>
    <row r="211" spans="1:16">
      <c r="A211" s="154" t="s">
        <v>1160</v>
      </c>
      <c r="H211" s="1">
        <v>3</v>
      </c>
      <c r="J211" s="1">
        <v>225</v>
      </c>
      <c r="K211" s="1">
        <v>100</v>
      </c>
      <c r="L211" s="1">
        <v>42</v>
      </c>
      <c r="M211" s="154" t="s">
        <v>1161</v>
      </c>
      <c r="O211" s="149">
        <v>1</v>
      </c>
      <c r="P211" s="151" t="str">
        <f>IF($F$9&gt;240,"**REVISAR TABLERO**",IF($P$54&lt;101,"(QO)",IF(AND($P$54&gt;=101,$P$54&lt;=150),"(HD)",IF(AND($P$54&gt;=151,$P$54&lt;=226),"(JD)",IF($P$54&gt;201,"**REVISAR TABLERO**")))))</f>
        <v>**REVISAR TABLERO**</v>
      </c>
    </row>
    <row r="213" spans="1:16">
      <c r="A213" s="49" t="s">
        <v>1162</v>
      </c>
      <c r="H213" s="1">
        <v>1</v>
      </c>
      <c r="J213" s="1">
        <v>50</v>
      </c>
      <c r="K213" s="1">
        <v>50</v>
      </c>
      <c r="L213" s="1">
        <v>1</v>
      </c>
      <c r="M213" s="49" t="s">
        <v>1163</v>
      </c>
      <c r="O213" s="149">
        <v>1</v>
      </c>
      <c r="P213" s="151" t="str">
        <f>IF($F$9&gt;240,"**REVISAR TABLERO**",IF($P$54&lt;51,"(QO)","**REVISAR TABLERO**"))</f>
        <v>**REVISAR TABLERO**</v>
      </c>
    </row>
    <row r="214" spans="1:16">
      <c r="A214" s="49" t="s">
        <v>1164</v>
      </c>
      <c r="H214" s="1">
        <v>2</v>
      </c>
      <c r="J214" s="1">
        <v>50</v>
      </c>
      <c r="K214" s="1">
        <v>50</v>
      </c>
      <c r="L214" s="1">
        <v>2</v>
      </c>
      <c r="M214" s="49" t="s">
        <v>1165</v>
      </c>
      <c r="O214" s="149">
        <v>1</v>
      </c>
      <c r="P214" s="151" t="str">
        <f>IF($F$9&gt;240,"**REVISAR TABLERO**",IF($P$54&lt;51,"(QO)","**REVISAR TABLERO**"))</f>
        <v>**REVISAR TABLERO**</v>
      </c>
    </row>
    <row r="215" spans="1:16">
      <c r="A215" s="49" t="s">
        <v>1166</v>
      </c>
      <c r="H215" s="1">
        <v>3</v>
      </c>
      <c r="J215" s="1">
        <v>100</v>
      </c>
      <c r="K215" s="1">
        <v>100</v>
      </c>
      <c r="L215" s="1">
        <v>3</v>
      </c>
      <c r="M215" s="49" t="s">
        <v>1167</v>
      </c>
      <c r="O215" s="149">
        <v>1</v>
      </c>
      <c r="P215" s="151" t="str">
        <f>IF($F$9&gt;240,"**REVISAR TABLERO**",IF($P$54&lt;101,"(QO)","**REVISAR TABLERO**"))</f>
        <v>**REVISAR TABLERO**</v>
      </c>
    </row>
    <row r="216" spans="1:16">
      <c r="A216" s="49" t="s">
        <v>1168</v>
      </c>
      <c r="H216" s="1">
        <v>2</v>
      </c>
      <c r="J216" s="1">
        <v>60</v>
      </c>
      <c r="K216" s="1">
        <v>60</v>
      </c>
      <c r="L216" s="1">
        <v>4</v>
      </c>
      <c r="M216" s="49" t="s">
        <v>1169</v>
      </c>
      <c r="O216" s="149">
        <v>1</v>
      </c>
      <c r="P216" s="151" t="str">
        <f>IF($F$9&gt;240,"**REVISAR TABLERO**",IF($P$54&lt;61,"(QO)","**REVISAR TABLERO**"))</f>
        <v>**REVISAR TABLERO**</v>
      </c>
    </row>
    <row r="217" spans="1:16">
      <c r="A217" s="49" t="s">
        <v>1170</v>
      </c>
      <c r="H217" s="1">
        <v>2</v>
      </c>
      <c r="J217" s="1">
        <v>100</v>
      </c>
      <c r="K217" s="1">
        <v>100</v>
      </c>
      <c r="L217" s="1">
        <v>6</v>
      </c>
      <c r="M217" s="49" t="s">
        <v>1171</v>
      </c>
      <c r="O217" s="149">
        <v>1</v>
      </c>
      <c r="P217" s="151" t="str">
        <f>IF($F$9&gt;240,"**REVISAR TABLERO**",IF($P$54&lt;101,"(QO)","**REVISAR TABLERO**"))</f>
        <v>**REVISAR TABLERO**</v>
      </c>
    </row>
    <row r="218" spans="1:16">
      <c r="A218" s="49" t="s">
        <v>1172</v>
      </c>
      <c r="H218" s="1">
        <v>2</v>
      </c>
      <c r="J218" s="1">
        <v>100</v>
      </c>
      <c r="K218" s="1">
        <v>100</v>
      </c>
      <c r="L218" s="1">
        <v>8</v>
      </c>
      <c r="M218" s="49" t="s">
        <v>1173</v>
      </c>
      <c r="O218" s="149">
        <v>1</v>
      </c>
      <c r="P218" s="151" t="str">
        <f>IF($F$9&gt;240,"**REVISAR TABLERO**",IF($P$54&lt;101,"(QO)","**REVISAR TABLERO**"))</f>
        <v>**REVISAR TABLERO**</v>
      </c>
    </row>
    <row r="220" spans="1:16">
      <c r="A220" s="49" t="s">
        <v>1174</v>
      </c>
      <c r="H220" s="1">
        <v>3</v>
      </c>
      <c r="J220" s="1">
        <v>1600</v>
      </c>
      <c r="K220" s="1">
        <v>1200</v>
      </c>
      <c r="L220" s="1">
        <v>120</v>
      </c>
      <c r="M220" s="49" t="s">
        <v>1175</v>
      </c>
      <c r="O220" s="149">
        <v>4</v>
      </c>
      <c r="P220" s="151" t="str">
        <f t="shared" ref="P220:P225" si="0">IF($F$9&gt;600,"**REVISAR TABLERO**","(MASTERPACT)")</f>
        <v>(MASTERPACT)</v>
      </c>
    </row>
    <row r="221" spans="1:16">
      <c r="A221" s="49" t="s">
        <v>1176</v>
      </c>
      <c r="H221" s="1">
        <v>3</v>
      </c>
      <c r="J221" s="1">
        <v>2500</v>
      </c>
      <c r="K221" s="1">
        <v>1200</v>
      </c>
      <c r="L221" s="1">
        <v>120</v>
      </c>
      <c r="M221" s="49" t="s">
        <v>1175</v>
      </c>
      <c r="O221" s="149">
        <v>4</v>
      </c>
      <c r="P221" s="151" t="str">
        <f t="shared" si="0"/>
        <v>(MASTERPACT)</v>
      </c>
    </row>
    <row r="222" spans="1:16">
      <c r="A222" s="49" t="s">
        <v>1177</v>
      </c>
      <c r="H222" s="1">
        <v>3</v>
      </c>
      <c r="J222" s="1">
        <v>3200</v>
      </c>
      <c r="K222" s="1">
        <v>1200</v>
      </c>
      <c r="L222" s="1">
        <v>120</v>
      </c>
      <c r="M222" s="49" t="s">
        <v>1175</v>
      </c>
      <c r="O222" s="149">
        <v>4</v>
      </c>
      <c r="P222" s="151" t="str">
        <f t="shared" si="0"/>
        <v>(MASTERPACT)</v>
      </c>
    </row>
    <row r="223" spans="1:16">
      <c r="A223" s="49" t="s">
        <v>1178</v>
      </c>
      <c r="H223" s="1">
        <v>3</v>
      </c>
      <c r="J223" s="1">
        <v>4000</v>
      </c>
      <c r="K223" s="1">
        <v>1200</v>
      </c>
      <c r="L223" s="1">
        <v>120</v>
      </c>
      <c r="M223" s="49" t="s">
        <v>1175</v>
      </c>
      <c r="O223" s="149">
        <v>4</v>
      </c>
      <c r="P223" s="151" t="str">
        <f t="shared" si="0"/>
        <v>(MASTERPACT)</v>
      </c>
    </row>
    <row r="224" spans="1:16">
      <c r="A224" s="49" t="s">
        <v>1179</v>
      </c>
      <c r="H224" s="1">
        <v>3</v>
      </c>
      <c r="J224" s="1">
        <v>5000</v>
      </c>
      <c r="K224" s="1">
        <v>1200</v>
      </c>
      <c r="L224" s="1">
        <v>120</v>
      </c>
      <c r="M224" s="49" t="s">
        <v>1175</v>
      </c>
      <c r="O224" s="149">
        <v>4</v>
      </c>
      <c r="P224" s="151" t="str">
        <f t="shared" si="0"/>
        <v>(MASTERPACT)</v>
      </c>
    </row>
    <row r="225" spans="1:16">
      <c r="A225" s="49" t="s">
        <v>1180</v>
      </c>
      <c r="H225" s="1">
        <v>3</v>
      </c>
      <c r="J225" s="1">
        <v>6300</v>
      </c>
      <c r="K225" s="1">
        <v>1200</v>
      </c>
      <c r="L225" s="1">
        <v>120</v>
      </c>
      <c r="M225" s="49" t="s">
        <v>1175</v>
      </c>
      <c r="O225" s="149">
        <v>4</v>
      </c>
      <c r="P225" s="151" t="str">
        <f t="shared" si="0"/>
        <v>(MASTERPACT)</v>
      </c>
    </row>
    <row r="227" spans="1:16">
      <c r="A227" s="49" t="s">
        <v>1181</v>
      </c>
      <c r="H227" s="1">
        <v>3</v>
      </c>
      <c r="J227" s="1">
        <v>6300</v>
      </c>
      <c r="K227" s="1">
        <v>1200</v>
      </c>
      <c r="L227" s="1">
        <v>120</v>
      </c>
      <c r="M227" s="49" t="s">
        <v>1175</v>
      </c>
      <c r="O227" s="149">
        <v>4</v>
      </c>
      <c r="P227" s="151" t="str">
        <f>IF($F$9&gt;600,"**REVISAR TABLERO**",IF($P$54&lt;150,"(HD)",IF(AND($P$54&gt;=151,$P$54&lt;=250),"(JD)",IF(AND($P$54&gt;=251,$P$54&lt;=800),"(MG)",IF(AND($P$54&gt;=801,$P$54&lt;=1200),"(PG)","POWERPACK")))))</f>
        <v>POWERPACK</v>
      </c>
    </row>
    <row r="230" spans="1:16">
      <c r="A230" s="49" t="s">
        <v>1182</v>
      </c>
    </row>
    <row r="232" spans="1:16">
      <c r="A232" s="49" t="s">
        <v>463</v>
      </c>
    </row>
    <row r="233" spans="1:16">
      <c r="A233" s="49" t="s">
        <v>644</v>
      </c>
    </row>
    <row r="249" spans="1:9">
      <c r="E249" s="49" t="s">
        <v>1838</v>
      </c>
      <c r="H249" s="49" t="s">
        <v>1183</v>
      </c>
      <c r="I249" s="49" t="s">
        <v>1899</v>
      </c>
    </row>
    <row r="250" spans="1:9">
      <c r="A250" s="49" t="s">
        <v>1183</v>
      </c>
      <c r="E250" s="49">
        <v>1</v>
      </c>
      <c r="H250" s="49" t="s">
        <v>10</v>
      </c>
      <c r="I250" s="1">
        <v>60</v>
      </c>
    </row>
    <row r="251" spans="1:9">
      <c r="A251" s="49" t="s">
        <v>12</v>
      </c>
      <c r="B251" s="49" t="s">
        <v>1184</v>
      </c>
      <c r="E251" s="1">
        <v>2</v>
      </c>
      <c r="H251" s="49" t="s">
        <v>1897</v>
      </c>
      <c r="I251" s="1">
        <v>75</v>
      </c>
    </row>
    <row r="252" spans="1:9">
      <c r="A252" s="49" t="s">
        <v>436</v>
      </c>
      <c r="B252" s="49" t="s">
        <v>1185</v>
      </c>
      <c r="E252" s="1">
        <v>3</v>
      </c>
      <c r="I252" s="1">
        <v>90</v>
      </c>
    </row>
    <row r="253" spans="1:9">
      <c r="A253" s="49" t="s">
        <v>1186</v>
      </c>
      <c r="B253" s="49" t="s">
        <v>1187</v>
      </c>
      <c r="E253" s="1">
        <v>4</v>
      </c>
    </row>
    <row r="254" spans="1:9">
      <c r="A254" s="49" t="s">
        <v>1188</v>
      </c>
      <c r="B254" s="49" t="s">
        <v>1189</v>
      </c>
      <c r="E254" s="1">
        <v>5</v>
      </c>
    </row>
    <row r="255" spans="1:9">
      <c r="A255" s="49" t="s">
        <v>1190</v>
      </c>
      <c r="B255" s="49" t="s">
        <v>1191</v>
      </c>
      <c r="E255" s="1">
        <v>6</v>
      </c>
    </row>
    <row r="256" spans="1:9">
      <c r="A256" s="49" t="s">
        <v>1192</v>
      </c>
      <c r="B256" s="49" t="s">
        <v>1193</v>
      </c>
      <c r="E256" s="1">
        <v>7</v>
      </c>
    </row>
    <row r="257" spans="1:2">
      <c r="A257" s="49" t="s">
        <v>840</v>
      </c>
      <c r="B257" s="49" t="s">
        <v>1194</v>
      </c>
    </row>
    <row r="258" spans="1:2">
      <c r="A258" s="49" t="s">
        <v>1195</v>
      </c>
      <c r="B258" s="49" t="s">
        <v>1196</v>
      </c>
    </row>
    <row r="259" spans="1:2">
      <c r="A259" s="49" t="s">
        <v>1197</v>
      </c>
      <c r="B259" s="49" t="s">
        <v>1198</v>
      </c>
    </row>
    <row r="260" spans="1:2">
      <c r="A260" s="49" t="s">
        <v>1199</v>
      </c>
      <c r="B260" s="49" t="s">
        <v>1199</v>
      </c>
    </row>
    <row r="261" spans="1:2">
      <c r="A261" s="49" t="s">
        <v>1200</v>
      </c>
      <c r="B261" s="49" t="s">
        <v>1201</v>
      </c>
    </row>
    <row r="262" spans="1:2">
      <c r="A262" s="49" t="s">
        <v>1521</v>
      </c>
      <c r="B262" s="49" t="s">
        <v>1522</v>
      </c>
    </row>
    <row r="281" spans="1:1">
      <c r="A281" s="49" t="s">
        <v>1202</v>
      </c>
    </row>
    <row r="283" spans="1:1">
      <c r="A283" s="49" t="s">
        <v>500</v>
      </c>
    </row>
    <row r="284" spans="1:1">
      <c r="A284" s="49" t="s">
        <v>1203</v>
      </c>
    </row>
    <row r="285" spans="1:1">
      <c r="A285" s="49" t="s">
        <v>1204</v>
      </c>
    </row>
    <row r="286" spans="1:1">
      <c r="A286" s="49" t="s">
        <v>1205</v>
      </c>
    </row>
    <row r="290" spans="1:1">
      <c r="A290" s="49" t="s">
        <v>1206</v>
      </c>
    </row>
    <row r="292" spans="1:1">
      <c r="A292" s="49" t="s">
        <v>840</v>
      </c>
    </row>
    <row r="293" spans="1:1">
      <c r="A293" s="49" t="s">
        <v>1195</v>
      </c>
    </row>
    <row r="294" spans="1:1">
      <c r="A294" s="49" t="s">
        <v>1207</v>
      </c>
    </row>
    <row r="295" spans="1:1">
      <c r="A295" s="49" t="s">
        <v>1199</v>
      </c>
    </row>
    <row r="296" spans="1:1">
      <c r="A296" s="49" t="s">
        <v>1200</v>
      </c>
    </row>
    <row r="329" spans="3:4">
      <c r="D329" s="49" t="s">
        <v>1523</v>
      </c>
    </row>
    <row r="330" spans="3:4">
      <c r="C330" s="49" t="s">
        <v>12</v>
      </c>
      <c r="D330" s="1" t="s">
        <v>1524</v>
      </c>
    </row>
    <row r="331" spans="3:4">
      <c r="C331" s="49" t="s">
        <v>436</v>
      </c>
      <c r="D331" s="1" t="s">
        <v>1525</v>
      </c>
    </row>
    <row r="332" spans="3:4">
      <c r="C332" s="49" t="s">
        <v>1188</v>
      </c>
      <c r="D332" s="49" t="s">
        <v>1530</v>
      </c>
    </row>
    <row r="333" spans="3:4">
      <c r="C333" s="49" t="s">
        <v>840</v>
      </c>
      <c r="D333" s="1" t="s">
        <v>1527</v>
      </c>
    </row>
    <row r="334" spans="3:4">
      <c r="C334" s="49" t="s">
        <v>1195</v>
      </c>
      <c r="D334" s="1" t="s">
        <v>1528</v>
      </c>
    </row>
    <row r="335" spans="3:4">
      <c r="C335" s="49" t="s">
        <v>1197</v>
      </c>
      <c r="D335" s="1" t="s">
        <v>1529</v>
      </c>
    </row>
    <row r="336" spans="3:4">
      <c r="C336" s="49" t="s">
        <v>1199</v>
      </c>
      <c r="D336" s="49" t="s">
        <v>1532</v>
      </c>
    </row>
    <row r="337" spans="3:4">
      <c r="C337" s="49" t="s">
        <v>1190</v>
      </c>
      <c r="D337" s="49" t="s">
        <v>1531</v>
      </c>
    </row>
    <row r="338" spans="3:4">
      <c r="C338" s="49" t="s">
        <v>1200</v>
      </c>
      <c r="D338" s="49" t="s">
        <v>1533</v>
      </c>
    </row>
    <row r="339" spans="3:4">
      <c r="C339" s="49" t="s">
        <v>1521</v>
      </c>
      <c r="D339" s="49" t="s">
        <v>1534</v>
      </c>
    </row>
    <row r="340" spans="3:4">
      <c r="C340" s="49" t="s">
        <v>1192</v>
      </c>
      <c r="D340" s="49" t="s">
        <v>1907</v>
      </c>
    </row>
    <row r="341" spans="3:4">
      <c r="D341" s="49"/>
    </row>
    <row r="342" spans="3:4">
      <c r="D342" s="49"/>
    </row>
    <row r="343" spans="3:4">
      <c r="D343" s="49"/>
    </row>
    <row r="344" spans="3:4">
      <c r="D344" s="49"/>
    </row>
    <row r="345" spans="3:4">
      <c r="D345" s="49"/>
    </row>
    <row r="346" spans="3:4">
      <c r="D346" s="49"/>
    </row>
    <row r="347" spans="3:4">
      <c r="D347" s="49"/>
    </row>
    <row r="348" spans="3:4">
      <c r="D348" s="49"/>
    </row>
    <row r="349" spans="3:4">
      <c r="C349" s="49" t="s">
        <v>1186</v>
      </c>
      <c r="D349" s="49" t="s">
        <v>1526</v>
      </c>
    </row>
    <row r="388" spans="1:37" s="163" customFormat="1">
      <c r="A388" s="162" t="s">
        <v>1252</v>
      </c>
      <c r="O388" s="164"/>
      <c r="P388" s="164"/>
      <c r="Q388" s="164"/>
      <c r="R388" s="164"/>
      <c r="S388" s="164"/>
      <c r="T388" s="164"/>
      <c r="U388" s="164"/>
      <c r="V388" s="164"/>
      <c r="W388" s="164"/>
      <c r="X388" s="164"/>
      <c r="Y388" s="164"/>
      <c r="Z388" s="164"/>
      <c r="AA388" s="164"/>
      <c r="AB388" s="164"/>
      <c r="AC388" s="164"/>
      <c r="AD388" s="164"/>
      <c r="AE388" s="164"/>
      <c r="AF388" s="164"/>
      <c r="AG388" s="164"/>
      <c r="AH388" s="164"/>
      <c r="AI388" s="164"/>
      <c r="AJ388" s="164"/>
      <c r="AK388" s="164"/>
    </row>
    <row r="390" spans="1:37">
      <c r="A390" s="161" t="s">
        <v>1882</v>
      </c>
      <c r="B390" s="161">
        <v>1</v>
      </c>
      <c r="C390" s="161" t="s">
        <v>1253</v>
      </c>
    </row>
    <row r="391" spans="1:37">
      <c r="A391" s="161" t="s">
        <v>1883</v>
      </c>
      <c r="B391" s="161">
        <v>2</v>
      </c>
      <c r="C391" s="161" t="s">
        <v>1254</v>
      </c>
    </row>
    <row r="392" spans="1:37">
      <c r="A392" s="161" t="s">
        <v>1884</v>
      </c>
      <c r="B392" s="161">
        <v>3</v>
      </c>
      <c r="C392" s="161" t="s">
        <v>1255</v>
      </c>
    </row>
    <row r="393" spans="1:37">
      <c r="A393" s="161" t="s">
        <v>1906</v>
      </c>
      <c r="B393" s="161">
        <v>4</v>
      </c>
      <c r="C393" s="161" t="s">
        <v>1905</v>
      </c>
    </row>
    <row r="394" spans="1:37">
      <c r="A394" s="161" t="s">
        <v>1885</v>
      </c>
      <c r="B394" s="161">
        <v>5</v>
      </c>
      <c r="C394" s="161" t="s">
        <v>1256</v>
      </c>
    </row>
    <row r="395" spans="1:37">
      <c r="A395" s="161" t="s">
        <v>1886</v>
      </c>
      <c r="B395" s="161">
        <v>6</v>
      </c>
      <c r="C395" s="161" t="s">
        <v>1257</v>
      </c>
    </row>
    <row r="396" spans="1:37">
      <c r="A396" s="161" t="s">
        <v>1887</v>
      </c>
      <c r="B396" s="161">
        <v>7</v>
      </c>
      <c r="C396" s="161" t="s">
        <v>1258</v>
      </c>
    </row>
    <row r="401" spans="1:12" ht="22.2" customHeight="1">
      <c r="A401" s="742" t="s">
        <v>1213</v>
      </c>
      <c r="B401" s="49" t="s">
        <v>1535</v>
      </c>
      <c r="D401" s="49" t="s">
        <v>1208</v>
      </c>
      <c r="E401" s="49" t="s">
        <v>1861</v>
      </c>
      <c r="G401" s="49" t="s">
        <v>1862</v>
      </c>
      <c r="K401" s="742" t="s">
        <v>1226</v>
      </c>
    </row>
    <row r="402" spans="1:12">
      <c r="A402" s="742" t="s">
        <v>1214</v>
      </c>
      <c r="B402" s="742" t="s">
        <v>1215</v>
      </c>
      <c r="D402" s="49" t="s">
        <v>842</v>
      </c>
      <c r="E402" s="1" t="str">
        <f>IF($L$7="I",IF(TABLERO!$BW$116&gt;800,"DIA-TSECOEPPAL","DIA-TSECOTPPAL"),IF(TABLERO!$BW$116&gt;800,"DIA-TSECOEPPAL","DIA-TSECOTPPAL")&amp;"Z")</f>
        <v>DIA-TSECOEPPAL</v>
      </c>
      <c r="G402" s="49" t="s">
        <v>1863</v>
      </c>
      <c r="H402" s="49" t="s">
        <v>1872</v>
      </c>
      <c r="K402" s="742" t="s">
        <v>1227</v>
      </c>
      <c r="L402" s="49" t="s">
        <v>1535</v>
      </c>
    </row>
    <row r="403" spans="1:12">
      <c r="A403" s="742" t="s">
        <v>1216</v>
      </c>
      <c r="B403" s="742" t="s">
        <v>1217</v>
      </c>
      <c r="D403" s="49" t="s">
        <v>1209</v>
      </c>
      <c r="E403" s="1" t="str">
        <f>IF($L$7="I",IF(TABLERO!$BW$118&gt;800,"DIA-TPRAEPPAL","DIA-TPRATPPAL"),IF(TABLERO!$BW$118&gt;800,"DIA-TPRAEPPAL","DIA-TPRATPPAL")&amp;"Z")</f>
        <v>DIA-TPRAEPPAL</v>
      </c>
      <c r="G403" s="49" t="s">
        <v>1864</v>
      </c>
      <c r="H403" s="49" t="s">
        <v>1873</v>
      </c>
      <c r="K403" s="742" t="s">
        <v>1228</v>
      </c>
      <c r="L403" s="742" t="s">
        <v>792</v>
      </c>
    </row>
    <row r="404" spans="1:12">
      <c r="A404" s="742" t="s">
        <v>1218</v>
      </c>
      <c r="B404" s="742" t="s">
        <v>1219</v>
      </c>
      <c r="D404" s="49" t="s">
        <v>1210</v>
      </c>
      <c r="E404" s="1" t="str">
        <f>IF($L$7="I",IF(TABLERO!$BW$118&gt;800,"DIA-TPANIEPPAL","DIA-TPANITPPAL"),IF(TABLERO!$BW$118&gt;800,"DIA-TPANIEPPAL","DIA-TPANITPPAL")&amp;"Z")</f>
        <v>DIA-TPANIEPPAL</v>
      </c>
      <c r="G404" s="49" t="s">
        <v>1865</v>
      </c>
      <c r="H404" s="49" t="s">
        <v>1867</v>
      </c>
      <c r="K404" s="742" t="s">
        <v>1229</v>
      </c>
      <c r="L404" s="742" t="s">
        <v>2018</v>
      </c>
    </row>
    <row r="405" spans="1:12">
      <c r="A405" s="742" t="s">
        <v>1220</v>
      </c>
      <c r="B405" s="742" t="s">
        <v>1221</v>
      </c>
      <c r="D405" s="49" t="s">
        <v>1211</v>
      </c>
      <c r="E405" s="1" t="str">
        <f>IF($L$7="I",IF(TABLERO!$BW$118&gt;800,"DIA-TRADEPPAL","DIA-TRADTPPAL"),IF(TABLERO!$BW$118&gt;800,"DIA-TRADEPPAL","DIA-TRADTPPAL")&amp;"Z")</f>
        <v>DIA-TRADEPPAL</v>
      </c>
      <c r="G405" s="49" t="s">
        <v>1468</v>
      </c>
      <c r="H405" s="49" t="s">
        <v>1868</v>
      </c>
      <c r="K405" s="742" t="s">
        <v>1230</v>
      </c>
      <c r="L405" s="742" t="s">
        <v>1842</v>
      </c>
    </row>
    <row r="406" spans="1:12">
      <c r="A406" s="742" t="s">
        <v>1222</v>
      </c>
      <c r="B406" s="742" t="s">
        <v>1223</v>
      </c>
      <c r="D406" s="49" t="s">
        <v>1212</v>
      </c>
      <c r="E406" s="49" t="str">
        <f>IF($L$7="I","DIA-TPOSTPPAL","DIA-TPOSTPPALZ")</f>
        <v>DIA-TPOSTPPAL</v>
      </c>
      <c r="G406" s="49" t="s">
        <v>1866</v>
      </c>
      <c r="H406" s="49" t="s">
        <v>1869</v>
      </c>
      <c r="K406" s="742" t="s">
        <v>1231</v>
      </c>
      <c r="L406" s="742" t="s">
        <v>1843</v>
      </c>
    </row>
    <row r="407" spans="1:12">
      <c r="A407" s="742" t="s">
        <v>1224</v>
      </c>
      <c r="B407" s="742" t="s">
        <v>1225</v>
      </c>
      <c r="D407" s="49"/>
      <c r="G407" s="49" t="s">
        <v>1870</v>
      </c>
      <c r="H407" s="49" t="s">
        <v>1871</v>
      </c>
      <c r="K407" s="742" t="s">
        <v>1232</v>
      </c>
      <c r="L407" s="742" t="s">
        <v>1844</v>
      </c>
    </row>
    <row r="408" spans="1:12">
      <c r="A408" s="742" t="s">
        <v>2027</v>
      </c>
      <c r="B408" s="732" t="s">
        <v>2028</v>
      </c>
      <c r="K408" s="742" t="s">
        <v>1233</v>
      </c>
      <c r="L408" s="742" t="s">
        <v>1845</v>
      </c>
    </row>
    <row r="409" spans="1:12">
      <c r="A409" s="742"/>
      <c r="B409" s="732"/>
      <c r="K409" s="742" t="s">
        <v>1738</v>
      </c>
      <c r="L409" s="742" t="s">
        <v>1846</v>
      </c>
    </row>
    <row r="410" spans="1:12">
      <c r="A410" s="742"/>
      <c r="B410" s="732"/>
      <c r="K410" s="742" t="s">
        <v>2019</v>
      </c>
      <c r="L410" s="742" t="s">
        <v>1847</v>
      </c>
    </row>
    <row r="411" spans="1:12">
      <c r="A411" s="742"/>
      <c r="B411" s="732"/>
      <c r="K411" s="732" t="s">
        <v>1234</v>
      </c>
      <c r="L411" s="742" t="s">
        <v>1848</v>
      </c>
    </row>
    <row r="412" spans="1:12">
      <c r="A412" s="742"/>
      <c r="B412" s="732"/>
      <c r="K412" s="732" t="s">
        <v>1235</v>
      </c>
      <c r="L412" s="742" t="s">
        <v>2020</v>
      </c>
    </row>
    <row r="413" spans="1:12">
      <c r="A413" s="742"/>
      <c r="B413" s="732"/>
      <c r="K413" s="732" t="s">
        <v>1236</v>
      </c>
      <c r="L413" s="742" t="s">
        <v>1849</v>
      </c>
    </row>
    <row r="414" spans="1:12">
      <c r="A414" s="742"/>
      <c r="B414" s="732"/>
      <c r="K414" s="732" t="s">
        <v>1237</v>
      </c>
      <c r="L414" s="742" t="s">
        <v>1850</v>
      </c>
    </row>
    <row r="415" spans="1:12">
      <c r="A415" s="742"/>
      <c r="B415" s="732"/>
      <c r="K415" s="732" t="s">
        <v>1238</v>
      </c>
      <c r="L415" s="742" t="s">
        <v>2021</v>
      </c>
    </row>
    <row r="416" spans="1:12">
      <c r="A416" s="742"/>
      <c r="B416" s="732"/>
      <c r="K416" s="732" t="s">
        <v>1239</v>
      </c>
      <c r="L416" s="742" t="s">
        <v>2022</v>
      </c>
    </row>
    <row r="417" spans="1:12">
      <c r="A417" s="742"/>
      <c r="B417" s="732"/>
      <c r="K417" s="732" t="s">
        <v>1240</v>
      </c>
      <c r="L417" s="742" t="s">
        <v>1851</v>
      </c>
    </row>
    <row r="418" spans="1:12">
      <c r="A418" s="742"/>
      <c r="B418" s="732"/>
      <c r="K418" s="732" t="s">
        <v>1241</v>
      </c>
      <c r="L418" s="742" t="s">
        <v>1852</v>
      </c>
    </row>
    <row r="419" spans="1:12">
      <c r="A419" s="742"/>
      <c r="B419" s="732"/>
      <c r="K419" s="732" t="s">
        <v>1242</v>
      </c>
      <c r="L419" s="742" t="s">
        <v>1853</v>
      </c>
    </row>
    <row r="420" spans="1:12">
      <c r="A420" s="742"/>
      <c r="B420" s="732"/>
      <c r="K420" s="732" t="s">
        <v>1243</v>
      </c>
      <c r="L420" s="742" t="s">
        <v>1187</v>
      </c>
    </row>
    <row r="421" spans="1:12">
      <c r="A421" s="742"/>
      <c r="B421" s="732"/>
      <c r="K421" s="732" t="s">
        <v>1244</v>
      </c>
      <c r="L421" s="742" t="s">
        <v>2023</v>
      </c>
    </row>
    <row r="422" spans="1:12">
      <c r="A422" s="732"/>
      <c r="B422" s="732"/>
      <c r="K422" s="732" t="s">
        <v>1245</v>
      </c>
      <c r="L422" s="742" t="s">
        <v>1199</v>
      </c>
    </row>
    <row r="423" spans="1:12">
      <c r="A423" s="732"/>
      <c r="B423" s="732"/>
      <c r="K423" s="732" t="s">
        <v>1246</v>
      </c>
      <c r="L423" s="742" t="s">
        <v>1854</v>
      </c>
    </row>
    <row r="424" spans="1:12">
      <c r="A424" s="732"/>
      <c r="B424" s="732"/>
      <c r="K424" s="732" t="s">
        <v>1247</v>
      </c>
      <c r="L424" s="742" t="s">
        <v>1855</v>
      </c>
    </row>
    <row r="425" spans="1:12">
      <c r="A425" s="732"/>
      <c r="B425" s="732"/>
      <c r="K425" s="732" t="s">
        <v>1248</v>
      </c>
      <c r="L425" s="742" t="s">
        <v>1856</v>
      </c>
    </row>
    <row r="426" spans="1:12">
      <c r="A426" s="732"/>
      <c r="B426" s="732"/>
      <c r="K426" s="732" t="s">
        <v>1249</v>
      </c>
      <c r="L426" s="742" t="s">
        <v>1857</v>
      </c>
    </row>
    <row r="427" spans="1:12">
      <c r="A427" s="732"/>
      <c r="B427" s="732"/>
      <c r="K427" s="732" t="s">
        <v>1250</v>
      </c>
      <c r="L427" s="742" t="s">
        <v>1858</v>
      </c>
    </row>
    <row r="428" spans="1:12">
      <c r="K428" s="732" t="s">
        <v>1251</v>
      </c>
      <c r="L428" s="742" t="s">
        <v>1859</v>
      </c>
    </row>
    <row r="429" spans="1:12">
      <c r="K429" s="742" t="s">
        <v>2024</v>
      </c>
      <c r="L429" s="732" t="s">
        <v>1522</v>
      </c>
    </row>
    <row r="430" spans="1:12">
      <c r="K430" s="742" t="s">
        <v>2025</v>
      </c>
      <c r="L430" s="732" t="s">
        <v>2026</v>
      </c>
    </row>
    <row r="431" spans="1:12">
      <c r="K431" s="742" t="s">
        <v>2030</v>
      </c>
      <c r="L431" s="732" t="s">
        <v>2029</v>
      </c>
    </row>
    <row r="432" spans="1:12">
      <c r="K432" s="742" t="s">
        <v>2031</v>
      </c>
      <c r="L432" s="732" t="s">
        <v>2032</v>
      </c>
    </row>
    <row r="433" spans="11:12">
      <c r="K433" s="742"/>
      <c r="L433" s="732"/>
    </row>
    <row r="434" spans="11:12">
      <c r="K434" s="742"/>
      <c r="L434" s="732"/>
    </row>
    <row r="435" spans="11:12">
      <c r="K435" s="742"/>
      <c r="L435" s="732"/>
    </row>
    <row r="436" spans="11:12">
      <c r="K436" s="742"/>
      <c r="L436" s="732"/>
    </row>
    <row r="437" spans="11:12">
      <c r="K437" s="742"/>
      <c r="L437" s="732"/>
    </row>
    <row r="438" spans="11:12">
      <c r="K438" s="742"/>
      <c r="L438" s="732"/>
    </row>
    <row r="439" spans="11:12">
      <c r="K439" s="742"/>
      <c r="L439" s="732"/>
    </row>
    <row r="440" spans="11:12">
      <c r="K440" s="742"/>
      <c r="L440" s="732"/>
    </row>
    <row r="441" spans="11:12">
      <c r="K441" s="742"/>
      <c r="L441" s="732"/>
    </row>
    <row r="442" spans="11:12">
      <c r="K442" s="742"/>
      <c r="L442" s="732"/>
    </row>
    <row r="443" spans="11:12">
      <c r="K443" s="742"/>
      <c r="L443" s="732"/>
    </row>
    <row r="444" spans="11:12">
      <c r="K444" s="742"/>
      <c r="L444" s="732"/>
    </row>
    <row r="445" spans="11:12">
      <c r="K445" s="742"/>
      <c r="L445" s="732"/>
    </row>
    <row r="446" spans="11:12">
      <c r="K446" s="742"/>
      <c r="L446" s="732"/>
    </row>
    <row r="447" spans="11:12">
      <c r="K447" s="742"/>
      <c r="L447" s="732"/>
    </row>
    <row r="448" spans="11:12">
      <c r="K448" s="742"/>
      <c r="L448" s="732"/>
    </row>
    <row r="449" spans="8:12">
      <c r="K449" s="742"/>
      <c r="L449" s="732"/>
    </row>
    <row r="450" spans="8:12">
      <c r="K450" s="742"/>
      <c r="L450" s="732"/>
    </row>
    <row r="451" spans="8:12">
      <c r="H451" s="732"/>
      <c r="I451" s="732"/>
    </row>
    <row r="452" spans="8:12">
      <c r="H452" s="732"/>
      <c r="I452" s="732"/>
    </row>
    <row r="453" spans="8:12">
      <c r="H453" s="732"/>
      <c r="I453" s="732"/>
    </row>
    <row r="454" spans="8:12">
      <c r="H454" s="732"/>
      <c r="I454" s="732"/>
    </row>
    <row r="455" spans="8:12">
      <c r="H455" s="732"/>
      <c r="I455" s="732"/>
    </row>
    <row r="456" spans="8:12">
      <c r="H456" s="732"/>
      <c r="I456" s="732"/>
    </row>
    <row r="457" spans="8:12">
      <c r="H457" s="732"/>
      <c r="I457" s="732"/>
    </row>
    <row r="458" spans="8:12">
      <c r="H458" s="732"/>
      <c r="I458" s="732"/>
    </row>
    <row r="459" spans="8:12">
      <c r="H459" s="732"/>
      <c r="I459" s="732"/>
    </row>
    <row r="460" spans="8:12">
      <c r="H460" s="732"/>
      <c r="I460" s="732"/>
    </row>
    <row r="461" spans="8:12">
      <c r="H461" s="732"/>
      <c r="I461" s="732"/>
    </row>
    <row r="462" spans="8:12">
      <c r="H462" s="732"/>
      <c r="I462" s="732"/>
    </row>
    <row r="463" spans="8:12">
      <c r="H463" s="732"/>
      <c r="I463" s="732"/>
    </row>
    <row r="464" spans="8:12">
      <c r="H464" s="732"/>
      <c r="I464" s="732"/>
    </row>
    <row r="465" spans="8:9">
      <c r="H465" s="732"/>
      <c r="I465" s="732"/>
    </row>
    <row r="466" spans="8:9">
      <c r="H466" s="732"/>
      <c r="I466" s="732"/>
    </row>
    <row r="467" spans="8:9">
      <c r="H467" s="732"/>
      <c r="I467" s="732"/>
    </row>
    <row r="468" spans="8:9">
      <c r="H468" s="732"/>
      <c r="I468" s="732"/>
    </row>
    <row r="469" spans="8:9">
      <c r="H469" s="732"/>
      <c r="I469" s="732"/>
    </row>
    <row r="470" spans="8:9">
      <c r="H470" s="732"/>
      <c r="I470" s="732"/>
    </row>
    <row r="471" spans="8:9">
      <c r="H471" s="732"/>
      <c r="I471" s="732"/>
    </row>
    <row r="472" spans="8:9">
      <c r="H472" s="732"/>
      <c r="I472" s="732"/>
    </row>
    <row r="473" spans="8:9">
      <c r="H473" s="732"/>
    </row>
    <row r="474" spans="8:9">
      <c r="H474" s="732"/>
    </row>
    <row r="475" spans="8:9">
      <c r="H475" s="732"/>
    </row>
    <row r="476" spans="8:9">
      <c r="H476" s="732"/>
    </row>
    <row r="477" spans="8:9">
      <c r="H477" s="732"/>
    </row>
    <row r="478" spans="8:9">
      <c r="H478" s="732"/>
    </row>
    <row r="479" spans="8:9">
      <c r="H479" s="732"/>
    </row>
    <row r="480" spans="8:9">
      <c r="H480" s="732"/>
    </row>
    <row r="481" spans="8:8">
      <c r="H481" s="732"/>
    </row>
    <row r="482" spans="8:8">
      <c r="H482" s="732"/>
    </row>
    <row r="483" spans="8:8">
      <c r="H483" s="732"/>
    </row>
    <row r="484" spans="8:8">
      <c r="H484" s="732"/>
    </row>
    <row r="485" spans="8:8">
      <c r="H485" s="732"/>
    </row>
    <row r="486" spans="8:8">
      <c r="H486" s="732"/>
    </row>
    <row r="487" spans="8:8">
      <c r="H487" s="732"/>
    </row>
    <row r="488" spans="8:8">
      <c r="H488" s="732"/>
    </row>
    <row r="489" spans="8:8">
      <c r="H489" s="732"/>
    </row>
  </sheetData>
  <sheetProtection algorithmName="SHA-512" hashValue="EZd75EbOoSrMjqe0/AIpOn4QQTytBHo67EDQ1dGnyjFo08K2ox2k6B6ay0/kdzXRZbY4kWzK159v8+kiXhuDrQ==" saltValue="QMO12ZkHjxRlNZ4FV3IgSA==" spinCount="100000" sheet="1" objects="1" scenarios="1"/>
  <mergeCells count="24">
    <mergeCell ref="H8:N8"/>
    <mergeCell ref="D32:F32"/>
    <mergeCell ref="A28:N28"/>
    <mergeCell ref="D29:F29"/>
    <mergeCell ref="D30:F30"/>
    <mergeCell ref="J10:N10"/>
    <mergeCell ref="L9:M9"/>
    <mergeCell ref="D31:F31"/>
    <mergeCell ref="A3:B3"/>
    <mergeCell ref="A4:B6"/>
    <mergeCell ref="A1:N1"/>
    <mergeCell ref="A2:N2"/>
    <mergeCell ref="L3:N3"/>
    <mergeCell ref="L4:N4"/>
    <mergeCell ref="L5:N5"/>
    <mergeCell ref="D3:H3"/>
    <mergeCell ref="D4:H4"/>
    <mergeCell ref="D5:H5"/>
    <mergeCell ref="D6:H6"/>
    <mergeCell ref="H38:L38"/>
    <mergeCell ref="H39:L39"/>
    <mergeCell ref="H40:L40"/>
    <mergeCell ref="H41:L41"/>
    <mergeCell ref="H43:L43"/>
  </mergeCells>
  <phoneticPr fontId="5" type="noConversion"/>
  <conditionalFormatting sqref="B242:B248">
    <cfRule type="expression" dxfId="623" priority="3">
      <formula>ROW()=CELL("fila")</formula>
    </cfRule>
    <cfRule type="expression" dxfId="622" priority="4">
      <formula>COLUMN()=CELL("columna")</formula>
    </cfRule>
  </conditionalFormatting>
  <dataValidations count="9">
    <dataValidation type="list" allowBlank="1" showInputMessage="1" showErrorMessage="1" sqref="H8:N8" xr:uid="{B7E45969-AFAF-46C7-A522-230CAC635847}">
      <formula1>$A$58:$A$280</formula1>
    </dataValidation>
    <dataValidation type="list" allowBlank="1" showInputMessage="1" showErrorMessage="1" sqref="H24" xr:uid="{00000000-0002-0000-0400-000001000000}">
      <formula1>TIPOTRAFO</formula1>
    </dataValidation>
    <dataValidation type="list" allowBlank="1" showInputMessage="1" showErrorMessage="1" sqref="F24" xr:uid="{00000000-0002-0000-0400-000002000000}">
      <formula1>TIPOCALCULO</formula1>
    </dataValidation>
    <dataValidation type="list" allowBlank="1" showInputMessage="1" showErrorMessage="1" sqref="F22:F23" xr:uid="{00000000-0002-0000-0400-000003000000}">
      <formula1>CANALIZACIONTIPO</formula1>
    </dataValidation>
    <dataValidation type="list" allowBlank="1" showInputMessage="1" showErrorMessage="1" sqref="F20:F21" xr:uid="{BCD17E3E-DBE3-4D84-87C4-BCD911E19663}">
      <formula1>$C$46:$C$47</formula1>
    </dataValidation>
    <dataValidation type="list" allowBlank="1" showInputMessage="1" showErrorMessage="1" sqref="F25" xr:uid="{6DB00A26-2900-4325-B2B2-CBA22E11F693}">
      <formula1>$C$50:$C$51</formula1>
    </dataValidation>
    <dataValidation type="list" allowBlank="1" showInputMessage="1" showErrorMessage="1" sqref="H250" xr:uid="{9367F6F7-EAA9-42D0-9844-ABFD0EB7DF54}">
      <formula1>TIPOCA</formula1>
    </dataValidation>
    <dataValidation type="list" allowBlank="1" showInputMessage="1" showErrorMessage="1" sqref="E246" xr:uid="{7B90E07D-73A1-49FC-836B-C881E5D4A9F1}">
      <formula1>TIPOCARGAX</formula1>
    </dataValidation>
    <dataValidation type="list" allowBlank="1" showInputMessage="1" showErrorMessage="1" sqref="F26" xr:uid="{EEEA9848-F1EB-4B59-B39C-6E5F6E8E6641}">
      <formula1>$I$250:$I$252</formula1>
    </dataValidation>
  </dataValidations>
  <pageMargins left="0.75" right="0.75" top="1" bottom="1" header="0" footer="0"/>
  <pageSetup orientation="portrait" r:id="rId1"/>
  <headerFooter alignWithMargins="0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>
    <tabColor indexed="60"/>
  </sheetPr>
  <dimension ref="A1:GP600"/>
  <sheetViews>
    <sheetView showGridLines="0" tabSelected="1" zoomScale="77" zoomScaleNormal="77" workbookViewId="0">
      <pane xSplit="5" ySplit="29" topLeftCell="F30" activePane="bottomRight" state="frozen"/>
      <selection pane="topRight" activeCell="F1" sqref="F1"/>
      <selection pane="bottomLeft" activeCell="A30" sqref="A30"/>
      <selection pane="bottomRight" activeCell="F36" sqref="F36"/>
    </sheetView>
  </sheetViews>
  <sheetFormatPr baseColWidth="10" defaultColWidth="11.44140625" defaultRowHeight="13.2"/>
  <cols>
    <col min="1" max="1" width="11.33203125" style="1" customWidth="1"/>
    <col min="2" max="2" width="5" style="1" customWidth="1"/>
    <col min="3" max="3" width="5.88671875" style="1" customWidth="1"/>
    <col min="4" max="4" width="5.5546875" style="1" customWidth="1"/>
    <col min="5" max="5" width="34.109375" style="1" customWidth="1"/>
    <col min="6" max="6" width="7.109375" style="1" bestFit="1" customWidth="1"/>
    <col min="7" max="7" width="7" style="1" bestFit="1" customWidth="1"/>
    <col min="8" max="8" width="16.109375" style="1" customWidth="1"/>
    <col min="9" max="9" width="12.5546875" style="1" bestFit="1" customWidth="1"/>
    <col min="10" max="11" width="9.109375" style="1" customWidth="1"/>
    <col min="12" max="13" width="11.44140625" style="1" customWidth="1"/>
    <col min="14" max="15" width="10.44140625" style="1" customWidth="1"/>
    <col min="16" max="16" width="9.109375" style="1" hidden="1" customWidth="1"/>
    <col min="17" max="19" width="11.44140625" style="1" hidden="1" customWidth="1"/>
    <col min="20" max="21" width="10.44140625" style="1" hidden="1" customWidth="1"/>
    <col min="22" max="22" width="11.44140625" style="1" customWidth="1"/>
    <col min="23" max="23" width="15" style="1" customWidth="1"/>
    <col min="24" max="53" width="20.6640625" style="1" customWidth="1"/>
    <col min="54" max="54" width="14.5546875" style="1" customWidth="1"/>
    <col min="55" max="55" width="12.6640625" style="1" hidden="1" customWidth="1"/>
    <col min="56" max="56" width="16.109375" style="1" hidden="1" customWidth="1"/>
    <col min="57" max="57" width="12.5546875" style="1" hidden="1" customWidth="1"/>
    <col min="58" max="61" width="11.44140625" style="1" hidden="1" customWidth="1"/>
    <col min="62" max="62" width="13.44140625" style="1" hidden="1" customWidth="1"/>
    <col min="63" max="63" width="16.109375" style="1" hidden="1" customWidth="1"/>
    <col min="64" max="71" width="11.44140625" style="1" hidden="1" customWidth="1"/>
    <col min="72" max="72" width="12.6640625" style="1" customWidth="1"/>
    <col min="73" max="73" width="12.6640625" style="5" customWidth="1"/>
    <col min="74" max="74" width="12.6640625" style="1" customWidth="1"/>
    <col min="75" max="75" width="11.44140625" style="1" customWidth="1"/>
    <col min="76" max="76" width="16.109375" style="1" customWidth="1"/>
    <col min="77" max="77" width="10.6640625" style="1" customWidth="1"/>
    <col min="78" max="78" width="18.77734375" style="1" customWidth="1"/>
    <col min="79" max="79" width="14.5546875" style="1" customWidth="1"/>
    <col min="80" max="80" width="14.33203125" style="1" customWidth="1"/>
    <col min="81" max="82" width="12.109375" style="1" hidden="1" customWidth="1"/>
    <col min="83" max="84" width="11.44140625" style="1" hidden="1" customWidth="1"/>
    <col min="85" max="85" width="14.33203125" style="1" hidden="1" customWidth="1"/>
    <col min="86" max="86" width="11.44140625" style="1" customWidth="1"/>
    <col min="87" max="88" width="11.44140625" style="5" customWidth="1"/>
    <col min="89" max="89" width="12.33203125" style="5" customWidth="1"/>
    <col min="90" max="92" width="12.33203125" hidden="1" customWidth="1"/>
    <col min="93" max="95" width="11.44140625" hidden="1" customWidth="1"/>
    <col min="96" max="96" width="12.109375" hidden="1" customWidth="1"/>
    <col min="97" max="99" width="11.44140625" hidden="1" customWidth="1"/>
    <col min="100" max="101" width="11.44140625" style="523" hidden="1" customWidth="1"/>
    <col min="102" max="102" width="11.44140625" style="524" hidden="1" customWidth="1"/>
    <col min="103" max="105" width="11.44140625" hidden="1" customWidth="1"/>
    <col min="106" max="109" width="12.33203125" hidden="1" customWidth="1"/>
    <col min="110" max="110" width="12.44140625" hidden="1" customWidth="1"/>
    <col min="111" max="111" width="12.5546875" hidden="1" customWidth="1"/>
    <col min="112" max="112" width="12.33203125" hidden="1" customWidth="1"/>
    <col min="113" max="113" width="12.44140625" hidden="1" customWidth="1"/>
    <col min="114" max="114" width="12.5546875" hidden="1" customWidth="1"/>
    <col min="115" max="115" width="11.6640625" hidden="1" customWidth="1"/>
    <col min="116" max="117" width="13" style="523" hidden="1" customWidth="1"/>
    <col min="118" max="118" width="13" hidden="1" customWidth="1"/>
    <col min="119" max="137" width="11.44140625" hidden="1" customWidth="1"/>
    <col min="138" max="143" width="11.44140625" style="523" hidden="1" customWidth="1"/>
    <col min="144" max="144" width="11.44140625" hidden="1" customWidth="1"/>
    <col min="145" max="145" width="11.44140625" style="523" hidden="1" customWidth="1"/>
    <col min="146" max="146" width="17.88671875" style="1" customWidth="1"/>
    <col min="147" max="149" width="18.6640625" style="1" customWidth="1"/>
    <col min="150" max="159" width="11.44140625" style="1"/>
    <col min="160" max="161" width="11.5546875" style="1"/>
    <col min="162" max="166" width="6.6640625" style="1" customWidth="1"/>
    <col min="167" max="170" width="11.44140625" style="1"/>
    <col min="171" max="179" width="11.44140625" style="49"/>
    <col min="180" max="180" width="11.44140625" style="49" hidden="1" customWidth="1"/>
    <col min="181" max="182" width="11.44140625" style="736" hidden="1" customWidth="1"/>
    <col min="183" max="183" width="14.5546875" style="736" hidden="1" customWidth="1"/>
    <col min="184" max="185" width="11.44140625" style="49" hidden="1" customWidth="1"/>
    <col min="186" max="186" width="11.44140625" style="736" hidden="1" customWidth="1"/>
    <col min="187" max="187" width="11.44140625" style="49" hidden="1" customWidth="1"/>
    <col min="188" max="192" width="11.44140625" style="264" hidden="1" customWidth="1"/>
    <col min="193" max="198" width="11.44140625" style="1" hidden="1" customWidth="1"/>
    <col min="199" max="16384" width="11.44140625" style="1"/>
  </cols>
  <sheetData>
    <row r="1" spans="1:192" s="354" customFormat="1" ht="15.75" customHeight="1" thickBot="1">
      <c r="E1" s="354" t="str">
        <f>IF(OR($M$18="UPS",$M$18="REG"),$M$18&amp;"-"&amp;AZ128/DA128&amp;" KVA",IF($M$18="TR","TRAFO "&amp;AZ118/DA118&amp;" KVA-"&amp;E116,IF($M$18="PE","P.E. "&amp;AZ122&amp;" KW-"&amp;E116,E116)))</f>
        <v>TAB-A</v>
      </c>
      <c r="F1" s="354">
        <f t="shared" ref="F1:W1" si="0">IF(OR($M$18="UPS",$M$18="REG"),F128,IF($M$18="TR",F120,IF($M$18="PE",F122,F116)))</f>
        <v>3</v>
      </c>
      <c r="G1" s="354">
        <f t="shared" si="0"/>
        <v>4</v>
      </c>
      <c r="H1" s="354" t="str">
        <f t="shared" si="0"/>
        <v>TB</v>
      </c>
      <c r="I1" s="354" t="str">
        <f t="shared" si="0"/>
        <v>CU</v>
      </c>
      <c r="J1" s="354">
        <f t="shared" si="0"/>
        <v>4</v>
      </c>
      <c r="K1" s="354">
        <f t="shared" si="0"/>
        <v>40</v>
      </c>
      <c r="L1" s="354">
        <f t="shared" si="0"/>
        <v>5</v>
      </c>
      <c r="M1" s="354">
        <f t="shared" si="0"/>
        <v>1</v>
      </c>
      <c r="N1" s="354">
        <f t="shared" si="0"/>
        <v>1</v>
      </c>
      <c r="O1" s="354">
        <f t="shared" si="0"/>
        <v>1</v>
      </c>
      <c r="P1" s="354">
        <f t="shared" si="0"/>
        <v>4</v>
      </c>
      <c r="Q1" s="354">
        <f t="shared" si="0"/>
        <v>0</v>
      </c>
      <c r="R1" s="354">
        <f t="shared" si="0"/>
        <v>2</v>
      </c>
      <c r="S1" s="354">
        <f t="shared" si="0"/>
        <v>1</v>
      </c>
      <c r="T1" s="354">
        <f t="shared" si="0"/>
        <v>1</v>
      </c>
      <c r="U1" s="354">
        <f t="shared" si="0"/>
        <v>1</v>
      </c>
      <c r="V1" s="354">
        <f t="shared" si="0"/>
        <v>1</v>
      </c>
      <c r="W1" s="354" t="str">
        <f t="shared" si="0"/>
        <v>SI</v>
      </c>
      <c r="BB1" s="354">
        <f t="shared" ref="BB1:CB1" si="1">IF(OR($M$18="UPS",$M$18="REG"),BB128,IF($M$18="TR",BB120,IF($M$18="PE",BB122,BB116)))</f>
        <v>0</v>
      </c>
      <c r="BC1" s="354">
        <f t="shared" si="1"/>
        <v>0</v>
      </c>
      <c r="BD1" s="354">
        <f t="shared" si="1"/>
        <v>0</v>
      </c>
      <c r="BE1" s="354">
        <f t="shared" si="1"/>
        <v>0</v>
      </c>
      <c r="BF1" s="354">
        <f t="shared" si="1"/>
        <v>0</v>
      </c>
      <c r="BG1" s="354">
        <f t="shared" si="1"/>
        <v>0</v>
      </c>
      <c r="BH1" s="354">
        <f t="shared" si="1"/>
        <v>0</v>
      </c>
      <c r="BI1" s="354">
        <f t="shared" si="1"/>
        <v>0</v>
      </c>
      <c r="BJ1" s="354">
        <f t="shared" si="1"/>
        <v>0</v>
      </c>
      <c r="BK1" s="354">
        <f t="shared" si="1"/>
        <v>0</v>
      </c>
      <c r="BL1" s="354">
        <f t="shared" si="1"/>
        <v>0</v>
      </c>
      <c r="BM1" s="354">
        <f t="shared" si="1"/>
        <v>0</v>
      </c>
      <c r="BN1" s="354">
        <f t="shared" si="1"/>
        <v>0</v>
      </c>
      <c r="BO1" s="354">
        <f t="shared" si="1"/>
        <v>0</v>
      </c>
      <c r="BP1" s="354">
        <f t="shared" si="1"/>
        <v>0</v>
      </c>
      <c r="BQ1" s="354">
        <f t="shared" si="1"/>
        <v>0</v>
      </c>
      <c r="BR1" s="354">
        <f t="shared" si="1"/>
        <v>0</v>
      </c>
      <c r="BS1" s="354">
        <f t="shared" si="1"/>
        <v>0</v>
      </c>
      <c r="BT1" s="354">
        <f t="shared" si="1"/>
        <v>0</v>
      </c>
      <c r="BU1" s="355">
        <f t="shared" si="1"/>
        <v>0</v>
      </c>
      <c r="BV1" s="354">
        <f t="shared" si="1"/>
        <v>220</v>
      </c>
      <c r="BW1" s="354" t="str">
        <f t="shared" si="1"/>
        <v/>
      </c>
      <c r="BX1" s="354" t="e">
        <f t="shared" si="1"/>
        <v>#VALUE!</v>
      </c>
      <c r="BY1" s="354" t="e">
        <f t="shared" si="1"/>
        <v>#VALUE!</v>
      </c>
      <c r="BZ1" s="354" t="str">
        <f t="shared" si="1"/>
        <v/>
      </c>
      <c r="CA1" s="354" t="str">
        <f t="shared" si="1"/>
        <v/>
      </c>
      <c r="CB1" s="354" t="str">
        <f t="shared" si="1"/>
        <v/>
      </c>
      <c r="CC1" s="354" t="str">
        <f>IF($M$18="TR",CC120,IF($M$18="PE",CC122,CC116))</f>
        <v/>
      </c>
      <c r="CD1" s="354">
        <f>IF($M$18="TR",CD120,IF($M$18="PE",CD122,CD116))</f>
        <v>0</v>
      </c>
      <c r="CE1" s="354" t="str">
        <f>IF($M$18="TR",CE120,IF($M$18="PE",CE122,CE116))</f>
        <v/>
      </c>
      <c r="CF1" s="354">
        <f>IF($M$18="TR",CF120,IF($M$18="PE",CF122,CF116))</f>
        <v>0</v>
      </c>
      <c r="CG1" s="354">
        <f>IF($M$18="TR",CG120,IF($M$18="PE",CG122,CG116))</f>
        <v>0</v>
      </c>
      <c r="CH1" s="354" t="str">
        <f>IF(OR($M$18="UPS",$M$18="REG"),CH128,IF($M$18="TR",CH120,IF($M$18="PE",CH122,CH116)))</f>
        <v/>
      </c>
      <c r="CI1" s="355">
        <f>IF(OR($M$18="UPS",$M$18="REG"),CI128,IF($M$18="TR",CI120,IF($M$18="PE",CI122,CI116)))</f>
        <v>0</v>
      </c>
      <c r="CJ1" s="355">
        <f>IF(OR($M$18="UPS",$M$18="REG"),CJ128,IF($M$18="TR",CJ120,IF($M$18="PE",CJ122,CJ116)))</f>
        <v>0</v>
      </c>
      <c r="CK1" s="355">
        <f>IF(OR($M$18="UPS",$M$18="REG"),CK128,IF($M$18="TR",CK120,IF($M$18="PE",CK122,CK116)))</f>
        <v>0</v>
      </c>
      <c r="CL1" s="517"/>
      <c r="CM1" s="517"/>
      <c r="CN1" s="517"/>
      <c r="CO1" s="517" t="str">
        <f t="shared" ref="CO1:CU1" si="2">IF(OR($M$18="UPS",$M$18="REG"),CO128,IF($M$18="TR",CO120,IF($M$18="PE",CO122,CO116)))</f>
        <v>-</v>
      </c>
      <c r="CP1" s="517" t="str">
        <f t="shared" si="2"/>
        <v>-</v>
      </c>
      <c r="CQ1" s="517" t="str">
        <f t="shared" si="2"/>
        <v>-</v>
      </c>
      <c r="CR1" s="517" t="str">
        <f t="shared" si="2"/>
        <v>N/C</v>
      </c>
      <c r="CS1" s="517">
        <f t="shared" si="2"/>
        <v>1</v>
      </c>
      <c r="CT1" s="517">
        <f t="shared" si="2"/>
        <v>0.8</v>
      </c>
      <c r="CU1" s="517">
        <f t="shared" si="2"/>
        <v>0</v>
      </c>
      <c r="CV1" s="518"/>
      <c r="CW1" s="518"/>
      <c r="CX1" s="519"/>
      <c r="CY1" s="517">
        <f t="shared" ref="CY1:DH1" si="3">IF(OR($M$18="UPS",$M$18="REG"),CY128,IF($M$18="TR",CY120,IF($M$18="PE",CY122,CY116)))</f>
        <v>0</v>
      </c>
      <c r="CZ1" s="517" t="str">
        <f t="shared" si="3"/>
        <v/>
      </c>
      <c r="DA1" s="517">
        <f t="shared" si="3"/>
        <v>0.9</v>
      </c>
      <c r="DB1" s="517">
        <f t="shared" si="3"/>
        <v>0.43588989435406728</v>
      </c>
      <c r="DC1" s="517" t="str">
        <f t="shared" si="3"/>
        <v/>
      </c>
      <c r="DD1" s="517" t="str">
        <f t="shared" si="3"/>
        <v/>
      </c>
      <c r="DE1" s="517" t="str">
        <f t="shared" si="3"/>
        <v/>
      </c>
      <c r="DF1" s="517" t="str">
        <f t="shared" si="3"/>
        <v/>
      </c>
      <c r="DG1" s="517" t="str">
        <f t="shared" si="3"/>
        <v/>
      </c>
      <c r="DH1" s="517" t="str">
        <f t="shared" si="3"/>
        <v/>
      </c>
      <c r="DI1" s="517" t="str">
        <f>IF($M$18="TR",DI120,IF($M$18="PE",DI122,DI116))</f>
        <v/>
      </c>
      <c r="DJ1" s="517">
        <f>IF($M$18="TR",DJ120,IF($M$18="PE",DJ122,DJ116))</f>
        <v>0</v>
      </c>
      <c r="DK1" s="517" t="str">
        <f>IF($M$18="TR",DK120,IF($M$18="PE",DK122,DK116))</f>
        <v/>
      </c>
      <c r="DL1" s="517">
        <f>IF(OR($M$18="UPS",$M$18="REG"),DL128,IF($M$18="TR",DL120,IF($M$18="PE",DL122,DL116)))</f>
        <v>0</v>
      </c>
      <c r="DM1" s="517">
        <f>IF(OR($M$18="UPS",$M$18="REG"),DM128,IF($M$18="TR",DM120,IF($M$18="PE",DM122,DM116)))</f>
        <v>30</v>
      </c>
      <c r="DN1" s="517"/>
      <c r="DO1" s="517" t="str">
        <f t="shared" ref="DO1:DT1" si="4">IF(OR($M$18="UPS",$M$18="REG"),DO128,IF($M$18="TR",DO120,IF($M$18="PE",DO122,DO116)))</f>
        <v/>
      </c>
      <c r="DP1" s="517" t="str">
        <f t="shared" si="4"/>
        <v/>
      </c>
      <c r="DQ1" s="517" t="str">
        <f t="shared" si="4"/>
        <v/>
      </c>
      <c r="DR1" s="517" t="str">
        <f t="shared" si="4"/>
        <v/>
      </c>
      <c r="DS1" s="517" t="str">
        <f t="shared" si="4"/>
        <v/>
      </c>
      <c r="DT1" s="517" t="str">
        <f t="shared" si="4"/>
        <v/>
      </c>
      <c r="DU1" s="517"/>
      <c r="DV1" s="517"/>
      <c r="DW1" s="517">
        <f t="shared" ref="DW1:EB1" si="5">IF($M$18="TR",DW120,IF($M$18="PE",DW122,DW116))</f>
        <v>0</v>
      </c>
      <c r="DX1" s="517">
        <f t="shared" si="5"/>
        <v>0</v>
      </c>
      <c r="DY1" s="517">
        <f t="shared" si="5"/>
        <v>0</v>
      </c>
      <c r="DZ1" s="517" t="str">
        <f t="shared" si="5"/>
        <v/>
      </c>
      <c r="EA1" s="517" t="str">
        <f t="shared" si="5"/>
        <v/>
      </c>
      <c r="EB1" s="517">
        <f t="shared" si="5"/>
        <v>0</v>
      </c>
      <c r="EC1" s="517"/>
      <c r="ED1" s="517" t="str">
        <f>IF(OR($M$18="UPS",$M$18="REG"),ED128,IF($M$18="TR",ED120,IF($M$18="PE",ED122,ED116)))</f>
        <v/>
      </c>
      <c r="EE1" s="517">
        <f>IF($M$18="TR",EE120,IF($M$18="PE",EE122,EE116))</f>
        <v>0</v>
      </c>
      <c r="EF1" s="517"/>
      <c r="EG1" s="517"/>
      <c r="EH1" s="518"/>
      <c r="EI1" s="518"/>
      <c r="EJ1" s="518"/>
      <c r="EK1" s="518"/>
      <c r="EL1" s="518"/>
      <c r="EM1" s="518"/>
      <c r="EN1" s="517"/>
      <c r="EO1" s="518"/>
      <c r="ER1" s="354" t="str">
        <f>DATOS!D4</f>
        <v>BODEGA</v>
      </c>
      <c r="ES1" s="354" t="str">
        <f>DATOS!D5</f>
        <v>ALUMBRADO CONTACTOS Y FUERZA</v>
      </c>
      <c r="ET1" s="356">
        <v>14</v>
      </c>
      <c r="FM1" s="357" t="s">
        <v>1259</v>
      </c>
      <c r="FO1" s="356">
        <f>W10</f>
        <v>1.75</v>
      </c>
      <c r="FP1" s="356"/>
      <c r="FQ1" s="356"/>
      <c r="FR1" s="356"/>
      <c r="FS1" s="356"/>
      <c r="FT1" s="356"/>
      <c r="FU1" s="356"/>
      <c r="FV1" s="356"/>
      <c r="FW1" s="356"/>
      <c r="FX1" s="356"/>
      <c r="FY1" s="734"/>
      <c r="FZ1" s="734"/>
      <c r="GA1" s="734"/>
      <c r="GB1" s="356"/>
      <c r="GC1" s="356"/>
      <c r="GD1" s="734"/>
      <c r="GE1" s="356"/>
      <c r="GF1" s="504"/>
      <c r="GG1" s="504"/>
      <c r="GH1" s="504"/>
      <c r="GI1" s="504"/>
      <c r="GJ1" s="504"/>
    </row>
    <row r="2" spans="1:192" s="15" customFormat="1" ht="19.95" customHeight="1" thickBot="1">
      <c r="E2" s="860" t="s">
        <v>2016</v>
      </c>
      <c r="F2" s="505"/>
      <c r="G2" s="505"/>
      <c r="BU2" s="81"/>
      <c r="CI2" s="81"/>
      <c r="CJ2" s="81"/>
      <c r="CK2" s="81"/>
      <c r="CL2" s="520"/>
      <c r="CM2" s="520"/>
      <c r="CN2" s="520"/>
      <c r="CO2" s="520"/>
      <c r="CP2" s="520"/>
      <c r="CQ2" s="520"/>
      <c r="CR2" s="520"/>
      <c r="CS2" s="520"/>
      <c r="CT2" s="520"/>
      <c r="CU2" s="520"/>
      <c r="CV2" s="521"/>
      <c r="CW2" s="521"/>
      <c r="CX2" s="522"/>
      <c r="CY2" s="520"/>
      <c r="CZ2" s="520"/>
      <c r="DA2" s="520"/>
      <c r="DB2" s="520"/>
      <c r="DC2" s="520"/>
      <c r="DD2" s="520"/>
      <c r="DE2" s="520"/>
      <c r="DF2" s="520"/>
      <c r="DG2" s="520"/>
      <c r="DH2" s="520"/>
      <c r="DI2" s="520"/>
      <c r="DJ2" s="520"/>
      <c r="DK2" s="520"/>
      <c r="DL2" s="521"/>
      <c r="DM2" s="521"/>
      <c r="DN2" s="520"/>
      <c r="DO2" s="520"/>
      <c r="DP2" s="520"/>
      <c r="DQ2" s="520"/>
      <c r="DR2" s="520"/>
      <c r="DS2" s="520"/>
      <c r="DT2" s="520"/>
      <c r="DU2" s="520"/>
      <c r="DV2" s="520"/>
      <c r="DW2" s="520"/>
      <c r="DX2" s="520"/>
      <c r="DY2" s="520"/>
      <c r="DZ2" s="520"/>
      <c r="EA2" s="520"/>
      <c r="EB2" s="520"/>
      <c r="EC2" s="520"/>
      <c r="ED2" s="520"/>
      <c r="EE2" s="520"/>
      <c r="EF2" s="520"/>
      <c r="EG2" s="520"/>
      <c r="EH2" s="521"/>
      <c r="EI2" s="521"/>
      <c r="EJ2" s="521"/>
      <c r="EK2" s="521"/>
      <c r="EL2" s="521"/>
      <c r="EM2" s="521"/>
      <c r="EN2" s="520"/>
      <c r="EO2" s="521"/>
      <c r="FM2" s="49" t="s">
        <v>1260</v>
      </c>
      <c r="FO2" s="202"/>
      <c r="FP2" s="202"/>
      <c r="FQ2" s="202"/>
      <c r="FR2" s="202"/>
      <c r="FS2" s="202"/>
      <c r="FT2" s="202"/>
      <c r="FU2" s="202"/>
      <c r="FV2" s="202"/>
      <c r="FW2" s="202"/>
      <c r="FX2" s="202"/>
      <c r="FY2" s="735"/>
      <c r="FZ2" s="735"/>
      <c r="GA2" s="735"/>
      <c r="GB2" s="202"/>
      <c r="GC2" s="202"/>
      <c r="GD2" s="735"/>
      <c r="GE2" s="202"/>
      <c r="GF2" s="505"/>
      <c r="GG2" s="505"/>
      <c r="GH2" s="505"/>
      <c r="GI2" s="505"/>
      <c r="GJ2" s="505"/>
    </row>
    <row r="3" spans="1:192" ht="13.8" hidden="1" thickBot="1">
      <c r="A3" s="12"/>
      <c r="B3" s="17"/>
      <c r="C3" s="18"/>
      <c r="D3" s="18"/>
      <c r="E3" s="18" t="s">
        <v>1261</v>
      </c>
      <c r="F3" s="19"/>
      <c r="G3" s="12"/>
      <c r="H3" s="12"/>
      <c r="I3" s="12"/>
      <c r="J3" s="12"/>
      <c r="K3" s="12"/>
      <c r="L3" s="12"/>
      <c r="M3" s="12"/>
      <c r="N3" s="12"/>
      <c r="O3" s="12"/>
    </row>
    <row r="4" spans="1:192" ht="13.8" hidden="1" thickBot="1">
      <c r="A4" s="60"/>
      <c r="B4" s="57"/>
      <c r="C4" s="58"/>
      <c r="D4" s="58"/>
      <c r="E4" s="861"/>
      <c r="F4" s="58"/>
      <c r="G4" s="58"/>
      <c r="H4" s="58"/>
      <c r="I4" s="58"/>
      <c r="J4" s="58"/>
      <c r="K4" s="58"/>
      <c r="L4" s="58"/>
      <c r="M4" s="58"/>
      <c r="N4" s="58"/>
      <c r="O4" s="66"/>
      <c r="V4" s="49" t="s">
        <v>1262</v>
      </c>
    </row>
    <row r="5" spans="1:192" ht="16.8" hidden="1" thickBot="1">
      <c r="A5" s="60"/>
      <c r="B5" s="59"/>
      <c r="C5" s="60"/>
      <c r="D5" s="60"/>
      <c r="E5" s="260" t="s">
        <v>793</v>
      </c>
      <c r="F5" s="68" t="str">
        <f>DATOS!D3</f>
        <v>VILLAS</v>
      </c>
      <c r="G5" s="95"/>
      <c r="H5" s="95"/>
      <c r="I5" s="96"/>
      <c r="J5" s="97"/>
      <c r="K5" s="60"/>
      <c r="L5" s="64" t="s">
        <v>795</v>
      </c>
      <c r="M5" s="68" t="str">
        <f>DATOS!L3</f>
        <v>COMISION DE DEPORTE</v>
      </c>
      <c r="N5" s="95"/>
      <c r="O5" s="96"/>
      <c r="P5" s="16">
        <v>0</v>
      </c>
      <c r="V5" s="1" t="str">
        <f ca="1">LEFT(CELL("filename"),SEARCH("[",CELL("filename"),1)-1)</f>
        <v>C:\acaele\ACAELEVENTA\acaele\</v>
      </c>
    </row>
    <row r="6" spans="1:192" ht="16.8" hidden="1" thickBot="1">
      <c r="A6" s="60"/>
      <c r="B6" s="59"/>
      <c r="C6" s="60"/>
      <c r="D6" s="60"/>
      <c r="E6" s="260" t="s">
        <v>1263</v>
      </c>
      <c r="F6" s="68" t="str">
        <f>DATOS!A4</f>
        <v>A</v>
      </c>
      <c r="G6" s="95"/>
      <c r="H6" s="95"/>
      <c r="I6" s="96"/>
      <c r="J6" s="60"/>
      <c r="K6" s="60"/>
      <c r="L6" s="64" t="s">
        <v>1264</v>
      </c>
      <c r="M6" s="68" t="str">
        <f>DATOS!L4</f>
        <v>NQ424AB225</v>
      </c>
      <c r="N6" s="95"/>
      <c r="O6" s="96"/>
    </row>
    <row r="7" spans="1:192" ht="16.8" hidden="1" thickBot="1">
      <c r="A7" s="60"/>
      <c r="B7" s="59"/>
      <c r="C7" s="60"/>
      <c r="D7" s="60"/>
      <c r="E7" s="260" t="s">
        <v>1265</v>
      </c>
      <c r="F7" s="68" t="str">
        <f>DATOS!D4</f>
        <v>BODEGA</v>
      </c>
      <c r="G7" s="95"/>
      <c r="H7" s="95"/>
      <c r="I7" s="96"/>
      <c r="J7" s="60"/>
      <c r="K7" s="60"/>
      <c r="L7" s="64" t="s">
        <v>802</v>
      </c>
      <c r="M7" s="68" t="str">
        <f>DATOS!L5</f>
        <v>SQUARED</v>
      </c>
      <c r="N7" s="95"/>
      <c r="O7" s="96"/>
    </row>
    <row r="8" spans="1:192" ht="16.8" hidden="1" thickBot="1">
      <c r="A8" s="60"/>
      <c r="B8" s="59"/>
      <c r="C8" s="60"/>
      <c r="D8" s="60"/>
      <c r="E8" s="260" t="s">
        <v>1266</v>
      </c>
      <c r="F8" s="68" t="str">
        <f>DATOS!D6</f>
        <v>INT. PPAL</v>
      </c>
      <c r="G8" s="95"/>
      <c r="H8" s="95"/>
      <c r="I8" s="96"/>
      <c r="J8" s="60"/>
      <c r="K8" s="60"/>
      <c r="L8" s="64" t="s">
        <v>814</v>
      </c>
      <c r="M8" s="98" t="str">
        <f>DATOS!F12</f>
        <v>60 Hz</v>
      </c>
      <c r="N8" s="60"/>
      <c r="O8" s="67"/>
    </row>
    <row r="9" spans="1:192" ht="16.8" hidden="1" thickBot="1">
      <c r="A9" s="60"/>
      <c r="B9" s="59"/>
      <c r="C9" s="60"/>
      <c r="D9" s="60"/>
      <c r="E9" s="260" t="s">
        <v>808</v>
      </c>
      <c r="F9" s="98">
        <f>DATOS!F9</f>
        <v>220</v>
      </c>
      <c r="G9" s="62" t="s">
        <v>809</v>
      </c>
      <c r="H9" s="60">
        <f>INT(F9/1.73)</f>
        <v>127</v>
      </c>
      <c r="I9" s="60"/>
      <c r="J9" s="63"/>
      <c r="K9" s="60"/>
      <c r="L9" s="63" t="s">
        <v>1267</v>
      </c>
      <c r="M9" s="98" t="str">
        <f>DATOS!F23</f>
        <v>NOM</v>
      </c>
      <c r="N9" s="98" t="str">
        <f>DATOS!F22</f>
        <v>NOM</v>
      </c>
      <c r="O9" s="67"/>
      <c r="Q9" s="836" t="s">
        <v>1901</v>
      </c>
      <c r="R9" s="101">
        <f>DATOS!F26</f>
        <v>60</v>
      </c>
      <c r="V9" s="1" t="str">
        <f>DATOS!H13</f>
        <v>DATOS Icc TRAFO</v>
      </c>
    </row>
    <row r="10" spans="1:192" ht="16.8" hidden="1" thickBot="1">
      <c r="A10" s="60"/>
      <c r="B10" s="59"/>
      <c r="C10" s="60"/>
      <c r="D10" s="60"/>
      <c r="E10" s="260" t="s">
        <v>810</v>
      </c>
      <c r="F10" s="99">
        <f>DATOS!F10</f>
        <v>3</v>
      </c>
      <c r="G10" s="64" t="s">
        <v>361</v>
      </c>
      <c r="H10" s="99">
        <f>DATOS!H10</f>
        <v>4</v>
      </c>
      <c r="I10" s="60"/>
      <c r="J10" s="60"/>
      <c r="K10" s="60"/>
      <c r="L10" s="64" t="s">
        <v>1268</v>
      </c>
      <c r="M10" s="100">
        <f>DATOS!M11</f>
        <v>1</v>
      </c>
      <c r="N10" s="110"/>
      <c r="O10" s="60"/>
      <c r="P10" s="60"/>
      <c r="Q10" s="64" t="s">
        <v>1269</v>
      </c>
      <c r="R10" s="101">
        <f>DATOS!M26</f>
        <v>2</v>
      </c>
      <c r="V10" s="1" t="str">
        <f>DATOS!H14</f>
        <v>IMPEDANCIA Z%=</v>
      </c>
      <c r="W10" s="1">
        <f>DATOS!I14</f>
        <v>1.75</v>
      </c>
    </row>
    <row r="11" spans="1:192" ht="16.8" hidden="1" thickBot="1">
      <c r="A11" s="60"/>
      <c r="B11" s="59"/>
      <c r="C11" s="60"/>
      <c r="D11" s="60"/>
      <c r="E11" s="260" t="s">
        <v>363</v>
      </c>
      <c r="F11" s="99" t="str">
        <f>DATOS!F11</f>
        <v>CA</v>
      </c>
      <c r="G11" s="60"/>
      <c r="H11" s="60"/>
      <c r="I11" s="60"/>
      <c r="J11" s="60"/>
      <c r="K11" s="60"/>
      <c r="L11" s="64" t="s">
        <v>1270</v>
      </c>
      <c r="M11" s="100">
        <f>DATOS!M12</f>
        <v>1</v>
      </c>
      <c r="N11" s="60">
        <f>IF(M11&lt;&gt;"NORMA",M11,IF(BK25&lt;(10*F14),1,(((BK25-(10*F14))*0.5)+(10*F14))/BK25))</f>
        <v>1</v>
      </c>
      <c r="O11" s="60"/>
      <c r="P11" s="60"/>
      <c r="Q11" s="64" t="s">
        <v>1271</v>
      </c>
      <c r="R11" s="101" t="str">
        <f>DATOS!B7</f>
        <v>M.M.S.</v>
      </c>
      <c r="V11" s="1" t="str">
        <f>DATOS!H15</f>
        <v>POR AMPLIACION=</v>
      </c>
      <c r="W11" s="1">
        <f>DATOS!I15</f>
        <v>1</v>
      </c>
    </row>
    <row r="12" spans="1:192" ht="13.8" hidden="1" thickBot="1">
      <c r="A12" s="60"/>
      <c r="B12" s="59"/>
      <c r="C12" s="60"/>
      <c r="D12" s="60"/>
      <c r="E12" s="261" t="s">
        <v>805</v>
      </c>
      <c r="F12" s="99" t="str">
        <f>DATOS!L7</f>
        <v>I</v>
      </c>
      <c r="G12" s="60"/>
      <c r="H12" s="60"/>
      <c r="I12" s="60"/>
      <c r="J12" s="60"/>
      <c r="K12" s="60"/>
      <c r="L12" s="64" t="s">
        <v>1272</v>
      </c>
      <c r="M12" s="100">
        <f>DATOS!M13</f>
        <v>1</v>
      </c>
      <c r="N12" s="110"/>
      <c r="O12" s="60"/>
      <c r="P12" s="60"/>
      <c r="Q12" s="64" t="s">
        <v>1273</v>
      </c>
      <c r="R12" s="101" t="str">
        <f>DATOS!D7</f>
        <v>A.H.R.</v>
      </c>
      <c r="V12" s="1" t="str">
        <f>DATOS!H16</f>
        <v>FACT. DECREM=</v>
      </c>
      <c r="W12" s="1">
        <f>DATOS!I16</f>
        <v>1</v>
      </c>
    </row>
    <row r="13" spans="1:192" ht="16.8" hidden="1" thickBot="1">
      <c r="A13" s="60"/>
      <c r="B13" s="59"/>
      <c r="C13" s="60"/>
      <c r="D13" s="60"/>
      <c r="E13" s="260" t="s">
        <v>816</v>
      </c>
      <c r="F13" s="99">
        <f>DATOS!F13</f>
        <v>30</v>
      </c>
      <c r="G13" s="60" t="s">
        <v>817</v>
      </c>
      <c r="H13" s="60"/>
      <c r="I13" s="60"/>
      <c r="J13" s="60"/>
      <c r="K13" s="60"/>
      <c r="L13" s="64" t="s">
        <v>1274</v>
      </c>
      <c r="M13" s="100">
        <f>DATOS!M14</f>
        <v>1</v>
      </c>
      <c r="N13" s="110"/>
      <c r="O13" s="60"/>
      <c r="P13" s="60"/>
      <c r="Q13" s="64" t="s">
        <v>1275</v>
      </c>
      <c r="R13" s="101" t="str">
        <f>DATOS!F7</f>
        <v>A.H.R.</v>
      </c>
      <c r="V13" s="49" t="s">
        <v>1276</v>
      </c>
      <c r="W13" s="52" t="str">
        <f>DATOS!I17</f>
        <v>2.25</v>
      </c>
    </row>
    <row r="14" spans="1:192" ht="16.8" hidden="1" thickBot="1">
      <c r="A14" s="60"/>
      <c r="B14" s="59"/>
      <c r="C14" s="60"/>
      <c r="D14" s="60"/>
      <c r="E14" s="260" t="s">
        <v>820</v>
      </c>
      <c r="F14" s="99">
        <f>DATOS!F14</f>
        <v>0.9</v>
      </c>
      <c r="G14" s="99">
        <f>DATOS!G14</f>
        <v>1</v>
      </c>
      <c r="H14" s="60"/>
      <c r="I14" s="60"/>
      <c r="J14" s="60"/>
      <c r="K14" s="60"/>
      <c r="L14" s="64" t="s">
        <v>1277</v>
      </c>
      <c r="M14" s="100">
        <f>DATOS!M15</f>
        <v>1</v>
      </c>
      <c r="N14" s="110"/>
      <c r="O14" s="60"/>
      <c r="P14" s="60"/>
      <c r="Q14" s="64" t="s">
        <v>1278</v>
      </c>
      <c r="R14" s="101">
        <f>DATOS!H7</f>
        <v>0</v>
      </c>
      <c r="V14" s="1">
        <f>DATOS!F26</f>
        <v>60</v>
      </c>
    </row>
    <row r="15" spans="1:192" ht="16.8" hidden="1" thickBot="1">
      <c r="A15" s="60"/>
      <c r="B15" s="59"/>
      <c r="C15" s="60"/>
      <c r="D15" s="60"/>
      <c r="E15" s="260" t="s">
        <v>1279</v>
      </c>
      <c r="F15" s="99" t="str">
        <f>DATOS!F20</f>
        <v>CU</v>
      </c>
      <c r="G15" s="60"/>
      <c r="H15" s="60"/>
      <c r="I15" s="60"/>
      <c r="J15" s="60"/>
      <c r="K15" s="60"/>
      <c r="L15" s="64" t="s">
        <v>1280</v>
      </c>
      <c r="M15" s="100">
        <f>DATOS!M16</f>
        <v>1</v>
      </c>
      <c r="N15" s="110"/>
      <c r="O15" s="60"/>
      <c r="P15" s="60"/>
      <c r="Q15" s="64"/>
      <c r="R15" s="101">
        <f>DATOS!M30</f>
        <v>0</v>
      </c>
      <c r="V15" s="1">
        <f>DATOS!F27</f>
        <v>0</v>
      </c>
    </row>
    <row r="16" spans="1:192" ht="16.8" hidden="1" thickBot="1">
      <c r="A16" s="60"/>
      <c r="B16" s="59"/>
      <c r="C16" s="60"/>
      <c r="D16" s="60"/>
      <c r="E16" s="260" t="s">
        <v>1281</v>
      </c>
      <c r="F16" s="99" t="str">
        <f>DATOS!F21</f>
        <v>CU</v>
      </c>
      <c r="G16" s="99" t="str">
        <f>DATOS!F22</f>
        <v>NOM</v>
      </c>
      <c r="H16" s="60"/>
      <c r="I16" s="60"/>
      <c r="J16" s="60"/>
      <c r="K16" s="60"/>
      <c r="L16" s="64" t="s">
        <v>1282</v>
      </c>
      <c r="M16" s="100">
        <f>DATOS!M17</f>
        <v>1</v>
      </c>
      <c r="N16" s="110"/>
      <c r="O16" s="60"/>
      <c r="P16" s="60"/>
      <c r="Q16" s="64"/>
      <c r="R16" s="101">
        <f>DATOS!M31</f>
        <v>0</v>
      </c>
    </row>
    <row r="17" spans="1:198" ht="16.8" hidden="1" thickBot="1">
      <c r="A17" s="60"/>
      <c r="B17" s="59"/>
      <c r="C17" s="60"/>
      <c r="D17" s="60"/>
      <c r="E17" s="260" t="s">
        <v>369</v>
      </c>
      <c r="F17" s="99" t="str">
        <f>DATOS!F25</f>
        <v>KW</v>
      </c>
      <c r="G17" s="60"/>
      <c r="H17" s="60"/>
      <c r="I17" s="60"/>
      <c r="J17" s="60"/>
      <c r="K17" s="60"/>
      <c r="L17" s="64" t="s">
        <v>1283</v>
      </c>
      <c r="M17" s="111">
        <f>IF(DATOS!M12&lt;&gt;"NORMA",DATOS!M18,N17*DATOS!M18)</f>
        <v>1</v>
      </c>
      <c r="N17" s="110" t="e">
        <f>SUM(BC27:BP27)/BB116</f>
        <v>#DIV/0!</v>
      </c>
      <c r="O17" s="110">
        <f>DATOS!M18</f>
        <v>1</v>
      </c>
      <c r="P17" s="60"/>
      <c r="Q17" s="64"/>
      <c r="R17" s="101">
        <f>DATOS!M32</f>
        <v>0</v>
      </c>
    </row>
    <row r="18" spans="1:198" ht="16.8" hidden="1" thickBot="1">
      <c r="A18" s="496"/>
      <c r="B18" s="497"/>
      <c r="C18" s="60"/>
      <c r="D18" s="60"/>
      <c r="E18" s="260" t="s">
        <v>1841</v>
      </c>
      <c r="F18" s="99">
        <f>DATOS!F15</f>
        <v>100</v>
      </c>
      <c r="G18" s="99">
        <f>DATOS!F16</f>
        <v>100</v>
      </c>
      <c r="H18" s="99" t="str">
        <f>DATOS!G16</f>
        <v>125</v>
      </c>
      <c r="I18" s="60"/>
      <c r="J18" s="60"/>
      <c r="K18" s="60"/>
      <c r="L18" s="64" t="s">
        <v>1284</v>
      </c>
      <c r="M18" s="99" t="str">
        <f>DATOS!F24</f>
        <v>TB</v>
      </c>
      <c r="N18" s="60"/>
      <c r="O18" s="60"/>
      <c r="P18" s="1" t="str">
        <f>DATOS!C29</f>
        <v>REVISION</v>
      </c>
      <c r="Q18" s="1" t="str">
        <f>DATOS!D29</f>
        <v>CONCEPTO</v>
      </c>
      <c r="R18" s="1" t="str">
        <f>DATOS!G29</f>
        <v>FECHA</v>
      </c>
      <c r="S18" s="1" t="str">
        <f>DATOS!H29</f>
        <v>APROBO</v>
      </c>
    </row>
    <row r="19" spans="1:198" ht="15.6" hidden="1" thickBot="1">
      <c r="A19" s="60"/>
      <c r="B19" s="59"/>
      <c r="C19" s="60"/>
      <c r="D19" s="60"/>
      <c r="E19" s="262" t="s">
        <v>1519</v>
      </c>
      <c r="F19" s="99">
        <f>DATOS!F17</f>
        <v>100</v>
      </c>
      <c r="G19" s="99">
        <f>DATOS!G17</f>
        <v>125</v>
      </c>
      <c r="H19" s="99">
        <f>DATOS!G19</f>
        <v>135</v>
      </c>
      <c r="I19" s="60"/>
      <c r="J19" s="60"/>
      <c r="K19" s="60"/>
      <c r="L19" s="64" t="s">
        <v>803</v>
      </c>
      <c r="M19" s="101">
        <f>DATOS!L6</f>
        <v>0</v>
      </c>
      <c r="N19" s="60"/>
      <c r="O19" s="60"/>
      <c r="P19" s="1">
        <f>DATOS!C30</f>
        <v>0</v>
      </c>
      <c r="Q19" s="1">
        <f>DATOS!D30</f>
        <v>0</v>
      </c>
      <c r="R19" s="1">
        <f>DATOS!G30</f>
        <v>0</v>
      </c>
      <c r="S19" s="1">
        <f>DATOS!H30</f>
        <v>0</v>
      </c>
    </row>
    <row r="20" spans="1:198" ht="15.6" hidden="1" thickBot="1">
      <c r="A20" s="60"/>
      <c r="B20" s="59"/>
      <c r="C20" s="60"/>
      <c r="D20" s="60"/>
      <c r="E20" s="262" t="s">
        <v>1520</v>
      </c>
      <c r="F20" s="99">
        <f>DATOS!F18</f>
        <v>150</v>
      </c>
      <c r="G20" s="99">
        <f>DATOS!F19</f>
        <v>100</v>
      </c>
      <c r="H20" s="99">
        <f>DATOS!G18</f>
        <v>125</v>
      </c>
      <c r="I20" s="61"/>
      <c r="J20" s="60"/>
      <c r="K20" s="60"/>
      <c r="L20" s="64" t="s">
        <v>1285</v>
      </c>
      <c r="M20" s="101">
        <f>DATOS!M25</f>
        <v>16</v>
      </c>
      <c r="N20" s="60">
        <f>VLOOKUP(M20,' '!D774:E782,2,0)</f>
        <v>78</v>
      </c>
      <c r="O20" s="60"/>
      <c r="P20" s="1">
        <f>DATOS!C31</f>
        <v>0</v>
      </c>
      <c r="Q20" s="1">
        <f>DATOS!D31</f>
        <v>0</v>
      </c>
      <c r="R20" s="1">
        <f>DATOS!G31</f>
        <v>0</v>
      </c>
      <c r="S20" s="1">
        <f>DATOS!H31</f>
        <v>0</v>
      </c>
    </row>
    <row r="21" spans="1:198" ht="16.8" hidden="1" thickBot="1">
      <c r="A21" s="60"/>
      <c r="B21" s="59"/>
      <c r="C21" s="60"/>
      <c r="D21" s="60"/>
      <c r="E21" s="260" t="s">
        <v>1286</v>
      </c>
      <c r="F21" s="65">
        <f>DATOS!N19</f>
        <v>20</v>
      </c>
      <c r="G21" s="220">
        <f>DATOS!N20</f>
        <v>20</v>
      </c>
      <c r="H21" s="65">
        <f>DATOS!N21</f>
        <v>30</v>
      </c>
      <c r="I21" s="61"/>
      <c r="J21" s="65"/>
      <c r="K21" s="65"/>
      <c r="L21" s="221" t="s">
        <v>1287</v>
      </c>
      <c r="M21" s="101">
        <f>DATOS!M22</f>
        <v>15</v>
      </c>
      <c r="N21" s="101">
        <f>DATOS!M23</f>
        <v>20</v>
      </c>
      <c r="O21" s="101">
        <f>DATOS!M24</f>
        <v>15</v>
      </c>
      <c r="P21" s="1">
        <f>DATOS!C32</f>
        <v>0</v>
      </c>
      <c r="Q21" s="1">
        <f>DATOS!D32</f>
        <v>0</v>
      </c>
      <c r="R21" s="1">
        <f>DATOS!G32</f>
        <v>0</v>
      </c>
      <c r="S21" s="1">
        <f>DATOS!H32</f>
        <v>0</v>
      </c>
      <c r="X21" s="1" t="str">
        <f>IF(X22="","+",X22 &amp; "+")</f>
        <v>+</v>
      </c>
      <c r="Y21" s="1" t="str">
        <f t="shared" ref="Y21:BA21" si="6">IF(Y22="","+",Y22 &amp; "+")</f>
        <v>+</v>
      </c>
      <c r="Z21" s="1" t="str">
        <f t="shared" si="6"/>
        <v>+</v>
      </c>
      <c r="AA21" s="1" t="str">
        <f t="shared" si="6"/>
        <v>+</v>
      </c>
      <c r="AB21" s="1" t="str">
        <f t="shared" si="6"/>
        <v>+</v>
      </c>
      <c r="AC21" s="1" t="str">
        <f t="shared" si="6"/>
        <v>+</v>
      </c>
      <c r="AD21" s="1" t="str">
        <f t="shared" si="6"/>
        <v>+</v>
      </c>
      <c r="AE21" s="1" t="str">
        <f t="shared" si="6"/>
        <v>+</v>
      </c>
      <c r="AF21" s="1" t="str">
        <f t="shared" si="6"/>
        <v>+</v>
      </c>
      <c r="AG21" s="1" t="str">
        <f t="shared" si="6"/>
        <v>+</v>
      </c>
      <c r="AH21" s="1" t="str">
        <f t="shared" si="6"/>
        <v>+</v>
      </c>
      <c r="AI21" s="1" t="str">
        <f t="shared" si="6"/>
        <v>+</v>
      </c>
      <c r="AJ21" s="1" t="str">
        <f t="shared" si="6"/>
        <v>+</v>
      </c>
      <c r="AK21" s="1" t="str">
        <f t="shared" si="6"/>
        <v>+</v>
      </c>
      <c r="AL21" s="1" t="str">
        <f t="shared" si="6"/>
        <v>+</v>
      </c>
      <c r="AM21" s="1" t="str">
        <f t="shared" si="6"/>
        <v>+</v>
      </c>
      <c r="AN21" s="1" t="str">
        <f t="shared" si="6"/>
        <v>+</v>
      </c>
      <c r="AO21" s="1" t="str">
        <f t="shared" si="6"/>
        <v>+</v>
      </c>
      <c r="AP21" s="1" t="str">
        <f t="shared" si="6"/>
        <v>+</v>
      </c>
      <c r="AQ21" s="1" t="str">
        <f t="shared" si="6"/>
        <v>+</v>
      </c>
      <c r="AR21" s="1" t="str">
        <f t="shared" si="6"/>
        <v>+</v>
      </c>
      <c r="AS21" s="1" t="str">
        <f t="shared" si="6"/>
        <v>+</v>
      </c>
      <c r="AT21" s="1" t="str">
        <f t="shared" si="6"/>
        <v>+</v>
      </c>
      <c r="AU21" s="1" t="str">
        <f t="shared" si="6"/>
        <v>+</v>
      </c>
      <c r="AV21" s="1" t="str">
        <f t="shared" si="6"/>
        <v>+</v>
      </c>
      <c r="AW21" s="1" t="str">
        <f t="shared" si="6"/>
        <v>+</v>
      </c>
      <c r="AX21" s="1" t="str">
        <f t="shared" si="6"/>
        <v>+</v>
      </c>
      <c r="AY21" s="1" t="str">
        <f t="shared" si="6"/>
        <v>+</v>
      </c>
      <c r="AZ21" s="1" t="str">
        <f t="shared" si="6"/>
        <v>+</v>
      </c>
      <c r="BA21" s="1" t="str">
        <f t="shared" si="6"/>
        <v>+</v>
      </c>
    </row>
    <row r="22" spans="1:198" ht="17.399999999999999" customHeight="1" thickTop="1" thickBot="1">
      <c r="A22" s="507"/>
      <c r="B22" s="361" t="s">
        <v>1875</v>
      </c>
      <c r="C22" s="362"/>
      <c r="D22" s="362"/>
      <c r="E22" s="363"/>
      <c r="F22" s="371"/>
      <c r="G22" s="367"/>
      <c r="H22" s="858"/>
      <c r="I22" s="367"/>
      <c r="J22" s="982"/>
      <c r="K22" s="983"/>
      <c r="L22" s="983"/>
      <c r="M22" s="983"/>
      <c r="N22" s="983"/>
      <c r="O22" s="984"/>
      <c r="P22" s="985" t="s">
        <v>1288</v>
      </c>
      <c r="Q22" s="986"/>
      <c r="R22" s="986"/>
      <c r="S22" s="986"/>
      <c r="T22" s="986"/>
      <c r="U22" s="987"/>
      <c r="V22" s="367"/>
      <c r="W22" s="342" t="s">
        <v>1289</v>
      </c>
      <c r="X22" s="868"/>
      <c r="Y22" s="868"/>
      <c r="Z22" s="868"/>
      <c r="AA22" s="868"/>
      <c r="AB22" s="868"/>
      <c r="AC22" s="868"/>
      <c r="AD22" s="868"/>
      <c r="AE22" s="868"/>
      <c r="AF22" s="868"/>
      <c r="AG22" s="868"/>
      <c r="AH22" s="868"/>
      <c r="AI22" s="868"/>
      <c r="AJ22" s="868"/>
      <c r="AK22" s="868"/>
      <c r="AL22" s="868"/>
      <c r="AM22" s="868"/>
      <c r="AN22" s="868"/>
      <c r="AO22" s="343"/>
      <c r="AP22" s="343"/>
      <c r="AQ22" s="343"/>
      <c r="AR22" s="343"/>
      <c r="AS22" s="343"/>
      <c r="AT22" s="343"/>
      <c r="AU22" s="343"/>
      <c r="AV22" s="343"/>
      <c r="AW22" s="343"/>
      <c r="AX22" s="343"/>
      <c r="AY22" s="343"/>
      <c r="AZ22" s="343"/>
      <c r="BA22" s="344"/>
      <c r="BB22" s="342" t="s">
        <v>1289</v>
      </c>
      <c r="BC22" s="376"/>
      <c r="BD22" s="377"/>
      <c r="BE22" s="378" t="s">
        <v>1290</v>
      </c>
      <c r="BF22" s="377"/>
      <c r="BG22" s="377"/>
      <c r="BH22" s="377"/>
      <c r="BI22" s="379"/>
      <c r="BJ22" s="396"/>
      <c r="BK22" s="397"/>
      <c r="BL22" s="397"/>
      <c r="BM22" s="398" t="s">
        <v>1291</v>
      </c>
      <c r="BN22" s="397"/>
      <c r="BO22" s="397"/>
      <c r="BP22" s="399"/>
      <c r="BQ22" s="72"/>
      <c r="BR22" s="73"/>
      <c r="BS22" s="73"/>
      <c r="BT22" s="338" t="s">
        <v>1184</v>
      </c>
      <c r="BU22" s="327" t="str">
        <f>FIXED(IF(TABLERO!$F$17&lt;&gt;"KVA",(TABLERO!BC25+TABLERO!BJ25)*1000,(TABLERO!BC25+TABLERO!BJ25)*1000/TABLERO!$F$14),2)&amp;IF(TABLERO!$F$17="KVA"," VA"," W")</f>
        <v>0.00 W</v>
      </c>
      <c r="BV22" s="328" t="str">
        <f>"x "&amp;CONCATENATE(FIXED(TABLERO!M10,2)," =")</f>
        <v>x 1.00 =</v>
      </c>
      <c r="BW22" s="743" t="str">
        <f>FIXED(IF(TABLERO!$F$17&lt;&gt;"KVA",(TABLERO!BC27+TABLERO!BJ27)*1000,(TABLERO!BC27+TABLERO!BJ27)*1000/TABLERO!$F$14),2)&amp;IF(TABLERO!$F$17="KVA"," VA"," W")</f>
        <v>0.00 W</v>
      </c>
      <c r="BX22" s="979" t="s">
        <v>1292</v>
      </c>
      <c r="BY22" s="980"/>
      <c r="BZ22" s="981"/>
      <c r="CA22" s="1017" t="s">
        <v>1293</v>
      </c>
      <c r="CB22" s="1018"/>
      <c r="CC22" s="1030" t="s">
        <v>1294</v>
      </c>
      <c r="CD22" s="1030"/>
      <c r="CE22" s="1030"/>
      <c r="CF22" s="1030"/>
      <c r="CG22" s="1031"/>
      <c r="CH22" s="73" t="s">
        <v>1295</v>
      </c>
      <c r="CI22" s="1072" t="s">
        <v>1296</v>
      </c>
      <c r="CJ22" s="1073"/>
      <c r="CK22" s="1074"/>
      <c r="CL22" s="525"/>
      <c r="CM22" s="525"/>
      <c r="CN22" s="525"/>
      <c r="CO22" s="526"/>
      <c r="CP22" s="526"/>
      <c r="CQ22" s="526"/>
      <c r="CR22" s="527"/>
      <c r="CS22" s="528"/>
      <c r="CT22" s="528"/>
      <c r="CU22" s="528"/>
      <c r="CV22" s="529"/>
      <c r="CW22" s="529"/>
      <c r="CX22" s="530"/>
      <c r="CY22" s="528"/>
      <c r="CZ22" s="528"/>
      <c r="DA22" s="528"/>
      <c r="DB22" s="528"/>
      <c r="DC22" s="531"/>
      <c r="DD22" s="527"/>
      <c r="DE22" s="528"/>
      <c r="DF22" s="532" t="s">
        <v>1297</v>
      </c>
      <c r="DG22" s="532" t="s">
        <v>408</v>
      </c>
      <c r="DH22" s="532"/>
      <c r="DI22" s="532" t="s">
        <v>1297</v>
      </c>
      <c r="DJ22" s="532" t="s">
        <v>408</v>
      </c>
      <c r="DK22" s="533"/>
      <c r="DL22" s="534" t="s">
        <v>23</v>
      </c>
      <c r="DM22" s="534" t="s">
        <v>1298</v>
      </c>
      <c r="DN22" s="1050" t="s">
        <v>1299</v>
      </c>
      <c r="DO22" s="1051"/>
      <c r="DP22" s="1051"/>
      <c r="DQ22" s="1051"/>
      <c r="DR22" s="1051"/>
      <c r="DS22" s="1051"/>
      <c r="DT22" s="1051"/>
      <c r="DU22" s="1052"/>
      <c r="DV22" s="1059" t="s">
        <v>1300</v>
      </c>
      <c r="DW22" s="1060"/>
      <c r="DX22" s="1060"/>
      <c r="DY22" s="1060"/>
      <c r="DZ22" s="1060"/>
      <c r="EA22" s="1060"/>
      <c r="EB22" s="1060"/>
      <c r="EC22" s="1061"/>
      <c r="ED22" s="531"/>
      <c r="EE22" s="527"/>
      <c r="EF22" s="531"/>
      <c r="EG22" s="526"/>
      <c r="EH22" s="535"/>
      <c r="EI22" s="536"/>
      <c r="EJ22" s="1038" t="s">
        <v>1301</v>
      </c>
      <c r="EK22" s="1039"/>
      <c r="EL22" s="1039"/>
      <c r="EM22" s="1040"/>
      <c r="EN22" s="537"/>
      <c r="EP22" s="1019" t="s">
        <v>1302</v>
      </c>
      <c r="EQ22" s="1020"/>
      <c r="ER22" s="1008" t="s">
        <v>1303</v>
      </c>
      <c r="ES22" s="1009"/>
      <c r="FM22" s="49" t="s">
        <v>1304</v>
      </c>
      <c r="GB22" s="49" t="str">
        <f>"+++++++++++++++++++++++++++++++"&amp; COUNTIF(X116:BA116,"&gt;0") &amp;"+COLUMNAS"</f>
        <v>+++++++++++++++++++++++++++++++0+COLUMNAS</v>
      </c>
    </row>
    <row r="23" spans="1:198" ht="12.75" customHeight="1" thickTop="1" thickBot="1">
      <c r="A23" s="970" t="s">
        <v>2017</v>
      </c>
      <c r="B23" s="222"/>
      <c r="C23" s="223"/>
      <c r="D23" s="224"/>
      <c r="E23" s="369" t="s">
        <v>792</v>
      </c>
      <c r="F23" s="368"/>
      <c r="G23" s="368"/>
      <c r="H23" s="859"/>
      <c r="I23" s="368"/>
      <c r="J23" s="1000" t="s">
        <v>1874</v>
      </c>
      <c r="K23" s="1001"/>
      <c r="L23" s="1001"/>
      <c r="M23" s="1001"/>
      <c r="N23" s="1001"/>
      <c r="O23" s="1002"/>
      <c r="P23" s="988"/>
      <c r="Q23" s="989"/>
      <c r="R23" s="989"/>
      <c r="S23" s="989"/>
      <c r="T23" s="989"/>
      <c r="U23" s="990"/>
      <c r="V23" s="368"/>
      <c r="W23" s="345" t="s">
        <v>1305</v>
      </c>
      <c r="X23" s="346"/>
      <c r="Y23" s="346"/>
      <c r="Z23" s="346"/>
      <c r="AA23" s="346"/>
      <c r="AB23" s="346"/>
      <c r="AC23" s="346"/>
      <c r="AD23" s="346"/>
      <c r="AE23" s="346"/>
      <c r="AF23" s="346"/>
      <c r="AG23" s="346"/>
      <c r="AH23" s="346"/>
      <c r="AI23" s="346"/>
      <c r="AJ23" s="346"/>
      <c r="AK23" s="346"/>
      <c r="AL23" s="346"/>
      <c r="AM23" s="346"/>
      <c r="AN23" s="346"/>
      <c r="AO23" s="346"/>
      <c r="AP23" s="346"/>
      <c r="AQ23" s="346"/>
      <c r="AR23" s="346"/>
      <c r="AS23" s="346"/>
      <c r="AT23" s="346"/>
      <c r="AU23" s="346"/>
      <c r="AV23" s="346"/>
      <c r="AW23" s="346"/>
      <c r="AX23" s="346"/>
      <c r="AY23" s="346"/>
      <c r="AZ23" s="346"/>
      <c r="BA23" s="346"/>
      <c r="BB23" s="347" t="s">
        <v>1305</v>
      </c>
      <c r="BC23" s="1047"/>
      <c r="BD23" s="1048"/>
      <c r="BE23" s="1048"/>
      <c r="BF23" s="1048"/>
      <c r="BG23" s="1048"/>
      <c r="BH23" s="1048"/>
      <c r="BI23" s="1049"/>
      <c r="BJ23" s="400"/>
      <c r="BK23" s="401"/>
      <c r="BL23" s="401"/>
      <c r="BM23" s="402"/>
      <c r="BN23" s="401"/>
      <c r="BO23" s="401"/>
      <c r="BP23" s="403"/>
      <c r="BQ23" s="74"/>
      <c r="BR23" s="75"/>
      <c r="BS23" s="75"/>
      <c r="BT23" s="339" t="s">
        <v>1187</v>
      </c>
      <c r="BU23" s="329" t="str">
        <f>FIXED(IF(TABLERO!$F$17&lt;&gt;"KVA",(TABLERO!BE25+TABLERO!BL25)*1000,(TABLERO!BE25+TABLERO!BL25)*1000/TABLERO!$F$14),2)&amp;IF(TABLERO!$F$17="KVA"," VA"," W")</f>
        <v>0.00 W</v>
      </c>
      <c r="BV23" s="330" t="str">
        <f>"x "&amp;CONCATENATE(FIXED(TABLERO!M12,2)," =")</f>
        <v>x 1.00 =</v>
      </c>
      <c r="BW23" s="744" t="str">
        <f>FIXED(IF(TABLERO!$F$17&lt;&gt;"KVA",(TABLERO!BE27+TABLERO!BL27)*1000,(TABLERO!BE27+TABLERO!BL27)*1000/TABLERO!$F$14),2)&amp;IF(TABLERO!$F$17="KVA"," VA"," W")</f>
        <v>0.00 W</v>
      </c>
      <c r="BX23" s="831" t="s">
        <v>1306</v>
      </c>
      <c r="BY23" s="832" t="s">
        <v>1307</v>
      </c>
      <c r="BZ23" s="833" t="s">
        <v>1308</v>
      </c>
      <c r="CA23" s="745" t="s">
        <v>1309</v>
      </c>
      <c r="CB23" s="337" t="str">
        <f>DATOS!I17</f>
        <v>2.25</v>
      </c>
      <c r="CC23" s="1032"/>
      <c r="CD23" s="1032"/>
      <c r="CE23" s="1032"/>
      <c r="CF23" s="1032"/>
      <c r="CG23" s="1033"/>
      <c r="CH23" s="75"/>
      <c r="CI23" s="1015" t="s">
        <v>1893</v>
      </c>
      <c r="CJ23" s="1016"/>
      <c r="CK23" s="1075" t="str">
        <f>IF(SUM(CI29:CK29)=0,"",IF(F10=2,((MAX(CI29:CJ29)-MIN(CI29:CJ29))/MAX(CI29:CJ29)*100),IF(F10=3,((MAX(CI29:CK29)-MIN(CI29:CK29))/MAX(CI29:CK29)*100),"")))</f>
        <v/>
      </c>
      <c r="CL23" s="538"/>
      <c r="CM23" s="538"/>
      <c r="CN23" s="538"/>
      <c r="CO23" s="539"/>
      <c r="CP23" s="539"/>
      <c r="CQ23" s="539"/>
      <c r="CR23" s="834" t="s">
        <v>10</v>
      </c>
      <c r="CS23" s="541"/>
      <c r="CT23" s="541"/>
      <c r="CU23" s="541"/>
      <c r="CV23" s="542"/>
      <c r="CW23" s="542"/>
      <c r="CX23" s="543"/>
      <c r="CY23" s="541"/>
      <c r="CZ23" s="541"/>
      <c r="DA23" s="541"/>
      <c r="DB23" s="541"/>
      <c r="DC23" s="544"/>
      <c r="DD23" s="540"/>
      <c r="DE23" s="541"/>
      <c r="DF23" s="545"/>
      <c r="DG23" s="545"/>
      <c r="DH23" s="545"/>
      <c r="DI23" s="545"/>
      <c r="DJ23" s="545"/>
      <c r="DK23" s="546"/>
      <c r="DL23" s="547"/>
      <c r="DM23" s="547"/>
      <c r="DN23" s="1053"/>
      <c r="DO23" s="1054"/>
      <c r="DP23" s="1054"/>
      <c r="DQ23" s="1054"/>
      <c r="DR23" s="1054"/>
      <c r="DS23" s="1054"/>
      <c r="DT23" s="1054"/>
      <c r="DU23" s="1055"/>
      <c r="DV23" s="1062"/>
      <c r="DW23" s="1063"/>
      <c r="DX23" s="1063"/>
      <c r="DY23" s="1063"/>
      <c r="DZ23" s="1063"/>
      <c r="EA23" s="1063"/>
      <c r="EB23" s="1063"/>
      <c r="EC23" s="1064"/>
      <c r="ED23" s="544"/>
      <c r="EE23" s="540"/>
      <c r="EF23" s="544"/>
      <c r="EG23" s="539"/>
      <c r="EH23" s="548"/>
      <c r="EI23" s="549"/>
      <c r="EJ23" s="1041"/>
      <c r="EK23" s="1042"/>
      <c r="EL23" s="1042"/>
      <c r="EM23" s="1043"/>
      <c r="EN23" s="551"/>
      <c r="EP23" s="1021"/>
      <c r="EQ23" s="1022"/>
      <c r="ER23" s="1010"/>
      <c r="ES23" s="1011"/>
      <c r="FM23" s="49" t="s">
        <v>1310</v>
      </c>
      <c r="FY23" s="736" t="e">
        <f>BU22&amp;"+"&amp;FIXED(TABLERO!M10,2)&amp;"+"&amp;BW22&amp;"+"&amp;BU23&amp;"+"&amp;FIXED(TABLERO!M12,2)&amp;"+"&amp;BW23&amp;"+"&amp;BU24&amp;"+"&amp;IF(BK25=0,1,IF(TABLERO!M11="NORMA",CONCATENATE(FIXED(TABLERO!BK27/TABLERO!BK25,2)),"x "&amp;CONCATENATE(FIXED(TABLERO!M11,2)," =")))&amp;"+"&amp;BW24&amp;"+"&amp;BU25&amp;"+"&amp;FIXED(TABLERO!M13,2)&amp;"+"&amp;BW25&amp;"+"&amp;BU26&amp;"+"&amp;FIXED(TABLERO!M16,2)&amp;"+"&amp;BW26&amp;"+"&amp;BU27&amp;"+"&amp;FIXED(TABLERO!M14,2)&amp;"+"&amp;BW27&amp;"+"&amp;BU28&amp;"+"&amp;FIXED(TABLERO!M15,2)&amp;"+"&amp;BW28&amp;"+"&amp;BX25&amp;"+"&amp;FIXED(((TABLERO!BF28+TABLERO!BM28)*1000)/((SUM(TABLERO!BC25:BP25))*1000),2)&amp;"+"&amp;BZ25&amp;"+++++++DATOS2"</f>
        <v>#DIV/0!</v>
      </c>
      <c r="GB23" s="49" t="str">
        <f>CUADROACAD!CU23</f>
        <v>++++++++++++++++++++++++++++++++44</v>
      </c>
    </row>
    <row r="24" spans="1:198" ht="12.75" customHeight="1" thickBot="1">
      <c r="A24" s="364" t="s">
        <v>1826</v>
      </c>
      <c r="B24" s="222"/>
      <c r="C24" s="223"/>
      <c r="D24" s="224"/>
      <c r="E24" s="373"/>
      <c r="F24" s="368"/>
      <c r="G24" s="368"/>
      <c r="H24" s="859"/>
      <c r="I24" s="369" t="s">
        <v>1311</v>
      </c>
      <c r="J24" s="994" t="s">
        <v>1906</v>
      </c>
      <c r="K24" s="995"/>
      <c r="L24" s="995"/>
      <c r="M24" s="995"/>
      <c r="N24" s="995"/>
      <c r="O24" s="996"/>
      <c r="P24" s="988"/>
      <c r="Q24" s="989"/>
      <c r="R24" s="989"/>
      <c r="S24" s="989"/>
      <c r="T24" s="989"/>
      <c r="U24" s="990"/>
      <c r="V24" s="368"/>
      <c r="W24" s="348" t="s">
        <v>1312</v>
      </c>
      <c r="X24" s="349"/>
      <c r="Y24" s="349"/>
      <c r="Z24" s="349"/>
      <c r="AA24" s="349"/>
      <c r="AB24" s="349"/>
      <c r="AC24" s="349"/>
      <c r="AD24" s="349"/>
      <c r="AE24" s="349"/>
      <c r="AF24" s="349"/>
      <c r="AG24" s="349"/>
      <c r="AH24" s="349"/>
      <c r="AI24" s="349"/>
      <c r="AJ24" s="349"/>
      <c r="AK24" s="349"/>
      <c r="AL24" s="349"/>
      <c r="AM24" s="349"/>
      <c r="AN24" s="349"/>
      <c r="AO24" s="349"/>
      <c r="AP24" s="349"/>
      <c r="AQ24" s="349"/>
      <c r="AR24" s="349"/>
      <c r="AS24" s="349"/>
      <c r="AT24" s="349"/>
      <c r="AU24" s="349"/>
      <c r="AV24" s="349"/>
      <c r="AW24" s="349"/>
      <c r="AX24" s="349"/>
      <c r="AY24" s="349"/>
      <c r="AZ24" s="349"/>
      <c r="BA24" s="349"/>
      <c r="BB24" s="348" t="s">
        <v>1312</v>
      </c>
      <c r="BC24" s="380" t="s">
        <v>1184</v>
      </c>
      <c r="BD24" s="381" t="s">
        <v>1313</v>
      </c>
      <c r="BE24" s="381" t="s">
        <v>1314</v>
      </c>
      <c r="BF24" s="381" t="s">
        <v>1189</v>
      </c>
      <c r="BG24" s="381" t="s">
        <v>1194</v>
      </c>
      <c r="BH24" s="381" t="s">
        <v>1315</v>
      </c>
      <c r="BI24" s="382" t="s">
        <v>1198</v>
      </c>
      <c r="BJ24" s="404" t="s">
        <v>1184</v>
      </c>
      <c r="BK24" s="402" t="s">
        <v>1313</v>
      </c>
      <c r="BL24" s="402" t="s">
        <v>1314</v>
      </c>
      <c r="BM24" s="402" t="s">
        <v>1189</v>
      </c>
      <c r="BN24" s="402" t="s">
        <v>1194</v>
      </c>
      <c r="BO24" s="402" t="s">
        <v>1315</v>
      </c>
      <c r="BP24" s="405" t="s">
        <v>1198</v>
      </c>
      <c r="BQ24" s="74"/>
      <c r="BR24" s="75"/>
      <c r="BS24" s="75"/>
      <c r="BT24" s="340" t="s">
        <v>1313</v>
      </c>
      <c r="BU24" s="329" t="str">
        <f>FIXED(IF(TABLERO!$F$17&lt;&gt;"KVA",(TABLERO!BD25+TABLERO!BK25)*1000,(TABLERO!BD25+TABLERO!BK25)*1000/TABLERO!$F$14),2)&amp;IF(TABLERO!$F$17="KVA"," VA"," W")</f>
        <v>0.00 W</v>
      </c>
      <c r="BV24" s="330" t="str">
        <f>IF(BK25=0,"x 1.00 =",IF(TABLERO!M11="NORMA","x "&amp;CONCATENATE(FIXED(TABLERO!BK27/TABLERO!BK25,2)," ="),"x "&amp;CONCATENATE(FIXED(TABLERO!M11,2)," =")))</f>
        <v>x 1.00 =</v>
      </c>
      <c r="BW24" s="744" t="str">
        <f>FIXED(IF(TABLERO!$F$17&lt;&gt;"KVA",(TABLERO!BD27+TABLERO!BK27)*1000,(TABLERO!BD27+TABLERO!BK27)*1000/TABLERO!$F$14),2)&amp;IF(TABLERO!$F$17="KVA"," VA"," W")</f>
        <v>0.00 W</v>
      </c>
      <c r="BX24" s="828"/>
      <c r="BY24" s="829"/>
      <c r="BZ24" s="830"/>
      <c r="CA24" s="745" t="s">
        <v>1316</v>
      </c>
      <c r="CB24" s="337">
        <f>DATOS!M47</f>
        <v>2.9220893288850238</v>
      </c>
      <c r="CC24" s="1032"/>
      <c r="CD24" s="1032"/>
      <c r="CE24" s="1032"/>
      <c r="CF24" s="1032"/>
      <c r="CG24" s="1033"/>
      <c r="CH24" s="489" t="str">
        <f>IF(M18="TR",CH118,IF(M18="PE",CH122,CH116))</f>
        <v/>
      </c>
      <c r="CI24" s="1015"/>
      <c r="CJ24" s="1016"/>
      <c r="CK24" s="1075"/>
      <c r="CL24" s="538"/>
      <c r="CM24" s="538"/>
      <c r="CN24" s="538"/>
      <c r="CO24" s="539"/>
      <c r="CP24" s="539"/>
      <c r="CQ24" s="539"/>
      <c r="CR24" s="834" t="s">
        <v>1399</v>
      </c>
      <c r="CS24" s="541"/>
      <c r="CT24" s="541"/>
      <c r="CU24" s="541"/>
      <c r="CV24" s="542"/>
      <c r="CW24" s="542"/>
      <c r="CX24" s="543"/>
      <c r="CY24" s="541"/>
      <c r="CZ24" s="541"/>
      <c r="DA24" s="541"/>
      <c r="DB24" s="541"/>
      <c r="DC24" s="1026" t="s">
        <v>1317</v>
      </c>
      <c r="DD24" s="1027"/>
      <c r="DE24" s="545"/>
      <c r="DF24" s="545" t="s">
        <v>12</v>
      </c>
      <c r="DG24" s="545" t="s">
        <v>1318</v>
      </c>
      <c r="DH24" s="545"/>
      <c r="DI24" s="545" t="s">
        <v>12</v>
      </c>
      <c r="DJ24" s="545" t="s">
        <v>1318</v>
      </c>
      <c r="DK24" s="546"/>
      <c r="DL24" s="547" t="s">
        <v>1319</v>
      </c>
      <c r="DM24" s="547" t="s">
        <v>1320</v>
      </c>
      <c r="DN24" s="1053"/>
      <c r="DO24" s="1054"/>
      <c r="DP24" s="1054"/>
      <c r="DQ24" s="1054"/>
      <c r="DR24" s="1054"/>
      <c r="DS24" s="1054"/>
      <c r="DT24" s="1054"/>
      <c r="DU24" s="1055"/>
      <c r="DV24" s="1062"/>
      <c r="DW24" s="1063"/>
      <c r="DX24" s="1063"/>
      <c r="DY24" s="1063"/>
      <c r="DZ24" s="1063"/>
      <c r="EA24" s="1063"/>
      <c r="EB24" s="1063"/>
      <c r="EC24" s="1064"/>
      <c r="ED24" s="544"/>
      <c r="EE24" s="540"/>
      <c r="EF24" s="544"/>
      <c r="EG24" s="539"/>
      <c r="EH24" s="548"/>
      <c r="EI24" s="549"/>
      <c r="EJ24" s="1041"/>
      <c r="EK24" s="1042"/>
      <c r="EL24" s="1042"/>
      <c r="EM24" s="1043"/>
      <c r="EN24" s="551"/>
      <c r="EP24" s="1023" t="s">
        <v>1321</v>
      </c>
      <c r="EQ24" s="1023" t="s">
        <v>1322</v>
      </c>
      <c r="ER24" s="1012" t="s">
        <v>1323</v>
      </c>
      <c r="ES24" s="1012" t="s">
        <v>801</v>
      </c>
      <c r="FM24" s="49" t="s">
        <v>1324</v>
      </c>
      <c r="FY24" s="737"/>
      <c r="GA24" s="738"/>
      <c r="GB24" s="49" t="str">
        <f>CUADROACAD!CU24</f>
        <v>++++++++++++++++++++++++++++++++21</v>
      </c>
    </row>
    <row r="25" spans="1:198" ht="12.75" customHeight="1" thickBot="1">
      <c r="A25" s="365">
        <v>1</v>
      </c>
      <c r="B25" s="222"/>
      <c r="C25" s="223"/>
      <c r="D25" s="224"/>
      <c r="E25" s="1070" t="str">
        <f>F6</f>
        <v>A</v>
      </c>
      <c r="F25" s="368"/>
      <c r="G25" s="368"/>
      <c r="H25" s="1006"/>
      <c r="I25" s="369" t="s">
        <v>1325</v>
      </c>
      <c r="J25" s="997"/>
      <c r="K25" s="998"/>
      <c r="L25" s="998"/>
      <c r="M25" s="998"/>
      <c r="N25" s="998"/>
      <c r="O25" s="999"/>
      <c r="P25" s="988"/>
      <c r="Q25" s="989"/>
      <c r="R25" s="989"/>
      <c r="S25" s="989"/>
      <c r="T25" s="989"/>
      <c r="U25" s="990"/>
      <c r="V25" s="368"/>
      <c r="W25" s="345" t="s">
        <v>1326</v>
      </c>
      <c r="X25" s="350"/>
      <c r="Y25" s="350"/>
      <c r="Z25" s="350"/>
      <c r="AA25" s="350"/>
      <c r="AB25" s="350"/>
      <c r="AC25" s="350"/>
      <c r="AD25" s="350"/>
      <c r="AE25" s="350"/>
      <c r="AF25" s="350"/>
      <c r="AG25" s="350"/>
      <c r="AH25" s="350"/>
      <c r="AI25" s="350"/>
      <c r="AJ25" s="350"/>
      <c r="AK25" s="350"/>
      <c r="AL25" s="350"/>
      <c r="AM25" s="350"/>
      <c r="AN25" s="350"/>
      <c r="AO25" s="350"/>
      <c r="AP25" s="350"/>
      <c r="AQ25" s="350"/>
      <c r="AR25" s="350"/>
      <c r="AS25" s="350"/>
      <c r="AT25" s="350"/>
      <c r="AU25" s="350"/>
      <c r="AV25" s="350"/>
      <c r="AW25" s="350"/>
      <c r="AX25" s="350"/>
      <c r="AY25" s="350"/>
      <c r="AZ25" s="350"/>
      <c r="BA25" s="351"/>
      <c r="BB25" s="345" t="s">
        <v>1326</v>
      </c>
      <c r="BC25" s="383">
        <f>SUM(BC31:BC115)</f>
        <v>0</v>
      </c>
      <c r="BD25" s="383">
        <f t="shared" ref="BD25:BP25" si="7">SUM(BD31:BD115)</f>
        <v>0</v>
      </c>
      <c r="BE25" s="383">
        <f t="shared" si="7"/>
        <v>0</v>
      </c>
      <c r="BF25" s="383">
        <f t="shared" si="7"/>
        <v>0</v>
      </c>
      <c r="BG25" s="383">
        <f t="shared" si="7"/>
        <v>0</v>
      </c>
      <c r="BH25" s="383">
        <f t="shared" si="7"/>
        <v>0</v>
      </c>
      <c r="BI25" s="384">
        <f t="shared" si="7"/>
        <v>0</v>
      </c>
      <c r="BJ25" s="406">
        <f t="shared" si="7"/>
        <v>0</v>
      </c>
      <c r="BK25" s="406">
        <f t="shared" si="7"/>
        <v>0</v>
      </c>
      <c r="BL25" s="406">
        <f t="shared" si="7"/>
        <v>0</v>
      </c>
      <c r="BM25" s="406">
        <f t="shared" si="7"/>
        <v>0</v>
      </c>
      <c r="BN25" s="406">
        <f t="shared" si="7"/>
        <v>0</v>
      </c>
      <c r="BO25" s="406">
        <f t="shared" si="7"/>
        <v>0</v>
      </c>
      <c r="BP25" s="359">
        <f t="shared" si="7"/>
        <v>0</v>
      </c>
      <c r="BQ25" s="74"/>
      <c r="BR25" s="75"/>
      <c r="BS25" s="75"/>
      <c r="BT25" s="339" t="s">
        <v>1189</v>
      </c>
      <c r="BU25" s="329" t="str">
        <f>FIXED(IF(TABLERO!$F$17&lt;&gt;"KVA",(TABLERO!BF25+TABLERO!BM25)*1000,(TABLERO!BF25+TABLERO!BM25)*1000/TABLERO!$F$14),2)&amp;IF(TABLERO!$F$17="KVA"," VA"," W")</f>
        <v>0.00 W</v>
      </c>
      <c r="BV25" s="330" t="str">
        <f>"x "&amp;CONCATENATE(FIXED(TABLERO!M13,2)," =")</f>
        <v>x 1.00 =</v>
      </c>
      <c r="BW25" s="744" t="str">
        <f>FIXED(IF(TABLERO!$F$17&lt;&gt;"KVA",(TABLERO!BF27+TABLERO!BM27)*1000,(TABLERO!BF27+TABLERO!BM27)*1000/TABLERO!$F$14),2)&amp;IF(TABLERO!$F$17="KVA"," VA"," W")</f>
        <v>0.00 W</v>
      </c>
      <c r="BX25" s="746" t="str">
        <f>FIXED(IF(TABLERO!$F$17&lt;&gt;"KVA",(SUM(TABLERO!BC25:BP25))*1000,(SUM(TABLERO!BC25:BP25))*1000/TABLERO!$F$14),2)&amp;IF(TABLERO!$F$17="KVA"," VA"," W")</f>
        <v>0.00 W</v>
      </c>
      <c r="BY25" s="747" t="str">
        <f>IF(BB116=0,"","x "&amp;CONCATENATE(FIXED(((TABLERO!BF28+TABLERO!BM28)*1000)/((SUM(TABLERO!BC25:BP25))*1000),2)," ="))</f>
        <v/>
      </c>
      <c r="BZ25" s="748" t="str">
        <f>FIXED(IF(TABLERO!$F$17&lt;&gt;"KVA",(TABLERO!BF28+TABLERO!BM28)*1000,(TABLERO!BF28+TABLERO!BM28)*1000/TABLERO!$F$14),2)&amp;IF(TABLERO!$F$17="KVA"," VA"," W")</f>
        <v>0.00 W</v>
      </c>
      <c r="CA25" s="977" t="s">
        <v>1327</v>
      </c>
      <c r="CB25" s="1068" t="str">
        <f>VLOOKUP(CB24,' '!$A$716:$B$732,2)</f>
        <v>12 AWG</v>
      </c>
      <c r="CC25" s="1032"/>
      <c r="CD25" s="1032"/>
      <c r="CE25" s="1032"/>
      <c r="CF25" s="1032"/>
      <c r="CG25" s="1033"/>
      <c r="CH25" s="55" t="s">
        <v>1328</v>
      </c>
      <c r="CI25" s="1015" t="s">
        <v>1329</v>
      </c>
      <c r="CJ25" s="1016"/>
      <c r="CK25" s="1029">
        <f>IF($F$10=3,SUM(CI29:CK29)/3,IF($F$10=2,SUM(CI29:CJ29)/2,0))</f>
        <v>0</v>
      </c>
      <c r="CL25" s="553"/>
      <c r="CM25" s="553"/>
      <c r="CN25" s="553"/>
      <c r="CO25" s="539"/>
      <c r="CP25" s="539"/>
      <c r="CQ25" s="539"/>
      <c r="CR25" s="834" t="s">
        <v>1897</v>
      </c>
      <c r="CS25" s="541"/>
      <c r="CT25" s="541"/>
      <c r="CU25" s="541"/>
      <c r="CV25" s="542"/>
      <c r="CW25" s="542"/>
      <c r="CX25" s="543"/>
      <c r="CY25" s="541"/>
      <c r="CZ25" s="541"/>
      <c r="DA25" s="541"/>
      <c r="DB25" s="541"/>
      <c r="DC25" s="1028"/>
      <c r="DD25" s="1027"/>
      <c r="DE25" s="545"/>
      <c r="DF25" s="545" t="s">
        <v>1330</v>
      </c>
      <c r="DG25" s="545" t="s">
        <v>1331</v>
      </c>
      <c r="DH25" s="545"/>
      <c r="DI25" s="545" t="s">
        <v>1330</v>
      </c>
      <c r="DJ25" s="545" t="s">
        <v>1331</v>
      </c>
      <c r="DK25" s="546"/>
      <c r="DL25" s="547" t="s">
        <v>452</v>
      </c>
      <c r="DM25" s="547" t="s">
        <v>409</v>
      </c>
      <c r="DN25" s="1056"/>
      <c r="DO25" s="1057"/>
      <c r="DP25" s="1057"/>
      <c r="DQ25" s="1057"/>
      <c r="DR25" s="1057"/>
      <c r="DS25" s="1057"/>
      <c r="DT25" s="1057"/>
      <c r="DU25" s="1058"/>
      <c r="DV25" s="1065"/>
      <c r="DW25" s="1066"/>
      <c r="DX25" s="1066"/>
      <c r="DY25" s="1066"/>
      <c r="DZ25" s="1066"/>
      <c r="EA25" s="1066"/>
      <c r="EB25" s="1066"/>
      <c r="EC25" s="1067"/>
      <c r="ED25" s="544"/>
      <c r="EE25" s="540"/>
      <c r="EF25" s="544" t="s">
        <v>1332</v>
      </c>
      <c r="EG25" s="539"/>
      <c r="EH25" s="554" t="s">
        <v>1333</v>
      </c>
      <c r="EI25" s="549" t="s">
        <v>1334</v>
      </c>
      <c r="EJ25" s="1041"/>
      <c r="EK25" s="1042"/>
      <c r="EL25" s="1042"/>
      <c r="EM25" s="1043"/>
      <c r="EN25" s="551" t="s">
        <v>409</v>
      </c>
      <c r="EO25" s="523" t="s">
        <v>1335</v>
      </c>
      <c r="EP25" s="1024"/>
      <c r="EQ25" s="1024"/>
      <c r="ER25" s="1013"/>
      <c r="ES25" s="1013"/>
      <c r="FM25" s="49" t="s">
        <v>1336</v>
      </c>
      <c r="GB25" s="49" t="str">
        <f>CUADROACAD!CU25</f>
        <v>++++++++++++++++++++++++++++++++21</v>
      </c>
    </row>
    <row r="26" spans="1:198" s="3" customFormat="1" ht="13.5" customHeight="1" thickBot="1">
      <c r="A26" s="366" t="s">
        <v>1827</v>
      </c>
      <c r="B26" s="225"/>
      <c r="C26" s="226"/>
      <c r="D26" s="227"/>
      <c r="E26" s="1070"/>
      <c r="F26" s="372"/>
      <c r="G26" s="372"/>
      <c r="H26" s="1006"/>
      <c r="I26" s="369" t="s">
        <v>1337</v>
      </c>
      <c r="J26" s="1003" t="s">
        <v>1338</v>
      </c>
      <c r="K26" s="1004"/>
      <c r="L26" s="1004"/>
      <c r="M26" s="1004"/>
      <c r="N26" s="1004"/>
      <c r="O26" s="1005"/>
      <c r="P26" s="991"/>
      <c r="Q26" s="992"/>
      <c r="R26" s="992"/>
      <c r="S26" s="992"/>
      <c r="T26" s="992"/>
      <c r="U26" s="993"/>
      <c r="V26" s="372"/>
      <c r="W26" s="352" t="s">
        <v>1828</v>
      </c>
      <c r="X26" s="353"/>
      <c r="Y26" s="353"/>
      <c r="Z26" s="353"/>
      <c r="AA26" s="353"/>
      <c r="AB26" s="353"/>
      <c r="AC26" s="353"/>
      <c r="AD26" s="353"/>
      <c r="AE26" s="353"/>
      <c r="AF26" s="353"/>
      <c r="AG26" s="353"/>
      <c r="AH26" s="353"/>
      <c r="AI26" s="353"/>
      <c r="AJ26" s="353"/>
      <c r="AK26" s="353"/>
      <c r="AL26" s="353"/>
      <c r="AM26" s="353"/>
      <c r="AN26" s="353"/>
      <c r="AO26" s="353"/>
      <c r="AP26" s="353"/>
      <c r="AQ26" s="353"/>
      <c r="AR26" s="353"/>
      <c r="AS26" s="353"/>
      <c r="AT26" s="353"/>
      <c r="AU26" s="353"/>
      <c r="AV26" s="353"/>
      <c r="AW26" s="353"/>
      <c r="AX26" s="353"/>
      <c r="AY26" s="353"/>
      <c r="AZ26" s="353"/>
      <c r="BA26" s="353"/>
      <c r="BB26" s="352" t="s">
        <v>1339</v>
      </c>
      <c r="BC26" s="383">
        <f>M10</f>
        <v>1</v>
      </c>
      <c r="BD26" s="383">
        <f>IF(M11="NORMA",1,M11)</f>
        <v>1</v>
      </c>
      <c r="BE26" s="383">
        <f>M12</f>
        <v>1</v>
      </c>
      <c r="BF26" s="383">
        <f>M13</f>
        <v>1</v>
      </c>
      <c r="BG26" s="383">
        <f>M14</f>
        <v>1</v>
      </c>
      <c r="BH26" s="383">
        <f>M15</f>
        <v>1</v>
      </c>
      <c r="BI26" s="384">
        <f>M16</f>
        <v>1</v>
      </c>
      <c r="BJ26" s="407">
        <f>M10</f>
        <v>1</v>
      </c>
      <c r="BK26" s="407">
        <f>N11</f>
        <v>1</v>
      </c>
      <c r="BL26" s="407">
        <f>M12</f>
        <v>1</v>
      </c>
      <c r="BM26" s="407">
        <f>M13</f>
        <v>1</v>
      </c>
      <c r="BN26" s="407">
        <f>M14</f>
        <v>1</v>
      </c>
      <c r="BO26" s="407">
        <f>M15</f>
        <v>1</v>
      </c>
      <c r="BP26" s="408">
        <f>M16</f>
        <v>1</v>
      </c>
      <c r="BQ26" s="76" t="s">
        <v>1340</v>
      </c>
      <c r="BR26" s="77"/>
      <c r="BS26" s="54"/>
      <c r="BT26" s="340" t="s">
        <v>1198</v>
      </c>
      <c r="BU26" s="329" t="str">
        <f>FIXED(IF(TABLERO!$F$17&lt;&gt;"KVA",(TABLERO!BI25+TABLERO!BP25)*1000,(TABLERO!BI25+TABLERO!BP25)*1000/TABLERO!$F$14),2)&amp;IF(TABLERO!$F$17="KVA"," VA"," W")</f>
        <v>0.00 W</v>
      </c>
      <c r="BV26" s="330" t="str">
        <f>"x "&amp;CONCATENATE(FIXED(TABLERO!M16,2)," =")</f>
        <v>x 1.00 =</v>
      </c>
      <c r="BW26" s="331" t="str">
        <f>FIXED(IF(TABLERO!$F$17&lt;&gt;"KVA",(TABLERO!BI27+TABLERO!BP27)*1000,(TABLERO!BI27+TABLERO!BP27)*1000/TABLERO!$F$14),2)&amp;IF(TABLERO!$F$17="KVA"," VA"," W")</f>
        <v>0.00 W</v>
      </c>
      <c r="BX26" s="1078" t="s">
        <v>1341</v>
      </c>
      <c r="BY26" s="1079"/>
      <c r="BZ26" s="1080"/>
      <c r="CA26" s="978"/>
      <c r="CB26" s="1069"/>
      <c r="CC26" s="1034"/>
      <c r="CD26" s="1034"/>
      <c r="CE26" s="1034"/>
      <c r="CF26" s="1034"/>
      <c r="CG26" s="1035"/>
      <c r="CH26" s="489">
        <f>MAX(CH31:CH115)</f>
        <v>0</v>
      </c>
      <c r="CI26" s="1015"/>
      <c r="CJ26" s="1016"/>
      <c r="CK26" s="1029"/>
      <c r="CL26" s="553"/>
      <c r="CM26" s="553"/>
      <c r="CN26" s="553"/>
      <c r="CO26" s="555"/>
      <c r="CP26" s="555"/>
      <c r="CQ26" s="555"/>
      <c r="CR26" s="835" t="s">
        <v>1898</v>
      </c>
      <c r="CS26" s="545"/>
      <c r="CT26" s="545"/>
      <c r="CU26" s="545"/>
      <c r="CV26" s="547"/>
      <c r="CW26" s="547"/>
      <c r="CX26" s="556"/>
      <c r="CY26" s="545"/>
      <c r="CZ26" s="545"/>
      <c r="DA26" s="545"/>
      <c r="DB26" s="545"/>
      <c r="DC26" s="1028"/>
      <c r="DD26" s="1027"/>
      <c r="DE26" s="545" t="s">
        <v>23</v>
      </c>
      <c r="DF26" s="545" t="s">
        <v>1342</v>
      </c>
      <c r="DG26" s="545" t="s">
        <v>1342</v>
      </c>
      <c r="DH26" s="545" t="s">
        <v>409</v>
      </c>
      <c r="DI26" s="545" t="s">
        <v>1342</v>
      </c>
      <c r="DJ26" s="545" t="s">
        <v>1342</v>
      </c>
      <c r="DK26" s="546" t="s">
        <v>409</v>
      </c>
      <c r="DL26" s="547" t="s">
        <v>1343</v>
      </c>
      <c r="DM26" s="547" t="s">
        <v>1344</v>
      </c>
      <c r="DN26" s="545" t="s">
        <v>7</v>
      </c>
      <c r="DO26" s="541"/>
      <c r="DP26" s="541"/>
      <c r="DQ26" s="541"/>
      <c r="DR26" s="541"/>
      <c r="DS26" s="545" t="s">
        <v>1878</v>
      </c>
      <c r="DT26" s="545" t="s">
        <v>1880</v>
      </c>
      <c r="DU26" s="552" t="s">
        <v>1880</v>
      </c>
      <c r="DV26" s="545" t="s">
        <v>7</v>
      </c>
      <c r="DW26" s="541"/>
      <c r="DX26" s="541"/>
      <c r="DY26" s="541"/>
      <c r="DZ26" s="541"/>
      <c r="EA26" s="545" t="s">
        <v>1878</v>
      </c>
      <c r="EB26" s="545" t="s">
        <v>1880</v>
      </c>
      <c r="EC26" s="546" t="s">
        <v>1880</v>
      </c>
      <c r="ED26" s="557" t="s">
        <v>1345</v>
      </c>
      <c r="EE26" s="552"/>
      <c r="EF26" s="557" t="s">
        <v>1346</v>
      </c>
      <c r="EG26" s="555"/>
      <c r="EH26" s="554" t="s">
        <v>1194</v>
      </c>
      <c r="EI26" s="558" t="s">
        <v>1347</v>
      </c>
      <c r="EJ26" s="1041"/>
      <c r="EK26" s="1042"/>
      <c r="EL26" s="1042"/>
      <c r="EM26" s="1043"/>
      <c r="EN26" s="559" t="s">
        <v>1348</v>
      </c>
      <c r="EO26" s="550" t="s">
        <v>1349</v>
      </c>
      <c r="EP26" s="1024"/>
      <c r="EQ26" s="1024"/>
      <c r="ER26" s="1013"/>
      <c r="ES26" s="1013"/>
      <c r="FM26" s="49" t="s">
        <v>1350</v>
      </c>
      <c r="FO26" s="146"/>
      <c r="FP26" s="146"/>
      <c r="FQ26" s="146"/>
      <c r="FR26" s="146"/>
      <c r="FS26" s="146"/>
      <c r="FT26" s="146"/>
      <c r="FU26" s="146"/>
      <c r="FV26" s="146"/>
      <c r="FW26" s="146"/>
      <c r="FX26" s="146"/>
      <c r="FY26" s="736"/>
      <c r="FZ26" s="736"/>
      <c r="GA26" s="736"/>
      <c r="GB26" s="49" t="str">
        <f>CUADROACAD!CU26</f>
        <v>CIRCUITO++++++++++++++++++++++++++++++++21</v>
      </c>
      <c r="GC26" s="146"/>
      <c r="GD26" s="736"/>
      <c r="GE26" s="146"/>
      <c r="GF26" s="506"/>
      <c r="GG26" s="506"/>
      <c r="GH26" s="506"/>
      <c r="GI26" s="506"/>
      <c r="GJ26" s="506"/>
    </row>
    <row r="27" spans="1:198" s="3" customFormat="1" ht="12.75" customHeight="1" thickBot="1">
      <c r="A27" s="1036">
        <v>1</v>
      </c>
      <c r="B27" s="974"/>
      <c r="C27" s="975"/>
      <c r="D27" s="976"/>
      <c r="E27" s="1070"/>
      <c r="F27" s="369"/>
      <c r="G27" s="369"/>
      <c r="H27" s="1006"/>
      <c r="I27" s="369" t="s">
        <v>1351</v>
      </c>
      <c r="J27" s="165" t="s">
        <v>1876</v>
      </c>
      <c r="K27" s="165" t="s">
        <v>1352</v>
      </c>
      <c r="L27" s="165" t="s">
        <v>1353</v>
      </c>
      <c r="M27" s="165" t="s">
        <v>1354</v>
      </c>
      <c r="N27" s="165" t="s">
        <v>1355</v>
      </c>
      <c r="O27" s="165" t="s">
        <v>1356</v>
      </c>
      <c r="P27" s="55" t="s">
        <v>1357</v>
      </c>
      <c r="Q27" s="55" t="s">
        <v>1352</v>
      </c>
      <c r="R27" s="55" t="s">
        <v>1353</v>
      </c>
      <c r="S27" s="55" t="s">
        <v>1354</v>
      </c>
      <c r="T27" s="55" t="s">
        <v>1355</v>
      </c>
      <c r="U27" s="55" t="s">
        <v>1356</v>
      </c>
      <c r="V27" s="369" t="s">
        <v>1358</v>
      </c>
      <c r="W27" s="359" t="s">
        <v>1359</v>
      </c>
      <c r="X27" s="741"/>
      <c r="Y27" s="741"/>
      <c r="Z27" s="360"/>
      <c r="AA27" s="360"/>
      <c r="AB27" s="360"/>
      <c r="AC27" s="360"/>
      <c r="AD27" s="360"/>
      <c r="AE27" s="360"/>
      <c r="AF27" s="360"/>
      <c r="AG27" s="360"/>
      <c r="AH27" s="360"/>
      <c r="AI27" s="360"/>
      <c r="AJ27" s="360"/>
      <c r="AK27" s="360"/>
      <c r="AL27" s="360"/>
      <c r="AM27" s="360"/>
      <c r="AN27" s="360"/>
      <c r="AO27" s="360"/>
      <c r="AP27" s="360"/>
      <c r="AQ27" s="360"/>
      <c r="AR27" s="360"/>
      <c r="AS27" s="360"/>
      <c r="AT27" s="360"/>
      <c r="AU27" s="360"/>
      <c r="AV27" s="360"/>
      <c r="AW27" s="360"/>
      <c r="AX27" s="360"/>
      <c r="AY27" s="360"/>
      <c r="AZ27" s="360"/>
      <c r="BA27" s="360"/>
      <c r="BB27" s="71" t="s">
        <v>1360</v>
      </c>
      <c r="BC27" s="385">
        <f t="shared" ref="BC27:BP27" si="8">BC26*BC25</f>
        <v>0</v>
      </c>
      <c r="BD27" s="385">
        <f t="shared" si="8"/>
        <v>0</v>
      </c>
      <c r="BE27" s="385">
        <f t="shared" si="8"/>
        <v>0</v>
      </c>
      <c r="BF27" s="385">
        <f t="shared" si="8"/>
        <v>0</v>
      </c>
      <c r="BG27" s="385">
        <f t="shared" si="8"/>
        <v>0</v>
      </c>
      <c r="BH27" s="385">
        <f t="shared" si="8"/>
        <v>0</v>
      </c>
      <c r="BI27" s="386">
        <f t="shared" si="8"/>
        <v>0</v>
      </c>
      <c r="BJ27" s="409">
        <f t="shared" si="8"/>
        <v>0</v>
      </c>
      <c r="BK27" s="409">
        <f t="shared" si="8"/>
        <v>0</v>
      </c>
      <c r="BL27" s="409">
        <f t="shared" si="8"/>
        <v>0</v>
      </c>
      <c r="BM27" s="409">
        <f t="shared" si="8"/>
        <v>0</v>
      </c>
      <c r="BN27" s="409">
        <f t="shared" si="8"/>
        <v>0</v>
      </c>
      <c r="BO27" s="409">
        <f t="shared" si="8"/>
        <v>0</v>
      </c>
      <c r="BP27" s="410">
        <f t="shared" si="8"/>
        <v>0</v>
      </c>
      <c r="BQ27" s="53"/>
      <c r="BR27" s="54" t="s">
        <v>1361</v>
      </c>
      <c r="BS27" s="54"/>
      <c r="BT27" s="339" t="s">
        <v>1194</v>
      </c>
      <c r="BU27" s="332" t="str">
        <f>FIXED(IF(TABLERO!$F$17&lt;&gt;"KVA",(TABLERO!BG25+TABLERO!BN25)*1000,(TABLERO!BG25+TABLERO!BN25)*1000/TABLERO!$F$14),2)&amp;IF(TABLERO!$F$17="KVA"," VA"," W")</f>
        <v>0.00 W</v>
      </c>
      <c r="BV27" s="333" t="str">
        <f>"x "&amp;CONCATENATE(FIXED(TABLERO!M14,2)," =")</f>
        <v>x 1.00 =</v>
      </c>
      <c r="BW27" s="331" t="str">
        <f>FIXED(IF(TABLERO!$F$17&lt;&gt;"KVA",(TABLERO!BG27+TABLERO!BN27)*1000,(TABLERO!BG27+TABLERO!BN27)*1000/TABLERO!$F$14),2)&amp;IF(TABLERO!$F$17="KVA"," VA"," W")</f>
        <v>0.00 W</v>
      </c>
      <c r="BX27" s="55" t="s">
        <v>1362</v>
      </c>
      <c r="BY27" s="54" t="s">
        <v>872</v>
      </c>
      <c r="BZ27" s="55" t="s">
        <v>1353</v>
      </c>
      <c r="CA27" s="55" t="s">
        <v>1337</v>
      </c>
      <c r="CB27" s="55"/>
      <c r="CC27" s="55" t="s">
        <v>1362</v>
      </c>
      <c r="CD27" s="55" t="s">
        <v>872</v>
      </c>
      <c r="CE27" s="55" t="s">
        <v>1353</v>
      </c>
      <c r="CF27" s="55" t="s">
        <v>1337</v>
      </c>
      <c r="CG27" s="55"/>
      <c r="CH27" s="54" t="s">
        <v>1363</v>
      </c>
      <c r="CI27" s="228">
        <f>CK25-CI29</f>
        <v>0</v>
      </c>
      <c r="CJ27" s="229" t="str">
        <f>IF(CJ29=0,"",CK25-CJ29)</f>
        <v/>
      </c>
      <c r="CK27" s="230" t="str">
        <f>IF(CK29=0,"",CK25-CK29)</f>
        <v/>
      </c>
      <c r="CL27" s="560"/>
      <c r="CM27" s="560"/>
      <c r="CN27" s="560"/>
      <c r="CO27" s="555"/>
      <c r="CP27" s="555"/>
      <c r="CQ27" s="555"/>
      <c r="CR27" s="552" t="s">
        <v>1361</v>
      </c>
      <c r="CS27" s="545" t="s">
        <v>1364</v>
      </c>
      <c r="CT27" s="545" t="s">
        <v>1365</v>
      </c>
      <c r="CU27" s="545" t="s">
        <v>1366</v>
      </c>
      <c r="CV27" s="547" t="s">
        <v>1367</v>
      </c>
      <c r="CW27" s="547" t="s">
        <v>23</v>
      </c>
      <c r="CX27" s="556" t="s">
        <v>451</v>
      </c>
      <c r="CY27" s="545" t="s">
        <v>1368</v>
      </c>
      <c r="CZ27" s="545" t="s">
        <v>1369</v>
      </c>
      <c r="DA27" s="545" t="s">
        <v>1370</v>
      </c>
      <c r="DB27" s="545"/>
      <c r="DC27" s="546" t="s">
        <v>408</v>
      </c>
      <c r="DD27" s="552" t="s">
        <v>23</v>
      </c>
      <c r="DE27" s="545" t="s">
        <v>1371</v>
      </c>
      <c r="DF27" s="545" t="s">
        <v>1372</v>
      </c>
      <c r="DG27" s="545" t="s">
        <v>1372</v>
      </c>
      <c r="DH27" s="545" t="s">
        <v>1373</v>
      </c>
      <c r="DI27" s="545" t="s">
        <v>1372</v>
      </c>
      <c r="DJ27" s="545" t="s">
        <v>1372</v>
      </c>
      <c r="DK27" s="546" t="s">
        <v>1373</v>
      </c>
      <c r="DL27" s="547" t="s">
        <v>1298</v>
      </c>
      <c r="DM27" s="547" t="s">
        <v>1374</v>
      </c>
      <c r="DN27" s="545" t="s">
        <v>1342</v>
      </c>
      <c r="DO27" s="545"/>
      <c r="DP27" s="545"/>
      <c r="DQ27" s="545" t="s">
        <v>1375</v>
      </c>
      <c r="DR27" s="545" t="s">
        <v>1877</v>
      </c>
      <c r="DS27" s="545" t="s">
        <v>1373</v>
      </c>
      <c r="DT27" s="545" t="s">
        <v>7</v>
      </c>
      <c r="DU27" s="552" t="s">
        <v>1376</v>
      </c>
      <c r="DV27" s="545" t="s">
        <v>1342</v>
      </c>
      <c r="DW27" s="545"/>
      <c r="DX27" s="545"/>
      <c r="DY27" s="545" t="s">
        <v>1375</v>
      </c>
      <c r="DZ27" s="545" t="s">
        <v>1877</v>
      </c>
      <c r="EA27" s="545" t="s">
        <v>1373</v>
      </c>
      <c r="EB27" s="545" t="s">
        <v>7</v>
      </c>
      <c r="EC27" s="546" t="s">
        <v>1376</v>
      </c>
      <c r="ED27" s="546"/>
      <c r="EE27" s="552"/>
      <c r="EF27" s="546" t="s">
        <v>1377</v>
      </c>
      <c r="EG27" s="555"/>
      <c r="EH27" s="554"/>
      <c r="EI27" s="558"/>
      <c r="EJ27" s="1041"/>
      <c r="EK27" s="1042"/>
      <c r="EL27" s="1042"/>
      <c r="EM27" s="1043"/>
      <c r="EN27" s="561" t="s">
        <v>22</v>
      </c>
      <c r="EO27" s="550" t="s">
        <v>1378</v>
      </c>
      <c r="EP27" s="1024"/>
      <c r="EQ27" s="1024"/>
      <c r="ER27" s="1013"/>
      <c r="ES27" s="1013"/>
      <c r="FM27" s="49" t="s">
        <v>1379</v>
      </c>
      <c r="FO27" s="146"/>
      <c r="FP27" s="146"/>
      <c r="FQ27" s="146"/>
      <c r="FR27" s="146"/>
      <c r="FS27" s="146"/>
      <c r="FT27" s="146"/>
      <c r="FU27" s="146"/>
      <c r="FV27" s="146"/>
      <c r="FW27" s="146"/>
      <c r="FX27" s="146"/>
      <c r="FY27" s="736"/>
      <c r="FZ27" s="736"/>
      <c r="GA27" s="736"/>
      <c r="GB27" s="49" t="str">
        <f>CUADROACAD!CU27</f>
        <v>++++++++++++++++++++++++++++++++22</v>
      </c>
      <c r="GC27" s="146"/>
      <c r="GD27" s="736"/>
      <c r="GE27" s="146"/>
      <c r="GF27" s="506"/>
      <c r="GG27" s="506"/>
      <c r="GH27" s="506"/>
      <c r="GI27" s="506"/>
      <c r="GJ27" s="506"/>
    </row>
    <row r="28" spans="1:198" s="3" customFormat="1" ht="13.5" customHeight="1" thickBot="1">
      <c r="A28" s="1037"/>
      <c r="B28" s="1084"/>
      <c r="C28" s="1085"/>
      <c r="D28" s="1086"/>
      <c r="E28" s="374"/>
      <c r="F28" s="372"/>
      <c r="G28" s="372"/>
      <c r="H28" s="1006"/>
      <c r="I28" s="369" t="s">
        <v>1380</v>
      </c>
      <c r="J28" s="165" t="s">
        <v>1381</v>
      </c>
      <c r="K28" s="165"/>
      <c r="L28" s="165" t="s">
        <v>1382</v>
      </c>
      <c r="M28" s="165" t="s">
        <v>1383</v>
      </c>
      <c r="N28" s="165" t="s">
        <v>1384</v>
      </c>
      <c r="O28" s="165" t="s">
        <v>1383</v>
      </c>
      <c r="P28" s="55" t="s">
        <v>1381</v>
      </c>
      <c r="Q28" s="55"/>
      <c r="R28" s="55" t="s">
        <v>1382</v>
      </c>
      <c r="S28" s="55" t="s">
        <v>1383</v>
      </c>
      <c r="T28" s="55" t="s">
        <v>1384</v>
      </c>
      <c r="U28" s="55" t="s">
        <v>1383</v>
      </c>
      <c r="V28" s="369" t="s">
        <v>1383</v>
      </c>
      <c r="W28" s="1076" t="s">
        <v>1385</v>
      </c>
      <c r="X28" s="263"/>
      <c r="Y28" s="263"/>
      <c r="Z28" s="263"/>
      <c r="AA28" s="263"/>
      <c r="AB28" s="263"/>
      <c r="AC28" s="263"/>
      <c r="AD28" s="263"/>
      <c r="AE28" s="263"/>
      <c r="AF28" s="263"/>
      <c r="AG28" s="263"/>
      <c r="AH28" s="263"/>
      <c r="AI28" s="263"/>
      <c r="AJ28" s="263"/>
      <c r="AK28" s="263"/>
      <c r="AL28" s="263"/>
      <c r="AM28" s="263"/>
      <c r="AN28" s="263"/>
      <c r="AO28" s="263"/>
      <c r="AP28" s="263"/>
      <c r="AQ28" s="263"/>
      <c r="AR28" s="263"/>
      <c r="AS28" s="263"/>
      <c r="AT28" s="263"/>
      <c r="AU28" s="263"/>
      <c r="AV28" s="263"/>
      <c r="AW28" s="263"/>
      <c r="AX28" s="263"/>
      <c r="AY28" s="263"/>
      <c r="AZ28" s="263"/>
      <c r="BA28" s="263"/>
      <c r="BB28" s="55" t="s">
        <v>1386</v>
      </c>
      <c r="BC28" s="387"/>
      <c r="BD28" s="378"/>
      <c r="BE28" s="388" t="s">
        <v>1387</v>
      </c>
      <c r="BF28" s="389">
        <f>SUM(BC27:BI27)*DATOS!M18</f>
        <v>0</v>
      </c>
      <c r="BG28" s="378" t="s">
        <v>1388</v>
      </c>
      <c r="BH28" s="378"/>
      <c r="BI28" s="390">
        <f>SUM(BC27:BE27)+SUM(BH27:BI27)-EI116</f>
        <v>-30</v>
      </c>
      <c r="BJ28" s="409"/>
      <c r="BK28" s="398"/>
      <c r="BL28" s="411" t="s">
        <v>1389</v>
      </c>
      <c r="BM28" s="398">
        <f>SUM(BJ27:BP27)*DATOS!M18</f>
        <v>0</v>
      </c>
      <c r="BN28" s="398" t="s">
        <v>1390</v>
      </c>
      <c r="BO28" s="398"/>
      <c r="BP28" s="412">
        <f>SUM(BJ27:BL27)+SUM(BO27:BP27)-EJ116</f>
        <v>0</v>
      </c>
      <c r="BQ28" s="53" t="s">
        <v>1361</v>
      </c>
      <c r="BR28" s="54" t="s">
        <v>1328</v>
      </c>
      <c r="BS28" s="54"/>
      <c r="BT28" s="341" t="s">
        <v>1315</v>
      </c>
      <c r="BU28" s="334" t="str">
        <f>FIXED(IF(TABLERO!$F$17&lt;&gt;"KVA",(TABLERO!BH25+TABLERO!BO25)*1000,(TABLERO!BH25+TABLERO!BO25)*1000/TABLERO!$F$14),2)&amp;IF(TABLERO!$F$17="KVA"," VA"," W")</f>
        <v>0.00 W</v>
      </c>
      <c r="BV28" s="335" t="str">
        <f>"x "&amp;CONCATENATE(FIXED(TABLERO!M15,2)," =")</f>
        <v>x 1.00 =</v>
      </c>
      <c r="BW28" s="336" t="str">
        <f>FIXED(IF(TABLERO!$F$17&lt;&gt;"KVA",(TABLERO!BH27+TABLERO!BO27)*1000,(TABLERO!BH27+TABLERO!BO27)*1000/TABLERO!$F$14),2)&amp;IF(TABLERO!$F$17="KVA"," VA"," W")</f>
        <v>0.00 W</v>
      </c>
      <c r="BX28" s="55" t="s">
        <v>1391</v>
      </c>
      <c r="BY28" s="54" t="s">
        <v>12</v>
      </c>
      <c r="BZ28" s="55" t="s">
        <v>1383</v>
      </c>
      <c r="CA28" s="55" t="s">
        <v>1383</v>
      </c>
      <c r="CB28" s="55"/>
      <c r="CC28" s="55" t="s">
        <v>1391</v>
      </c>
      <c r="CD28" s="55" t="s">
        <v>1392</v>
      </c>
      <c r="CE28" s="55" t="s">
        <v>1383</v>
      </c>
      <c r="CF28" s="55" t="s">
        <v>1383</v>
      </c>
      <c r="CG28" s="55"/>
      <c r="CH28" s="54" t="s">
        <v>1393</v>
      </c>
      <c r="CI28" s="80" t="s">
        <v>1394</v>
      </c>
      <c r="CJ28" s="80" t="s">
        <v>1395</v>
      </c>
      <c r="CK28" s="80" t="s">
        <v>1396</v>
      </c>
      <c r="CL28" s="1028" t="s">
        <v>1397</v>
      </c>
      <c r="CM28" s="1071"/>
      <c r="CN28" s="1071"/>
      <c r="CO28" s="555"/>
      <c r="CP28" s="555" t="s">
        <v>1398</v>
      </c>
      <c r="CQ28" s="555"/>
      <c r="CR28" s="552" t="s">
        <v>1399</v>
      </c>
      <c r="CS28" s="545"/>
      <c r="CT28" s="545"/>
      <c r="CU28" s="545"/>
      <c r="CV28" s="547" t="s">
        <v>1373</v>
      </c>
      <c r="CW28" s="547" t="s">
        <v>1400</v>
      </c>
      <c r="CX28" s="556" t="s">
        <v>1401</v>
      </c>
      <c r="CY28" s="545"/>
      <c r="CZ28" s="545"/>
      <c r="DA28" s="545"/>
      <c r="DB28" s="545"/>
      <c r="DC28" s="546" t="s">
        <v>1402</v>
      </c>
      <c r="DD28" s="552" t="s">
        <v>1403</v>
      </c>
      <c r="DE28" s="545" t="s">
        <v>454</v>
      </c>
      <c r="DF28" s="545" t="s">
        <v>1404</v>
      </c>
      <c r="DG28" s="545" t="s">
        <v>1404</v>
      </c>
      <c r="DH28" s="545" t="s">
        <v>23</v>
      </c>
      <c r="DI28" s="545" t="s">
        <v>1404</v>
      </c>
      <c r="DJ28" s="545" t="s">
        <v>1404</v>
      </c>
      <c r="DK28" s="546" t="s">
        <v>23</v>
      </c>
      <c r="DL28" s="547"/>
      <c r="DM28" s="547" t="s">
        <v>1405</v>
      </c>
      <c r="DN28" s="545" t="s">
        <v>1331</v>
      </c>
      <c r="DO28" s="545" t="s">
        <v>1406</v>
      </c>
      <c r="DP28" s="545" t="s">
        <v>1407</v>
      </c>
      <c r="DQ28" s="545" t="s">
        <v>1408</v>
      </c>
      <c r="DR28" s="545" t="s">
        <v>1408</v>
      </c>
      <c r="DS28" s="545" t="s">
        <v>1879</v>
      </c>
      <c r="DT28" s="545" t="s">
        <v>1373</v>
      </c>
      <c r="DU28" s="552" t="s">
        <v>1881</v>
      </c>
      <c r="DV28" s="545" t="s">
        <v>1827</v>
      </c>
      <c r="DW28" s="545" t="s">
        <v>1406</v>
      </c>
      <c r="DX28" s="545" t="s">
        <v>1407</v>
      </c>
      <c r="DY28" s="545" t="s">
        <v>1408</v>
      </c>
      <c r="DZ28" s="545" t="s">
        <v>1408</v>
      </c>
      <c r="EA28" s="545" t="s">
        <v>1879</v>
      </c>
      <c r="EB28" s="545" t="s">
        <v>1373</v>
      </c>
      <c r="EC28" s="546" t="s">
        <v>1881</v>
      </c>
      <c r="ED28" s="546"/>
      <c r="EE28" s="552"/>
      <c r="EF28" s="546"/>
      <c r="EG28" s="555"/>
      <c r="EH28" s="554"/>
      <c r="EI28" s="558"/>
      <c r="EJ28" s="1041"/>
      <c r="EK28" s="1042"/>
      <c r="EL28" s="1042"/>
      <c r="EM28" s="1043"/>
      <c r="EN28" s="559"/>
      <c r="EO28" s="550" t="s">
        <v>1409</v>
      </c>
      <c r="EP28" s="1024"/>
      <c r="EQ28" s="1024"/>
      <c r="ER28" s="1013"/>
      <c r="ES28" s="1013"/>
      <c r="FK28" s="3" t="s">
        <v>1297</v>
      </c>
      <c r="FL28" s="3" t="s">
        <v>1410</v>
      </c>
      <c r="FM28" s="49" t="s">
        <v>1411</v>
      </c>
      <c r="FN28" s="146"/>
      <c r="FO28" s="146"/>
      <c r="FP28" s="146"/>
      <c r="FQ28" s="146"/>
      <c r="FR28" s="146"/>
      <c r="FS28" s="146"/>
      <c r="FT28" s="146"/>
      <c r="FU28" s="146"/>
      <c r="FV28" s="146"/>
      <c r="FW28" s="146"/>
      <c r="FX28" s="146">
        <f>IF(FY28=GA28,"",1)</f>
        <v>1</v>
      </c>
      <c r="FY28" s="736"/>
      <c r="FZ28" s="736"/>
      <c r="GA28" s="736" t="str">
        <f>"+++++++++++++++++++++++++++"&amp;TABLERO!A25&amp;"+"&amp;IF(TABLERO!$F$17&lt;&gt;"KVA","KW","KVA")&amp;"+"&amp;COUNTIF(X116:BA116,"&gt;0")&amp;"+TIPO"</f>
        <v>+++++++++++++++++++++++++++1+KW+0+TIPO</v>
      </c>
      <c r="GB28" s="49" t="str">
        <f>CUADROACAD!CU28</f>
        <v>++++++++++++++++++++++++++++++++21</v>
      </c>
      <c r="GC28" s="146"/>
      <c r="GD28" s="736"/>
      <c r="GE28" s="146"/>
      <c r="GF28" s="506"/>
      <c r="GG28" s="506"/>
      <c r="GH28" s="506"/>
      <c r="GI28" s="506"/>
      <c r="GJ28" s="506"/>
    </row>
    <row r="29" spans="1:198" s="3" customFormat="1" ht="13.8" thickBot="1">
      <c r="A29" s="46" t="s">
        <v>1412</v>
      </c>
      <c r="B29" s="1081" t="s">
        <v>1413</v>
      </c>
      <c r="C29" s="1082"/>
      <c r="D29" s="1083"/>
      <c r="E29" s="375" t="s">
        <v>1414</v>
      </c>
      <c r="F29" s="358" t="s">
        <v>1415</v>
      </c>
      <c r="G29" s="358" t="s">
        <v>1416</v>
      </c>
      <c r="H29" s="1007"/>
      <c r="I29" s="370" t="s">
        <v>1417</v>
      </c>
      <c r="J29" s="166" t="s">
        <v>1418</v>
      </c>
      <c r="K29" s="166" t="s">
        <v>1419</v>
      </c>
      <c r="L29" s="166" t="s">
        <v>1420</v>
      </c>
      <c r="M29" s="166" t="s">
        <v>1421</v>
      </c>
      <c r="N29" s="166" t="s">
        <v>1422</v>
      </c>
      <c r="O29" s="166" t="s">
        <v>1423</v>
      </c>
      <c r="P29" s="69" t="s">
        <v>1418</v>
      </c>
      <c r="Q29" s="69" t="s">
        <v>1419</v>
      </c>
      <c r="R29" s="69" t="s">
        <v>1420</v>
      </c>
      <c r="S29" s="70" t="s">
        <v>1421</v>
      </c>
      <c r="T29" s="69" t="s">
        <v>1422</v>
      </c>
      <c r="U29" s="69" t="s">
        <v>1423</v>
      </c>
      <c r="V29" s="370" t="s">
        <v>1424</v>
      </c>
      <c r="W29" s="1077"/>
      <c r="X29" s="56" cm="1">
        <f t="array" ref="X29">[1]!ACAELE_CARGA_CIRCUITO(X$23,X$24,X$25,X$26,$P$5)</f>
        <v>0</v>
      </c>
      <c r="Y29" s="56" cm="1">
        <f t="array" ref="Y29">[1]!ACAELE_CARGA_CIRCUITO(Y$23,Y$24,Y$25,Y$26,$P$5)</f>
        <v>0</v>
      </c>
      <c r="Z29" s="56" cm="1">
        <f t="array" ref="Z29">[1]!ACAELE_CARGA_CIRCUITO(Z$23,Z$24,Z$25,Z$26,$P$5)</f>
        <v>0</v>
      </c>
      <c r="AA29" s="56" cm="1">
        <f t="array" ref="AA29">[1]!ACAELE_CARGA_CIRCUITO(AA$23,AA$24,AA$25,AA$26,$P$5)</f>
        <v>0</v>
      </c>
      <c r="AB29" s="56" cm="1">
        <f t="array" ref="AB29">[1]!ACAELE_CARGA_CIRCUITO(AB$23,AB$24,AB$25,AB$26,$P$5)</f>
        <v>0</v>
      </c>
      <c r="AC29" s="56" cm="1">
        <f t="array" ref="AC29">[1]!ACAELE_CARGA_CIRCUITO(AC$23,AC$24,AC$25,AC$26,$P$5)</f>
        <v>0</v>
      </c>
      <c r="AD29" s="56" cm="1">
        <f t="array" ref="AD29">[1]!ACAELE_CARGA_CIRCUITO(AD$23,AD$24,AD$25,AD$26,$P$5)</f>
        <v>0</v>
      </c>
      <c r="AE29" s="56" cm="1">
        <f t="array" ref="AE29">[1]!ACAELE_CARGA_CIRCUITO(AE$23,AE$24,AE$25,AE$26,$P$5)</f>
        <v>0</v>
      </c>
      <c r="AF29" s="56" cm="1">
        <f t="array" ref="AF29">[1]!ACAELE_CARGA_CIRCUITO(AF$23,AF$24,AF$25,AF$26,$P$5)</f>
        <v>0</v>
      </c>
      <c r="AG29" s="56" cm="1">
        <f t="array" ref="AG29">[1]!ACAELE_CARGA_CIRCUITO(AG$23,AG$24,AG$25,AG$26,$P$5)</f>
        <v>0</v>
      </c>
      <c r="AH29" s="56" cm="1">
        <f t="array" ref="AH29">[1]!ACAELE_CARGA_CIRCUITO(AH$23,AH$24,AH$25,AH$26,$P$5)</f>
        <v>0</v>
      </c>
      <c r="AI29" s="56" cm="1">
        <f t="array" ref="AI29">[1]!ACAELE_CARGA_CIRCUITO(AI$23,AI$24,AI$25,AI$26,$P$5)</f>
        <v>0</v>
      </c>
      <c r="AJ29" s="56" cm="1">
        <f t="array" ref="AJ29">[1]!ACAELE_CARGA_CIRCUITO(AJ$23,AJ$24,AJ$25,AJ$26,$P$5)</f>
        <v>0</v>
      </c>
      <c r="AK29" s="56" cm="1">
        <f t="array" ref="AK29">[1]!ACAELE_CARGA_CIRCUITO(AK$23,AK$24,AK$25,AK$26,$P$5)</f>
        <v>0</v>
      </c>
      <c r="AL29" s="56" cm="1">
        <f t="array" ref="AL29">[1]!ACAELE_CARGA_CIRCUITO(AL$23,AL$24,AL$25,AL$26,$P$5)</f>
        <v>0</v>
      </c>
      <c r="AM29" s="56" cm="1">
        <f t="array" ref="AM29">[1]!ACAELE_CARGA_CIRCUITO(AM$23,AM$24,AM$25,AM$26,$P$5)</f>
        <v>0</v>
      </c>
      <c r="AN29" s="56" cm="1">
        <f t="array" ref="AN29">[1]!ACAELE_CARGA_CIRCUITO(AN$23,AN$24,AN$25,AN$26,$P$5)</f>
        <v>0</v>
      </c>
      <c r="AO29" s="56" cm="1">
        <f t="array" ref="AO29">[1]!ACAELE_CARGA_CIRCUITO(AO$23,AO$24,AO$25,AO$26,$P$5)</f>
        <v>0</v>
      </c>
      <c r="AP29" s="56" cm="1">
        <f t="array" ref="AP29">[1]!ACAELE_CARGA_CIRCUITO(AP$23,AP$24,AP$25,AP$26,$P$5)</f>
        <v>0</v>
      </c>
      <c r="AQ29" s="56" cm="1">
        <f t="array" ref="AQ29">[1]!ACAELE_CARGA_CIRCUITO(AQ$23,AQ$24,AQ$25,AQ$26,$P$5)</f>
        <v>0</v>
      </c>
      <c r="AR29" s="56" cm="1">
        <f t="array" ref="AR29">[1]!ACAELE_CARGA_CIRCUITO(AR$23,AR$24,AR$25,AR$26,$P$5)</f>
        <v>0</v>
      </c>
      <c r="AS29" s="56" cm="1">
        <f t="array" ref="AS29">[1]!ACAELE_CARGA_CIRCUITO(AS$23,AS$24,AS$25,AS$26,$P$5)</f>
        <v>0</v>
      </c>
      <c r="AT29" s="56" cm="1">
        <f t="array" ref="AT29">[1]!ACAELE_CARGA_CIRCUITO(AT$23,AT$24,AT$25,AT$26,$P$5)</f>
        <v>0</v>
      </c>
      <c r="AU29" s="56" cm="1">
        <f t="array" ref="AU29">[1]!ACAELE_CARGA_CIRCUITO(AU$23,AU$24,AU$25,AU$26,$P$5)</f>
        <v>0</v>
      </c>
      <c r="AV29" s="56" cm="1">
        <f t="array" ref="AV29">[1]!ACAELE_CARGA_CIRCUITO(AV$23,AV$24,AV$25,AV$26,$P$5)</f>
        <v>0</v>
      </c>
      <c r="AW29" s="56" cm="1">
        <f t="array" ref="AW29">[1]!ACAELE_CARGA_CIRCUITO(AW$23,AW$24,AW$25,AW$26,$P$5)</f>
        <v>0</v>
      </c>
      <c r="AX29" s="56" cm="1">
        <f t="array" ref="AX29">[1]!ACAELE_CARGA_CIRCUITO(AX$23,AX$24,AX$25,AX$26,$P$5)</f>
        <v>0</v>
      </c>
      <c r="AY29" s="56" cm="1">
        <f t="array" ref="AY29">[1]!ACAELE_CARGA_CIRCUITO(AY$23,AY$24,AY$25,AY$26,$P$5)</f>
        <v>0</v>
      </c>
      <c r="AZ29" s="56" cm="1">
        <f t="array" ref="AZ29">[1]!ACAELE_CARGA_CIRCUITO(AZ$23,AZ$24,AZ$25,AZ$26,$P$5)</f>
        <v>0</v>
      </c>
      <c r="BA29" s="56" cm="1">
        <f t="array" ref="BA29">[1]!ACAELE_CARGA_CIRCUITO(BA$23,BA$24,BA$25,BA$26,$P$5)</f>
        <v>0</v>
      </c>
      <c r="BB29" s="69" t="str">
        <f>IF(F29&lt;&gt;"KVA","KW","KVA")</f>
        <v>KW</v>
      </c>
      <c r="BC29" s="391"/>
      <c r="BD29" s="392"/>
      <c r="BE29" s="393" t="s">
        <v>1425</v>
      </c>
      <c r="BF29" s="392">
        <f>SUM(BC27:BE27,BG27:BI27)*DATOS!M18</f>
        <v>0</v>
      </c>
      <c r="BG29" s="394"/>
      <c r="BH29" s="392"/>
      <c r="BI29" s="395"/>
      <c r="BJ29" s="413"/>
      <c r="BK29" s="414"/>
      <c r="BL29" s="415" t="s">
        <v>1425</v>
      </c>
      <c r="BM29" s="414">
        <f>SUM(BJ27:BL27,BN27:BP27)*DATOS!M18</f>
        <v>0</v>
      </c>
      <c r="BN29" s="414"/>
      <c r="BO29" s="414"/>
      <c r="BP29" s="416"/>
      <c r="BQ29" s="78" t="s">
        <v>844</v>
      </c>
      <c r="BR29" s="79" t="s">
        <v>844</v>
      </c>
      <c r="BS29" s="79" t="s">
        <v>1426</v>
      </c>
      <c r="BT29" s="116" t="str">
        <f>IF(F29&lt;&gt;"KVA","kW","kVA")</f>
        <v>kW</v>
      </c>
      <c r="BU29" s="153" t="s">
        <v>1427</v>
      </c>
      <c r="BV29" s="116" t="s">
        <v>24</v>
      </c>
      <c r="BW29" s="116" t="s">
        <v>1428</v>
      </c>
      <c r="BX29" s="69" t="s">
        <v>1429</v>
      </c>
      <c r="BY29" s="69" t="s">
        <v>1429</v>
      </c>
      <c r="BZ29" s="69" t="s">
        <v>1888</v>
      </c>
      <c r="CA29" s="69" t="s">
        <v>1430</v>
      </c>
      <c r="CB29" s="69" t="s">
        <v>1421</v>
      </c>
      <c r="CC29" s="69" t="s">
        <v>1431</v>
      </c>
      <c r="CD29" s="69" t="s">
        <v>1431</v>
      </c>
      <c r="CE29" s="69" t="s">
        <v>1889</v>
      </c>
      <c r="CF29" s="69" t="s">
        <v>1430</v>
      </c>
      <c r="CG29" s="69" t="s">
        <v>1421</v>
      </c>
      <c r="CH29" s="79" t="s">
        <v>1432</v>
      </c>
      <c r="CI29" s="490">
        <f>SUM(CI31:CI115)</f>
        <v>0</v>
      </c>
      <c r="CJ29" s="490">
        <f>SUM(CJ31:CJ115)</f>
        <v>0</v>
      </c>
      <c r="CK29" s="490">
        <f>SUM(CK31:CK115)</f>
        <v>0</v>
      </c>
      <c r="CL29" s="562"/>
      <c r="CM29" s="562"/>
      <c r="CN29" s="563">
        <v>45260</v>
      </c>
      <c r="CO29" s="563"/>
      <c r="CP29" s="545"/>
      <c r="CQ29" s="546"/>
      <c r="CR29" s="552" t="s">
        <v>1433</v>
      </c>
      <c r="CS29" s="545"/>
      <c r="CT29" s="564" t="s">
        <v>1429</v>
      </c>
      <c r="CU29" s="564" t="s">
        <v>1434</v>
      </c>
      <c r="CV29" s="565" t="s">
        <v>1361</v>
      </c>
      <c r="CW29" s="565" t="s">
        <v>1435</v>
      </c>
      <c r="CX29" s="566"/>
      <c r="CY29" s="564" t="s">
        <v>12</v>
      </c>
      <c r="CZ29" s="564" t="s">
        <v>12</v>
      </c>
      <c r="DA29" s="545" t="s">
        <v>1436</v>
      </c>
      <c r="DB29" s="545" t="s">
        <v>1437</v>
      </c>
      <c r="DC29" s="567" t="s">
        <v>1438</v>
      </c>
      <c r="DD29" s="568" t="s">
        <v>1439</v>
      </c>
      <c r="DE29" s="564" t="s">
        <v>1440</v>
      </c>
      <c r="DF29" s="564" t="s">
        <v>1429</v>
      </c>
      <c r="DG29" s="564" t="s">
        <v>1429</v>
      </c>
      <c r="DH29" s="564" t="s">
        <v>1429</v>
      </c>
      <c r="DI29" s="564" t="s">
        <v>1434</v>
      </c>
      <c r="DJ29" s="564" t="s">
        <v>1434</v>
      </c>
      <c r="DK29" s="567" t="s">
        <v>1434</v>
      </c>
      <c r="DL29" s="547"/>
      <c r="DM29" s="547" t="s">
        <v>1441</v>
      </c>
      <c r="DN29" s="564"/>
      <c r="DO29" s="564" t="s">
        <v>1442</v>
      </c>
      <c r="DP29" s="564" t="s">
        <v>1442</v>
      </c>
      <c r="DQ29" s="564" t="s">
        <v>1443</v>
      </c>
      <c r="DR29" s="564" t="s">
        <v>1444</v>
      </c>
      <c r="DS29" s="564" t="s">
        <v>1445</v>
      </c>
      <c r="DT29" s="564" t="s">
        <v>8</v>
      </c>
      <c r="DU29" s="568" t="s">
        <v>1446</v>
      </c>
      <c r="DV29" s="564"/>
      <c r="DW29" s="564" t="s">
        <v>1442</v>
      </c>
      <c r="DX29" s="564" t="s">
        <v>1442</v>
      </c>
      <c r="DY29" s="564" t="s">
        <v>1443</v>
      </c>
      <c r="DZ29" s="564" t="s">
        <v>1444</v>
      </c>
      <c r="EA29" s="564" t="s">
        <v>1445</v>
      </c>
      <c r="EB29" s="564" t="s">
        <v>8</v>
      </c>
      <c r="EC29" s="567" t="s">
        <v>1446</v>
      </c>
      <c r="ED29" s="567" t="s">
        <v>1447</v>
      </c>
      <c r="EE29" s="568" t="s">
        <v>1431</v>
      </c>
      <c r="EF29" s="567"/>
      <c r="EG29" s="569"/>
      <c r="EH29" s="554" t="s">
        <v>12</v>
      </c>
      <c r="EI29" s="570"/>
      <c r="EJ29" s="1044"/>
      <c r="EK29" s="1045"/>
      <c r="EL29" s="1045"/>
      <c r="EM29" s="1046"/>
      <c r="EN29" s="571"/>
      <c r="EO29" s="550"/>
      <c r="EP29" s="1025"/>
      <c r="EQ29" s="1025"/>
      <c r="ER29" s="1014"/>
      <c r="ES29" s="1014"/>
      <c r="ET29" s="3" t="s">
        <v>1448</v>
      </c>
      <c r="EU29" s="3" t="s">
        <v>1449</v>
      </c>
      <c r="EV29" s="3" t="s">
        <v>1450</v>
      </c>
      <c r="EW29" s="3" t="s">
        <v>1451</v>
      </c>
      <c r="EX29" s="3" t="s">
        <v>408</v>
      </c>
      <c r="EY29" s="3" t="s">
        <v>1452</v>
      </c>
      <c r="EZ29" s="3" t="s">
        <v>1453</v>
      </c>
      <c r="FA29" s="3" t="s">
        <v>1454</v>
      </c>
      <c r="FB29" s="3" t="s">
        <v>1455</v>
      </c>
      <c r="FC29" s="3" t="s">
        <v>1456</v>
      </c>
      <c r="FD29" s="3" t="s">
        <v>1457</v>
      </c>
      <c r="FE29" s="3" t="s">
        <v>1458</v>
      </c>
      <c r="FF29" s="109" t="s">
        <v>1459</v>
      </c>
      <c r="FG29" s="3" t="s">
        <v>1460</v>
      </c>
      <c r="FH29" s="109" t="s">
        <v>1461</v>
      </c>
      <c r="FI29" s="3" t="s">
        <v>1462</v>
      </c>
      <c r="FJ29" s="109" t="s">
        <v>1463</v>
      </c>
      <c r="FK29" s="3" t="s">
        <v>1464</v>
      </c>
      <c r="FL29" s="3" t="s">
        <v>1465</v>
      </c>
      <c r="FM29" s="49" t="s">
        <v>1466</v>
      </c>
      <c r="FN29" s="146"/>
      <c r="FO29" s="146"/>
      <c r="FP29" s="146"/>
      <c r="FQ29" s="146"/>
      <c r="FR29" s="146"/>
      <c r="FS29" s="146"/>
      <c r="FT29" s="146"/>
      <c r="FU29" s="146"/>
      <c r="FV29" s="146"/>
      <c r="FW29" s="146"/>
      <c r="FX29" s="146" t="e">
        <f t="shared" ref="FX29:FX92" si="9">IF(FY29=GA29,"",1)</f>
        <v>#VALUE!</v>
      </c>
      <c r="FY29" s="736"/>
      <c r="FZ29" s="736"/>
      <c r="GA29" s="738" t="e">
        <f>TABLERO!F6&amp;"+"&amp;IF(TABLERO!$F$10=1,TABLERO!H9,TABLERO!F9&amp;" / "&amp;TABLERO!H9)&amp;",   T. "&amp;F13&amp;" °C,"&amp;"+"&amp;TABLERO!F10&amp;"+"&amp;TABLERO!H10&amp;"+"&amp;TABLERO!M8&amp;"+"&amp;IF(TABLERO!M6=0,"",TABLERO!M6)&amp;"+"&amp;IF(TABLERO!M7=0,"",TABLERO!M7)&amp;"+"&amp;IF(TABLERO!F12&lt;&gt;"Z","INT. PPAL DE: ","ZAPATAS GENERALES    " )&amp;IF(TABLERO!F12="Z","",IF(TABLERO!M18&lt;&gt;"TR",IF(TABLERO!BB116=0,"ESPACIO",IF(TABLERO!$F$12="Z","NO LLEVA",CONCATENATE(FIXED(TABLERO!F116,0),"P-",FIXED(TABLERO!BW116,0)," A",TABLERO!FM116))),IF(TABLERO!BB118=0,"ESPACIO",CONCATENATE(FIXED(TABLERO!F118,0),"P-",FIXED(TABLERO!BW118,0)," A",TABLERO!FM118))))&amp;"+"&amp;TABLERO!GN116&amp;"+"&amp;IF(TABLERO!CK23="",0,FIXED(TABLERO!CK23,2)&amp;" %")&amp;"+"&amp;IF(TABLERO!F7=0,"",TABLERO!F7)&amp;"+"&amp;IF(TABLERO!M18&lt;&gt;"TB",TABLERO!E1,TABLERO!F8)&amp;"+"&amp;IF(TABLERO!F5=0,"",TABLERO!F5)&amp;"+"&amp;IF(TABLERO!R11=0,"",TABLERO!R11)&amp;"+"&amp;IF(TABLERO!R12=0,"",TABLERO!R12)&amp;"+"&amp;IF(TABLERO!R13=0,"",TABLERO!R13)&amp;"+++++++++++++++DATOS1"</f>
        <v>#VALUE!</v>
      </c>
      <c r="GB29" s="49" t="str">
        <f>CUADROACAD!CU29</f>
        <v>+DESCRIPCION +++++++++++++++++++++++++++++++45</v>
      </c>
      <c r="GC29" s="146"/>
      <c r="GD29" s="736" t="s">
        <v>1834</v>
      </c>
      <c r="GE29" s="146"/>
      <c r="GF29" s="506"/>
      <c r="GG29" s="506"/>
      <c r="GH29" s="506"/>
      <c r="GI29" s="506"/>
      <c r="GJ29" s="506"/>
    </row>
    <row r="30" spans="1:198" s="3" customFormat="1">
      <c r="A30" s="447"/>
      <c r="B30" s="448"/>
      <c r="C30" s="488"/>
      <c r="D30" s="488"/>
      <c r="E30" s="449"/>
      <c r="F30" s="450"/>
      <c r="G30" s="451"/>
      <c r="H30" s="448"/>
      <c r="I30" s="452"/>
      <c r="J30" s="453"/>
      <c r="K30" s="454"/>
      <c r="L30" s="454"/>
      <c r="M30" s="454"/>
      <c r="N30" s="454"/>
      <c r="O30" s="455"/>
      <c r="P30" s="456"/>
      <c r="Q30" s="457"/>
      <c r="R30" s="457"/>
      <c r="S30" s="457"/>
      <c r="T30" s="457"/>
      <c r="U30" s="458"/>
      <c r="V30" s="450"/>
      <c r="W30" s="459"/>
      <c r="X30" s="460"/>
      <c r="Y30" s="461"/>
      <c r="Z30" s="461"/>
      <c r="AA30" s="461"/>
      <c r="AB30" s="461"/>
      <c r="AC30" s="461"/>
      <c r="AD30" s="461"/>
      <c r="AE30" s="461"/>
      <c r="AF30" s="461"/>
      <c r="AG30" s="461"/>
      <c r="AH30" s="461"/>
      <c r="AI30" s="461"/>
      <c r="AJ30" s="461"/>
      <c r="AK30" s="461"/>
      <c r="AL30" s="461"/>
      <c r="AM30" s="461"/>
      <c r="AN30" s="461"/>
      <c r="AO30" s="461"/>
      <c r="AP30" s="461"/>
      <c r="AQ30" s="461"/>
      <c r="AR30" s="461"/>
      <c r="AS30" s="461"/>
      <c r="AT30" s="461"/>
      <c r="AU30" s="461"/>
      <c r="AV30" s="461"/>
      <c r="AW30" s="461"/>
      <c r="AX30" s="461"/>
      <c r="AY30" s="461"/>
      <c r="AZ30" s="461"/>
      <c r="BA30" s="462"/>
      <c r="BB30" s="463"/>
      <c r="BC30" s="464"/>
      <c r="BD30" s="465"/>
      <c r="BE30" s="465"/>
      <c r="BF30" s="465"/>
      <c r="BG30" s="465"/>
      <c r="BH30" s="465"/>
      <c r="BI30" s="466"/>
      <c r="BJ30" s="467"/>
      <c r="BK30" s="468"/>
      <c r="BL30" s="468"/>
      <c r="BM30" s="468"/>
      <c r="BN30" s="468"/>
      <c r="BO30" s="468"/>
      <c r="BP30" s="469"/>
      <c r="BQ30" s="470" t="str">
        <f>IF(BB30="","",IF(AND(H30="M",W30&lt;&gt;"NO"),BT30,""))</f>
        <v/>
      </c>
      <c r="BR30" s="471" t="str">
        <f t="shared" ref="BR30:BR93" si="10">BQ30</f>
        <v/>
      </c>
      <c r="BS30" s="472" t="str">
        <f>IF(BB30="","",IF(AND(H30="M",W30&lt;&gt;"NO"),BW30,""))</f>
        <v/>
      </c>
      <c r="BT30" s="457"/>
      <c r="BU30" s="473"/>
      <c r="BV30" s="474"/>
      <c r="BW30" s="475"/>
      <c r="BX30" s="476"/>
      <c r="BY30" s="477"/>
      <c r="BZ30" s="477"/>
      <c r="CA30" s="478"/>
      <c r="CB30" s="479"/>
      <c r="CC30" s="480"/>
      <c r="CD30" s="481"/>
      <c r="CE30" s="481"/>
      <c r="CF30" s="482" t="s">
        <v>584</v>
      </c>
      <c r="CG30" s="483"/>
      <c r="CH30" s="484"/>
      <c r="CI30" s="485"/>
      <c r="CJ30" s="486"/>
      <c r="CK30" s="487"/>
      <c r="CL30" s="572"/>
      <c r="CM30" s="573"/>
      <c r="CN30" s="574"/>
      <c r="CO30" s="575"/>
      <c r="CP30" s="576"/>
      <c r="CQ30" s="577"/>
      <c r="CR30" s="578"/>
      <c r="CS30" s="579"/>
      <c r="CT30" s="580"/>
      <c r="CU30" s="581"/>
      <c r="CV30" s="582"/>
      <c r="CW30" s="486"/>
      <c r="CX30" s="583"/>
      <c r="CY30" s="581"/>
      <c r="CZ30" s="584"/>
      <c r="DA30" s="585"/>
      <c r="DB30" s="585"/>
      <c r="DC30" s="586"/>
      <c r="DD30" s="587"/>
      <c r="DE30" s="587"/>
      <c r="DF30" s="581"/>
      <c r="DG30" s="581"/>
      <c r="DH30" s="581"/>
      <c r="DI30" s="581"/>
      <c r="DJ30" s="581"/>
      <c r="DK30" s="584"/>
      <c r="DL30" s="463"/>
      <c r="DM30" s="588"/>
      <c r="DN30" s="589"/>
      <c r="DO30" s="589"/>
      <c r="DP30" s="581"/>
      <c r="DQ30" s="581"/>
      <c r="DR30" s="581"/>
      <c r="DS30" s="581"/>
      <c r="DT30" s="584"/>
      <c r="DU30" s="590"/>
      <c r="DV30" s="589"/>
      <c r="DW30" s="589"/>
      <c r="DX30" s="581"/>
      <c r="DY30" s="581"/>
      <c r="DZ30" s="581"/>
      <c r="EA30" s="581"/>
      <c r="EB30" s="587"/>
      <c r="EC30" s="591"/>
      <c r="ED30" s="592"/>
      <c r="EE30" s="593"/>
      <c r="EF30" s="594"/>
      <c r="EG30" s="595"/>
      <c r="EH30" s="596"/>
      <c r="EI30" s="597"/>
      <c r="EJ30" s="598" t="str">
        <f t="shared" ref="EJ30:EJ93" si="11">IF(X30&gt;0,X$26,IF(Y30&gt;0,Y$26,IF(Z30&gt;0,Z$26,IF(AA30&gt;0,AA$26,IF(AB30&gt;0,AB$26,IF(AC30&gt;0,AC$26,IF(AD30&gt;0,AD$26,IF(AE30&gt;0,AE$26,""))))))))</f>
        <v/>
      </c>
      <c r="EK30" s="598" t="str">
        <f t="shared" ref="EK30:EK93" si="12">IF(AF30&gt;0,AF$26,IF(AG30&gt;0,AG$26,IF(AH30&gt;0,AH$26,IF(AI30&gt;0,AI$26,IF(AJ30&gt;0,AJ$26,IF(AK30&gt;0,AK$26,IF(AL30&gt;0,AL$26,IF(AM30&gt;0,AM$26,""))))))))</f>
        <v/>
      </c>
      <c r="EL30" s="598" t="str">
        <f t="shared" ref="EL30:EL93" si="13">IF(AN30&gt;0,AN$26,IF(AO30&gt;0,AO$26,IF(AP30&gt;0,AP$26,IF(AQ30&gt;0,AQ$26,IF(AR30&gt;0,AR$26,IF(AS30&gt;0,AS$26,IF(AT30&gt;0,AT$26,IF(AU30&gt;0,AU$26,""))))))))</f>
        <v/>
      </c>
      <c r="EM30" s="598" t="str">
        <f t="shared" ref="EM30:EM93" si="14">IF(AV30&gt;0,AV$26,IF(AW30&gt;0,AW$26,IF(AX30&gt;0,AX$26,IF(AY30&gt;0,AY$26,IF(AZ30&gt;0,AZ$26,IF(BA30&gt;0,BA$26,""))))))</f>
        <v/>
      </c>
      <c r="EN30" s="599" t="str">
        <f>IF(H30="M",IF(EJ30&amp;EK30&amp;EL30&amp;EM30&lt;&gt;"0",EJ30&amp;EK30&amp;EL30&amp;EM30,""),"")</f>
        <v/>
      </c>
      <c r="EO30" s="600"/>
      <c r="EP30" s="447"/>
      <c r="EQ30" s="447"/>
      <c r="ER30" s="447"/>
      <c r="ES30" s="447"/>
      <c r="ET30" s="447"/>
      <c r="EU30" s="447"/>
      <c r="EV30" s="447"/>
      <c r="EW30" s="447"/>
      <c r="EX30" s="447"/>
      <c r="EY30" s="447"/>
      <c r="EZ30" s="447"/>
      <c r="FA30" s="447"/>
      <c r="FB30" s="447"/>
      <c r="FC30" s="447"/>
      <c r="FD30" s="447"/>
      <c r="FE30" s="447"/>
      <c r="FF30" s="447"/>
      <c r="FG30" s="447"/>
      <c r="FH30" s="447"/>
      <c r="FI30" s="447"/>
      <c r="FJ30" s="447"/>
      <c r="FK30" s="447"/>
      <c r="FL30" s="447"/>
      <c r="FM30" s="447"/>
      <c r="FN30" s="447"/>
      <c r="FO30" s="739"/>
      <c r="FP30" s="146"/>
      <c r="FQ30" s="146"/>
      <c r="FR30" s="146"/>
      <c r="FS30" s="146"/>
      <c r="FT30" s="146"/>
      <c r="FU30" s="146"/>
      <c r="FV30" s="146"/>
      <c r="FW30" s="146"/>
      <c r="FX30" s="146" t="e">
        <f t="shared" si="9"/>
        <v>#DIV/0!</v>
      </c>
      <c r="FY30" s="736"/>
      <c r="FZ30" s="740"/>
      <c r="GA30" s="736" t="e">
        <f>BU22&amp;"+"&amp;FIXED(TABLERO!M10,2)&amp;"+"&amp;BW22&amp;"+"&amp;BU23&amp;"+"&amp;FIXED(TABLERO!M12,2)&amp;"+"&amp;BW23&amp;"+"&amp;BU24&amp;"+"&amp;IF(BK25=0,1,IF(TABLERO!M11="NORMA",CONCATENATE(FIXED(TABLERO!BK27/TABLERO!BK25,2)),CONCATENATE(FIXED(TABLERO!M11,2))))&amp;"+"&amp;BW24&amp;"+"&amp;BU25&amp;"+"&amp;FIXED(TABLERO!M13,2)&amp;"+"&amp;BW25&amp;"+"&amp;BU26&amp;"+"&amp;FIXED(TABLERO!M16,2)&amp;"+"&amp;BW26&amp;"+"&amp;BU27&amp;"+"&amp;FIXED(TABLERO!M14,2)&amp;"+"&amp;BW27&amp;"+"&amp;BU28&amp;"+"&amp;FIXED(TABLERO!M15,2)&amp;"+"&amp;BW28&amp;"+"&amp;BX25&amp;"+"&amp;FIXED(((TABLERO!BF28+TABLERO!BM28)*1000)/((SUM(TABLERO!BC25:BP25))*1000),2)&amp;"+"&amp;BZ25&amp;"+++++++DATOS2"</f>
        <v>#DIV/0!</v>
      </c>
      <c r="GB30" s="49" t="str">
        <f>CUADROACAD!CU30</f>
        <v>++++++++++++++++++++++++++++++++FINAL</v>
      </c>
      <c r="GC30" s="146"/>
      <c r="GD30" s="736"/>
      <c r="GE30" s="146"/>
      <c r="GF30" s="506"/>
      <c r="GG30" s="506"/>
      <c r="GH30" s="506"/>
      <c r="GI30" s="506"/>
      <c r="GJ30" s="506"/>
    </row>
    <row r="31" spans="1:198" s="3" customFormat="1">
      <c r="A31" s="706"/>
      <c r="B31" s="869">
        <v>1</v>
      </c>
      <c r="C31" s="870" t="str">
        <f t="shared" ref="C31:C94" si="15">IF(F31&gt;1,B31+2,"")</f>
        <v/>
      </c>
      <c r="D31" s="870" t="str">
        <f t="shared" ref="D31:D94" si="16">IF(F31&gt;2,B31+4,"")</f>
        <v/>
      </c>
      <c r="E31" s="871"/>
      <c r="F31" s="872">
        <v>1</v>
      </c>
      <c r="G31" s="716">
        <f t="shared" ref="G31:G94" si="17">IF(AND(H31="A",F31&gt;1),F31,IF(AND(OR(H31="M",H31="HVAC"),F31&gt;1),F31,IF(AND(H31="TR",F31&gt;1),F31,F31+1)))</f>
        <v>2</v>
      </c>
      <c r="H31" s="873" t="s">
        <v>12</v>
      </c>
      <c r="I31" s="874" t="str">
        <f t="shared" ref="I31:I94" si="18">$F$15</f>
        <v>CU</v>
      </c>
      <c r="J31" s="875">
        <v>6</v>
      </c>
      <c r="K31" s="876">
        <v>10</v>
      </c>
      <c r="L31" s="876">
        <v>3</v>
      </c>
      <c r="M31" s="877">
        <v>1</v>
      </c>
      <c r="N31" s="877">
        <v>1</v>
      </c>
      <c r="O31" s="878">
        <v>1</v>
      </c>
      <c r="P31" s="879">
        <v>4</v>
      </c>
      <c r="Q31" s="880">
        <v>1</v>
      </c>
      <c r="R31" s="880">
        <v>1</v>
      </c>
      <c r="S31" s="881">
        <v>1</v>
      </c>
      <c r="T31" s="881">
        <v>1</v>
      </c>
      <c r="U31" s="882">
        <v>1</v>
      </c>
      <c r="V31" s="883">
        <v>1</v>
      </c>
      <c r="W31" s="874" t="str">
        <f t="shared" ref="W31:W94" si="19">IF(H31&lt;&gt;"BC","SI","NO")</f>
        <v>SI</v>
      </c>
      <c r="X31" s="884"/>
      <c r="Y31" s="885"/>
      <c r="Z31" s="885"/>
      <c r="AA31" s="885"/>
      <c r="AB31" s="885"/>
      <c r="AC31" s="885"/>
      <c r="AD31" s="885"/>
      <c r="AE31" s="885"/>
      <c r="AF31" s="885"/>
      <c r="AG31" s="885"/>
      <c r="AH31" s="885"/>
      <c r="AI31" s="885"/>
      <c r="AJ31" s="885"/>
      <c r="AK31" s="885"/>
      <c r="AL31" s="885"/>
      <c r="AM31" s="885"/>
      <c r="AN31" s="885"/>
      <c r="AO31" s="885"/>
      <c r="AP31" s="885"/>
      <c r="AQ31" s="885"/>
      <c r="AR31" s="885"/>
      <c r="AS31" s="885"/>
      <c r="AT31" s="885"/>
      <c r="AU31" s="885"/>
      <c r="AV31" s="885"/>
      <c r="AW31" s="885"/>
      <c r="AX31" s="885"/>
      <c r="AY31" s="885"/>
      <c r="AZ31" s="885"/>
      <c r="BA31" s="886"/>
      <c r="BB31" s="887">
        <f t="shared" ref="BB31:BB94" si="20">IF(CV31="","",CV31)</f>
        <v>0</v>
      </c>
      <c r="BC31" s="888" t="str">
        <f t="shared" ref="BC31:BC94" si="21">IF(BB31="","",IF(AND(H31="A",CR31&lt;&gt;"N/C",W31&lt;&gt;"NO"),BT31,""))</f>
        <v/>
      </c>
      <c r="BD31" s="889" t="str">
        <f t="shared" ref="BD31:BD94" si="22">IF(BB31="","",IF(AND(H31="R",CR31&lt;&gt;"N/C",W31&lt;&gt;"NO"),BT31,""))</f>
        <v/>
      </c>
      <c r="BE31" s="889" t="str">
        <f t="shared" ref="BE31:BE94" si="23">IF(BB31="","",IF(AND(H31="O",CR31&lt;&gt;"N/C",W31&lt;&gt;"NO"),BT31,""))</f>
        <v/>
      </c>
      <c r="BF31" s="889" t="str">
        <f t="shared" ref="BF31:BF94" si="24">IF(BB31="","",IF(AND(OR(H31="M",H31="MV",H31="HVAC"),CR31&lt;&gt;"N/C",W31&lt;&gt;"NO"),BT31,""))</f>
        <v/>
      </c>
      <c r="BG31" s="889" t="str">
        <f t="shared" ref="BG31:BG94" si="25">IF(BB31="","",IF(AND(H31="TB",CR31&lt;&gt;"N/C",W31&lt;&gt;"NO"),BT31,""))</f>
        <v/>
      </c>
      <c r="BH31" s="889" t="str">
        <f t="shared" ref="BH31:BH94" si="26">IF(BB31="","",IF(AND(OR(H31="TR",H31="PE"),CR31&lt;&gt;"N/C",W31&lt;&gt;"NO"),BT31,""))</f>
        <v/>
      </c>
      <c r="BI31" s="890" t="str">
        <f t="shared" ref="BI31:BI94" si="27">IF(BB31="","",IF(AND(H31="RE",CR31&lt;&gt;"N/C",W31&lt;&gt;"NO"),BT31,""))</f>
        <v/>
      </c>
      <c r="BJ31" s="891" t="str">
        <f t="shared" ref="BJ31:BJ94" si="28">IF(BB31="","",IF(AND(H31="A",CR31="N/C",W31&lt;&gt;"NO"),BT31,""))</f>
        <v/>
      </c>
      <c r="BK31" s="892" t="str">
        <f t="shared" ref="BK31:BK94" si="29">IF(BB31="","",IF(AND(H31="R",CR31="N/C",W31&lt;&gt;"NO"),BT31,IF(AND(H31="UPS",CR31="N/C",W31&lt;&gt;"NO"),BT31,"")))</f>
        <v/>
      </c>
      <c r="BL31" s="892" t="str">
        <f t="shared" ref="BL31:BL94" si="30">IF(BB31="","",IF(AND(H31="O",CR31="N/C",W31&lt;&gt;"NO"),BT31,""))</f>
        <v/>
      </c>
      <c r="BM31" s="892" t="str">
        <f t="shared" ref="BM31:BM94" si="31">IF(BB31="","",IF(AND(OR(H31="M",H31="MV",H31="HVAC"),CR31="N/C",W31&lt;&gt;"NO"),BT31,""))</f>
        <v/>
      </c>
      <c r="BN31" s="892" t="str">
        <f t="shared" ref="BN31:BN94" si="32">IF(BB31="","",IF(AND(H31="TB",CR31="N/C",W31&lt;&gt;"NO"),BT31,""))</f>
        <v/>
      </c>
      <c r="BO31" s="892" t="str">
        <f t="shared" ref="BO31:BO94" si="33">IF(BB31="","",IF(AND(OR(H31="TR",H31="PE"),CR31="N/C",W31&lt;&gt;"NO"),BT31,""))</f>
        <v/>
      </c>
      <c r="BP31" s="893" t="str">
        <f t="shared" ref="BP31:BP94" si="34">IF(BB31="","",IF(AND(H31="RE",CR31="N/C",W31&lt;&gt;"NO"),BT31,""))</f>
        <v/>
      </c>
      <c r="BQ31" s="894" t="str">
        <f t="shared" ref="BQ31:BQ94" si="35">IF(BB31="","",IF(AND(OR(H31="M",H31="MV",,H31="HVAC"),W31&lt;&gt;"NO"),BT31,""))</f>
        <v/>
      </c>
      <c r="BR31" s="895" t="str">
        <f t="shared" si="10"/>
        <v/>
      </c>
      <c r="BS31" s="896" t="str">
        <f t="shared" ref="BS31:BS94" si="36">IF(BB31="","",IF(AND(OR(H31="M",H31="MV",H31="HVAC"),W31&lt;&gt;"NO"),BW31,""))</f>
        <v/>
      </c>
      <c r="BT31" s="897" t="str">
        <f t="shared" ref="BT31:BT94" si="37">IF(BB31=0,"",BB31*V31)</f>
        <v/>
      </c>
      <c r="BU31" s="231" t="str">
        <f t="shared" ref="BU31:BU94" si="38">IF(CW31="","",CW31)</f>
        <v/>
      </c>
      <c r="BV31" s="898">
        <f t="shared" ref="BV31:BV94" si="39">IF(F31="","",IF(F31=1,$H$9,$F$9))</f>
        <v>127</v>
      </c>
      <c r="BW31" s="845" t="str">
        <f t="shared" ref="BW31:BW94" si="40">IF(CX31="","",CX31)</f>
        <v/>
      </c>
      <c r="BX31" s="899" t="str">
        <f t="shared" ref="BX31:BX94" si="41">IF(DN31="","",DN31)</f>
        <v/>
      </c>
      <c r="BY31" s="900" t="str" cm="1">
        <f t="array" ref="BY31">[1]!ACAELE_CAPACIDADCABLE(BB31,H31,I31,M31,BX31,N31)</f>
        <v/>
      </c>
      <c r="BZ31" s="900" t="str">
        <f t="shared" ref="BZ31:BZ94" si="42">IF(OR(BT31=0,BT31="",H31="RE"),"",(DS31/BV31)*100)</f>
        <v/>
      </c>
      <c r="CA31" s="901" t="str" cm="1">
        <f t="array" ref="CA31">[1]!ACAELE_cabledetierra(BZ31,$N$9,I31,BW31,BX31,G31)</f>
        <v/>
      </c>
      <c r="CB31" s="902" t="str" cm="1">
        <f t="array" ref="CB31">[1]!ACAELE_TAMATUBERIA(BX31,DU31,$N$9,M31,I31)</f>
        <v/>
      </c>
      <c r="CC31" s="846" t="str">
        <f t="shared" ref="CC31:CC94" si="43">IF(DV31="","",DV31)</f>
        <v/>
      </c>
      <c r="CD31" s="903" t="str" cm="1">
        <f t="array" ref="CD31">[1]!ACAELE_CAPACIDADCABLE(BB31,H31,I31,M31,CC31,N31)</f>
        <v/>
      </c>
      <c r="CE31" s="903" t="str">
        <f t="shared" ref="CE31:CE94" si="44">IF(OR(BB31=0,Q31="",H31="RE",$A$27=1),"",(EA31/BV31)*100)</f>
        <v/>
      </c>
      <c r="CF31" s="904" t="str" cm="1">
        <f t="array" ref="CF31">[1]!ACAELE_cabledetierra(CE31,$N$9,I31,BW31,CC31,G31)</f>
        <v/>
      </c>
      <c r="CG31" s="905" t="str" cm="1">
        <f t="array" ref="CG31">[1]!ACAELE_TAMATUBERIA(CC31,EC31,$N$9,S31,I31)</f>
        <v/>
      </c>
      <c r="CH31" s="906" t="str">
        <f t="shared" ref="CH31:CH94" si="45">IF(AND(CE31="",BZ31=""),"",IF(CE31="",0,CE31)+IF(BZ31="",0,BZ31))</f>
        <v/>
      </c>
      <c r="CI31" s="510" t="str">
        <f t="shared" ref="CI31:CI94" si="46">IF(CL31="","",CL31)</f>
        <v>-</v>
      </c>
      <c r="CJ31" s="511" t="str">
        <f t="shared" ref="CJ31:CJ94" si="47">IF(CM31="","",CM31)</f>
        <v>-</v>
      </c>
      <c r="CK31" s="512" t="str">
        <f t="shared" ref="CK31:CK94" si="48">IF(CN31="","",CN31)</f>
        <v>-</v>
      </c>
      <c r="CL31" s="907" t="str">
        <f t="shared" ref="CL31:CL94" si="49">IF(W31="NO","-",IF(BB31=0,"-",IF(OR($CO31="A",$CP31="A",$CQ31="A"),(BT31/F31)*1000,"-")))</f>
        <v>-</v>
      </c>
      <c r="CM31" s="908" t="str">
        <f t="shared" ref="CM31:CM94" si="50">IF(W31="NO","-",IF(BB31=0,"-",IF(OR($CO31="B",$CP31="B",$CQ31="B"),(BT31/F31)*1000,"-")))</f>
        <v>-</v>
      </c>
      <c r="CN31" s="909" t="str">
        <f t="shared" ref="CN31:CN94" si="51">IF(W31="NO","-",IF(BB31=0,"-",IF(OR($CO31="C",$CP31="C",$CQ31="C"),(BT31/F31)*1000,"-")))</f>
        <v>-</v>
      </c>
      <c r="CO31" s="910" t="str" cm="1">
        <f t="array" ref="CO31">[1]!ACAELE_fasecorresponde(B31,$F$10,$P$5)</f>
        <v>A</v>
      </c>
      <c r="CP31" s="910" t="str" cm="1">
        <f t="array" ref="CP31">[1]!ACAELE_fasecorresponde(C31,$F$10,$P$5)</f>
        <v>-</v>
      </c>
      <c r="CQ31" s="910" t="str" cm="1">
        <f t="array" ref="CQ31">[1]!ACAELE_fasecorresponde(D31,$F$10,$P$5)</f>
        <v>-</v>
      </c>
      <c r="CR31" s="911" t="str">
        <f t="shared" ref="CR31:CR94" si="52">IF(OR(H31="A",H31="O",H31="M",H31="MV",,H31="HVAC"),"C","N/C")</f>
        <v>C</v>
      </c>
      <c r="CS31" s="912">
        <f t="shared" ref="CS31:CS94" si="53">IF(BU31&gt;100,VLOOKUP($F$13,FCTEMP,3),VLOOKUP($F$13,FCTEMP,2))</f>
        <v>1</v>
      </c>
      <c r="CT31" s="913">
        <f t="shared" ref="CT31:CT94" si="54">IF(H31="RE","",IF(M31=1,VLOOKUP(J31,FCATUBO,2),IF(M31=6,VLOOKUP(J31,FCADUCTO,2),1)))</f>
        <v>0.8</v>
      </c>
      <c r="CU31" s="914" t="str">
        <f t="shared" ref="CU31:CU94" si="55">IF(OR(H31="RE",$A$27=1),"",IF(OR(BB31=0,Q31=""),"",IF(S31=1,VLOOKUP(P31,FCATUBO,2),IF(S31=6,VLOOKUP(P31,FCADUCTO,2),1))))</f>
        <v/>
      </c>
      <c r="CV31" s="915">
        <f t="shared" ref="CV31:CV94" si="56">SUMPRODUCT($X$29:$BA$29,$X31:$BA31/1000)</f>
        <v>0</v>
      </c>
      <c r="CW31" s="916" t="str" cm="1">
        <f t="array" ref="CW31">[1]!ACAELE_Inominal(BB31,F31,BT31,BV31,DA31,G31,V31,$P$5)</f>
        <v/>
      </c>
      <c r="CX31" s="917" t="str" cm="1">
        <f t="array" ref="CX31">[1]!ACAELE_Disparocalculado(BB31,H31,DL31,$N$21,$M$21,$O$21,BV31,$P$5)</f>
        <v/>
      </c>
      <c r="CY31" s="918" t="str" cm="1">
        <f t="array" ref="CY31">[1]!ACAELE_Icorregida($A$27,H31,BB31,BU31,CS31,CT31,$P$5)</f>
        <v/>
      </c>
      <c r="CZ31" s="919" t="str" cm="1">
        <f t="array" ref="CZ31">[1]!ACAELE_Icorregida2($A$27,H31,BB31,BU31,CS31,CU31,$P$5)</f>
        <v/>
      </c>
      <c r="DA31" s="920">
        <f t="shared" ref="DA31:DA94" si="57">IF(OR(H31="O",H31="BC"),$G$14,$F$14)</f>
        <v>0.9</v>
      </c>
      <c r="DB31" s="921">
        <f t="shared" ref="DB31:DB94" si="58">SIN(ACOS(DA31))</f>
        <v>0.43588989435406728</v>
      </c>
      <c r="DC31" s="922" t="str" cm="1">
        <f t="array" ref="DC31">[1]!ACAELE_CONDPORTCORRIENTE(H31,BB31,I31,M31,CY31,CZ31,N31,$P$5)</f>
        <v/>
      </c>
      <c r="DD31" s="923" t="str" cm="1">
        <f t="array" ref="DD31">[1]!ACAELE_CAPACONDCORRIENTE(BB31,H31,I31,M31,CY31,CZ31,$P$5)</f>
        <v/>
      </c>
      <c r="DE31" s="923" t="str" cm="1">
        <f t="array" ref="DE31">[1]!ACAELE_CAPACIDADCABLE(BB31,H31,I31,M31,DC31,N31,$P$5)</f>
        <v/>
      </c>
      <c r="DF31" s="924" t="str" cm="1">
        <f t="array" ref="DF31">[1]!ACAELE_encontrarcaida(BB31,H31,L31,BV31,F31,BU31,N31,K31)</f>
        <v/>
      </c>
      <c r="DG31" s="925" t="str" cm="1">
        <f t="array" ref="DG31">[1]!ACAELE_Cablecaida(BB31,H31,M31,I31,DF31)</f>
        <v/>
      </c>
      <c r="DH31" s="918" t="str" cm="1">
        <f t="array" ref="DH31">[1]!ACAELE_CAPACIDADCABLE(BB31,H31,I31,M31,DG31,N31,$P$5)</f>
        <v/>
      </c>
      <c r="DI31" s="926" t="str" cm="1">
        <f t="array" ref="DI31">IF($A$27=1,"",[1]!ACAELE_encontrarcaida(BB31,H31,R31,BV31,F31,BU31,T31,Q31,$P$5))</f>
        <v/>
      </c>
      <c r="DJ31" s="914" t="str" cm="1">
        <f t="array" ref="DJ31">IF($A$27=1,"",[1]!ACAELE_Cablecaida2(BB31,Q31,H31,S31,I31,DI31,$P$5))</f>
        <v/>
      </c>
      <c r="DK31" s="919" t="str" cm="1">
        <f t="array" ref="DK31">[1]!ACAELE_CAPACIDADCABLE(BB31,H31,I31,M31,DJ31,N31,$P$5)</f>
        <v/>
      </c>
      <c r="DL31" s="927" t="str" cm="1">
        <f t="array" ref="DL31">[1]!acaele_Iproteccion(BB31,H31,BU31,$F$20,$G$20,$F$19,$G$19,$H$20,$H$19,$P$5)</f>
        <v/>
      </c>
      <c r="DM31" s="928" cm="1">
        <f t="array" ref="DM31">[1]!acaele_ProtCalculada(CX31,H31,BT31,BW31,$G$21,$F$21,$H$21,$P$5)</f>
        <v>0</v>
      </c>
      <c r="DN31" s="929" t="str" cm="1">
        <f t="array" ref="DN31">[1]!ACAELE_cablecalculo(BB31,H31,I31,M31,EF31,$P$5)</f>
        <v/>
      </c>
      <c r="DO31" s="930" t="str" cm="1">
        <f t="array" ref="DO31">[1]!ACAELE_RESISTENCIA(BB31,H31,M31,I31,BX31, CW31,$P$5)</f>
        <v/>
      </c>
      <c r="DP31" s="931" t="str" cm="1">
        <f t="array" ref="DP31">[1]!ACAELE_REACTANCIA(BB31,H31,$F$11,M31,I31,BX31,$P$5)</f>
        <v/>
      </c>
      <c r="DQ31" s="918" t="str" cm="1">
        <f t="array" ref="DQ31">[1]!ACAELE_DIAMECAISLA(BB31,H31,I31,BX31,$P$5)</f>
        <v/>
      </c>
      <c r="DR31" s="918" t="str" cm="1">
        <f t="array" ref="DR31">[1]!ACAELE_AREACAISLAMIENTO(BB31,H31,DQ31,$P$5)</f>
        <v/>
      </c>
      <c r="DS31" s="918" t="str" cm="1">
        <f t="array" ref="DS31">[1]!ACAELE_CAIDAVOLTSFINAL(BB31,H31,F31,K31,BU31,N31,DO31,DA31,DP31,DB31,$P$5)</f>
        <v/>
      </c>
      <c r="DT31" s="918" t="str" cm="1">
        <f t="array" ref="DT31">[1]!ACAELE_AREACONDPTE(BB31,H31,CA31,$P$5)</f>
        <v/>
      </c>
      <c r="DU31" s="932" t="str" cm="1">
        <f t="array" ref="DU31">[1]!ACAELE_AREATOTAL(BZ31,M31,EO31,N31,DQ31,G31,DR31,DT31,N$20,$P$5)</f>
        <v/>
      </c>
      <c r="DV31" s="933" t="str" cm="1">
        <f t="array" ref="DV31">IF($A$27=1,"",[1]!ACAELE_cablecalculo(BB31,H31,I31,M31,EG31,$P$5))</f>
        <v/>
      </c>
      <c r="DW31" s="934" t="str" cm="1">
        <f t="array" ref="DW31">IF($A$27=1,"",[1]!ACAELE_RESISTENCIA(BB31,H31,M31,I31,CC31,CW31,$P$5))</f>
        <v/>
      </c>
      <c r="DX31" s="926" t="str" cm="1">
        <f t="array" ref="DX31">IF($A$27=1,"",[1]!ACAELE_REACTANCIA(BB31,H31,$F$11,M31,I31,CC31,$P$5))</f>
        <v/>
      </c>
      <c r="DY31" s="935" t="str" cm="1">
        <f t="array" ref="DY31">IF($A$27=1,"",[1]!ACAELE_DIAMECAISLA(BB31,H31,I31,CC31,$P$5))</f>
        <v/>
      </c>
      <c r="DZ31" s="935" t="str" cm="1">
        <f t="array" ref="DZ31">IF($A$27=1,"",[1]!ACAELE_AREACAISLAMIENTO(BB31,H31,DY31,$P$5))</f>
        <v/>
      </c>
      <c r="EA31" s="935" t="str" cm="1">
        <f t="array" ref="EA31">[1]!ACAELE_CAIDAVOLTSFINAL2(BB31,Q31,H31,F31,$A$27,BU31,T31,DW31,DA31,DX31,DB31)</f>
        <v/>
      </c>
      <c r="EB31" s="935" t="str" cm="1">
        <f t="array" ref="EB31">IF($A$27=1,"",[1]!ACAELE_AREACONDPTE(BB31,H31,CF31,$P$5))</f>
        <v/>
      </c>
      <c r="EC31" s="936" t="str" cm="1">
        <f t="array" ref="EC31">[1]!ACAELE_AREATOTAL2(H31,$A$27,DY31,S31,G31,T31,DZ31,U31,EB31)</f>
        <v/>
      </c>
      <c r="ED31" s="937" t="str">
        <f t="shared" ref="ED31:ED94" si="59">IF(OR(BB31=0,H31="RE"),"",VLOOKUP(BX31,nomenclaturacables,2,0))</f>
        <v/>
      </c>
      <c r="EE31" s="938" t="str">
        <f t="shared" ref="EE31:EE94" si="60">IF(CC31="","",VLOOKUP(CC31,nomenclaturacables,2,0))</f>
        <v/>
      </c>
      <c r="EF31" s="939" t="str">
        <f t="shared" ref="EF31:EF94" si="61">IF(BB31=0,"",IF(OR(H31="M",H31="MV"),MAX(DE31/N31,DH31/N31),MAX(DM31/N31,BW31/N31,IF(DE31="",0,DE31/N31),DH31/N31)))</f>
        <v/>
      </c>
      <c r="EG31" s="940">
        <f t="shared" ref="EG31:EG94" si="62">MAX(DM31,IF(DE31="",0,DE31/N31),DK31)</f>
        <v>0</v>
      </c>
      <c r="EH31" s="941" t="str">
        <f t="shared" ref="EH31:EH94" si="63">IF(OR(H31&lt;&gt;"TB",(SUM(BC31:BP31)&lt;&gt;0)),"",BU31)</f>
        <v/>
      </c>
      <c r="EI31" s="942">
        <f t="shared" ref="EI31:EI94" si="64">$F$13</f>
        <v>30</v>
      </c>
      <c r="EJ31" s="943" t="str">
        <f t="shared" si="11"/>
        <v/>
      </c>
      <c r="EK31" s="943" t="str">
        <f t="shared" si="12"/>
        <v/>
      </c>
      <c r="EL31" s="943" t="str">
        <f t="shared" si="13"/>
        <v/>
      </c>
      <c r="EM31" s="944" t="str">
        <f t="shared" si="14"/>
        <v/>
      </c>
      <c r="EN31" s="945" t="str" cm="1">
        <f t="array" ref="EN31">[1]!ACAELE_MOTOR(H31,X31:BA31,$X$26:$BA$26,$P$5)</f>
        <v/>
      </c>
      <c r="EO31" s="550" t="str">
        <f t="shared" ref="EO31:EO94" si="65">IF(BZ31="","",(G31*N31*DR31)/O31+DT31)</f>
        <v/>
      </c>
      <c r="EP31" s="431" t="s">
        <v>1214</v>
      </c>
      <c r="EQ31" s="434" t="str">
        <f t="shared" ref="EQ31:EQ94" ca="1" si="66">FL31</f>
        <v/>
      </c>
      <c r="ER31" s="32"/>
      <c r="ES31" s="32"/>
      <c r="ET31" s="3" t="str">
        <f t="shared" ref="ET31:ET94" si="67">IF(BW31="","",F31&amp;"P-"&amp;BW31&amp;" A")</f>
        <v/>
      </c>
      <c r="EU31" s="3" t="str">
        <f t="shared" ref="EU31:EU94" si="68">IF(BW31="","",G31*N31&amp;"-"&amp;BX31&amp;", "&amp;O31&amp;"-"&amp;CA31&amp;"T, "&amp;O31&amp;CB31)</f>
        <v/>
      </c>
      <c r="EV31" s="3" t="str">
        <f t="shared" ref="EV31:EV94" si="69">IF(BW31="","",K31)</f>
        <v/>
      </c>
      <c r="EW31" s="3" t="str">
        <f t="shared" ref="EW31:EW94" si="70">IF(BW31="","",G31*N31)</f>
        <v/>
      </c>
      <c r="EX31" s="3" t="str">
        <f t="shared" ref="EX31:EX94" si="71">IF(BW31="","",BX31)</f>
        <v/>
      </c>
      <c r="EY31" s="3" t="str">
        <f t="shared" ref="EY31:EY94" si="72">IF(BW31="","",O31)</f>
        <v/>
      </c>
      <c r="EZ31" s="3" t="str">
        <f t="shared" ref="EZ31:EZ94" si="73">IF(BW31="","",CA31)</f>
        <v/>
      </c>
      <c r="FA31" s="3" t="str">
        <f t="shared" ref="FA31:FA94" si="74">IF(BW31="","",O31)</f>
        <v/>
      </c>
      <c r="FB31" s="3" t="str">
        <f t="shared" ref="FB31:FB94" si="75">IF(BW31="","",CB31)</f>
        <v/>
      </c>
      <c r="FC31" s="3">
        <f t="shared" ref="FC31:FC94" si="76">IF(EV31="",0,EV31)</f>
        <v>0</v>
      </c>
      <c r="FD31" s="32"/>
      <c r="FE31" s="32"/>
      <c r="FF31" s="103">
        <v>1</v>
      </c>
      <c r="FG31" s="32"/>
      <c r="FH31" s="103"/>
      <c r="FI31" s="32"/>
      <c r="FJ31" s="103"/>
      <c r="FK31" s="3">
        <f t="shared" ref="FK31:FK94" si="77">IF(BB31&lt;&gt;0,MAX(B31:D31),0)</f>
        <v>0</v>
      </c>
      <c r="FL31" s="3" t="str" cm="1">
        <f t="array" aca="1" ref="FL31" ca="1">[1]!acaele_DIB_UNIFILAR(BB31,H31,F31,COUNTIF(X31:BA31,1),BW31)</f>
        <v/>
      </c>
      <c r="FM31" s="3" t="str">
        <f>IF(DATOS!$T$4=0,"",IF(DATOS!$T$4=1," (QO)",IF(DATOS!$T$4=2," (QOB)",IF(DATOS!$T$4=3," (EDB)",IF(DATOS!$T$4=4,IF(BW31&lt;151," (H"&amp;FN31&amp;")",IF(BW31&lt;251," (J"&amp;FN31&amp;")", IF(BW31&lt;401," (LA)",IF(BW31&lt;801," (MG)",IF(BW31&lt;5001," (POWERPACK)",""))))))))))</f>
        <v xml:space="preserve"> (QOB)</v>
      </c>
      <c r="FN31" s="3" t="str">
        <f t="shared" ref="FN31:FN94" si="78">IF(BB31=0,"",IF($BW$116&gt;2000,"G",IF($BW$116&gt;1000,"J","D")))</f>
        <v/>
      </c>
      <c r="FO31" s="146"/>
      <c r="FP31" s="146"/>
      <c r="FQ31" s="146"/>
      <c r="FR31" s="146"/>
      <c r="FS31" s="146"/>
      <c r="FT31" s="146"/>
      <c r="FU31" s="146"/>
      <c r="FV31" s="146"/>
      <c r="FW31" s="146"/>
      <c r="FX31" s="146" t="str">
        <f t="shared" si="9"/>
        <v/>
      </c>
      <c r="FY31" s="736"/>
      <c r="FZ31" s="740"/>
      <c r="GA31" s="740"/>
      <c r="GB31" s="717"/>
      <c r="GC31" s="838"/>
      <c r="GD31" s="736"/>
      <c r="GE31" s="146"/>
      <c r="GF31" s="506"/>
      <c r="GG31" s="506"/>
      <c r="GH31" s="506"/>
      <c r="GI31" s="506"/>
      <c r="GJ31" s="506"/>
      <c r="GM31" s="3">
        <f>IF(OR(GN31&gt;TABLERO!$M$19,GO31&gt;TABLERO!$M$19,GP31&gt;TABLERO!$M$19,B31=0,C31=0,D31=0),2,CUADROACAD!A31)</f>
        <v>2</v>
      </c>
      <c r="GN31" s="3">
        <f>IF(TABLERO!B31="",0,TABLERO!B31)</f>
        <v>1</v>
      </c>
      <c r="GO31" s="3">
        <f>IF(TABLERO!C31="",GN31,TABLERO!C31)</f>
        <v>1</v>
      </c>
      <c r="GP31" s="3">
        <f>IF(TABLERO!D31="",GN31,TABLERO!D31)</f>
        <v>1</v>
      </c>
    </row>
    <row r="32" spans="1:198" s="3" customFormat="1">
      <c r="A32" s="706"/>
      <c r="B32" s="869">
        <v>2</v>
      </c>
      <c r="C32" s="870" t="str">
        <f t="shared" si="15"/>
        <v/>
      </c>
      <c r="D32" s="870" t="str">
        <f t="shared" si="16"/>
        <v/>
      </c>
      <c r="E32" s="871"/>
      <c r="F32" s="872">
        <v>1</v>
      </c>
      <c r="G32" s="716">
        <f t="shared" si="17"/>
        <v>2</v>
      </c>
      <c r="H32" s="873" t="s">
        <v>12</v>
      </c>
      <c r="I32" s="874" t="str">
        <f t="shared" si="18"/>
        <v>CU</v>
      </c>
      <c r="J32" s="875">
        <v>6</v>
      </c>
      <c r="K32" s="876">
        <v>10</v>
      </c>
      <c r="L32" s="876">
        <v>3</v>
      </c>
      <c r="M32" s="877">
        <v>1</v>
      </c>
      <c r="N32" s="877">
        <v>1</v>
      </c>
      <c r="O32" s="878">
        <v>1</v>
      </c>
      <c r="P32" s="879">
        <v>4</v>
      </c>
      <c r="Q32" s="880">
        <v>1</v>
      </c>
      <c r="R32" s="880">
        <v>1</v>
      </c>
      <c r="S32" s="881">
        <v>1</v>
      </c>
      <c r="T32" s="881">
        <v>1</v>
      </c>
      <c r="U32" s="882">
        <v>1</v>
      </c>
      <c r="V32" s="883">
        <v>1</v>
      </c>
      <c r="W32" s="874" t="str">
        <f t="shared" si="19"/>
        <v>SI</v>
      </c>
      <c r="X32" s="884"/>
      <c r="Y32" s="885"/>
      <c r="Z32" s="885"/>
      <c r="AA32" s="885"/>
      <c r="AB32" s="885"/>
      <c r="AC32" s="885"/>
      <c r="AD32" s="885"/>
      <c r="AE32" s="885"/>
      <c r="AF32" s="885"/>
      <c r="AG32" s="885"/>
      <c r="AH32" s="885"/>
      <c r="AI32" s="885"/>
      <c r="AJ32" s="885"/>
      <c r="AK32" s="885"/>
      <c r="AL32" s="885"/>
      <c r="AM32" s="885"/>
      <c r="AN32" s="885"/>
      <c r="AO32" s="885"/>
      <c r="AP32" s="885"/>
      <c r="AQ32" s="885"/>
      <c r="AR32" s="885"/>
      <c r="AS32" s="885"/>
      <c r="AT32" s="885"/>
      <c r="AU32" s="885"/>
      <c r="AV32" s="885"/>
      <c r="AW32" s="885"/>
      <c r="AX32" s="885"/>
      <c r="AY32" s="885"/>
      <c r="AZ32" s="885"/>
      <c r="BA32" s="886"/>
      <c r="BB32" s="887">
        <f t="shared" si="20"/>
        <v>0</v>
      </c>
      <c r="BC32" s="888" t="str">
        <f t="shared" si="21"/>
        <v/>
      </c>
      <c r="BD32" s="889" t="str">
        <f t="shared" si="22"/>
        <v/>
      </c>
      <c r="BE32" s="889" t="str">
        <f t="shared" si="23"/>
        <v/>
      </c>
      <c r="BF32" s="889" t="str">
        <f t="shared" si="24"/>
        <v/>
      </c>
      <c r="BG32" s="889" t="str">
        <f t="shared" si="25"/>
        <v/>
      </c>
      <c r="BH32" s="889" t="str">
        <f t="shared" si="26"/>
        <v/>
      </c>
      <c r="BI32" s="890" t="str">
        <f t="shared" si="27"/>
        <v/>
      </c>
      <c r="BJ32" s="891" t="str">
        <f t="shared" si="28"/>
        <v/>
      </c>
      <c r="BK32" s="892" t="str">
        <f t="shared" si="29"/>
        <v/>
      </c>
      <c r="BL32" s="892" t="str">
        <f t="shared" si="30"/>
        <v/>
      </c>
      <c r="BM32" s="892" t="str">
        <f t="shared" si="31"/>
        <v/>
      </c>
      <c r="BN32" s="892" t="str">
        <f t="shared" si="32"/>
        <v/>
      </c>
      <c r="BO32" s="892" t="str">
        <f t="shared" si="33"/>
        <v/>
      </c>
      <c r="BP32" s="893" t="str">
        <f t="shared" si="34"/>
        <v/>
      </c>
      <c r="BQ32" s="894" t="str">
        <f t="shared" si="35"/>
        <v/>
      </c>
      <c r="BR32" s="895" t="str">
        <f t="shared" si="10"/>
        <v/>
      </c>
      <c r="BS32" s="896" t="str">
        <f t="shared" si="36"/>
        <v/>
      </c>
      <c r="BT32" s="897" t="str">
        <f t="shared" si="37"/>
        <v/>
      </c>
      <c r="BU32" s="231" t="str">
        <f t="shared" si="38"/>
        <v/>
      </c>
      <c r="BV32" s="898">
        <f t="shared" si="39"/>
        <v>127</v>
      </c>
      <c r="BW32" s="845" t="str">
        <f t="shared" si="40"/>
        <v/>
      </c>
      <c r="BX32" s="899" t="str">
        <f t="shared" si="41"/>
        <v/>
      </c>
      <c r="BY32" s="900" t="str" cm="1">
        <f t="array" ref="BY32">[1]!ACAELE_CAPACIDADCABLE(BB32,H32,I32,M32,BX32,N32)</f>
        <v/>
      </c>
      <c r="BZ32" s="900" t="str">
        <f t="shared" si="42"/>
        <v/>
      </c>
      <c r="CA32" s="901" t="str" cm="1">
        <f t="array" ref="CA32">[1]!ACAELE_cabledetierra(BZ32,$N$9,I32,BW32,BX32,G32)</f>
        <v/>
      </c>
      <c r="CB32" s="902" t="str" cm="1">
        <f t="array" ref="CB32">[1]!ACAELE_TAMATUBERIA(BX32,DU32,$N$9,M32,I32)</f>
        <v/>
      </c>
      <c r="CC32" s="846" t="str">
        <f t="shared" si="43"/>
        <v/>
      </c>
      <c r="CD32" s="903" t="str" cm="1">
        <f t="array" ref="CD32">[1]!ACAELE_CAPACIDADCABLE(BB32,H32,I32,M32,CC32,N32)</f>
        <v/>
      </c>
      <c r="CE32" s="903" t="str">
        <f t="shared" si="44"/>
        <v/>
      </c>
      <c r="CF32" s="904" t="str" cm="1">
        <f t="array" ref="CF32">[1]!ACAELE_cabledetierra(CE32,$N$9,I32,BW32,CC32,G32)</f>
        <v/>
      </c>
      <c r="CG32" s="905" t="str" cm="1">
        <f t="array" ref="CG32">[1]!ACAELE_TAMATUBERIA(CC32,EC32,$N$9,S32,I32)</f>
        <v/>
      </c>
      <c r="CH32" s="906" t="str">
        <f t="shared" si="45"/>
        <v/>
      </c>
      <c r="CI32" s="510" t="str">
        <f t="shared" si="46"/>
        <v>-</v>
      </c>
      <c r="CJ32" s="511" t="str">
        <f t="shared" si="47"/>
        <v>-</v>
      </c>
      <c r="CK32" s="512" t="str">
        <f t="shared" si="48"/>
        <v>-</v>
      </c>
      <c r="CL32" s="907" t="str">
        <f t="shared" si="49"/>
        <v>-</v>
      </c>
      <c r="CM32" s="908" t="str">
        <f t="shared" si="50"/>
        <v>-</v>
      </c>
      <c r="CN32" s="909" t="str">
        <f t="shared" si="51"/>
        <v>-</v>
      </c>
      <c r="CO32" s="910" t="str" cm="1">
        <f t="array" ref="CO32">[1]!ACAELE_fasecorresponde(B32,$F$10,$P$5)</f>
        <v>A</v>
      </c>
      <c r="CP32" s="910" t="str" cm="1">
        <f t="array" ref="CP32">[1]!ACAELE_fasecorresponde(C32,$F$10,$P$5)</f>
        <v>-</v>
      </c>
      <c r="CQ32" s="910" t="str" cm="1">
        <f t="array" ref="CQ32">[1]!ACAELE_fasecorresponde(D32,$F$10,$P$5)</f>
        <v>-</v>
      </c>
      <c r="CR32" s="911" t="str">
        <f t="shared" si="52"/>
        <v>C</v>
      </c>
      <c r="CS32" s="912">
        <f t="shared" si="53"/>
        <v>1</v>
      </c>
      <c r="CT32" s="913">
        <f t="shared" si="54"/>
        <v>0.8</v>
      </c>
      <c r="CU32" s="914" t="str">
        <f t="shared" si="55"/>
        <v/>
      </c>
      <c r="CV32" s="915">
        <f t="shared" si="56"/>
        <v>0</v>
      </c>
      <c r="CW32" s="916" t="str" cm="1">
        <f t="array" ref="CW32">[1]!ACAELE_Inominal(BB32,F32,BT32,BV32,DA32,G32,V32,$P$5)</f>
        <v/>
      </c>
      <c r="CX32" s="917" t="str" cm="1">
        <f t="array" ref="CX32">[1]!ACAELE_Disparocalculado(BB32,H32,DL32,$N$21,$M$21,$O$21,BV32,$P$5)</f>
        <v/>
      </c>
      <c r="CY32" s="918" t="str" cm="1">
        <f t="array" ref="CY32">[1]!ACAELE_Icorregida($A$27,H32,BB32,BU32,CS32,CT32,$P$5)</f>
        <v/>
      </c>
      <c r="CZ32" s="919" t="str" cm="1">
        <f t="array" ref="CZ32">[1]!ACAELE_Icorregida2($A$27,H32,BB32,BU32,CS32,CU32,$P$5)</f>
        <v/>
      </c>
      <c r="DA32" s="920">
        <f t="shared" si="57"/>
        <v>0.9</v>
      </c>
      <c r="DB32" s="921">
        <f t="shared" si="58"/>
        <v>0.43588989435406728</v>
      </c>
      <c r="DC32" s="922" t="str" cm="1">
        <f t="array" ref="DC32">[1]!ACAELE_CONDPORTCORRIENTE(H32,BB32,I32,M32,CY32,CZ32,N32,$P$5)</f>
        <v/>
      </c>
      <c r="DD32" s="923" t="str" cm="1">
        <f t="array" ref="DD32">[1]!ACAELE_CAPACONDCORRIENTE(BB32,H32,I32,M32,CY32,CZ32,$P$5)</f>
        <v/>
      </c>
      <c r="DE32" s="923" t="str" cm="1">
        <f t="array" ref="DE32">[1]!ACAELE_CAPACIDADCABLE(BB32,H32,I32,M32,DC32,N32,$P$5)</f>
        <v/>
      </c>
      <c r="DF32" s="924" t="str" cm="1">
        <f t="array" ref="DF32">[1]!ACAELE_encontrarcaida(BB32,H32,L32,BV32,F32,BU32,N32,K32)</f>
        <v/>
      </c>
      <c r="DG32" s="925" t="str" cm="1">
        <f t="array" ref="DG32">[1]!ACAELE_Cablecaida(BB32,H32,M32,I32,DF32)</f>
        <v/>
      </c>
      <c r="DH32" s="918" t="str" cm="1">
        <f t="array" ref="DH32">[1]!ACAELE_CAPACIDADCABLE(BB32,H32,I32,M32,DG32,N32,$P$5)</f>
        <v/>
      </c>
      <c r="DI32" s="926" t="str" cm="1">
        <f t="array" ref="DI32">IF($A$27=1,"",[1]!ACAELE_encontrarcaida(BB32,H32,R32,BV32,F32,BU32,T32,Q32,$P$5))</f>
        <v/>
      </c>
      <c r="DJ32" s="914" t="str" cm="1">
        <f t="array" ref="DJ32">IF($A$27=1,"",[1]!ACAELE_Cablecaida2(BB32,Q32,H32,S32,I32,DI32,$P$5))</f>
        <v/>
      </c>
      <c r="DK32" s="919" t="str" cm="1">
        <f t="array" ref="DK32">[1]!ACAELE_CAPACIDADCABLE(BB32,H32,I32,M32,DJ32,N32,$P$5)</f>
        <v/>
      </c>
      <c r="DL32" s="927" t="str" cm="1">
        <f t="array" ref="DL32">[1]!acaele_Iproteccion(BB32,H32,BU32,$F$20,$G$20,$F$19,$G$19,$H$20,$H$19,$P$5)</f>
        <v/>
      </c>
      <c r="DM32" s="928" cm="1">
        <f t="array" ref="DM32">[1]!acaele_ProtCalculada(CX32,H32,BT32,BW32,$G$21,$F$21,$H$21,$P$5)</f>
        <v>0</v>
      </c>
      <c r="DN32" s="929" t="str" cm="1">
        <f t="array" ref="DN32">[1]!ACAELE_cablecalculo(BB32,H32,I32,M32,EF32,$P$5)</f>
        <v/>
      </c>
      <c r="DO32" s="930" t="str" cm="1">
        <f t="array" ref="DO32">[1]!ACAELE_RESISTENCIA(BB32,H32,M32,I32,BX32, CW32,$P$5)</f>
        <v/>
      </c>
      <c r="DP32" s="931" t="str" cm="1">
        <f t="array" ref="DP32">[1]!ACAELE_REACTANCIA(BB32,H32,$F$11,M32,I32,BX32,$P$5)</f>
        <v/>
      </c>
      <c r="DQ32" s="918" t="str" cm="1">
        <f t="array" ref="DQ32">[1]!ACAELE_DIAMECAISLA(BB32,H32,I32,BX32,$P$5)</f>
        <v/>
      </c>
      <c r="DR32" s="918" t="str" cm="1">
        <f t="array" ref="DR32">[1]!ACAELE_AREACAISLAMIENTO(BB32,H32,DQ32,$P$5)</f>
        <v/>
      </c>
      <c r="DS32" s="918" t="str" cm="1">
        <f t="array" ref="DS32">[1]!ACAELE_CAIDAVOLTSFINAL(BB32,H32,F32,K32,BU32,N32,DO32,DA32,DP32,DB32,$P$5)</f>
        <v/>
      </c>
      <c r="DT32" s="918" t="str" cm="1">
        <f t="array" ref="DT32">[1]!ACAELE_AREACONDPTE(BB32,H32,CA32,$P$5)</f>
        <v/>
      </c>
      <c r="DU32" s="932" t="str" cm="1">
        <f t="array" ref="DU32">[1]!ACAELE_AREATOTAL(BZ32,M32,EO32,N32,DQ32,G32,DR32,DT32,N$20,$P$5)</f>
        <v/>
      </c>
      <c r="DV32" s="933" t="str" cm="1">
        <f t="array" ref="DV32">IF($A$27=1,"",[1]!ACAELE_cablecalculo(BB32,H32,I32,M32,EG32,$P$5))</f>
        <v/>
      </c>
      <c r="DW32" s="934" t="str" cm="1">
        <f t="array" ref="DW32">IF($A$27=1,"",[1]!ACAELE_RESISTENCIA(BB32,H32,M32,I32,CC32,CW32,$P$5))</f>
        <v/>
      </c>
      <c r="DX32" s="926" t="str" cm="1">
        <f t="array" ref="DX32">IF($A$27=1,"",[1]!ACAELE_REACTANCIA(BB32,H32,$F$11,M32,I32,CC32,$P$5))</f>
        <v/>
      </c>
      <c r="DY32" s="935" t="str" cm="1">
        <f t="array" ref="DY32">IF($A$27=1,"",[1]!ACAELE_DIAMECAISLA(BB32,H32,I32,CC32,$P$5))</f>
        <v/>
      </c>
      <c r="DZ32" s="935" t="str" cm="1">
        <f t="array" ref="DZ32">IF($A$27=1,"",[1]!ACAELE_AREACAISLAMIENTO(BB32,H32,DY32,$P$5))</f>
        <v/>
      </c>
      <c r="EA32" s="935" t="str" cm="1">
        <f t="array" ref="EA32">[1]!ACAELE_CAIDAVOLTSFINAL2(BB32,Q32,H32,F32,$A$27,BU32,T32,DW32,DA32,DX32,DB32)</f>
        <v/>
      </c>
      <c r="EB32" s="935" t="str" cm="1">
        <f t="array" ref="EB32">IF($A$27=1,"",[1]!ACAELE_AREACONDPTE(BB32,H32,CF32,$P$5))</f>
        <v/>
      </c>
      <c r="EC32" s="936" t="str" cm="1">
        <f t="array" ref="EC32">[1]!ACAELE_AREATOTAL2(H32,$A$27,DY32,S32,G32,T32,DZ32,U32,EB32)</f>
        <v/>
      </c>
      <c r="ED32" s="937" t="str">
        <f t="shared" si="59"/>
        <v/>
      </c>
      <c r="EE32" s="938" t="str">
        <f t="shared" si="60"/>
        <v/>
      </c>
      <c r="EF32" s="939" t="str">
        <f t="shared" si="61"/>
        <v/>
      </c>
      <c r="EG32" s="940">
        <f t="shared" si="62"/>
        <v>0</v>
      </c>
      <c r="EH32" s="941" t="str">
        <f t="shared" si="63"/>
        <v/>
      </c>
      <c r="EI32" s="942">
        <f t="shared" si="64"/>
        <v>30</v>
      </c>
      <c r="EJ32" s="943" t="str">
        <f t="shared" si="11"/>
        <v/>
      </c>
      <c r="EK32" s="943" t="str">
        <f t="shared" si="12"/>
        <v/>
      </c>
      <c r="EL32" s="943" t="str">
        <f t="shared" si="13"/>
        <v/>
      </c>
      <c r="EM32" s="944" t="str">
        <f t="shared" si="14"/>
        <v/>
      </c>
      <c r="EN32" s="945" t="str" cm="1">
        <f t="array" ref="EN32">[1]!ACAELE_MOTOR(H32,X32:BA32,$X$26:$BA$26,$P$5)</f>
        <v/>
      </c>
      <c r="EO32" s="550" t="str">
        <f t="shared" si="65"/>
        <v/>
      </c>
      <c r="EP32" s="431" t="s">
        <v>1214</v>
      </c>
      <c r="EQ32" s="434" t="str">
        <f t="shared" ca="1" si="66"/>
        <v/>
      </c>
      <c r="ER32" s="32"/>
      <c r="ES32" s="32"/>
      <c r="ET32" s="3" t="str">
        <f t="shared" si="67"/>
        <v/>
      </c>
      <c r="EU32" s="3" t="str">
        <f t="shared" si="68"/>
        <v/>
      </c>
      <c r="EV32" s="3" t="str">
        <f t="shared" si="69"/>
        <v/>
      </c>
      <c r="EW32" s="3" t="str">
        <f t="shared" si="70"/>
        <v/>
      </c>
      <c r="EX32" s="3" t="str">
        <f t="shared" si="71"/>
        <v/>
      </c>
      <c r="EY32" s="3" t="str">
        <f t="shared" si="72"/>
        <v/>
      </c>
      <c r="EZ32" s="3" t="str">
        <f t="shared" si="73"/>
        <v/>
      </c>
      <c r="FA32" s="3" t="str">
        <f t="shared" si="74"/>
        <v/>
      </c>
      <c r="FB32" s="3" t="str">
        <f t="shared" si="75"/>
        <v/>
      </c>
      <c r="FC32" s="3">
        <f t="shared" si="76"/>
        <v>0</v>
      </c>
      <c r="FD32" s="32"/>
      <c r="FE32" s="32"/>
      <c r="FF32" s="103">
        <v>1</v>
      </c>
      <c r="FG32" s="32"/>
      <c r="FH32" s="103"/>
      <c r="FI32" s="32"/>
      <c r="FJ32" s="103"/>
      <c r="FK32" s="3">
        <f t="shared" si="77"/>
        <v>0</v>
      </c>
      <c r="FL32" s="3" t="str" cm="1">
        <f t="array" aca="1" ref="FL32" ca="1">[1]!acaele_DIB_UNIFILAR(BB32,H32,F32,COUNTIF(X32:BA32,1),BW32)</f>
        <v/>
      </c>
      <c r="FM32" s="3" t="str">
        <f>IF(DATOS!$T$4=0,"",IF(DATOS!$T$4=1," (QO)",IF(DATOS!$T$4=2," (QOB)",IF(DATOS!$T$4=3," (EDB)",IF(DATOS!$T$4=4,IF(BW32&lt;151," (H"&amp;FN32&amp;")",IF(BW32&lt;251," (J"&amp;FN32&amp;")", IF(BW32&lt;401," (LA)",IF(BW32&lt;801," (MG)",IF(BW32&lt;5001," (POWERPACK)",""))))))))))</f>
        <v xml:space="preserve"> (QOB)</v>
      </c>
      <c r="FN32" s="3" t="str">
        <f t="shared" si="78"/>
        <v/>
      </c>
      <c r="FO32" s="146"/>
      <c r="FP32" s="146"/>
      <c r="FQ32" s="146"/>
      <c r="FR32" s="146"/>
      <c r="FS32" s="146"/>
      <c r="FT32" s="146"/>
      <c r="FU32" s="146"/>
      <c r="FV32" s="146"/>
      <c r="FW32" s="146"/>
      <c r="FX32" s="146" t="str">
        <f t="shared" si="9"/>
        <v/>
      </c>
      <c r="FY32" s="736"/>
      <c r="FZ32" s="740"/>
      <c r="GA32" s="740"/>
      <c r="GB32" s="717"/>
      <c r="GC32" s="838"/>
      <c r="GD32" s="736"/>
      <c r="GE32" s="146"/>
      <c r="GF32" s="506"/>
      <c r="GG32" s="506"/>
      <c r="GH32" s="506"/>
      <c r="GI32" s="506"/>
      <c r="GJ32" s="506"/>
      <c r="GM32" s="3">
        <f>IF(OR(GN32&gt;TABLERO!$M$19,GO32&gt;TABLERO!$M$19,GP32&gt;TABLERO!$M$19,B32=0,C32=0,D32=0),2,CUADROACAD!A32)</f>
        <v>2</v>
      </c>
      <c r="GN32" s="3">
        <f>IF(TABLERO!B32="",0,TABLERO!B32)</f>
        <v>2</v>
      </c>
      <c r="GO32" s="3">
        <f>IF(TABLERO!C32="",GN32,TABLERO!C32)</f>
        <v>2</v>
      </c>
      <c r="GP32" s="3">
        <f>IF(TABLERO!D32="",GN32,TABLERO!D32)</f>
        <v>2</v>
      </c>
    </row>
    <row r="33" spans="1:198" s="3" customFormat="1">
      <c r="A33" s="706"/>
      <c r="B33" s="869">
        <v>3</v>
      </c>
      <c r="C33" s="870" t="str">
        <f t="shared" si="15"/>
        <v/>
      </c>
      <c r="D33" s="870" t="str">
        <f t="shared" si="16"/>
        <v/>
      </c>
      <c r="E33" s="871"/>
      <c r="F33" s="872">
        <v>1</v>
      </c>
      <c r="G33" s="716">
        <f t="shared" si="17"/>
        <v>2</v>
      </c>
      <c r="H33" s="873" t="s">
        <v>12</v>
      </c>
      <c r="I33" s="874" t="str">
        <f t="shared" si="18"/>
        <v>CU</v>
      </c>
      <c r="J33" s="875">
        <v>6</v>
      </c>
      <c r="K33" s="876">
        <v>10</v>
      </c>
      <c r="L33" s="876">
        <v>3</v>
      </c>
      <c r="M33" s="877">
        <v>1</v>
      </c>
      <c r="N33" s="877">
        <v>1</v>
      </c>
      <c r="O33" s="878">
        <v>1</v>
      </c>
      <c r="P33" s="879">
        <v>4</v>
      </c>
      <c r="Q33" s="880">
        <v>1</v>
      </c>
      <c r="R33" s="880">
        <v>1</v>
      </c>
      <c r="S33" s="881">
        <v>1</v>
      </c>
      <c r="T33" s="881">
        <v>1</v>
      </c>
      <c r="U33" s="882">
        <v>1</v>
      </c>
      <c r="V33" s="883">
        <v>1</v>
      </c>
      <c r="W33" s="874" t="str">
        <f t="shared" si="19"/>
        <v>SI</v>
      </c>
      <c r="X33" s="884"/>
      <c r="Y33" s="885"/>
      <c r="Z33" s="885"/>
      <c r="AA33" s="885"/>
      <c r="AB33" s="885"/>
      <c r="AC33" s="885"/>
      <c r="AD33" s="885"/>
      <c r="AE33" s="885"/>
      <c r="AF33" s="885"/>
      <c r="AG33" s="885"/>
      <c r="AH33" s="885"/>
      <c r="AI33" s="885"/>
      <c r="AJ33" s="885"/>
      <c r="AK33" s="885"/>
      <c r="AL33" s="885"/>
      <c r="AM33" s="885"/>
      <c r="AN33" s="885"/>
      <c r="AO33" s="885"/>
      <c r="AP33" s="885"/>
      <c r="AQ33" s="885"/>
      <c r="AR33" s="885"/>
      <c r="AS33" s="885"/>
      <c r="AT33" s="885"/>
      <c r="AU33" s="885"/>
      <c r="AV33" s="885"/>
      <c r="AW33" s="885"/>
      <c r="AX33" s="885"/>
      <c r="AY33" s="885"/>
      <c r="AZ33" s="885"/>
      <c r="BA33" s="886"/>
      <c r="BB33" s="887">
        <f t="shared" si="20"/>
        <v>0</v>
      </c>
      <c r="BC33" s="888" t="str">
        <f t="shared" si="21"/>
        <v/>
      </c>
      <c r="BD33" s="889" t="str">
        <f t="shared" si="22"/>
        <v/>
      </c>
      <c r="BE33" s="889" t="str">
        <f t="shared" si="23"/>
        <v/>
      </c>
      <c r="BF33" s="889" t="str">
        <f t="shared" si="24"/>
        <v/>
      </c>
      <c r="BG33" s="889" t="str">
        <f t="shared" si="25"/>
        <v/>
      </c>
      <c r="BH33" s="889" t="str">
        <f t="shared" si="26"/>
        <v/>
      </c>
      <c r="BI33" s="890" t="str">
        <f t="shared" si="27"/>
        <v/>
      </c>
      <c r="BJ33" s="891" t="str">
        <f t="shared" si="28"/>
        <v/>
      </c>
      <c r="BK33" s="892" t="str">
        <f t="shared" si="29"/>
        <v/>
      </c>
      <c r="BL33" s="892" t="str">
        <f t="shared" si="30"/>
        <v/>
      </c>
      <c r="BM33" s="892" t="str">
        <f t="shared" si="31"/>
        <v/>
      </c>
      <c r="BN33" s="892" t="str">
        <f t="shared" si="32"/>
        <v/>
      </c>
      <c r="BO33" s="892" t="str">
        <f t="shared" si="33"/>
        <v/>
      </c>
      <c r="BP33" s="893" t="str">
        <f t="shared" si="34"/>
        <v/>
      </c>
      <c r="BQ33" s="894" t="str">
        <f t="shared" si="35"/>
        <v/>
      </c>
      <c r="BR33" s="895" t="str">
        <f t="shared" si="10"/>
        <v/>
      </c>
      <c r="BS33" s="896" t="str">
        <f t="shared" si="36"/>
        <v/>
      </c>
      <c r="BT33" s="897" t="str">
        <f t="shared" si="37"/>
        <v/>
      </c>
      <c r="BU33" s="231" t="str">
        <f t="shared" si="38"/>
        <v/>
      </c>
      <c r="BV33" s="898">
        <f t="shared" si="39"/>
        <v>127</v>
      </c>
      <c r="BW33" s="845" t="str">
        <f t="shared" si="40"/>
        <v/>
      </c>
      <c r="BX33" s="899" t="str">
        <f t="shared" si="41"/>
        <v/>
      </c>
      <c r="BY33" s="900" t="str" cm="1">
        <f t="array" ref="BY33">[1]!ACAELE_CAPACIDADCABLE(BB33,H33,I33,M33,BX33,N33)</f>
        <v/>
      </c>
      <c r="BZ33" s="900" t="str">
        <f t="shared" si="42"/>
        <v/>
      </c>
      <c r="CA33" s="901" t="str" cm="1">
        <f t="array" ref="CA33">[1]!ACAELE_cabledetierra(BZ33,$N$9,I33,BW33,BX33,G33)</f>
        <v/>
      </c>
      <c r="CB33" s="902" t="str" cm="1">
        <f t="array" ref="CB33">[1]!ACAELE_TAMATUBERIA(BX33,DU33,$N$9,M33,I33)</f>
        <v/>
      </c>
      <c r="CC33" s="846" t="str">
        <f t="shared" si="43"/>
        <v/>
      </c>
      <c r="CD33" s="903" t="str" cm="1">
        <f t="array" ref="CD33">[1]!ACAELE_CAPACIDADCABLE(BB33,H33,I33,M33,CC33,N33)</f>
        <v/>
      </c>
      <c r="CE33" s="903" t="str">
        <f t="shared" si="44"/>
        <v/>
      </c>
      <c r="CF33" s="904" t="str" cm="1">
        <f t="array" ref="CF33">[1]!ACAELE_cabledetierra(CE33,$N$9,I33,BW33,CC33,G33)</f>
        <v/>
      </c>
      <c r="CG33" s="905" t="str" cm="1">
        <f t="array" ref="CG33">[1]!ACAELE_TAMATUBERIA(CC33,EC33,$N$9,S33,I33)</f>
        <v/>
      </c>
      <c r="CH33" s="906" t="str">
        <f t="shared" si="45"/>
        <v/>
      </c>
      <c r="CI33" s="510" t="str">
        <f t="shared" si="46"/>
        <v>-</v>
      </c>
      <c r="CJ33" s="511" t="str">
        <f t="shared" si="47"/>
        <v>-</v>
      </c>
      <c r="CK33" s="512" t="str">
        <f t="shared" si="48"/>
        <v>-</v>
      </c>
      <c r="CL33" s="907" t="str">
        <f t="shared" si="49"/>
        <v>-</v>
      </c>
      <c r="CM33" s="908" t="str">
        <f t="shared" si="50"/>
        <v>-</v>
      </c>
      <c r="CN33" s="909" t="str">
        <f t="shared" si="51"/>
        <v>-</v>
      </c>
      <c r="CO33" s="910" t="str" cm="1">
        <f t="array" ref="CO33">[1]!ACAELE_fasecorresponde(B33,$F$10,$P$5)</f>
        <v>B</v>
      </c>
      <c r="CP33" s="910" t="str" cm="1">
        <f t="array" ref="CP33">[1]!ACAELE_fasecorresponde(C33,$F$10,$P$5)</f>
        <v>-</v>
      </c>
      <c r="CQ33" s="910" t="str" cm="1">
        <f t="array" ref="CQ33">[1]!ACAELE_fasecorresponde(D33,$F$10,$P$5)</f>
        <v>-</v>
      </c>
      <c r="CR33" s="911" t="str">
        <f t="shared" si="52"/>
        <v>C</v>
      </c>
      <c r="CS33" s="912">
        <f t="shared" si="53"/>
        <v>1</v>
      </c>
      <c r="CT33" s="913">
        <f t="shared" si="54"/>
        <v>0.8</v>
      </c>
      <c r="CU33" s="914" t="str">
        <f t="shared" si="55"/>
        <v/>
      </c>
      <c r="CV33" s="915">
        <f t="shared" si="56"/>
        <v>0</v>
      </c>
      <c r="CW33" s="916" t="str" cm="1">
        <f t="array" ref="CW33">[1]!ACAELE_Inominal(BB33,F33,BT33,BV33,DA33,G33,V33,$P$5)</f>
        <v/>
      </c>
      <c r="CX33" s="917" t="str" cm="1">
        <f t="array" ref="CX33">[1]!ACAELE_Disparocalculado(BB33,H33,DL33,$N$21,$M$21,$O$21,BV33,$P$5)</f>
        <v/>
      </c>
      <c r="CY33" s="918" t="str" cm="1">
        <f t="array" ref="CY33">[1]!ACAELE_Icorregida($A$27,H33,BB33,BU33,CS33,CT33,$P$5)</f>
        <v/>
      </c>
      <c r="CZ33" s="919" t="str" cm="1">
        <f t="array" ref="CZ33">[1]!ACAELE_Icorregida2($A$27,H33,BB33,BU33,CS33,CU33,$P$5)</f>
        <v/>
      </c>
      <c r="DA33" s="920">
        <f t="shared" si="57"/>
        <v>0.9</v>
      </c>
      <c r="DB33" s="921">
        <f t="shared" si="58"/>
        <v>0.43588989435406728</v>
      </c>
      <c r="DC33" s="922" t="str" cm="1">
        <f t="array" ref="DC33">[1]!ACAELE_CONDPORTCORRIENTE(H33,BB33,I33,M33,CY33,CZ33,N33,$P$5)</f>
        <v/>
      </c>
      <c r="DD33" s="923" t="str" cm="1">
        <f t="array" ref="DD33">[1]!ACAELE_CAPACONDCORRIENTE(BB33,H33,I33,M33,CY33,CZ33,$P$5)</f>
        <v/>
      </c>
      <c r="DE33" s="923" t="str" cm="1">
        <f t="array" ref="DE33">[1]!ACAELE_CAPACIDADCABLE(BB33,H33,I33,M33,DC33,N33,$P$5)</f>
        <v/>
      </c>
      <c r="DF33" s="924" t="str" cm="1">
        <f t="array" ref="DF33">[1]!ACAELE_encontrarcaida(BB33,H33,L33,BV33,F33,BU33,N33,K33)</f>
        <v/>
      </c>
      <c r="DG33" s="925" t="str" cm="1">
        <f t="array" ref="DG33">[1]!ACAELE_Cablecaida(BB33,H33,M33,I33,DF33)</f>
        <v/>
      </c>
      <c r="DH33" s="918" t="str" cm="1">
        <f t="array" ref="DH33">[1]!ACAELE_CAPACIDADCABLE(BB33,H33,I33,M33,DG33,N33,$P$5)</f>
        <v/>
      </c>
      <c r="DI33" s="926" t="str" cm="1">
        <f t="array" ref="DI33">IF($A$27=1,"",[1]!ACAELE_encontrarcaida(BB33,H33,R33,BV33,F33,BU33,T33,Q33,$P$5))</f>
        <v/>
      </c>
      <c r="DJ33" s="914" t="str" cm="1">
        <f t="array" ref="DJ33">IF($A$27=1,"",[1]!ACAELE_Cablecaida2(BB33,Q33,H33,S33,I33,DI33,$P$5))</f>
        <v/>
      </c>
      <c r="DK33" s="919" t="str" cm="1">
        <f t="array" ref="DK33">[1]!ACAELE_CAPACIDADCABLE(BB33,H33,I33,M33,DJ33,N33,$P$5)</f>
        <v/>
      </c>
      <c r="DL33" s="927" t="str" cm="1">
        <f t="array" ref="DL33">[1]!acaele_Iproteccion(BB33,H33,BU33,$F$20,$G$20,$F$19,$G$19,$H$20,$H$19,$P$5)</f>
        <v/>
      </c>
      <c r="DM33" s="928" cm="1">
        <f t="array" ref="DM33">[1]!acaele_ProtCalculada(CX33,H33,BT33,BW33,$G$21,$F$21,$H$21,$P$5)</f>
        <v>0</v>
      </c>
      <c r="DN33" s="929" t="str" cm="1">
        <f t="array" ref="DN33">[1]!ACAELE_cablecalculo(BB33,H33,I33,M33,EF33,$P$5)</f>
        <v/>
      </c>
      <c r="DO33" s="930" t="str" cm="1">
        <f t="array" ref="DO33">[1]!ACAELE_RESISTENCIA(BB33,H33,M33,I33,BX33, CW33,$P$5)</f>
        <v/>
      </c>
      <c r="DP33" s="931" t="str" cm="1">
        <f t="array" ref="DP33">[1]!ACAELE_REACTANCIA(BB33,H33,$F$11,M33,I33,BX33,$P$5)</f>
        <v/>
      </c>
      <c r="DQ33" s="918" t="str" cm="1">
        <f t="array" ref="DQ33">[1]!ACAELE_DIAMECAISLA(BB33,H33,I33,BX33,$P$5)</f>
        <v/>
      </c>
      <c r="DR33" s="918" t="str" cm="1">
        <f t="array" ref="DR33">[1]!ACAELE_AREACAISLAMIENTO(BB33,H33,DQ33,$P$5)</f>
        <v/>
      </c>
      <c r="DS33" s="918" t="str" cm="1">
        <f t="array" ref="DS33">[1]!ACAELE_CAIDAVOLTSFINAL(BB33,H33,F33,K33,BU33,N33,DO33,DA33,DP33,DB33,$P$5)</f>
        <v/>
      </c>
      <c r="DT33" s="918" t="str" cm="1">
        <f t="array" ref="DT33">[1]!ACAELE_AREACONDPTE(BB33,H33,CA33,$P$5)</f>
        <v/>
      </c>
      <c r="DU33" s="932" t="str" cm="1">
        <f t="array" ref="DU33">[1]!ACAELE_AREATOTAL(BZ33,M33,EO33,N33,DQ33,G33,DR33,DT33,N$20,$P$5)</f>
        <v/>
      </c>
      <c r="DV33" s="933" t="str" cm="1">
        <f t="array" ref="DV33">IF($A$27=1,"",[1]!ACAELE_cablecalculo(BB33,H33,I33,M33,EG33,$P$5))</f>
        <v/>
      </c>
      <c r="DW33" s="934" t="str" cm="1">
        <f t="array" ref="DW33">IF($A$27=1,"",[1]!ACAELE_RESISTENCIA(BB33,H33,M33,I33,CC33,CW33,$P$5))</f>
        <v/>
      </c>
      <c r="DX33" s="926" t="str" cm="1">
        <f t="array" ref="DX33">IF($A$27=1,"",[1]!ACAELE_REACTANCIA(BB33,H33,$F$11,M33,I33,CC33,$P$5))</f>
        <v/>
      </c>
      <c r="DY33" s="935" t="str" cm="1">
        <f t="array" ref="DY33">IF($A$27=1,"",[1]!ACAELE_DIAMECAISLA(BB33,H33,I33,CC33,$P$5))</f>
        <v/>
      </c>
      <c r="DZ33" s="935" t="str" cm="1">
        <f t="array" ref="DZ33">IF($A$27=1,"",[1]!ACAELE_AREACAISLAMIENTO(BB33,H33,DY33,$P$5))</f>
        <v/>
      </c>
      <c r="EA33" s="935" t="str" cm="1">
        <f t="array" ref="EA33">[1]!ACAELE_CAIDAVOLTSFINAL2(BB33,Q33,H33,F33,$A$27,BU33,T33,DW33,DA33,DX33,DB33)</f>
        <v/>
      </c>
      <c r="EB33" s="935" t="str" cm="1">
        <f t="array" ref="EB33">IF($A$27=1,"",[1]!ACAELE_AREACONDPTE(BB33,H33,CF33,$P$5))</f>
        <v/>
      </c>
      <c r="EC33" s="936" t="str" cm="1">
        <f t="array" ref="EC33">[1]!ACAELE_AREATOTAL2(H33,$A$27,DY33,S33,G33,T33,DZ33,U33,EB33)</f>
        <v/>
      </c>
      <c r="ED33" s="937" t="str">
        <f t="shared" si="59"/>
        <v/>
      </c>
      <c r="EE33" s="938" t="str">
        <f t="shared" si="60"/>
        <v/>
      </c>
      <c r="EF33" s="939" t="str">
        <f t="shared" si="61"/>
        <v/>
      </c>
      <c r="EG33" s="940">
        <f t="shared" si="62"/>
        <v>0</v>
      </c>
      <c r="EH33" s="941" t="str">
        <f t="shared" si="63"/>
        <v/>
      </c>
      <c r="EI33" s="942">
        <f t="shared" si="64"/>
        <v>30</v>
      </c>
      <c r="EJ33" s="943" t="str">
        <f t="shared" si="11"/>
        <v/>
      </c>
      <c r="EK33" s="943" t="str">
        <f t="shared" si="12"/>
        <v/>
      </c>
      <c r="EL33" s="943" t="str">
        <f t="shared" si="13"/>
        <v/>
      </c>
      <c r="EM33" s="944" t="str">
        <f t="shared" si="14"/>
        <v/>
      </c>
      <c r="EN33" s="945" t="str" cm="1">
        <f t="array" ref="EN33">[1]!ACAELE_MOTOR(H33,X33:BA33,$X$26:$BA$26,$P$5)</f>
        <v/>
      </c>
      <c r="EO33" s="550" t="str">
        <f t="shared" si="65"/>
        <v/>
      </c>
      <c r="EP33" s="431" t="s">
        <v>1214</v>
      </c>
      <c r="EQ33" s="434" t="str">
        <f t="shared" ca="1" si="66"/>
        <v/>
      </c>
      <c r="ER33" s="32"/>
      <c r="ES33" s="32"/>
      <c r="ET33" s="3" t="str">
        <f t="shared" si="67"/>
        <v/>
      </c>
      <c r="EU33" s="3" t="str">
        <f t="shared" si="68"/>
        <v/>
      </c>
      <c r="EV33" s="3" t="str">
        <f t="shared" si="69"/>
        <v/>
      </c>
      <c r="EW33" s="3" t="str">
        <f t="shared" si="70"/>
        <v/>
      </c>
      <c r="EX33" s="3" t="str">
        <f t="shared" si="71"/>
        <v/>
      </c>
      <c r="EY33" s="3" t="str">
        <f t="shared" si="72"/>
        <v/>
      </c>
      <c r="EZ33" s="3" t="str">
        <f t="shared" si="73"/>
        <v/>
      </c>
      <c r="FA33" s="3" t="str">
        <f t="shared" si="74"/>
        <v/>
      </c>
      <c r="FB33" s="3" t="str">
        <f t="shared" si="75"/>
        <v/>
      </c>
      <c r="FC33" s="3">
        <f t="shared" si="76"/>
        <v>0</v>
      </c>
      <c r="FD33" s="32"/>
      <c r="FE33" s="32"/>
      <c r="FF33" s="103">
        <v>1</v>
      </c>
      <c r="FG33" s="32"/>
      <c r="FH33" s="103"/>
      <c r="FI33" s="32"/>
      <c r="FJ33" s="103"/>
      <c r="FK33" s="3">
        <f t="shared" si="77"/>
        <v>0</v>
      </c>
      <c r="FL33" s="3" t="str" cm="1">
        <f t="array" aca="1" ref="FL33" ca="1">[1]!acaele_DIB_UNIFILAR(BB33,H33,F33,COUNTIF(X33:BA33,1),BW33)</f>
        <v/>
      </c>
      <c r="FM33" s="3" t="str">
        <f>IF(DATOS!$T$4=0,"",IF(DATOS!$T$4=1," (QO)",IF(DATOS!$T$4=2," (QOB)",IF(DATOS!$T$4=3," (EDB)",IF(DATOS!$T$4=4,IF(BW33&lt;151," (H"&amp;FN33&amp;")",IF(BW33&lt;251," (J"&amp;FN33&amp;")", IF(BW33&lt;401," (LA)",IF(BW33&lt;801," (MG)",IF(BW33&lt;5001," (POWERPACK)",""))))))))))</f>
        <v xml:space="preserve"> (QOB)</v>
      </c>
      <c r="FN33" s="3" t="str">
        <f t="shared" si="78"/>
        <v/>
      </c>
      <c r="FO33" s="146"/>
      <c r="FP33" s="146"/>
      <c r="FQ33" s="146"/>
      <c r="FR33" s="146"/>
      <c r="FS33" s="146"/>
      <c r="FT33" s="146"/>
      <c r="FU33" s="146"/>
      <c r="FV33" s="146"/>
      <c r="FW33" s="146"/>
      <c r="FX33" s="146" t="str">
        <f t="shared" si="9"/>
        <v/>
      </c>
      <c r="FY33" s="736"/>
      <c r="FZ33" s="740"/>
      <c r="GA33" s="740"/>
      <c r="GB33" s="717"/>
      <c r="GC33" s="838"/>
      <c r="GD33" s="736"/>
      <c r="GE33" s="146"/>
      <c r="GF33" s="506"/>
      <c r="GG33" s="506"/>
      <c r="GH33" s="506"/>
      <c r="GI33" s="506"/>
      <c r="GJ33" s="506"/>
      <c r="GM33" s="3">
        <f>IF(OR(GN33&gt;TABLERO!$M$19,GO33&gt;TABLERO!$M$19,GP33&gt;TABLERO!$M$19,B33=0,C33=0,D33=0),2,CUADROACAD!A33)</f>
        <v>2</v>
      </c>
      <c r="GN33" s="3">
        <f>IF(TABLERO!B33="",0,TABLERO!B33)</f>
        <v>3</v>
      </c>
      <c r="GO33" s="3">
        <f>IF(TABLERO!C33="",GN33,TABLERO!C33)</f>
        <v>3</v>
      </c>
      <c r="GP33" s="3">
        <f>IF(TABLERO!D33="",GN33,TABLERO!D33)</f>
        <v>3</v>
      </c>
    </row>
    <row r="34" spans="1:198" s="3" customFormat="1">
      <c r="A34" s="706"/>
      <c r="B34" s="869">
        <v>4</v>
      </c>
      <c r="C34" s="870" t="str">
        <f t="shared" si="15"/>
        <v/>
      </c>
      <c r="D34" s="870" t="str">
        <f t="shared" si="16"/>
        <v/>
      </c>
      <c r="E34" s="871"/>
      <c r="F34" s="872">
        <v>1</v>
      </c>
      <c r="G34" s="716">
        <f t="shared" si="17"/>
        <v>2</v>
      </c>
      <c r="H34" s="873" t="s">
        <v>12</v>
      </c>
      <c r="I34" s="874" t="str">
        <f t="shared" si="18"/>
        <v>CU</v>
      </c>
      <c r="J34" s="875">
        <v>6</v>
      </c>
      <c r="K34" s="876">
        <v>10</v>
      </c>
      <c r="L34" s="876">
        <v>3</v>
      </c>
      <c r="M34" s="877">
        <v>1</v>
      </c>
      <c r="N34" s="877">
        <v>1</v>
      </c>
      <c r="O34" s="878">
        <v>1</v>
      </c>
      <c r="P34" s="879">
        <v>4</v>
      </c>
      <c r="Q34" s="880">
        <v>1</v>
      </c>
      <c r="R34" s="880">
        <v>1</v>
      </c>
      <c r="S34" s="881">
        <v>1</v>
      </c>
      <c r="T34" s="881">
        <v>1</v>
      </c>
      <c r="U34" s="882">
        <v>1</v>
      </c>
      <c r="V34" s="883">
        <v>1</v>
      </c>
      <c r="W34" s="874" t="str">
        <f t="shared" si="19"/>
        <v>SI</v>
      </c>
      <c r="X34" s="884"/>
      <c r="Y34" s="885"/>
      <c r="Z34" s="885"/>
      <c r="AA34" s="885"/>
      <c r="AB34" s="885"/>
      <c r="AC34" s="885"/>
      <c r="AD34" s="885"/>
      <c r="AE34" s="885"/>
      <c r="AF34" s="885"/>
      <c r="AG34" s="885"/>
      <c r="AH34" s="885"/>
      <c r="AI34" s="885"/>
      <c r="AJ34" s="885"/>
      <c r="AK34" s="885"/>
      <c r="AL34" s="885"/>
      <c r="AM34" s="885"/>
      <c r="AN34" s="885"/>
      <c r="AO34" s="885"/>
      <c r="AP34" s="885"/>
      <c r="AQ34" s="885"/>
      <c r="AR34" s="885"/>
      <c r="AS34" s="885"/>
      <c r="AT34" s="885"/>
      <c r="AU34" s="885"/>
      <c r="AV34" s="885"/>
      <c r="AW34" s="885"/>
      <c r="AX34" s="885"/>
      <c r="AY34" s="885"/>
      <c r="AZ34" s="885"/>
      <c r="BA34" s="886"/>
      <c r="BB34" s="887">
        <f t="shared" si="20"/>
        <v>0</v>
      </c>
      <c r="BC34" s="888" t="str">
        <f t="shared" si="21"/>
        <v/>
      </c>
      <c r="BD34" s="889" t="str">
        <f t="shared" si="22"/>
        <v/>
      </c>
      <c r="BE34" s="889" t="str">
        <f t="shared" si="23"/>
        <v/>
      </c>
      <c r="BF34" s="889" t="str">
        <f t="shared" si="24"/>
        <v/>
      </c>
      <c r="BG34" s="889" t="str">
        <f t="shared" si="25"/>
        <v/>
      </c>
      <c r="BH34" s="889" t="str">
        <f t="shared" si="26"/>
        <v/>
      </c>
      <c r="BI34" s="890" t="str">
        <f t="shared" si="27"/>
        <v/>
      </c>
      <c r="BJ34" s="891" t="str">
        <f t="shared" si="28"/>
        <v/>
      </c>
      <c r="BK34" s="892" t="str">
        <f t="shared" si="29"/>
        <v/>
      </c>
      <c r="BL34" s="892" t="str">
        <f t="shared" si="30"/>
        <v/>
      </c>
      <c r="BM34" s="892" t="str">
        <f t="shared" si="31"/>
        <v/>
      </c>
      <c r="BN34" s="892" t="str">
        <f t="shared" si="32"/>
        <v/>
      </c>
      <c r="BO34" s="892" t="str">
        <f t="shared" si="33"/>
        <v/>
      </c>
      <c r="BP34" s="893" t="str">
        <f t="shared" si="34"/>
        <v/>
      </c>
      <c r="BQ34" s="894" t="str">
        <f t="shared" si="35"/>
        <v/>
      </c>
      <c r="BR34" s="895" t="str">
        <f t="shared" si="10"/>
        <v/>
      </c>
      <c r="BS34" s="896" t="str">
        <f t="shared" si="36"/>
        <v/>
      </c>
      <c r="BT34" s="897" t="str">
        <f t="shared" si="37"/>
        <v/>
      </c>
      <c r="BU34" s="231" t="str">
        <f t="shared" si="38"/>
        <v/>
      </c>
      <c r="BV34" s="898">
        <f t="shared" si="39"/>
        <v>127</v>
      </c>
      <c r="BW34" s="845" t="str">
        <f t="shared" si="40"/>
        <v/>
      </c>
      <c r="BX34" s="899" t="str">
        <f t="shared" si="41"/>
        <v/>
      </c>
      <c r="BY34" s="900" t="str" cm="1">
        <f t="array" ref="BY34">[1]!ACAELE_CAPACIDADCABLE(BB34,H34,I34,M34,BX34,N34)</f>
        <v/>
      </c>
      <c r="BZ34" s="900" t="str">
        <f t="shared" si="42"/>
        <v/>
      </c>
      <c r="CA34" s="901" t="str" cm="1">
        <f t="array" ref="CA34">[1]!ACAELE_cabledetierra(BZ34,$N$9,I34,BW34,BX34,G34)</f>
        <v/>
      </c>
      <c r="CB34" s="902" t="str" cm="1">
        <f t="array" ref="CB34">[1]!ACAELE_TAMATUBERIA(BX34,DU34,$N$9,M34,I34)</f>
        <v/>
      </c>
      <c r="CC34" s="846" t="str">
        <f t="shared" si="43"/>
        <v/>
      </c>
      <c r="CD34" s="903" t="str" cm="1">
        <f t="array" ref="CD34">[1]!ACAELE_CAPACIDADCABLE(BB34,H34,I34,M34,CC34,N34)</f>
        <v/>
      </c>
      <c r="CE34" s="903" t="str">
        <f t="shared" si="44"/>
        <v/>
      </c>
      <c r="CF34" s="904" t="str" cm="1">
        <f t="array" ref="CF34">[1]!ACAELE_cabledetierra(CE34,$N$9,I34,BW34,CC34,G34)</f>
        <v/>
      </c>
      <c r="CG34" s="905" t="str" cm="1">
        <f t="array" ref="CG34">[1]!ACAELE_TAMATUBERIA(CC34,EC34,$N$9,S34,I34)</f>
        <v/>
      </c>
      <c r="CH34" s="906" t="str">
        <f t="shared" si="45"/>
        <v/>
      </c>
      <c r="CI34" s="510" t="str">
        <f t="shared" si="46"/>
        <v>-</v>
      </c>
      <c r="CJ34" s="511" t="str">
        <f t="shared" si="47"/>
        <v>-</v>
      </c>
      <c r="CK34" s="512" t="str">
        <f t="shared" si="48"/>
        <v>-</v>
      </c>
      <c r="CL34" s="907" t="str">
        <f t="shared" si="49"/>
        <v>-</v>
      </c>
      <c r="CM34" s="908" t="str">
        <f t="shared" si="50"/>
        <v>-</v>
      </c>
      <c r="CN34" s="909" t="str">
        <f t="shared" si="51"/>
        <v>-</v>
      </c>
      <c r="CO34" s="910" t="str" cm="1">
        <f t="array" ref="CO34">[1]!ACAELE_fasecorresponde(B34,$F$10,$P$5)</f>
        <v>B</v>
      </c>
      <c r="CP34" s="910" t="str" cm="1">
        <f t="array" ref="CP34">[1]!ACAELE_fasecorresponde(C34,$F$10,$P$5)</f>
        <v>-</v>
      </c>
      <c r="CQ34" s="910" t="str" cm="1">
        <f t="array" ref="CQ34">[1]!ACAELE_fasecorresponde(D34,$F$10,$P$5)</f>
        <v>-</v>
      </c>
      <c r="CR34" s="911" t="str">
        <f t="shared" si="52"/>
        <v>C</v>
      </c>
      <c r="CS34" s="912">
        <f t="shared" si="53"/>
        <v>1</v>
      </c>
      <c r="CT34" s="913">
        <f t="shared" si="54"/>
        <v>0.8</v>
      </c>
      <c r="CU34" s="914" t="str">
        <f t="shared" si="55"/>
        <v/>
      </c>
      <c r="CV34" s="915">
        <f t="shared" si="56"/>
        <v>0</v>
      </c>
      <c r="CW34" s="916" t="str" cm="1">
        <f t="array" ref="CW34">[1]!ACAELE_Inominal(BB34,F34,BT34,BV34,DA34,G34,V34,$P$5)</f>
        <v/>
      </c>
      <c r="CX34" s="917" t="str" cm="1">
        <f t="array" ref="CX34">[1]!ACAELE_Disparocalculado(BB34,H34,DL34,$N$21,$M$21,$O$21,BV34,$P$5)</f>
        <v/>
      </c>
      <c r="CY34" s="918" t="str" cm="1">
        <f t="array" ref="CY34">[1]!ACAELE_Icorregida($A$27,H34,BB34,BU34,CS34,CT34,$P$5)</f>
        <v/>
      </c>
      <c r="CZ34" s="919" t="str" cm="1">
        <f t="array" ref="CZ34">[1]!ACAELE_Icorregida2($A$27,H34,BB34,BU34,CS34,CU34,$P$5)</f>
        <v/>
      </c>
      <c r="DA34" s="920">
        <f t="shared" si="57"/>
        <v>0.9</v>
      </c>
      <c r="DB34" s="921">
        <f t="shared" si="58"/>
        <v>0.43588989435406728</v>
      </c>
      <c r="DC34" s="922" t="str" cm="1">
        <f t="array" ref="DC34">[1]!ACAELE_CONDPORTCORRIENTE(H34,BB34,I34,M34,CY34,CZ34,N34,$P$5)</f>
        <v/>
      </c>
      <c r="DD34" s="923" t="str" cm="1">
        <f t="array" ref="DD34">[1]!ACAELE_CAPACONDCORRIENTE(BB34,H34,I34,M34,CY34,CZ34,$P$5)</f>
        <v/>
      </c>
      <c r="DE34" s="923" t="str" cm="1">
        <f t="array" ref="DE34">[1]!ACAELE_CAPACIDADCABLE(BB34,H34,I34,M34,DC34,N34,$P$5)</f>
        <v/>
      </c>
      <c r="DF34" s="924" t="str" cm="1">
        <f t="array" ref="DF34">[1]!ACAELE_encontrarcaida(BB34,H34,L34,BV34,F34,BU34,N34,K34)</f>
        <v/>
      </c>
      <c r="DG34" s="925" t="str" cm="1">
        <f t="array" ref="DG34">[1]!ACAELE_Cablecaida(BB34,H34,M34,I34,DF34)</f>
        <v/>
      </c>
      <c r="DH34" s="918" t="str" cm="1">
        <f t="array" ref="DH34">[1]!ACAELE_CAPACIDADCABLE(BB34,H34,I34,M34,DG34,N34,$P$5)</f>
        <v/>
      </c>
      <c r="DI34" s="926" t="str" cm="1">
        <f t="array" ref="DI34">IF($A$27=1,"",[1]!ACAELE_encontrarcaida(BB34,H34,R34,BV34,F34,BU34,T34,Q34,$P$5))</f>
        <v/>
      </c>
      <c r="DJ34" s="914" t="str" cm="1">
        <f t="array" ref="DJ34">IF($A$27=1,"",[1]!ACAELE_Cablecaida2(BB34,Q34,H34,S34,I34,DI34,$P$5))</f>
        <v/>
      </c>
      <c r="DK34" s="919" t="str" cm="1">
        <f t="array" ref="DK34">[1]!ACAELE_CAPACIDADCABLE(BB34,H34,I34,M34,DJ34,N34,$P$5)</f>
        <v/>
      </c>
      <c r="DL34" s="927" t="str" cm="1">
        <f t="array" ref="DL34">[1]!acaele_Iproteccion(BB34,H34,BU34,$F$20,$G$20,$F$19,$G$19,$H$20,$H$19,$P$5)</f>
        <v/>
      </c>
      <c r="DM34" s="928" cm="1">
        <f t="array" ref="DM34">[1]!acaele_ProtCalculada(CX34,H34,BT34,BW34,$G$21,$F$21,$H$21,$P$5)</f>
        <v>0</v>
      </c>
      <c r="DN34" s="929" t="str" cm="1">
        <f t="array" ref="DN34">[1]!ACAELE_cablecalculo(BB34,H34,I34,M34,EF34,$P$5)</f>
        <v/>
      </c>
      <c r="DO34" s="930" t="str" cm="1">
        <f t="array" ref="DO34">[1]!ACAELE_RESISTENCIA(BB34,H34,M34,I34,BX34, CW34,$P$5)</f>
        <v/>
      </c>
      <c r="DP34" s="931" t="str" cm="1">
        <f t="array" ref="DP34">[1]!ACAELE_REACTANCIA(BB34,H34,$F$11,M34,I34,BX34,$P$5)</f>
        <v/>
      </c>
      <c r="DQ34" s="918" t="str" cm="1">
        <f t="array" ref="DQ34">[1]!ACAELE_DIAMECAISLA(BB34,H34,I34,BX34,$P$5)</f>
        <v/>
      </c>
      <c r="DR34" s="918" t="str" cm="1">
        <f t="array" ref="DR34">[1]!ACAELE_AREACAISLAMIENTO(BB34,H34,DQ34,$P$5)</f>
        <v/>
      </c>
      <c r="DS34" s="918" t="str" cm="1">
        <f t="array" ref="DS34">[1]!ACAELE_CAIDAVOLTSFINAL(BB34,H34,F34,K34,BU34,N34,DO34,DA34,DP34,DB34,$P$5)</f>
        <v/>
      </c>
      <c r="DT34" s="918" t="str" cm="1">
        <f t="array" ref="DT34">[1]!ACAELE_AREACONDPTE(BB34,H34,CA34,$P$5)</f>
        <v/>
      </c>
      <c r="DU34" s="932" t="str" cm="1">
        <f t="array" ref="DU34">[1]!ACAELE_AREATOTAL(BZ34,M34,EO34,N34,DQ34,G34,DR34,DT34,N$20,$P$5)</f>
        <v/>
      </c>
      <c r="DV34" s="933" t="str" cm="1">
        <f t="array" ref="DV34">IF($A$27=1,"",[1]!ACAELE_cablecalculo(BB34,H34,I34,M34,EG34,$P$5))</f>
        <v/>
      </c>
      <c r="DW34" s="934" t="str" cm="1">
        <f t="array" ref="DW34">IF($A$27=1,"",[1]!ACAELE_RESISTENCIA(BB34,H34,M34,I34,CC34,CW34,$P$5))</f>
        <v/>
      </c>
      <c r="DX34" s="926" t="str" cm="1">
        <f t="array" ref="DX34">IF($A$27=1,"",[1]!ACAELE_REACTANCIA(BB34,H34,$F$11,M34,I34,CC34,$P$5))</f>
        <v/>
      </c>
      <c r="DY34" s="935" t="str" cm="1">
        <f t="array" ref="DY34">IF($A$27=1,"",[1]!ACAELE_DIAMECAISLA(BB34,H34,I34,CC34,$P$5))</f>
        <v/>
      </c>
      <c r="DZ34" s="935" t="str" cm="1">
        <f t="array" ref="DZ34">IF($A$27=1,"",[1]!ACAELE_AREACAISLAMIENTO(BB34,H34,DY34,$P$5))</f>
        <v/>
      </c>
      <c r="EA34" s="935" t="str" cm="1">
        <f t="array" ref="EA34">[1]!ACAELE_CAIDAVOLTSFINAL2(BB34,Q34,H34,F34,$A$27,BU34,T34,DW34,DA34,DX34,DB34)</f>
        <v/>
      </c>
      <c r="EB34" s="935" t="str" cm="1">
        <f t="array" ref="EB34">IF($A$27=1,"",[1]!ACAELE_AREACONDPTE(BB34,H34,CF34,$P$5))</f>
        <v/>
      </c>
      <c r="EC34" s="936" t="str" cm="1">
        <f t="array" ref="EC34">[1]!ACAELE_AREATOTAL2(H34,$A$27,DY34,S34,G34,T34,DZ34,U34,EB34)</f>
        <v/>
      </c>
      <c r="ED34" s="937" t="str">
        <f t="shared" si="59"/>
        <v/>
      </c>
      <c r="EE34" s="938" t="str">
        <f t="shared" si="60"/>
        <v/>
      </c>
      <c r="EF34" s="939" t="str">
        <f t="shared" si="61"/>
        <v/>
      </c>
      <c r="EG34" s="940">
        <f t="shared" si="62"/>
        <v>0</v>
      </c>
      <c r="EH34" s="941" t="str">
        <f t="shared" si="63"/>
        <v/>
      </c>
      <c r="EI34" s="942">
        <f t="shared" si="64"/>
        <v>30</v>
      </c>
      <c r="EJ34" s="943" t="str">
        <f t="shared" si="11"/>
        <v/>
      </c>
      <c r="EK34" s="943" t="str">
        <f t="shared" si="12"/>
        <v/>
      </c>
      <c r="EL34" s="943" t="str">
        <f t="shared" si="13"/>
        <v/>
      </c>
      <c r="EM34" s="944" t="str">
        <f t="shared" si="14"/>
        <v/>
      </c>
      <c r="EN34" s="945" t="str" cm="1">
        <f t="array" ref="EN34">[1]!ACAELE_MOTOR(H34,X34:BA34,$X$26:$BA$26,$P$5)</f>
        <v/>
      </c>
      <c r="EO34" s="550" t="str">
        <f t="shared" si="65"/>
        <v/>
      </c>
      <c r="EP34" s="431" t="s">
        <v>1214</v>
      </c>
      <c r="EQ34" s="434" t="str">
        <f t="shared" ca="1" si="66"/>
        <v/>
      </c>
      <c r="ER34" s="32"/>
      <c r="ES34" s="32"/>
      <c r="ET34" s="3" t="str">
        <f t="shared" si="67"/>
        <v/>
      </c>
      <c r="EU34" s="3" t="str">
        <f t="shared" si="68"/>
        <v/>
      </c>
      <c r="EV34" s="3" t="str">
        <f t="shared" si="69"/>
        <v/>
      </c>
      <c r="EW34" s="3" t="str">
        <f t="shared" si="70"/>
        <v/>
      </c>
      <c r="EX34" s="3" t="str">
        <f t="shared" si="71"/>
        <v/>
      </c>
      <c r="EY34" s="3" t="str">
        <f t="shared" si="72"/>
        <v/>
      </c>
      <c r="EZ34" s="3" t="str">
        <f t="shared" si="73"/>
        <v/>
      </c>
      <c r="FA34" s="3" t="str">
        <f t="shared" si="74"/>
        <v/>
      </c>
      <c r="FB34" s="3" t="str">
        <f t="shared" si="75"/>
        <v/>
      </c>
      <c r="FC34" s="3">
        <f t="shared" si="76"/>
        <v>0</v>
      </c>
      <c r="FD34" s="32"/>
      <c r="FE34" s="32"/>
      <c r="FF34" s="103">
        <v>1</v>
      </c>
      <c r="FG34" s="32"/>
      <c r="FH34" s="103"/>
      <c r="FI34" s="32"/>
      <c r="FJ34" s="103"/>
      <c r="FK34" s="3">
        <f t="shared" si="77"/>
        <v>0</v>
      </c>
      <c r="FL34" s="3" t="str" cm="1">
        <f t="array" aca="1" ref="FL34" ca="1">[1]!acaele_DIB_UNIFILAR(BB34,H34,F34,COUNTIF(X34:BA34,1),BW34)</f>
        <v/>
      </c>
      <c r="FM34" s="3" t="str">
        <f>IF(DATOS!$T$4=0,"",IF(DATOS!$T$4=1," (QO)",IF(DATOS!$T$4=2," (QOB)",IF(DATOS!$T$4=3," (EDB)",IF(DATOS!$T$4=4,IF(BW34&lt;151," (H"&amp;FN34&amp;")",IF(BW34&lt;251," (J"&amp;FN34&amp;")", IF(BW34&lt;401," (LA)",IF(BW34&lt;801," (MG)",IF(BW34&lt;5001," (POWERPACK)",""))))))))))</f>
        <v xml:space="preserve"> (QOB)</v>
      </c>
      <c r="FN34" s="3" t="str">
        <f t="shared" si="78"/>
        <v/>
      </c>
      <c r="FO34" s="146"/>
      <c r="FP34" s="146"/>
      <c r="FQ34" s="146"/>
      <c r="FR34" s="146"/>
      <c r="FS34" s="146"/>
      <c r="FT34" s="146"/>
      <c r="FU34" s="146"/>
      <c r="FV34" s="146"/>
      <c r="FW34" s="146"/>
      <c r="FX34" s="146" t="str">
        <f t="shared" si="9"/>
        <v/>
      </c>
      <c r="FY34" s="736"/>
      <c r="FZ34" s="740"/>
      <c r="GA34" s="740"/>
      <c r="GB34" s="717"/>
      <c r="GC34" s="838"/>
      <c r="GD34" s="736"/>
      <c r="GE34" s="146"/>
      <c r="GF34" s="506"/>
      <c r="GG34" s="506"/>
      <c r="GH34" s="506"/>
      <c r="GI34" s="506"/>
      <c r="GJ34" s="506"/>
      <c r="GM34" s="3">
        <f>IF(OR(GN34&gt;TABLERO!$M$19,GO34&gt;TABLERO!$M$19,GP34&gt;TABLERO!$M$19,B34=0,C34=0,D34=0),2,CUADROACAD!A34)</f>
        <v>2</v>
      </c>
      <c r="GN34" s="3">
        <f>IF(TABLERO!B34="",0,TABLERO!B34)</f>
        <v>4</v>
      </c>
      <c r="GO34" s="3">
        <f>IF(TABLERO!C34="",GN34,TABLERO!C34)</f>
        <v>4</v>
      </c>
      <c r="GP34" s="3">
        <f>IF(TABLERO!D34="",GN34,TABLERO!D34)</f>
        <v>4</v>
      </c>
    </row>
    <row r="35" spans="1:198" s="3" customFormat="1">
      <c r="A35" s="706"/>
      <c r="B35" s="869">
        <v>5</v>
      </c>
      <c r="C35" s="870" t="str">
        <f t="shared" si="15"/>
        <v/>
      </c>
      <c r="D35" s="870" t="str">
        <f t="shared" si="16"/>
        <v/>
      </c>
      <c r="E35" s="871"/>
      <c r="F35" s="872">
        <v>1</v>
      </c>
      <c r="G35" s="716">
        <f t="shared" si="17"/>
        <v>2</v>
      </c>
      <c r="H35" s="873" t="s">
        <v>12</v>
      </c>
      <c r="I35" s="874" t="str">
        <f t="shared" si="18"/>
        <v>CU</v>
      </c>
      <c r="J35" s="875">
        <v>6</v>
      </c>
      <c r="K35" s="876">
        <v>10</v>
      </c>
      <c r="L35" s="876">
        <v>3</v>
      </c>
      <c r="M35" s="877">
        <v>1</v>
      </c>
      <c r="N35" s="877">
        <v>1</v>
      </c>
      <c r="O35" s="878">
        <v>1</v>
      </c>
      <c r="P35" s="879">
        <v>4</v>
      </c>
      <c r="Q35" s="880">
        <v>1</v>
      </c>
      <c r="R35" s="880">
        <v>1</v>
      </c>
      <c r="S35" s="881">
        <v>1</v>
      </c>
      <c r="T35" s="881">
        <v>1</v>
      </c>
      <c r="U35" s="882">
        <v>1</v>
      </c>
      <c r="V35" s="883">
        <v>1</v>
      </c>
      <c r="W35" s="874" t="str">
        <f t="shared" si="19"/>
        <v>SI</v>
      </c>
      <c r="X35" s="884"/>
      <c r="Y35" s="885"/>
      <c r="Z35" s="885"/>
      <c r="AA35" s="885"/>
      <c r="AB35" s="885"/>
      <c r="AC35" s="885"/>
      <c r="AD35" s="885"/>
      <c r="AE35" s="885"/>
      <c r="AF35" s="885"/>
      <c r="AG35" s="885"/>
      <c r="AH35" s="885"/>
      <c r="AI35" s="885"/>
      <c r="AJ35" s="885"/>
      <c r="AK35" s="885"/>
      <c r="AL35" s="885"/>
      <c r="AM35" s="885"/>
      <c r="AN35" s="885"/>
      <c r="AO35" s="885"/>
      <c r="AP35" s="885"/>
      <c r="AQ35" s="885"/>
      <c r="AR35" s="885"/>
      <c r="AS35" s="885"/>
      <c r="AT35" s="885"/>
      <c r="AU35" s="885"/>
      <c r="AV35" s="885"/>
      <c r="AW35" s="885"/>
      <c r="AX35" s="885"/>
      <c r="AY35" s="885"/>
      <c r="AZ35" s="885"/>
      <c r="BA35" s="886"/>
      <c r="BB35" s="887">
        <f t="shared" si="20"/>
        <v>0</v>
      </c>
      <c r="BC35" s="888" t="str">
        <f t="shared" si="21"/>
        <v/>
      </c>
      <c r="BD35" s="889" t="str">
        <f t="shared" si="22"/>
        <v/>
      </c>
      <c r="BE35" s="889" t="str">
        <f t="shared" si="23"/>
        <v/>
      </c>
      <c r="BF35" s="889" t="str">
        <f t="shared" si="24"/>
        <v/>
      </c>
      <c r="BG35" s="889" t="str">
        <f t="shared" si="25"/>
        <v/>
      </c>
      <c r="BH35" s="889" t="str">
        <f t="shared" si="26"/>
        <v/>
      </c>
      <c r="BI35" s="890" t="str">
        <f t="shared" si="27"/>
        <v/>
      </c>
      <c r="BJ35" s="891" t="str">
        <f t="shared" si="28"/>
        <v/>
      </c>
      <c r="BK35" s="892" t="str">
        <f t="shared" si="29"/>
        <v/>
      </c>
      <c r="BL35" s="892" t="str">
        <f t="shared" si="30"/>
        <v/>
      </c>
      <c r="BM35" s="892" t="str">
        <f t="shared" si="31"/>
        <v/>
      </c>
      <c r="BN35" s="892" t="str">
        <f t="shared" si="32"/>
        <v/>
      </c>
      <c r="BO35" s="892" t="str">
        <f t="shared" si="33"/>
        <v/>
      </c>
      <c r="BP35" s="893" t="str">
        <f t="shared" si="34"/>
        <v/>
      </c>
      <c r="BQ35" s="894" t="str">
        <f t="shared" si="35"/>
        <v/>
      </c>
      <c r="BR35" s="895" t="str">
        <f t="shared" si="10"/>
        <v/>
      </c>
      <c r="BS35" s="896" t="str">
        <f t="shared" si="36"/>
        <v/>
      </c>
      <c r="BT35" s="897" t="str">
        <f t="shared" si="37"/>
        <v/>
      </c>
      <c r="BU35" s="231" t="str">
        <f t="shared" si="38"/>
        <v/>
      </c>
      <c r="BV35" s="898">
        <f t="shared" si="39"/>
        <v>127</v>
      </c>
      <c r="BW35" s="845" t="str">
        <f t="shared" si="40"/>
        <v/>
      </c>
      <c r="BX35" s="899" t="str">
        <f t="shared" si="41"/>
        <v/>
      </c>
      <c r="BY35" s="900" t="str" cm="1">
        <f t="array" ref="BY35">[1]!ACAELE_CAPACIDADCABLE(BB35,H35,I35,M35,BX35,N35)</f>
        <v/>
      </c>
      <c r="BZ35" s="900" t="str">
        <f t="shared" si="42"/>
        <v/>
      </c>
      <c r="CA35" s="901" t="str" cm="1">
        <f t="array" ref="CA35">[1]!ACAELE_cabledetierra(BZ35,$N$9,I35,BW35,BX35,G35)</f>
        <v/>
      </c>
      <c r="CB35" s="902" t="str" cm="1">
        <f t="array" ref="CB35">[1]!ACAELE_TAMATUBERIA(BX35,DU35,$N$9,M35,I35)</f>
        <v/>
      </c>
      <c r="CC35" s="846" t="str">
        <f t="shared" si="43"/>
        <v/>
      </c>
      <c r="CD35" s="903" t="str" cm="1">
        <f t="array" ref="CD35">[1]!ACAELE_CAPACIDADCABLE(BB35,H35,I35,M35,CC35,N35)</f>
        <v/>
      </c>
      <c r="CE35" s="903" t="str">
        <f t="shared" si="44"/>
        <v/>
      </c>
      <c r="CF35" s="904" t="str" cm="1">
        <f t="array" ref="CF35">[1]!ACAELE_cabledetierra(CE35,$N$9,I35,BW35,CC35,G35)</f>
        <v/>
      </c>
      <c r="CG35" s="905" t="str" cm="1">
        <f t="array" ref="CG35">[1]!ACAELE_TAMATUBERIA(CC35,EC35,$N$9,S35,I35)</f>
        <v/>
      </c>
      <c r="CH35" s="906" t="str">
        <f t="shared" si="45"/>
        <v/>
      </c>
      <c r="CI35" s="510" t="str">
        <f t="shared" si="46"/>
        <v>-</v>
      </c>
      <c r="CJ35" s="511" t="str">
        <f t="shared" si="47"/>
        <v>-</v>
      </c>
      <c r="CK35" s="512" t="str">
        <f t="shared" si="48"/>
        <v>-</v>
      </c>
      <c r="CL35" s="907" t="str">
        <f t="shared" si="49"/>
        <v>-</v>
      </c>
      <c r="CM35" s="908" t="str">
        <f t="shared" si="50"/>
        <v>-</v>
      </c>
      <c r="CN35" s="909" t="str">
        <f t="shared" si="51"/>
        <v>-</v>
      </c>
      <c r="CO35" s="910" t="str" cm="1">
        <f t="array" ref="CO35">[1]!ACAELE_fasecorresponde(B35,$F$10,$P$5)</f>
        <v>C</v>
      </c>
      <c r="CP35" s="910" t="str" cm="1">
        <f t="array" ref="CP35">[1]!ACAELE_fasecorresponde(C35,$F$10,$P$5)</f>
        <v>-</v>
      </c>
      <c r="CQ35" s="910" t="str" cm="1">
        <f t="array" ref="CQ35">[1]!ACAELE_fasecorresponde(D35,$F$10,$P$5)</f>
        <v>-</v>
      </c>
      <c r="CR35" s="911" t="str">
        <f t="shared" si="52"/>
        <v>C</v>
      </c>
      <c r="CS35" s="912">
        <f t="shared" si="53"/>
        <v>1</v>
      </c>
      <c r="CT35" s="913">
        <f t="shared" si="54"/>
        <v>0.8</v>
      </c>
      <c r="CU35" s="914" t="str">
        <f t="shared" si="55"/>
        <v/>
      </c>
      <c r="CV35" s="915">
        <f t="shared" si="56"/>
        <v>0</v>
      </c>
      <c r="CW35" s="916" t="str" cm="1">
        <f t="array" ref="CW35">[1]!ACAELE_Inominal(BB35,F35,BT35,BV35,DA35,G35,V35,$P$5)</f>
        <v/>
      </c>
      <c r="CX35" s="917" t="str" cm="1">
        <f t="array" ref="CX35">[1]!ACAELE_Disparocalculado(BB35,H35,DL35,$N$21,$M$21,$O$21,BV35,$P$5)</f>
        <v/>
      </c>
      <c r="CY35" s="918" t="str" cm="1">
        <f t="array" ref="CY35">[1]!ACAELE_Icorregida($A$27,H35,BB35,BU35,CS35,CT35,$P$5)</f>
        <v/>
      </c>
      <c r="CZ35" s="919" t="str" cm="1">
        <f t="array" ref="CZ35">[1]!ACAELE_Icorregida2($A$27,H35,BB35,BU35,CS35,CU35,$P$5)</f>
        <v/>
      </c>
      <c r="DA35" s="920">
        <f t="shared" si="57"/>
        <v>0.9</v>
      </c>
      <c r="DB35" s="921">
        <f t="shared" si="58"/>
        <v>0.43588989435406728</v>
      </c>
      <c r="DC35" s="922" t="str" cm="1">
        <f t="array" ref="DC35">[1]!ACAELE_CONDPORTCORRIENTE(H35,BB35,I35,M35,CY35,CZ35,N35,$P$5)</f>
        <v/>
      </c>
      <c r="DD35" s="923" t="str" cm="1">
        <f t="array" ref="DD35">[1]!ACAELE_CAPACONDCORRIENTE(BB35,H35,I35,M35,CY35,CZ35,$P$5)</f>
        <v/>
      </c>
      <c r="DE35" s="923" t="str" cm="1">
        <f t="array" ref="DE35">[1]!ACAELE_CAPACIDADCABLE(BB35,H35,I35,M35,DC35,N35,$P$5)</f>
        <v/>
      </c>
      <c r="DF35" s="924" t="str" cm="1">
        <f t="array" ref="DF35">[1]!ACAELE_encontrarcaida(BB35,H35,L35,BV35,F35,BU35,N35,K35)</f>
        <v/>
      </c>
      <c r="DG35" s="925" t="str" cm="1">
        <f t="array" ref="DG35">[1]!ACAELE_Cablecaida(BB35,H35,M35,I35,DF35)</f>
        <v/>
      </c>
      <c r="DH35" s="918" t="str" cm="1">
        <f t="array" ref="DH35">[1]!ACAELE_CAPACIDADCABLE(BB35,H35,I35,M35,DG35,N35,$P$5)</f>
        <v/>
      </c>
      <c r="DI35" s="926" t="str" cm="1">
        <f t="array" ref="DI35">IF($A$27=1,"",[1]!ACAELE_encontrarcaida(BB35,H35,R35,BV35,F35,BU35,T35,Q35,$P$5))</f>
        <v/>
      </c>
      <c r="DJ35" s="914" t="str" cm="1">
        <f t="array" ref="DJ35">IF($A$27=1,"",[1]!ACAELE_Cablecaida2(BB35,Q35,H35,S35,I35,DI35,$P$5))</f>
        <v/>
      </c>
      <c r="DK35" s="919" t="str" cm="1">
        <f t="array" ref="DK35">[1]!ACAELE_CAPACIDADCABLE(BB35,H35,I35,M35,DJ35,N35,$P$5)</f>
        <v/>
      </c>
      <c r="DL35" s="927" t="str" cm="1">
        <f t="array" ref="DL35">[1]!acaele_Iproteccion(BB35,H35,BU35,$F$20,$G$20,$F$19,$G$19,$H$20,$H$19,$P$5)</f>
        <v/>
      </c>
      <c r="DM35" s="928" cm="1">
        <f t="array" ref="DM35">[1]!acaele_ProtCalculada(CX35,H35,BT35,BW35,$G$21,$F$21,$H$21,$P$5)</f>
        <v>0</v>
      </c>
      <c r="DN35" s="929" t="str" cm="1">
        <f t="array" ref="DN35">[1]!ACAELE_cablecalculo(BB35,H35,I35,M35,EF35,$P$5)</f>
        <v/>
      </c>
      <c r="DO35" s="930" t="str" cm="1">
        <f t="array" ref="DO35">[1]!ACAELE_RESISTENCIA(BB35,H35,M35,I35,BX35, CW35,$P$5)</f>
        <v/>
      </c>
      <c r="DP35" s="931" t="str" cm="1">
        <f t="array" ref="DP35">[1]!ACAELE_REACTANCIA(BB35,H35,$F$11,M35,I35,BX35,$P$5)</f>
        <v/>
      </c>
      <c r="DQ35" s="918" t="str" cm="1">
        <f t="array" ref="DQ35">[1]!ACAELE_DIAMECAISLA(BB35,H35,I35,BX35,$P$5)</f>
        <v/>
      </c>
      <c r="DR35" s="918" t="str" cm="1">
        <f t="array" ref="DR35">[1]!ACAELE_AREACAISLAMIENTO(BB35,H35,DQ35,$P$5)</f>
        <v/>
      </c>
      <c r="DS35" s="918" t="str" cm="1">
        <f t="array" ref="DS35">[1]!ACAELE_CAIDAVOLTSFINAL(BB35,H35,F35,K35,BU35,N35,DO35,DA35,DP35,DB35,$P$5)</f>
        <v/>
      </c>
      <c r="DT35" s="918" t="str" cm="1">
        <f t="array" ref="DT35">[1]!ACAELE_AREACONDPTE(BB35,H35,CA35,$P$5)</f>
        <v/>
      </c>
      <c r="DU35" s="932" t="str" cm="1">
        <f t="array" ref="DU35">[1]!ACAELE_AREATOTAL(BZ35,M35,EO35,N35,DQ35,G35,DR35,DT35,N$20,$P$5)</f>
        <v/>
      </c>
      <c r="DV35" s="933" t="str" cm="1">
        <f t="array" ref="DV35">IF($A$27=1,"",[1]!ACAELE_cablecalculo(BB35,H35,I35,M35,EG35,$P$5))</f>
        <v/>
      </c>
      <c r="DW35" s="934" t="str" cm="1">
        <f t="array" ref="DW35">IF($A$27=1,"",[1]!ACAELE_RESISTENCIA(BB35,H35,M35,I35,CC35,CW35,$P$5))</f>
        <v/>
      </c>
      <c r="DX35" s="926" t="str" cm="1">
        <f t="array" ref="DX35">IF($A$27=1,"",[1]!ACAELE_REACTANCIA(BB35,H35,$F$11,M35,I35,CC35,$P$5))</f>
        <v/>
      </c>
      <c r="DY35" s="935" t="str" cm="1">
        <f t="array" ref="DY35">IF($A$27=1,"",[1]!ACAELE_DIAMECAISLA(BB35,H35,I35,CC35,$P$5))</f>
        <v/>
      </c>
      <c r="DZ35" s="935" t="str" cm="1">
        <f t="array" ref="DZ35">IF($A$27=1,"",[1]!ACAELE_AREACAISLAMIENTO(BB35,H35,DY35,$P$5))</f>
        <v/>
      </c>
      <c r="EA35" s="935" t="str" cm="1">
        <f t="array" ref="EA35">[1]!ACAELE_CAIDAVOLTSFINAL2(BB35,Q35,H35,F35,$A$27,BU35,T35,DW35,DA35,DX35,DB35)</f>
        <v/>
      </c>
      <c r="EB35" s="935" t="str" cm="1">
        <f t="array" ref="EB35">IF($A$27=1,"",[1]!ACAELE_AREACONDPTE(BB35,H35,CF35,$P$5))</f>
        <v/>
      </c>
      <c r="EC35" s="936" t="str" cm="1">
        <f t="array" ref="EC35">[1]!ACAELE_AREATOTAL2(H35,$A$27,DY35,S35,G35,T35,DZ35,U35,EB35)</f>
        <v/>
      </c>
      <c r="ED35" s="937" t="str">
        <f t="shared" si="59"/>
        <v/>
      </c>
      <c r="EE35" s="938" t="str">
        <f t="shared" si="60"/>
        <v/>
      </c>
      <c r="EF35" s="939" t="str">
        <f t="shared" si="61"/>
        <v/>
      </c>
      <c r="EG35" s="940">
        <f t="shared" si="62"/>
        <v>0</v>
      </c>
      <c r="EH35" s="941" t="str">
        <f t="shared" si="63"/>
        <v/>
      </c>
      <c r="EI35" s="942">
        <f t="shared" si="64"/>
        <v>30</v>
      </c>
      <c r="EJ35" s="943" t="str">
        <f t="shared" si="11"/>
        <v/>
      </c>
      <c r="EK35" s="943" t="str">
        <f t="shared" si="12"/>
        <v/>
      </c>
      <c r="EL35" s="943" t="str">
        <f t="shared" si="13"/>
        <v/>
      </c>
      <c r="EM35" s="944" t="str">
        <f t="shared" si="14"/>
        <v/>
      </c>
      <c r="EN35" s="945" t="str" cm="1">
        <f t="array" ref="EN35">[1]!ACAELE_MOTOR(H35,X35:BA35,$X$26:$BA$26,$P$5)</f>
        <v/>
      </c>
      <c r="EO35" s="550" t="str">
        <f t="shared" si="65"/>
        <v/>
      </c>
      <c r="EP35" s="431" t="s">
        <v>1214</v>
      </c>
      <c r="EQ35" s="434" t="str">
        <f t="shared" ca="1" si="66"/>
        <v/>
      </c>
      <c r="ER35" s="32"/>
      <c r="ES35" s="32"/>
      <c r="ET35" s="3" t="str">
        <f t="shared" si="67"/>
        <v/>
      </c>
      <c r="EU35" s="3" t="str">
        <f t="shared" si="68"/>
        <v/>
      </c>
      <c r="EV35" s="3" t="str">
        <f t="shared" si="69"/>
        <v/>
      </c>
      <c r="EW35" s="3" t="str">
        <f t="shared" si="70"/>
        <v/>
      </c>
      <c r="EX35" s="3" t="str">
        <f t="shared" si="71"/>
        <v/>
      </c>
      <c r="EY35" s="3" t="str">
        <f t="shared" si="72"/>
        <v/>
      </c>
      <c r="EZ35" s="3" t="str">
        <f t="shared" si="73"/>
        <v/>
      </c>
      <c r="FA35" s="3" t="str">
        <f t="shared" si="74"/>
        <v/>
      </c>
      <c r="FB35" s="3" t="str">
        <f t="shared" si="75"/>
        <v/>
      </c>
      <c r="FC35" s="3">
        <f t="shared" si="76"/>
        <v>0</v>
      </c>
      <c r="FD35" s="32"/>
      <c r="FE35" s="32"/>
      <c r="FF35" s="103">
        <v>1</v>
      </c>
      <c r="FG35" s="32"/>
      <c r="FH35" s="103"/>
      <c r="FI35" s="32"/>
      <c r="FJ35" s="103"/>
      <c r="FK35" s="3">
        <f t="shared" si="77"/>
        <v>0</v>
      </c>
      <c r="FL35" s="3" t="str" cm="1">
        <f t="array" aca="1" ref="FL35" ca="1">[1]!acaele_DIB_UNIFILAR(BB35,H35,F35,COUNTIF(X35:BA35,1),BW35)</f>
        <v/>
      </c>
      <c r="FM35" s="3" t="str">
        <f>IF(DATOS!$T$4=0,"",IF(DATOS!$T$4=1," (QO)",IF(DATOS!$T$4=2," (QOB)",IF(DATOS!$T$4=3," (EDB)",IF(DATOS!$T$4=4,IF(BW35&lt;151," (H"&amp;FN35&amp;")",IF(BW35&lt;251," (J"&amp;FN35&amp;")", IF(BW35&lt;401," (LA)",IF(BW35&lt;801," (MG)",IF(BW35&lt;5001," (POWERPACK)",""))))))))))</f>
        <v xml:space="preserve"> (QOB)</v>
      </c>
      <c r="FN35" s="3" t="str">
        <f t="shared" si="78"/>
        <v/>
      </c>
      <c r="FO35" s="146"/>
      <c r="FP35" s="146"/>
      <c r="FQ35" s="146"/>
      <c r="FR35" s="146"/>
      <c r="FS35" s="146"/>
      <c r="FT35" s="146"/>
      <c r="FU35" s="146"/>
      <c r="FV35" s="146"/>
      <c r="FW35" s="146"/>
      <c r="FX35" s="146" t="str">
        <f t="shared" si="9"/>
        <v/>
      </c>
      <c r="FY35" s="736"/>
      <c r="FZ35" s="740"/>
      <c r="GA35" s="740"/>
      <c r="GB35" s="717"/>
      <c r="GC35" s="838"/>
      <c r="GD35" s="736"/>
      <c r="GE35" s="146"/>
      <c r="GF35" s="506"/>
      <c r="GG35" s="506"/>
      <c r="GH35" s="506"/>
      <c r="GI35" s="506"/>
      <c r="GJ35" s="506"/>
      <c r="GM35" s="3">
        <f>IF(OR(GN35&gt;TABLERO!$M$19,GO35&gt;TABLERO!$M$19,GP35&gt;TABLERO!$M$19,B35=0,C35=0,D35=0),2,CUADROACAD!A35)</f>
        <v>2</v>
      </c>
      <c r="GN35" s="3">
        <f>IF(TABLERO!B35="",0,TABLERO!B35)</f>
        <v>5</v>
      </c>
      <c r="GO35" s="3">
        <f>IF(TABLERO!C35="",GN35,TABLERO!C35)</f>
        <v>5</v>
      </c>
      <c r="GP35" s="3">
        <f>IF(TABLERO!D35="",GN35,TABLERO!D35)</f>
        <v>5</v>
      </c>
    </row>
    <row r="36" spans="1:198" s="3" customFormat="1">
      <c r="A36" s="706"/>
      <c r="B36" s="869">
        <v>6</v>
      </c>
      <c r="C36" s="870" t="str">
        <f t="shared" si="15"/>
        <v/>
      </c>
      <c r="D36" s="870" t="str">
        <f t="shared" si="16"/>
        <v/>
      </c>
      <c r="E36" s="871"/>
      <c r="F36" s="872">
        <v>1</v>
      </c>
      <c r="G36" s="716">
        <f t="shared" si="17"/>
        <v>2</v>
      </c>
      <c r="H36" s="873" t="s">
        <v>12</v>
      </c>
      <c r="I36" s="874" t="str">
        <f t="shared" si="18"/>
        <v>CU</v>
      </c>
      <c r="J36" s="875">
        <v>6</v>
      </c>
      <c r="K36" s="876">
        <v>10</v>
      </c>
      <c r="L36" s="876">
        <v>3</v>
      </c>
      <c r="M36" s="877">
        <v>1</v>
      </c>
      <c r="N36" s="877">
        <v>1</v>
      </c>
      <c r="O36" s="878">
        <v>1</v>
      </c>
      <c r="P36" s="879">
        <v>4</v>
      </c>
      <c r="Q36" s="880">
        <v>1</v>
      </c>
      <c r="R36" s="880">
        <v>1</v>
      </c>
      <c r="S36" s="881">
        <v>1</v>
      </c>
      <c r="T36" s="881">
        <v>1</v>
      </c>
      <c r="U36" s="882">
        <v>1</v>
      </c>
      <c r="V36" s="883">
        <v>1</v>
      </c>
      <c r="W36" s="874" t="str">
        <f t="shared" si="19"/>
        <v>SI</v>
      </c>
      <c r="X36" s="884"/>
      <c r="Y36" s="885"/>
      <c r="Z36" s="885"/>
      <c r="AA36" s="885"/>
      <c r="AB36" s="885"/>
      <c r="AC36" s="885"/>
      <c r="AD36" s="885"/>
      <c r="AE36" s="885"/>
      <c r="AF36" s="885"/>
      <c r="AG36" s="885"/>
      <c r="AH36" s="885"/>
      <c r="AI36" s="885"/>
      <c r="AJ36" s="885"/>
      <c r="AK36" s="885"/>
      <c r="AL36" s="885"/>
      <c r="AM36" s="885"/>
      <c r="AN36" s="885"/>
      <c r="AO36" s="885"/>
      <c r="AP36" s="885"/>
      <c r="AQ36" s="885"/>
      <c r="AR36" s="885"/>
      <c r="AS36" s="885"/>
      <c r="AT36" s="885"/>
      <c r="AU36" s="885"/>
      <c r="AV36" s="885"/>
      <c r="AW36" s="885"/>
      <c r="AX36" s="885"/>
      <c r="AY36" s="885"/>
      <c r="AZ36" s="885"/>
      <c r="BA36" s="886"/>
      <c r="BB36" s="887">
        <f t="shared" si="20"/>
        <v>0</v>
      </c>
      <c r="BC36" s="888" t="str">
        <f t="shared" si="21"/>
        <v/>
      </c>
      <c r="BD36" s="889" t="str">
        <f t="shared" si="22"/>
        <v/>
      </c>
      <c r="BE36" s="889" t="str">
        <f t="shared" si="23"/>
        <v/>
      </c>
      <c r="BF36" s="889" t="str">
        <f t="shared" si="24"/>
        <v/>
      </c>
      <c r="BG36" s="889" t="str">
        <f t="shared" si="25"/>
        <v/>
      </c>
      <c r="BH36" s="889" t="str">
        <f t="shared" si="26"/>
        <v/>
      </c>
      <c r="BI36" s="890" t="str">
        <f t="shared" si="27"/>
        <v/>
      </c>
      <c r="BJ36" s="891" t="str">
        <f t="shared" si="28"/>
        <v/>
      </c>
      <c r="BK36" s="892" t="str">
        <f t="shared" si="29"/>
        <v/>
      </c>
      <c r="BL36" s="892" t="str">
        <f t="shared" si="30"/>
        <v/>
      </c>
      <c r="BM36" s="892" t="str">
        <f t="shared" si="31"/>
        <v/>
      </c>
      <c r="BN36" s="892" t="str">
        <f t="shared" si="32"/>
        <v/>
      </c>
      <c r="BO36" s="892" t="str">
        <f t="shared" si="33"/>
        <v/>
      </c>
      <c r="BP36" s="893" t="str">
        <f t="shared" si="34"/>
        <v/>
      </c>
      <c r="BQ36" s="894" t="str">
        <f t="shared" si="35"/>
        <v/>
      </c>
      <c r="BR36" s="895" t="str">
        <f t="shared" si="10"/>
        <v/>
      </c>
      <c r="BS36" s="896" t="str">
        <f t="shared" si="36"/>
        <v/>
      </c>
      <c r="BT36" s="897" t="str">
        <f t="shared" si="37"/>
        <v/>
      </c>
      <c r="BU36" s="231" t="str">
        <f t="shared" si="38"/>
        <v/>
      </c>
      <c r="BV36" s="898">
        <f t="shared" si="39"/>
        <v>127</v>
      </c>
      <c r="BW36" s="845" t="str">
        <f t="shared" si="40"/>
        <v/>
      </c>
      <c r="BX36" s="899" t="str">
        <f t="shared" si="41"/>
        <v/>
      </c>
      <c r="BY36" s="900" t="str" cm="1">
        <f t="array" ref="BY36">[1]!ACAELE_CAPACIDADCABLE(BB36,H36,I36,M36,BX36,N36)</f>
        <v/>
      </c>
      <c r="BZ36" s="900" t="str">
        <f t="shared" si="42"/>
        <v/>
      </c>
      <c r="CA36" s="901" t="str" cm="1">
        <f t="array" ref="CA36">[1]!ACAELE_cabledetierra(BZ36,$N$9,I36,BW36,BX36,G36)</f>
        <v/>
      </c>
      <c r="CB36" s="902" t="str" cm="1">
        <f t="array" ref="CB36">[1]!ACAELE_TAMATUBERIA(BX36,DU36,$N$9,M36,I36)</f>
        <v/>
      </c>
      <c r="CC36" s="846" t="str">
        <f t="shared" si="43"/>
        <v/>
      </c>
      <c r="CD36" s="903" t="str" cm="1">
        <f t="array" ref="CD36">[1]!ACAELE_CAPACIDADCABLE(BB36,H36,I36,M36,CC36,N36)</f>
        <v/>
      </c>
      <c r="CE36" s="903" t="str">
        <f t="shared" si="44"/>
        <v/>
      </c>
      <c r="CF36" s="904" t="str" cm="1">
        <f t="array" ref="CF36">[1]!ACAELE_cabledetierra(CE36,$N$9,I36,BW36,CC36,G36)</f>
        <v/>
      </c>
      <c r="CG36" s="905" t="str" cm="1">
        <f t="array" ref="CG36">[1]!ACAELE_TAMATUBERIA(CC36,EC36,$N$9,S36,I36)</f>
        <v/>
      </c>
      <c r="CH36" s="906" t="str">
        <f t="shared" si="45"/>
        <v/>
      </c>
      <c r="CI36" s="510" t="str">
        <f t="shared" si="46"/>
        <v>-</v>
      </c>
      <c r="CJ36" s="511" t="str">
        <f t="shared" si="47"/>
        <v>-</v>
      </c>
      <c r="CK36" s="512" t="str">
        <f t="shared" si="48"/>
        <v>-</v>
      </c>
      <c r="CL36" s="907" t="str">
        <f t="shared" si="49"/>
        <v>-</v>
      </c>
      <c r="CM36" s="908" t="str">
        <f t="shared" si="50"/>
        <v>-</v>
      </c>
      <c r="CN36" s="909" t="str">
        <f t="shared" si="51"/>
        <v>-</v>
      </c>
      <c r="CO36" s="910" t="str" cm="1">
        <f t="array" ref="CO36">[1]!ACAELE_fasecorresponde(B36,$F$10,$P$5)</f>
        <v>C</v>
      </c>
      <c r="CP36" s="910" t="str" cm="1">
        <f t="array" ref="CP36">[1]!ACAELE_fasecorresponde(C36,$F$10,$P$5)</f>
        <v>-</v>
      </c>
      <c r="CQ36" s="910" t="str" cm="1">
        <f t="array" ref="CQ36">[1]!ACAELE_fasecorresponde(D36,$F$10,$P$5)</f>
        <v>-</v>
      </c>
      <c r="CR36" s="911" t="str">
        <f t="shared" si="52"/>
        <v>C</v>
      </c>
      <c r="CS36" s="912">
        <f t="shared" si="53"/>
        <v>1</v>
      </c>
      <c r="CT36" s="913">
        <f t="shared" si="54"/>
        <v>0.8</v>
      </c>
      <c r="CU36" s="914" t="str">
        <f t="shared" si="55"/>
        <v/>
      </c>
      <c r="CV36" s="915">
        <f t="shared" si="56"/>
        <v>0</v>
      </c>
      <c r="CW36" s="916" t="str" cm="1">
        <f t="array" ref="CW36">[1]!ACAELE_Inominal(BB36,F36,BT36,BV36,DA36,G36,V36,$P$5)</f>
        <v/>
      </c>
      <c r="CX36" s="917" t="str" cm="1">
        <f t="array" ref="CX36">[1]!ACAELE_Disparocalculado(BB36,H36,DL36,$N$21,$M$21,$O$21,BV36,$P$5)</f>
        <v/>
      </c>
      <c r="CY36" s="918" t="str" cm="1">
        <f t="array" ref="CY36">[1]!ACAELE_Icorregida($A$27,H36,BB36,BU36,CS36,CT36,$P$5)</f>
        <v/>
      </c>
      <c r="CZ36" s="919" t="str" cm="1">
        <f t="array" ref="CZ36">[1]!ACAELE_Icorregida2($A$27,H36,BB36,BU36,CS36,CU36,$P$5)</f>
        <v/>
      </c>
      <c r="DA36" s="920">
        <f t="shared" si="57"/>
        <v>0.9</v>
      </c>
      <c r="DB36" s="921">
        <f t="shared" si="58"/>
        <v>0.43588989435406728</v>
      </c>
      <c r="DC36" s="922" t="str" cm="1">
        <f t="array" ref="DC36">[1]!ACAELE_CONDPORTCORRIENTE(H36,BB36,I36,M36,CY36,CZ36,N36,$P$5)</f>
        <v/>
      </c>
      <c r="DD36" s="923" t="str" cm="1">
        <f t="array" ref="DD36">[1]!ACAELE_CAPACONDCORRIENTE(BB36,H36,I36,M36,CY36,CZ36,$P$5)</f>
        <v/>
      </c>
      <c r="DE36" s="923" t="str" cm="1">
        <f t="array" ref="DE36">[1]!ACAELE_CAPACIDADCABLE(BB36,H36,I36,M36,DC36,N36,$P$5)</f>
        <v/>
      </c>
      <c r="DF36" s="924" t="str" cm="1">
        <f t="array" ref="DF36">[1]!ACAELE_encontrarcaida(BB36,H36,L36,BV36,F36,BU36,N36,K36)</f>
        <v/>
      </c>
      <c r="DG36" s="925" t="str" cm="1">
        <f t="array" ref="DG36">[1]!ACAELE_Cablecaida(BB36,H36,M36,I36,DF36)</f>
        <v/>
      </c>
      <c r="DH36" s="918" t="str" cm="1">
        <f t="array" ref="DH36">[1]!ACAELE_CAPACIDADCABLE(BB36,H36,I36,M36,DG36,N36,$P$5)</f>
        <v/>
      </c>
      <c r="DI36" s="926" t="str" cm="1">
        <f t="array" ref="DI36">IF($A$27=1,"",[1]!ACAELE_encontrarcaida(BB36,H36,R36,BV36,F36,BU36,T36,Q36,$P$5))</f>
        <v/>
      </c>
      <c r="DJ36" s="914" t="str" cm="1">
        <f t="array" ref="DJ36">IF($A$27=1,"",[1]!ACAELE_Cablecaida2(BB36,Q36,H36,S36,I36,DI36,$P$5))</f>
        <v/>
      </c>
      <c r="DK36" s="919" t="str" cm="1">
        <f t="array" ref="DK36">[1]!ACAELE_CAPACIDADCABLE(BB36,H36,I36,M36,DJ36,N36,$P$5)</f>
        <v/>
      </c>
      <c r="DL36" s="927" t="str" cm="1">
        <f t="array" ref="DL36">[1]!acaele_Iproteccion(BB36,H36,BU36,$F$20,$G$20,$F$19,$G$19,$H$20,$H$19,$P$5)</f>
        <v/>
      </c>
      <c r="DM36" s="928" cm="1">
        <f t="array" ref="DM36">[1]!acaele_ProtCalculada(CX36,H36,BT36,BW36,$G$21,$F$21,$H$21,$P$5)</f>
        <v>0</v>
      </c>
      <c r="DN36" s="929" t="str" cm="1">
        <f t="array" ref="DN36">[1]!ACAELE_cablecalculo(BB36,H36,I36,M36,EF36,$P$5)</f>
        <v/>
      </c>
      <c r="DO36" s="930" t="str" cm="1">
        <f t="array" ref="DO36">[1]!ACAELE_RESISTENCIA(BB36,H36,M36,I36,BX36, CW36,$P$5)</f>
        <v/>
      </c>
      <c r="DP36" s="931" t="str" cm="1">
        <f t="array" ref="DP36">[1]!ACAELE_REACTANCIA(BB36,H36,$F$11,M36,I36,BX36,$P$5)</f>
        <v/>
      </c>
      <c r="DQ36" s="918" t="str" cm="1">
        <f t="array" ref="DQ36">[1]!ACAELE_DIAMECAISLA(BB36,H36,I36,BX36,$P$5)</f>
        <v/>
      </c>
      <c r="DR36" s="918" t="str" cm="1">
        <f t="array" ref="DR36">[1]!ACAELE_AREACAISLAMIENTO(BB36,H36,DQ36,$P$5)</f>
        <v/>
      </c>
      <c r="DS36" s="918" t="str" cm="1">
        <f t="array" ref="DS36">[1]!ACAELE_CAIDAVOLTSFINAL(BB36,H36,F36,K36,BU36,N36,DO36,DA36,DP36,DB36,$P$5)</f>
        <v/>
      </c>
      <c r="DT36" s="918" t="str" cm="1">
        <f t="array" ref="DT36">[1]!ACAELE_AREACONDPTE(BB36,H36,CA36,$P$5)</f>
        <v/>
      </c>
      <c r="DU36" s="932" t="str" cm="1">
        <f t="array" ref="DU36">[1]!ACAELE_AREATOTAL(BZ36,M36,EO36,N36,DQ36,G36,DR36,DT36,N$20,$P$5)</f>
        <v/>
      </c>
      <c r="DV36" s="933" t="str" cm="1">
        <f t="array" ref="DV36">IF($A$27=1,"",[1]!ACAELE_cablecalculo(BB36,H36,I36,M36,EG36,$P$5))</f>
        <v/>
      </c>
      <c r="DW36" s="934" t="str" cm="1">
        <f t="array" ref="DW36">IF($A$27=1,"",[1]!ACAELE_RESISTENCIA(BB36,H36,M36,I36,CC36,CW36,$P$5))</f>
        <v/>
      </c>
      <c r="DX36" s="926" t="str" cm="1">
        <f t="array" ref="DX36">IF($A$27=1,"",[1]!ACAELE_REACTANCIA(BB36,H36,$F$11,M36,I36,CC36,$P$5))</f>
        <v/>
      </c>
      <c r="DY36" s="935" t="str" cm="1">
        <f t="array" ref="DY36">IF($A$27=1,"",[1]!ACAELE_DIAMECAISLA(BB36,H36,I36,CC36,$P$5))</f>
        <v/>
      </c>
      <c r="DZ36" s="935" t="str" cm="1">
        <f t="array" ref="DZ36">IF($A$27=1,"",[1]!ACAELE_AREACAISLAMIENTO(BB36,H36,DY36,$P$5))</f>
        <v/>
      </c>
      <c r="EA36" s="935" t="str" cm="1">
        <f t="array" ref="EA36">[1]!ACAELE_CAIDAVOLTSFINAL2(BB36,Q36,H36,F36,$A$27,BU36,T36,DW36,DA36,DX36,DB36)</f>
        <v/>
      </c>
      <c r="EB36" s="935" t="str" cm="1">
        <f t="array" ref="EB36">IF($A$27=1,"",[1]!ACAELE_AREACONDPTE(BB36,H36,CF36,$P$5))</f>
        <v/>
      </c>
      <c r="EC36" s="936" t="str" cm="1">
        <f t="array" ref="EC36">[1]!ACAELE_AREATOTAL2(H36,$A$27,DY36,S36,G36,T36,DZ36,U36,EB36)</f>
        <v/>
      </c>
      <c r="ED36" s="937" t="str">
        <f t="shared" si="59"/>
        <v/>
      </c>
      <c r="EE36" s="938" t="str">
        <f t="shared" si="60"/>
        <v/>
      </c>
      <c r="EF36" s="939" t="str">
        <f t="shared" si="61"/>
        <v/>
      </c>
      <c r="EG36" s="940">
        <f t="shared" si="62"/>
        <v>0</v>
      </c>
      <c r="EH36" s="941" t="str">
        <f t="shared" si="63"/>
        <v/>
      </c>
      <c r="EI36" s="942">
        <f t="shared" si="64"/>
        <v>30</v>
      </c>
      <c r="EJ36" s="943" t="str">
        <f t="shared" si="11"/>
        <v/>
      </c>
      <c r="EK36" s="943" t="str">
        <f t="shared" si="12"/>
        <v/>
      </c>
      <c r="EL36" s="943" t="str">
        <f t="shared" si="13"/>
        <v/>
      </c>
      <c r="EM36" s="944" t="str">
        <f t="shared" si="14"/>
        <v/>
      </c>
      <c r="EN36" s="945" t="str" cm="1">
        <f t="array" ref="EN36">[1]!ACAELE_MOTOR(H36,X36:BA36,$X$26:$BA$26,$P$5)</f>
        <v/>
      </c>
      <c r="EO36" s="550" t="str">
        <f t="shared" si="65"/>
        <v/>
      </c>
      <c r="EP36" s="431" t="s">
        <v>1214</v>
      </c>
      <c r="EQ36" s="434" t="str">
        <f t="shared" ca="1" si="66"/>
        <v/>
      </c>
      <c r="ER36" s="32"/>
      <c r="ES36" s="32"/>
      <c r="ET36" s="3" t="str">
        <f t="shared" si="67"/>
        <v/>
      </c>
      <c r="EU36" s="3" t="str">
        <f t="shared" si="68"/>
        <v/>
      </c>
      <c r="EV36" s="3" t="str">
        <f t="shared" si="69"/>
        <v/>
      </c>
      <c r="EW36" s="3" t="str">
        <f t="shared" si="70"/>
        <v/>
      </c>
      <c r="EX36" s="3" t="str">
        <f t="shared" si="71"/>
        <v/>
      </c>
      <c r="EY36" s="3" t="str">
        <f t="shared" si="72"/>
        <v/>
      </c>
      <c r="EZ36" s="3" t="str">
        <f t="shared" si="73"/>
        <v/>
      </c>
      <c r="FA36" s="3" t="str">
        <f t="shared" si="74"/>
        <v/>
      </c>
      <c r="FB36" s="3" t="str">
        <f t="shared" si="75"/>
        <v/>
      </c>
      <c r="FC36" s="3">
        <f t="shared" si="76"/>
        <v>0</v>
      </c>
      <c r="FD36" s="32"/>
      <c r="FE36" s="32"/>
      <c r="FF36" s="103">
        <v>1</v>
      </c>
      <c r="FG36" s="32"/>
      <c r="FH36" s="103"/>
      <c r="FI36" s="32"/>
      <c r="FJ36" s="103"/>
      <c r="FK36" s="3">
        <f t="shared" si="77"/>
        <v>0</v>
      </c>
      <c r="FL36" s="3" t="str" cm="1">
        <f t="array" aca="1" ref="FL36" ca="1">[1]!acaele_DIB_UNIFILAR(BB36,H36,F36,COUNTIF(X36:BA36,1),BW36)</f>
        <v/>
      </c>
      <c r="FM36" s="3" t="str">
        <f>IF(DATOS!$T$4=0,"",IF(DATOS!$T$4=1," (QO)",IF(DATOS!$T$4=2," (QOB)",IF(DATOS!$T$4=3," (EDB)",IF(DATOS!$T$4=4,IF(BW36&lt;151," (H"&amp;FN36&amp;")",IF(BW36&lt;251," (J"&amp;FN36&amp;")", IF(BW36&lt;401," (LA)",IF(BW36&lt;801," (MG)",IF(BW36&lt;5001," (POWERPACK)",""))))))))))</f>
        <v xml:space="preserve"> (QOB)</v>
      </c>
      <c r="FN36" s="3" t="str">
        <f t="shared" si="78"/>
        <v/>
      </c>
      <c r="FO36" s="146"/>
      <c r="FP36" s="146"/>
      <c r="FQ36" s="146"/>
      <c r="FR36" s="146"/>
      <c r="FS36" s="146"/>
      <c r="FT36" s="146"/>
      <c r="FU36" s="146"/>
      <c r="FV36" s="146"/>
      <c r="FW36" s="146"/>
      <c r="FX36" s="146" t="str">
        <f t="shared" si="9"/>
        <v/>
      </c>
      <c r="FY36" s="736"/>
      <c r="FZ36" s="740"/>
      <c r="GA36" s="740"/>
      <c r="GB36" s="717"/>
      <c r="GC36" s="838"/>
      <c r="GD36" s="736"/>
      <c r="GE36" s="146"/>
      <c r="GF36" s="506"/>
      <c r="GG36" s="506"/>
      <c r="GH36" s="506"/>
      <c r="GI36" s="506"/>
      <c r="GJ36" s="506"/>
      <c r="GM36" s="3">
        <f>IF(OR(GN36&gt;TABLERO!$M$19,GO36&gt;TABLERO!$M$19,GP36&gt;TABLERO!$M$19,B36=0,C36=0,D36=0),2,CUADROACAD!A36)</f>
        <v>2</v>
      </c>
      <c r="GN36" s="3">
        <f>IF(TABLERO!B36="",0,TABLERO!B36)</f>
        <v>6</v>
      </c>
      <c r="GO36" s="3">
        <f>IF(TABLERO!C36="",GN36,TABLERO!C36)</f>
        <v>6</v>
      </c>
      <c r="GP36" s="3">
        <f>IF(TABLERO!D36="",GN36,TABLERO!D36)</f>
        <v>6</v>
      </c>
    </row>
    <row r="37" spans="1:198" s="3" customFormat="1">
      <c r="A37" s="706"/>
      <c r="B37" s="869">
        <v>7</v>
      </c>
      <c r="C37" s="870" t="str">
        <f t="shared" si="15"/>
        <v/>
      </c>
      <c r="D37" s="870" t="str">
        <f t="shared" si="16"/>
        <v/>
      </c>
      <c r="E37" s="871"/>
      <c r="F37" s="872">
        <v>1</v>
      </c>
      <c r="G37" s="716">
        <f t="shared" si="17"/>
        <v>2</v>
      </c>
      <c r="H37" s="873" t="s">
        <v>12</v>
      </c>
      <c r="I37" s="874" t="str">
        <f t="shared" si="18"/>
        <v>CU</v>
      </c>
      <c r="J37" s="875">
        <v>6</v>
      </c>
      <c r="K37" s="876">
        <v>10</v>
      </c>
      <c r="L37" s="876">
        <v>3</v>
      </c>
      <c r="M37" s="877">
        <v>1</v>
      </c>
      <c r="N37" s="877">
        <v>1</v>
      </c>
      <c r="O37" s="878">
        <v>1</v>
      </c>
      <c r="P37" s="879">
        <v>4</v>
      </c>
      <c r="Q37" s="880">
        <v>1</v>
      </c>
      <c r="R37" s="880">
        <v>1</v>
      </c>
      <c r="S37" s="881">
        <v>1</v>
      </c>
      <c r="T37" s="881">
        <v>1</v>
      </c>
      <c r="U37" s="882">
        <v>1</v>
      </c>
      <c r="V37" s="883">
        <v>1</v>
      </c>
      <c r="W37" s="874" t="str">
        <f t="shared" si="19"/>
        <v>SI</v>
      </c>
      <c r="X37" s="884"/>
      <c r="Y37" s="885"/>
      <c r="Z37" s="885"/>
      <c r="AA37" s="885"/>
      <c r="AB37" s="885"/>
      <c r="AC37" s="885"/>
      <c r="AD37" s="885"/>
      <c r="AE37" s="885"/>
      <c r="AF37" s="885"/>
      <c r="AG37" s="885"/>
      <c r="AH37" s="885"/>
      <c r="AI37" s="885"/>
      <c r="AJ37" s="885"/>
      <c r="AK37" s="885"/>
      <c r="AL37" s="885"/>
      <c r="AM37" s="885"/>
      <c r="AN37" s="885"/>
      <c r="AO37" s="885"/>
      <c r="AP37" s="885"/>
      <c r="AQ37" s="885"/>
      <c r="AR37" s="885"/>
      <c r="AS37" s="885"/>
      <c r="AT37" s="885"/>
      <c r="AU37" s="885"/>
      <c r="AV37" s="885"/>
      <c r="AW37" s="885"/>
      <c r="AX37" s="885"/>
      <c r="AY37" s="885"/>
      <c r="AZ37" s="885"/>
      <c r="BA37" s="886"/>
      <c r="BB37" s="887">
        <f t="shared" si="20"/>
        <v>0</v>
      </c>
      <c r="BC37" s="888" t="str">
        <f t="shared" si="21"/>
        <v/>
      </c>
      <c r="BD37" s="889" t="str">
        <f t="shared" si="22"/>
        <v/>
      </c>
      <c r="BE37" s="889" t="str">
        <f t="shared" si="23"/>
        <v/>
      </c>
      <c r="BF37" s="889" t="str">
        <f t="shared" si="24"/>
        <v/>
      </c>
      <c r="BG37" s="889" t="str">
        <f t="shared" si="25"/>
        <v/>
      </c>
      <c r="BH37" s="889" t="str">
        <f t="shared" si="26"/>
        <v/>
      </c>
      <c r="BI37" s="890" t="str">
        <f t="shared" si="27"/>
        <v/>
      </c>
      <c r="BJ37" s="891" t="str">
        <f t="shared" si="28"/>
        <v/>
      </c>
      <c r="BK37" s="892" t="str">
        <f t="shared" si="29"/>
        <v/>
      </c>
      <c r="BL37" s="892" t="str">
        <f t="shared" si="30"/>
        <v/>
      </c>
      <c r="BM37" s="892" t="str">
        <f t="shared" si="31"/>
        <v/>
      </c>
      <c r="BN37" s="892" t="str">
        <f t="shared" si="32"/>
        <v/>
      </c>
      <c r="BO37" s="892" t="str">
        <f t="shared" si="33"/>
        <v/>
      </c>
      <c r="BP37" s="893" t="str">
        <f t="shared" si="34"/>
        <v/>
      </c>
      <c r="BQ37" s="894" t="str">
        <f t="shared" si="35"/>
        <v/>
      </c>
      <c r="BR37" s="895" t="str">
        <f t="shared" si="10"/>
        <v/>
      </c>
      <c r="BS37" s="896" t="str">
        <f t="shared" si="36"/>
        <v/>
      </c>
      <c r="BT37" s="897" t="str">
        <f t="shared" si="37"/>
        <v/>
      </c>
      <c r="BU37" s="231" t="str">
        <f t="shared" si="38"/>
        <v/>
      </c>
      <c r="BV37" s="898">
        <f t="shared" si="39"/>
        <v>127</v>
      </c>
      <c r="BW37" s="845" t="str">
        <f t="shared" si="40"/>
        <v/>
      </c>
      <c r="BX37" s="899" t="str">
        <f t="shared" si="41"/>
        <v/>
      </c>
      <c r="BY37" s="900" t="str" cm="1">
        <f t="array" ref="BY37">[1]!ACAELE_CAPACIDADCABLE(BB37,H37,I37,M37,BX37,N37)</f>
        <v/>
      </c>
      <c r="BZ37" s="900" t="str">
        <f t="shared" si="42"/>
        <v/>
      </c>
      <c r="CA37" s="901" t="str" cm="1">
        <f t="array" ref="CA37">[1]!ACAELE_cabledetierra(BZ37,$N$9,I37,BW37,BX37,G37)</f>
        <v/>
      </c>
      <c r="CB37" s="902" t="str" cm="1">
        <f t="array" ref="CB37">[1]!ACAELE_TAMATUBERIA(BX37,DU37,$N$9,M37,I37)</f>
        <v/>
      </c>
      <c r="CC37" s="846" t="str">
        <f t="shared" si="43"/>
        <v/>
      </c>
      <c r="CD37" s="903" t="str" cm="1">
        <f t="array" ref="CD37">[1]!ACAELE_CAPACIDADCABLE(BB37,H37,I37,M37,CC37,N37)</f>
        <v/>
      </c>
      <c r="CE37" s="903" t="str">
        <f t="shared" si="44"/>
        <v/>
      </c>
      <c r="CF37" s="904" t="str" cm="1">
        <f t="array" ref="CF37">[1]!ACAELE_cabledetierra(CE37,$N$9,I37,BW37,CC37,G37)</f>
        <v/>
      </c>
      <c r="CG37" s="905" t="str" cm="1">
        <f t="array" ref="CG37">[1]!ACAELE_TAMATUBERIA(CC37,EC37,$N$9,S37,I37)</f>
        <v/>
      </c>
      <c r="CH37" s="906" t="str">
        <f t="shared" si="45"/>
        <v/>
      </c>
      <c r="CI37" s="510" t="str">
        <f t="shared" si="46"/>
        <v>-</v>
      </c>
      <c r="CJ37" s="511" t="str">
        <f t="shared" si="47"/>
        <v>-</v>
      </c>
      <c r="CK37" s="512" t="str">
        <f t="shared" si="48"/>
        <v>-</v>
      </c>
      <c r="CL37" s="907" t="str">
        <f t="shared" si="49"/>
        <v>-</v>
      </c>
      <c r="CM37" s="908" t="str">
        <f t="shared" si="50"/>
        <v>-</v>
      </c>
      <c r="CN37" s="909" t="str">
        <f t="shared" si="51"/>
        <v>-</v>
      </c>
      <c r="CO37" s="910" t="str" cm="1">
        <f t="array" ref="CO37">[1]!ACAELE_fasecorresponde(B37,$F$10,$P$5)</f>
        <v>A</v>
      </c>
      <c r="CP37" s="910" t="str" cm="1">
        <f t="array" ref="CP37">[1]!ACAELE_fasecorresponde(C37,$F$10,$P$5)</f>
        <v>-</v>
      </c>
      <c r="CQ37" s="910" t="str" cm="1">
        <f t="array" ref="CQ37">[1]!ACAELE_fasecorresponde(D37,$F$10,$P$5)</f>
        <v>-</v>
      </c>
      <c r="CR37" s="911" t="str">
        <f t="shared" si="52"/>
        <v>C</v>
      </c>
      <c r="CS37" s="912">
        <f t="shared" si="53"/>
        <v>1</v>
      </c>
      <c r="CT37" s="913">
        <f t="shared" si="54"/>
        <v>0.8</v>
      </c>
      <c r="CU37" s="914" t="str">
        <f t="shared" si="55"/>
        <v/>
      </c>
      <c r="CV37" s="915">
        <f t="shared" si="56"/>
        <v>0</v>
      </c>
      <c r="CW37" s="916" t="str" cm="1">
        <f t="array" ref="CW37">[1]!ACAELE_Inominal(BB37,F37,BT37,BV37,DA37,G37,V37,$P$5)</f>
        <v/>
      </c>
      <c r="CX37" s="917" t="str" cm="1">
        <f t="array" ref="CX37">[1]!ACAELE_Disparocalculado(BB37,H37,DL37,$N$21,$M$21,$O$21,BV37,$P$5)</f>
        <v/>
      </c>
      <c r="CY37" s="918" t="str" cm="1">
        <f t="array" ref="CY37">[1]!ACAELE_Icorregida($A$27,H37,BB37,BU37,CS37,CT37,$P$5)</f>
        <v/>
      </c>
      <c r="CZ37" s="919" t="str" cm="1">
        <f t="array" ref="CZ37">[1]!ACAELE_Icorregida2($A$27,H37,BB37,BU37,CS37,CU37,$P$5)</f>
        <v/>
      </c>
      <c r="DA37" s="920">
        <f t="shared" si="57"/>
        <v>0.9</v>
      </c>
      <c r="DB37" s="921">
        <f t="shared" si="58"/>
        <v>0.43588989435406728</v>
      </c>
      <c r="DC37" s="922" t="str" cm="1">
        <f t="array" ref="DC37">[1]!ACAELE_CONDPORTCORRIENTE(H37,BB37,I37,M37,CY37,CZ37,N37,$P$5)</f>
        <v/>
      </c>
      <c r="DD37" s="923" t="str" cm="1">
        <f t="array" ref="DD37">[1]!ACAELE_CAPACONDCORRIENTE(BB37,H37,I37,M37,CY37,CZ37,$P$5)</f>
        <v/>
      </c>
      <c r="DE37" s="923" t="str" cm="1">
        <f t="array" ref="DE37">[1]!ACAELE_CAPACIDADCABLE(BB37,H37,I37,M37,DC37,N37,$P$5)</f>
        <v/>
      </c>
      <c r="DF37" s="924" t="str" cm="1">
        <f t="array" ref="DF37">[1]!ACAELE_encontrarcaida(BB37,H37,L37,BV37,F37,BU37,N37,K37)</f>
        <v/>
      </c>
      <c r="DG37" s="925" t="str" cm="1">
        <f t="array" ref="DG37">[1]!ACAELE_Cablecaida(BB37,H37,M37,I37,DF37)</f>
        <v/>
      </c>
      <c r="DH37" s="918" t="str" cm="1">
        <f t="array" ref="DH37">[1]!ACAELE_CAPACIDADCABLE(BB37,H37,I37,M37,DG37,N37,$P$5)</f>
        <v/>
      </c>
      <c r="DI37" s="926" t="str" cm="1">
        <f t="array" ref="DI37">IF($A$27=1,"",[1]!ACAELE_encontrarcaida(BB37,H37,R37,BV37,F37,BU37,T37,Q37,$P$5))</f>
        <v/>
      </c>
      <c r="DJ37" s="914" t="str" cm="1">
        <f t="array" ref="DJ37">IF($A$27=1,"",[1]!ACAELE_Cablecaida2(BB37,Q37,H37,S37,I37,DI37,$P$5))</f>
        <v/>
      </c>
      <c r="DK37" s="919" t="str" cm="1">
        <f t="array" ref="DK37">[1]!ACAELE_CAPACIDADCABLE(BB37,H37,I37,M37,DJ37,N37,$P$5)</f>
        <v/>
      </c>
      <c r="DL37" s="927" t="str" cm="1">
        <f t="array" ref="DL37">[1]!acaele_Iproteccion(BB37,H37,BU37,$F$20,$G$20,$F$19,$G$19,$H$20,$H$19,$P$5)</f>
        <v/>
      </c>
      <c r="DM37" s="928" cm="1">
        <f t="array" ref="DM37">[1]!acaele_ProtCalculada(CX37,H37,BT37,BW37,$G$21,$F$21,$H$21,$P$5)</f>
        <v>0</v>
      </c>
      <c r="DN37" s="929" t="str" cm="1">
        <f t="array" ref="DN37">[1]!ACAELE_cablecalculo(BB37,H37,I37,M37,EF37,$P$5)</f>
        <v/>
      </c>
      <c r="DO37" s="930" t="str" cm="1">
        <f t="array" ref="DO37">[1]!ACAELE_RESISTENCIA(BB37,H37,M37,I37,BX37, CW37,$P$5)</f>
        <v/>
      </c>
      <c r="DP37" s="931" t="str" cm="1">
        <f t="array" ref="DP37">[1]!ACAELE_REACTANCIA(BB37,H37,$F$11,M37,I37,BX37,$P$5)</f>
        <v/>
      </c>
      <c r="DQ37" s="918" t="str" cm="1">
        <f t="array" ref="DQ37">[1]!ACAELE_DIAMECAISLA(BB37,H37,I37,BX37,$P$5)</f>
        <v/>
      </c>
      <c r="DR37" s="918" t="str" cm="1">
        <f t="array" ref="DR37">[1]!ACAELE_AREACAISLAMIENTO(BB37,H37,DQ37,$P$5)</f>
        <v/>
      </c>
      <c r="DS37" s="918" t="str" cm="1">
        <f t="array" ref="DS37">[1]!ACAELE_CAIDAVOLTSFINAL(BB37,H37,F37,K37,BU37,N37,DO37,DA37,DP37,DB37,$P$5)</f>
        <v/>
      </c>
      <c r="DT37" s="918" t="str" cm="1">
        <f t="array" ref="DT37">[1]!ACAELE_AREACONDPTE(BB37,H37,CA37,$P$5)</f>
        <v/>
      </c>
      <c r="DU37" s="932" t="str" cm="1">
        <f t="array" ref="DU37">[1]!ACAELE_AREATOTAL(BZ37,M37,EO37,N37,DQ37,G37,DR37,DT37,N$20,$P$5)</f>
        <v/>
      </c>
      <c r="DV37" s="933" t="str" cm="1">
        <f t="array" ref="DV37">IF($A$27=1,"",[1]!ACAELE_cablecalculo(BB37,H37,I37,M37,EG37,$P$5))</f>
        <v/>
      </c>
      <c r="DW37" s="934" t="str" cm="1">
        <f t="array" ref="DW37">IF($A$27=1,"",[1]!ACAELE_RESISTENCIA(BB37,H37,M37,I37,CC37,CW37,$P$5))</f>
        <v/>
      </c>
      <c r="DX37" s="926" t="str" cm="1">
        <f t="array" ref="DX37">IF($A$27=1,"",[1]!ACAELE_REACTANCIA(BB37,H37,$F$11,M37,I37,CC37,$P$5))</f>
        <v/>
      </c>
      <c r="DY37" s="935" t="str" cm="1">
        <f t="array" ref="DY37">IF($A$27=1,"",[1]!ACAELE_DIAMECAISLA(BB37,H37,I37,CC37,$P$5))</f>
        <v/>
      </c>
      <c r="DZ37" s="935" t="str" cm="1">
        <f t="array" ref="DZ37">IF($A$27=1,"",[1]!ACAELE_AREACAISLAMIENTO(BB37,H37,DY37,$P$5))</f>
        <v/>
      </c>
      <c r="EA37" s="935" t="str" cm="1">
        <f t="array" ref="EA37">[1]!ACAELE_CAIDAVOLTSFINAL2(BB37,Q37,H37,F37,$A$27,BU37,T37,DW37,DA37,DX37,DB37)</f>
        <v/>
      </c>
      <c r="EB37" s="935" t="str" cm="1">
        <f t="array" ref="EB37">IF($A$27=1,"",[1]!ACAELE_AREACONDPTE(BB37,H37,CF37,$P$5))</f>
        <v/>
      </c>
      <c r="EC37" s="936" t="str" cm="1">
        <f t="array" ref="EC37">[1]!ACAELE_AREATOTAL2(H37,$A$27,DY37,S37,G37,T37,DZ37,U37,EB37)</f>
        <v/>
      </c>
      <c r="ED37" s="937" t="str">
        <f t="shared" si="59"/>
        <v/>
      </c>
      <c r="EE37" s="938" t="str">
        <f t="shared" si="60"/>
        <v/>
      </c>
      <c r="EF37" s="939" t="str">
        <f t="shared" si="61"/>
        <v/>
      </c>
      <c r="EG37" s="940">
        <f t="shared" si="62"/>
        <v>0</v>
      </c>
      <c r="EH37" s="941" t="str">
        <f t="shared" si="63"/>
        <v/>
      </c>
      <c r="EI37" s="942">
        <f t="shared" si="64"/>
        <v>30</v>
      </c>
      <c r="EJ37" s="943" t="str">
        <f t="shared" si="11"/>
        <v/>
      </c>
      <c r="EK37" s="943" t="str">
        <f t="shared" si="12"/>
        <v/>
      </c>
      <c r="EL37" s="943" t="str">
        <f t="shared" si="13"/>
        <v/>
      </c>
      <c r="EM37" s="944" t="str">
        <f t="shared" si="14"/>
        <v/>
      </c>
      <c r="EN37" s="945" t="str" cm="1">
        <f t="array" ref="EN37">[1]!ACAELE_MOTOR(H37,X37:BA37,$X$26:$BA$26,$P$5)</f>
        <v/>
      </c>
      <c r="EO37" s="550" t="str">
        <f t="shared" si="65"/>
        <v/>
      </c>
      <c r="EP37" s="431" t="s">
        <v>1214</v>
      </c>
      <c r="EQ37" s="434" t="str">
        <f t="shared" ca="1" si="66"/>
        <v/>
      </c>
      <c r="ER37" s="32"/>
      <c r="ES37" s="32"/>
      <c r="ET37" s="3" t="str">
        <f t="shared" si="67"/>
        <v/>
      </c>
      <c r="EU37" s="3" t="str">
        <f t="shared" si="68"/>
        <v/>
      </c>
      <c r="EV37" s="3" t="str">
        <f t="shared" si="69"/>
        <v/>
      </c>
      <c r="EW37" s="3" t="str">
        <f t="shared" si="70"/>
        <v/>
      </c>
      <c r="EX37" s="3" t="str">
        <f t="shared" si="71"/>
        <v/>
      </c>
      <c r="EY37" s="3" t="str">
        <f t="shared" si="72"/>
        <v/>
      </c>
      <c r="EZ37" s="3" t="str">
        <f t="shared" si="73"/>
        <v/>
      </c>
      <c r="FA37" s="3" t="str">
        <f t="shared" si="74"/>
        <v/>
      </c>
      <c r="FB37" s="3" t="str">
        <f t="shared" si="75"/>
        <v/>
      </c>
      <c r="FC37" s="3">
        <f t="shared" si="76"/>
        <v>0</v>
      </c>
      <c r="FD37" s="32"/>
      <c r="FE37" s="32"/>
      <c r="FF37" s="103">
        <v>1</v>
      </c>
      <c r="FG37" s="32"/>
      <c r="FH37" s="103"/>
      <c r="FI37" s="32"/>
      <c r="FJ37" s="103"/>
      <c r="FK37" s="3">
        <f t="shared" si="77"/>
        <v>0</v>
      </c>
      <c r="FL37" s="3" t="str" cm="1">
        <f t="array" aca="1" ref="FL37" ca="1">[1]!acaele_DIB_UNIFILAR(BB37,H37,F37,COUNTIF(X37:BA37,1),BW37)</f>
        <v/>
      </c>
      <c r="FM37" s="3" t="str">
        <f>IF(DATOS!$T$4=0,"",IF(DATOS!$T$4=1," (QO)",IF(DATOS!$T$4=2," (QOB)",IF(DATOS!$T$4=3," (EDB)",IF(DATOS!$T$4=4,IF(BW37&lt;151," (H"&amp;FN37&amp;")",IF(BW37&lt;251," (J"&amp;FN37&amp;")", IF(BW37&lt;401," (LA)",IF(BW37&lt;801," (MG)",IF(BW37&lt;5001," (POWERPACK)",""))))))))))</f>
        <v xml:space="preserve"> (QOB)</v>
      </c>
      <c r="FN37" s="3" t="str">
        <f t="shared" si="78"/>
        <v/>
      </c>
      <c r="FO37" s="146"/>
      <c r="FP37" s="146"/>
      <c r="FQ37" s="146"/>
      <c r="FR37" s="146"/>
      <c r="FS37" s="146"/>
      <c r="FT37" s="146"/>
      <c r="FU37" s="146"/>
      <c r="FV37" s="146"/>
      <c r="FW37" s="146"/>
      <c r="FX37" s="146" t="str">
        <f t="shared" si="9"/>
        <v/>
      </c>
      <c r="FY37" s="736"/>
      <c r="FZ37" s="740"/>
      <c r="GA37" s="740"/>
      <c r="GB37" s="717"/>
      <c r="GC37" s="838"/>
      <c r="GD37" s="736"/>
      <c r="GE37" s="146"/>
      <c r="GF37" s="506"/>
      <c r="GG37" s="506"/>
      <c r="GH37" s="506"/>
      <c r="GI37" s="506"/>
      <c r="GJ37" s="506"/>
      <c r="GM37" s="3">
        <f>IF(OR(GN37&gt;TABLERO!$M$19,GO37&gt;TABLERO!$M$19,GP37&gt;TABLERO!$M$19,B37=0,C37=0,D37=0),2,CUADROACAD!A37)</f>
        <v>2</v>
      </c>
      <c r="GN37" s="3">
        <f>IF(TABLERO!B37="",0,TABLERO!B37)</f>
        <v>7</v>
      </c>
      <c r="GO37" s="3">
        <f>IF(TABLERO!C37="",GN37,TABLERO!C37)</f>
        <v>7</v>
      </c>
      <c r="GP37" s="3">
        <f>IF(TABLERO!D37="",GN37,TABLERO!D37)</f>
        <v>7</v>
      </c>
    </row>
    <row r="38" spans="1:198" s="3" customFormat="1">
      <c r="A38" s="706"/>
      <c r="B38" s="869">
        <v>8</v>
      </c>
      <c r="C38" s="870" t="str">
        <f t="shared" si="15"/>
        <v/>
      </c>
      <c r="D38" s="870" t="str">
        <f t="shared" si="16"/>
        <v/>
      </c>
      <c r="E38" s="871"/>
      <c r="F38" s="872">
        <v>1</v>
      </c>
      <c r="G38" s="716">
        <f t="shared" si="17"/>
        <v>2</v>
      </c>
      <c r="H38" s="873" t="s">
        <v>12</v>
      </c>
      <c r="I38" s="874" t="str">
        <f t="shared" si="18"/>
        <v>CU</v>
      </c>
      <c r="J38" s="875">
        <v>6</v>
      </c>
      <c r="K38" s="876">
        <v>10</v>
      </c>
      <c r="L38" s="876">
        <v>3</v>
      </c>
      <c r="M38" s="877">
        <v>1</v>
      </c>
      <c r="N38" s="877">
        <v>1</v>
      </c>
      <c r="O38" s="878">
        <v>1</v>
      </c>
      <c r="P38" s="879">
        <v>4</v>
      </c>
      <c r="Q38" s="880">
        <v>1</v>
      </c>
      <c r="R38" s="880">
        <v>1</v>
      </c>
      <c r="S38" s="881">
        <v>1</v>
      </c>
      <c r="T38" s="881">
        <v>1</v>
      </c>
      <c r="U38" s="882">
        <v>1</v>
      </c>
      <c r="V38" s="883">
        <v>1</v>
      </c>
      <c r="W38" s="874" t="str">
        <f t="shared" si="19"/>
        <v>SI</v>
      </c>
      <c r="X38" s="884"/>
      <c r="Y38" s="885"/>
      <c r="Z38" s="885"/>
      <c r="AA38" s="885"/>
      <c r="AB38" s="885"/>
      <c r="AC38" s="885"/>
      <c r="AD38" s="885"/>
      <c r="AE38" s="885"/>
      <c r="AF38" s="885"/>
      <c r="AG38" s="885"/>
      <c r="AH38" s="885"/>
      <c r="AI38" s="885"/>
      <c r="AJ38" s="885"/>
      <c r="AK38" s="885"/>
      <c r="AL38" s="885"/>
      <c r="AM38" s="885"/>
      <c r="AN38" s="885"/>
      <c r="AO38" s="885"/>
      <c r="AP38" s="885"/>
      <c r="AQ38" s="885"/>
      <c r="AR38" s="885"/>
      <c r="AS38" s="885"/>
      <c r="AT38" s="885"/>
      <c r="AU38" s="885"/>
      <c r="AV38" s="885"/>
      <c r="AW38" s="885"/>
      <c r="AX38" s="885"/>
      <c r="AY38" s="885"/>
      <c r="AZ38" s="885"/>
      <c r="BA38" s="886"/>
      <c r="BB38" s="887">
        <f t="shared" si="20"/>
        <v>0</v>
      </c>
      <c r="BC38" s="888" t="str">
        <f t="shared" si="21"/>
        <v/>
      </c>
      <c r="BD38" s="889" t="str">
        <f t="shared" si="22"/>
        <v/>
      </c>
      <c r="BE38" s="889" t="str">
        <f t="shared" si="23"/>
        <v/>
      </c>
      <c r="BF38" s="889" t="str">
        <f t="shared" si="24"/>
        <v/>
      </c>
      <c r="BG38" s="889" t="str">
        <f t="shared" si="25"/>
        <v/>
      </c>
      <c r="BH38" s="889" t="str">
        <f t="shared" si="26"/>
        <v/>
      </c>
      <c r="BI38" s="890" t="str">
        <f t="shared" si="27"/>
        <v/>
      </c>
      <c r="BJ38" s="891" t="str">
        <f t="shared" si="28"/>
        <v/>
      </c>
      <c r="BK38" s="892" t="str">
        <f t="shared" si="29"/>
        <v/>
      </c>
      <c r="BL38" s="892" t="str">
        <f t="shared" si="30"/>
        <v/>
      </c>
      <c r="BM38" s="892" t="str">
        <f t="shared" si="31"/>
        <v/>
      </c>
      <c r="BN38" s="892" t="str">
        <f t="shared" si="32"/>
        <v/>
      </c>
      <c r="BO38" s="892" t="str">
        <f t="shared" si="33"/>
        <v/>
      </c>
      <c r="BP38" s="893" t="str">
        <f t="shared" si="34"/>
        <v/>
      </c>
      <c r="BQ38" s="894" t="str">
        <f t="shared" si="35"/>
        <v/>
      </c>
      <c r="BR38" s="895" t="str">
        <f t="shared" si="10"/>
        <v/>
      </c>
      <c r="BS38" s="896" t="str">
        <f t="shared" si="36"/>
        <v/>
      </c>
      <c r="BT38" s="897" t="str">
        <f t="shared" si="37"/>
        <v/>
      </c>
      <c r="BU38" s="231" t="str">
        <f t="shared" si="38"/>
        <v/>
      </c>
      <c r="BV38" s="898">
        <f t="shared" si="39"/>
        <v>127</v>
      </c>
      <c r="BW38" s="845" t="str">
        <f t="shared" si="40"/>
        <v/>
      </c>
      <c r="BX38" s="899" t="str">
        <f t="shared" si="41"/>
        <v/>
      </c>
      <c r="BY38" s="900" t="str" cm="1">
        <f t="array" ref="BY38">[1]!ACAELE_CAPACIDADCABLE(BB38,H38,I38,M38,BX38,N38)</f>
        <v/>
      </c>
      <c r="BZ38" s="900" t="str">
        <f t="shared" si="42"/>
        <v/>
      </c>
      <c r="CA38" s="901" t="str" cm="1">
        <f t="array" ref="CA38">[1]!ACAELE_cabledetierra(BZ38,$N$9,I38,BW38,BX38,G38)</f>
        <v/>
      </c>
      <c r="CB38" s="902" t="str" cm="1">
        <f t="array" ref="CB38">[1]!ACAELE_TAMATUBERIA(BX38,DU38,$N$9,M38,I38)</f>
        <v/>
      </c>
      <c r="CC38" s="846" t="str">
        <f t="shared" si="43"/>
        <v/>
      </c>
      <c r="CD38" s="903" t="str" cm="1">
        <f t="array" ref="CD38">[1]!ACAELE_CAPACIDADCABLE(BB38,H38,I38,M38,CC38,N38)</f>
        <v/>
      </c>
      <c r="CE38" s="903" t="str">
        <f t="shared" si="44"/>
        <v/>
      </c>
      <c r="CF38" s="904" t="str" cm="1">
        <f t="array" ref="CF38">[1]!ACAELE_cabledetierra(CE38,$N$9,I38,BW38,CC38,G38)</f>
        <v/>
      </c>
      <c r="CG38" s="905" t="str" cm="1">
        <f t="array" ref="CG38">[1]!ACAELE_TAMATUBERIA(CC38,EC38,$N$9,S38,I38)</f>
        <v/>
      </c>
      <c r="CH38" s="906" t="str">
        <f t="shared" si="45"/>
        <v/>
      </c>
      <c r="CI38" s="510" t="str">
        <f t="shared" si="46"/>
        <v>-</v>
      </c>
      <c r="CJ38" s="511" t="str">
        <f t="shared" si="47"/>
        <v>-</v>
      </c>
      <c r="CK38" s="512" t="str">
        <f t="shared" si="48"/>
        <v>-</v>
      </c>
      <c r="CL38" s="907" t="str">
        <f t="shared" si="49"/>
        <v>-</v>
      </c>
      <c r="CM38" s="908" t="str">
        <f t="shared" si="50"/>
        <v>-</v>
      </c>
      <c r="CN38" s="909" t="str">
        <f t="shared" si="51"/>
        <v>-</v>
      </c>
      <c r="CO38" s="910" t="str" cm="1">
        <f t="array" ref="CO38">[1]!ACAELE_fasecorresponde(B38,$F$10,$P$5)</f>
        <v>A</v>
      </c>
      <c r="CP38" s="910" t="str" cm="1">
        <f t="array" ref="CP38">[1]!ACAELE_fasecorresponde(C38,$F$10,$P$5)</f>
        <v>-</v>
      </c>
      <c r="CQ38" s="910" t="str" cm="1">
        <f t="array" ref="CQ38">[1]!ACAELE_fasecorresponde(D38,$F$10,$P$5)</f>
        <v>-</v>
      </c>
      <c r="CR38" s="911" t="str">
        <f t="shared" si="52"/>
        <v>C</v>
      </c>
      <c r="CS38" s="912">
        <f t="shared" si="53"/>
        <v>1</v>
      </c>
      <c r="CT38" s="913">
        <f t="shared" si="54"/>
        <v>0.8</v>
      </c>
      <c r="CU38" s="914" t="str">
        <f t="shared" si="55"/>
        <v/>
      </c>
      <c r="CV38" s="915">
        <f t="shared" si="56"/>
        <v>0</v>
      </c>
      <c r="CW38" s="916" t="str" cm="1">
        <f t="array" ref="CW38">[1]!ACAELE_Inominal(BB38,F38,BT38,BV38,DA38,G38,V38,$P$5)</f>
        <v/>
      </c>
      <c r="CX38" s="917" t="str" cm="1">
        <f t="array" ref="CX38">[1]!ACAELE_Disparocalculado(BB38,H38,DL38,$N$21,$M$21,$O$21,BV38,$P$5)</f>
        <v/>
      </c>
      <c r="CY38" s="918" t="str" cm="1">
        <f t="array" ref="CY38">[1]!ACAELE_Icorregida($A$27,H38,BB38,BU38,CS38,CT38,$P$5)</f>
        <v/>
      </c>
      <c r="CZ38" s="919" t="str" cm="1">
        <f t="array" ref="CZ38">[1]!ACAELE_Icorregida2($A$27,H38,BB38,BU38,CS38,CU38,$P$5)</f>
        <v/>
      </c>
      <c r="DA38" s="920">
        <f t="shared" si="57"/>
        <v>0.9</v>
      </c>
      <c r="DB38" s="921">
        <f t="shared" si="58"/>
        <v>0.43588989435406728</v>
      </c>
      <c r="DC38" s="922" t="str" cm="1">
        <f t="array" ref="DC38">[1]!ACAELE_CONDPORTCORRIENTE(H38,BB38,I38,M38,CY38,CZ38,N38,$P$5)</f>
        <v/>
      </c>
      <c r="DD38" s="923" t="str" cm="1">
        <f t="array" ref="DD38">[1]!ACAELE_CAPACONDCORRIENTE(BB38,H38,I38,M38,CY38,CZ38,$P$5)</f>
        <v/>
      </c>
      <c r="DE38" s="923" t="str" cm="1">
        <f t="array" ref="DE38">[1]!ACAELE_CAPACIDADCABLE(BB38,H38,I38,M38,DC38,N38,$P$5)</f>
        <v/>
      </c>
      <c r="DF38" s="924" t="str" cm="1">
        <f t="array" ref="DF38">[1]!ACAELE_encontrarcaida(BB38,H38,L38,BV38,F38,BU38,N38,K38)</f>
        <v/>
      </c>
      <c r="DG38" s="925" t="str" cm="1">
        <f t="array" ref="DG38">[1]!ACAELE_Cablecaida(BB38,H38,M38,I38,DF38)</f>
        <v/>
      </c>
      <c r="DH38" s="918" t="str" cm="1">
        <f t="array" ref="DH38">[1]!ACAELE_CAPACIDADCABLE(BB38,H38,I38,M38,DG38,N38,$P$5)</f>
        <v/>
      </c>
      <c r="DI38" s="926" t="str" cm="1">
        <f t="array" ref="DI38">IF($A$27=1,"",[1]!ACAELE_encontrarcaida(BB38,H38,R38,BV38,F38,BU38,T38,Q38,$P$5))</f>
        <v/>
      </c>
      <c r="DJ38" s="914" t="str" cm="1">
        <f t="array" ref="DJ38">IF($A$27=1,"",[1]!ACAELE_Cablecaida2(BB38,Q38,H38,S38,I38,DI38,$P$5))</f>
        <v/>
      </c>
      <c r="DK38" s="919" t="str" cm="1">
        <f t="array" ref="DK38">[1]!ACAELE_CAPACIDADCABLE(BB38,H38,I38,M38,DJ38,N38,$P$5)</f>
        <v/>
      </c>
      <c r="DL38" s="927" t="str" cm="1">
        <f t="array" ref="DL38">[1]!acaele_Iproteccion(BB38,H38,BU38,$F$20,$G$20,$F$19,$G$19,$H$20,$H$19,$P$5)</f>
        <v/>
      </c>
      <c r="DM38" s="928" cm="1">
        <f t="array" ref="DM38">[1]!acaele_ProtCalculada(CX38,H38,BT38,BW38,$G$21,$F$21,$H$21,$P$5)</f>
        <v>0</v>
      </c>
      <c r="DN38" s="929" t="str" cm="1">
        <f t="array" ref="DN38">[1]!ACAELE_cablecalculo(BB38,H38,I38,M38,EF38,$P$5)</f>
        <v/>
      </c>
      <c r="DO38" s="930" t="str" cm="1">
        <f t="array" ref="DO38">[1]!ACAELE_RESISTENCIA(BB38,H38,M38,I38,BX38, CW38,$P$5)</f>
        <v/>
      </c>
      <c r="DP38" s="931" t="str" cm="1">
        <f t="array" ref="DP38">[1]!ACAELE_REACTANCIA(BB38,H38,$F$11,M38,I38,BX38,$P$5)</f>
        <v/>
      </c>
      <c r="DQ38" s="918" t="str" cm="1">
        <f t="array" ref="DQ38">[1]!ACAELE_DIAMECAISLA(BB38,H38,I38,BX38,$P$5)</f>
        <v/>
      </c>
      <c r="DR38" s="918" t="str" cm="1">
        <f t="array" ref="DR38">[1]!ACAELE_AREACAISLAMIENTO(BB38,H38,DQ38,$P$5)</f>
        <v/>
      </c>
      <c r="DS38" s="918" t="str" cm="1">
        <f t="array" ref="DS38">[1]!ACAELE_CAIDAVOLTSFINAL(BB38,H38,F38,K38,BU38,N38,DO38,DA38,DP38,DB38,$P$5)</f>
        <v/>
      </c>
      <c r="DT38" s="918" t="str" cm="1">
        <f t="array" ref="DT38">[1]!ACAELE_AREACONDPTE(BB38,H38,CA38,$P$5)</f>
        <v/>
      </c>
      <c r="DU38" s="932" t="str" cm="1">
        <f t="array" ref="DU38">[1]!ACAELE_AREATOTAL(BZ38,M38,EO38,N38,DQ38,G38,DR38,DT38,N$20,$P$5)</f>
        <v/>
      </c>
      <c r="DV38" s="933" t="str" cm="1">
        <f t="array" ref="DV38">IF($A$27=1,"",[1]!ACAELE_cablecalculo(BB38,H38,I38,M38,EG38,$P$5))</f>
        <v/>
      </c>
      <c r="DW38" s="934" t="str" cm="1">
        <f t="array" ref="DW38">IF($A$27=1,"",[1]!ACAELE_RESISTENCIA(BB38,H38,M38,I38,CC38,CW38,$P$5))</f>
        <v/>
      </c>
      <c r="DX38" s="926" t="str" cm="1">
        <f t="array" ref="DX38">IF($A$27=1,"",[1]!ACAELE_REACTANCIA(BB38,H38,$F$11,M38,I38,CC38,$P$5))</f>
        <v/>
      </c>
      <c r="DY38" s="935" t="str" cm="1">
        <f t="array" ref="DY38">IF($A$27=1,"",[1]!ACAELE_DIAMECAISLA(BB38,H38,I38,CC38,$P$5))</f>
        <v/>
      </c>
      <c r="DZ38" s="935" t="str" cm="1">
        <f t="array" ref="DZ38">IF($A$27=1,"",[1]!ACAELE_AREACAISLAMIENTO(BB38,H38,DY38,$P$5))</f>
        <v/>
      </c>
      <c r="EA38" s="935" t="str" cm="1">
        <f t="array" ref="EA38">[1]!ACAELE_CAIDAVOLTSFINAL2(BB38,Q38,H38,F38,$A$27,BU38,T38,DW38,DA38,DX38,DB38)</f>
        <v/>
      </c>
      <c r="EB38" s="935" t="str" cm="1">
        <f t="array" ref="EB38">IF($A$27=1,"",[1]!ACAELE_AREACONDPTE(BB38,H38,CF38,$P$5))</f>
        <v/>
      </c>
      <c r="EC38" s="936" t="str" cm="1">
        <f t="array" ref="EC38">[1]!ACAELE_AREATOTAL2(H38,$A$27,DY38,S38,G38,T38,DZ38,U38,EB38)</f>
        <v/>
      </c>
      <c r="ED38" s="937" t="str">
        <f t="shared" si="59"/>
        <v/>
      </c>
      <c r="EE38" s="938" t="str">
        <f t="shared" si="60"/>
        <v/>
      </c>
      <c r="EF38" s="939" t="str">
        <f t="shared" si="61"/>
        <v/>
      </c>
      <c r="EG38" s="940">
        <f t="shared" si="62"/>
        <v>0</v>
      </c>
      <c r="EH38" s="941" t="str">
        <f t="shared" si="63"/>
        <v/>
      </c>
      <c r="EI38" s="942">
        <f t="shared" si="64"/>
        <v>30</v>
      </c>
      <c r="EJ38" s="943" t="str">
        <f t="shared" si="11"/>
        <v/>
      </c>
      <c r="EK38" s="943" t="str">
        <f t="shared" si="12"/>
        <v/>
      </c>
      <c r="EL38" s="943" t="str">
        <f t="shared" si="13"/>
        <v/>
      </c>
      <c r="EM38" s="944" t="str">
        <f t="shared" si="14"/>
        <v/>
      </c>
      <c r="EN38" s="945" t="str" cm="1">
        <f t="array" ref="EN38">[1]!ACAELE_MOTOR(H38,X38:BA38,$X$26:$BA$26,$P$5)</f>
        <v/>
      </c>
      <c r="EO38" s="550" t="str">
        <f t="shared" si="65"/>
        <v/>
      </c>
      <c r="EP38" s="431" t="s">
        <v>1214</v>
      </c>
      <c r="EQ38" s="434" t="str">
        <f t="shared" ca="1" si="66"/>
        <v/>
      </c>
      <c r="ER38" s="32"/>
      <c r="ES38" s="32"/>
      <c r="ET38" s="3" t="str">
        <f t="shared" si="67"/>
        <v/>
      </c>
      <c r="EU38" s="3" t="str">
        <f t="shared" si="68"/>
        <v/>
      </c>
      <c r="EV38" s="3" t="str">
        <f t="shared" si="69"/>
        <v/>
      </c>
      <c r="EW38" s="3" t="str">
        <f t="shared" si="70"/>
        <v/>
      </c>
      <c r="EX38" s="3" t="str">
        <f t="shared" si="71"/>
        <v/>
      </c>
      <c r="EY38" s="3" t="str">
        <f t="shared" si="72"/>
        <v/>
      </c>
      <c r="EZ38" s="3" t="str">
        <f t="shared" si="73"/>
        <v/>
      </c>
      <c r="FA38" s="3" t="str">
        <f t="shared" si="74"/>
        <v/>
      </c>
      <c r="FB38" s="3" t="str">
        <f t="shared" si="75"/>
        <v/>
      </c>
      <c r="FC38" s="3">
        <f t="shared" si="76"/>
        <v>0</v>
      </c>
      <c r="FD38" s="32"/>
      <c r="FE38" s="32"/>
      <c r="FF38" s="103">
        <v>1</v>
      </c>
      <c r="FG38" s="32"/>
      <c r="FH38" s="103"/>
      <c r="FI38" s="32"/>
      <c r="FJ38" s="103"/>
      <c r="FK38" s="3">
        <f t="shared" si="77"/>
        <v>0</v>
      </c>
      <c r="FL38" s="3" t="str" cm="1">
        <f t="array" aca="1" ref="FL38" ca="1">[1]!acaele_DIB_UNIFILAR(BB38,H38,F38,COUNTIF(X38:BA38,1),BW38)</f>
        <v/>
      </c>
      <c r="FM38" s="3" t="str">
        <f>IF(DATOS!$T$4=0,"",IF(DATOS!$T$4=1," (QO)",IF(DATOS!$T$4=2," (QOB)",IF(DATOS!$T$4=3," (EDB)",IF(DATOS!$T$4=4,IF(BW38&lt;151," (H"&amp;FN38&amp;")",IF(BW38&lt;251," (J"&amp;FN38&amp;")", IF(BW38&lt;401," (LA)",IF(BW38&lt;801," (MG)",IF(BW38&lt;5001," (POWERPACK)",""))))))))))</f>
        <v xml:space="preserve"> (QOB)</v>
      </c>
      <c r="FN38" s="3" t="str">
        <f t="shared" si="78"/>
        <v/>
      </c>
      <c r="FO38" s="146"/>
      <c r="FP38" s="146"/>
      <c r="FQ38" s="146"/>
      <c r="FR38" s="146"/>
      <c r="FS38" s="146"/>
      <c r="FT38" s="146"/>
      <c r="FU38" s="146"/>
      <c r="FV38" s="146"/>
      <c r="FW38" s="146"/>
      <c r="FX38" s="146" t="str">
        <f t="shared" si="9"/>
        <v/>
      </c>
      <c r="FY38" s="736"/>
      <c r="FZ38" s="740"/>
      <c r="GA38" s="740"/>
      <c r="GB38" s="717"/>
      <c r="GC38" s="838"/>
      <c r="GD38" s="736"/>
      <c r="GE38" s="146"/>
      <c r="GF38" s="506"/>
      <c r="GG38" s="506"/>
      <c r="GH38" s="506"/>
      <c r="GI38" s="506"/>
      <c r="GJ38" s="506"/>
      <c r="GM38" s="3">
        <f>IF(OR(GN38&gt;TABLERO!$M$19,GO38&gt;TABLERO!$M$19,GP38&gt;TABLERO!$M$19,B38=0,C38=0,D38=0),2,CUADROACAD!A38)</f>
        <v>2</v>
      </c>
      <c r="GN38" s="3">
        <f>IF(TABLERO!B38="",0,TABLERO!B38)</f>
        <v>8</v>
      </c>
      <c r="GO38" s="3">
        <f>IF(TABLERO!C38="",GN38,TABLERO!C38)</f>
        <v>8</v>
      </c>
      <c r="GP38" s="3">
        <f>IF(TABLERO!D38="",GN38,TABLERO!D38)</f>
        <v>8</v>
      </c>
    </row>
    <row r="39" spans="1:198" s="3" customFormat="1">
      <c r="A39" s="706"/>
      <c r="B39" s="869">
        <v>9</v>
      </c>
      <c r="C39" s="870" t="str">
        <f t="shared" si="15"/>
        <v/>
      </c>
      <c r="D39" s="870" t="str">
        <f t="shared" si="16"/>
        <v/>
      </c>
      <c r="E39" s="871"/>
      <c r="F39" s="872">
        <v>1</v>
      </c>
      <c r="G39" s="716">
        <f t="shared" si="17"/>
        <v>2</v>
      </c>
      <c r="H39" s="873" t="s">
        <v>12</v>
      </c>
      <c r="I39" s="874" t="str">
        <f t="shared" si="18"/>
        <v>CU</v>
      </c>
      <c r="J39" s="875">
        <v>6</v>
      </c>
      <c r="K39" s="876">
        <v>10</v>
      </c>
      <c r="L39" s="876">
        <v>3</v>
      </c>
      <c r="M39" s="877">
        <v>1</v>
      </c>
      <c r="N39" s="877">
        <v>1</v>
      </c>
      <c r="O39" s="878">
        <v>1</v>
      </c>
      <c r="P39" s="879">
        <v>4</v>
      </c>
      <c r="Q39" s="880">
        <v>1</v>
      </c>
      <c r="R39" s="880">
        <v>1</v>
      </c>
      <c r="S39" s="881">
        <v>1</v>
      </c>
      <c r="T39" s="881">
        <v>1</v>
      </c>
      <c r="U39" s="882">
        <v>1</v>
      </c>
      <c r="V39" s="883">
        <v>1</v>
      </c>
      <c r="W39" s="874" t="str">
        <f t="shared" si="19"/>
        <v>SI</v>
      </c>
      <c r="X39" s="884"/>
      <c r="Y39" s="885"/>
      <c r="Z39" s="885"/>
      <c r="AA39" s="885"/>
      <c r="AB39" s="885"/>
      <c r="AC39" s="885"/>
      <c r="AD39" s="885"/>
      <c r="AE39" s="885"/>
      <c r="AF39" s="885"/>
      <c r="AG39" s="885"/>
      <c r="AH39" s="885"/>
      <c r="AI39" s="885"/>
      <c r="AJ39" s="885"/>
      <c r="AK39" s="885"/>
      <c r="AL39" s="885"/>
      <c r="AM39" s="885"/>
      <c r="AN39" s="885"/>
      <c r="AO39" s="885"/>
      <c r="AP39" s="885"/>
      <c r="AQ39" s="885"/>
      <c r="AR39" s="885"/>
      <c r="AS39" s="885"/>
      <c r="AT39" s="885"/>
      <c r="AU39" s="885"/>
      <c r="AV39" s="885"/>
      <c r="AW39" s="885"/>
      <c r="AX39" s="885"/>
      <c r="AY39" s="885"/>
      <c r="AZ39" s="885"/>
      <c r="BA39" s="886"/>
      <c r="BB39" s="887">
        <f t="shared" si="20"/>
        <v>0</v>
      </c>
      <c r="BC39" s="888" t="str">
        <f t="shared" si="21"/>
        <v/>
      </c>
      <c r="BD39" s="889" t="str">
        <f t="shared" si="22"/>
        <v/>
      </c>
      <c r="BE39" s="889" t="str">
        <f t="shared" si="23"/>
        <v/>
      </c>
      <c r="BF39" s="889" t="str">
        <f t="shared" si="24"/>
        <v/>
      </c>
      <c r="BG39" s="889" t="str">
        <f t="shared" si="25"/>
        <v/>
      </c>
      <c r="BH39" s="889" t="str">
        <f t="shared" si="26"/>
        <v/>
      </c>
      <c r="BI39" s="890" t="str">
        <f t="shared" si="27"/>
        <v/>
      </c>
      <c r="BJ39" s="891" t="str">
        <f t="shared" si="28"/>
        <v/>
      </c>
      <c r="BK39" s="892" t="str">
        <f t="shared" si="29"/>
        <v/>
      </c>
      <c r="BL39" s="892" t="str">
        <f t="shared" si="30"/>
        <v/>
      </c>
      <c r="BM39" s="892" t="str">
        <f t="shared" si="31"/>
        <v/>
      </c>
      <c r="BN39" s="892" t="str">
        <f t="shared" si="32"/>
        <v/>
      </c>
      <c r="BO39" s="892" t="str">
        <f t="shared" si="33"/>
        <v/>
      </c>
      <c r="BP39" s="893" t="str">
        <f t="shared" si="34"/>
        <v/>
      </c>
      <c r="BQ39" s="894" t="str">
        <f t="shared" si="35"/>
        <v/>
      </c>
      <c r="BR39" s="895" t="str">
        <f t="shared" si="10"/>
        <v/>
      </c>
      <c r="BS39" s="896" t="str">
        <f t="shared" si="36"/>
        <v/>
      </c>
      <c r="BT39" s="897" t="str">
        <f t="shared" si="37"/>
        <v/>
      </c>
      <c r="BU39" s="231" t="str">
        <f t="shared" si="38"/>
        <v/>
      </c>
      <c r="BV39" s="898">
        <f t="shared" si="39"/>
        <v>127</v>
      </c>
      <c r="BW39" s="845" t="str">
        <f t="shared" si="40"/>
        <v/>
      </c>
      <c r="BX39" s="899" t="str">
        <f t="shared" si="41"/>
        <v/>
      </c>
      <c r="BY39" s="900" t="str" cm="1">
        <f t="array" ref="BY39">[1]!ACAELE_CAPACIDADCABLE(BB39,H39,I39,M39,BX39,N39)</f>
        <v/>
      </c>
      <c r="BZ39" s="900" t="str">
        <f t="shared" si="42"/>
        <v/>
      </c>
      <c r="CA39" s="901" t="str" cm="1">
        <f t="array" ref="CA39">[1]!ACAELE_cabledetierra(BZ39,$N$9,I39,BW39,BX39,G39)</f>
        <v/>
      </c>
      <c r="CB39" s="902" t="str" cm="1">
        <f t="array" ref="CB39">[1]!ACAELE_TAMATUBERIA(BX39,DU39,$N$9,M39,I39)</f>
        <v/>
      </c>
      <c r="CC39" s="846" t="str">
        <f t="shared" si="43"/>
        <v/>
      </c>
      <c r="CD39" s="903" t="str" cm="1">
        <f t="array" ref="CD39">[1]!ACAELE_CAPACIDADCABLE(BB39,H39,I39,M39,CC39,N39)</f>
        <v/>
      </c>
      <c r="CE39" s="903" t="str">
        <f t="shared" si="44"/>
        <v/>
      </c>
      <c r="CF39" s="904" t="str" cm="1">
        <f t="array" ref="CF39">[1]!ACAELE_cabledetierra(CE39,$N$9,I39,BW39,CC39,G39)</f>
        <v/>
      </c>
      <c r="CG39" s="905" t="str" cm="1">
        <f t="array" ref="CG39">[1]!ACAELE_TAMATUBERIA(CC39,EC39,$N$9,S39,I39)</f>
        <v/>
      </c>
      <c r="CH39" s="906" t="str">
        <f t="shared" si="45"/>
        <v/>
      </c>
      <c r="CI39" s="510" t="str">
        <f t="shared" si="46"/>
        <v>-</v>
      </c>
      <c r="CJ39" s="511" t="str">
        <f t="shared" si="47"/>
        <v>-</v>
      </c>
      <c r="CK39" s="512" t="str">
        <f t="shared" si="48"/>
        <v>-</v>
      </c>
      <c r="CL39" s="907" t="str">
        <f t="shared" si="49"/>
        <v>-</v>
      </c>
      <c r="CM39" s="908" t="str">
        <f t="shared" si="50"/>
        <v>-</v>
      </c>
      <c r="CN39" s="909" t="str">
        <f t="shared" si="51"/>
        <v>-</v>
      </c>
      <c r="CO39" s="910" t="str" cm="1">
        <f t="array" ref="CO39">[1]!ACAELE_fasecorresponde(B39,$F$10,$P$5)</f>
        <v>B</v>
      </c>
      <c r="CP39" s="910" t="str" cm="1">
        <f t="array" ref="CP39">[1]!ACAELE_fasecorresponde(C39,$F$10,$P$5)</f>
        <v>-</v>
      </c>
      <c r="CQ39" s="910" t="str" cm="1">
        <f t="array" ref="CQ39">[1]!ACAELE_fasecorresponde(D39,$F$10,$P$5)</f>
        <v>-</v>
      </c>
      <c r="CR39" s="911" t="str">
        <f t="shared" si="52"/>
        <v>C</v>
      </c>
      <c r="CS39" s="912">
        <f t="shared" si="53"/>
        <v>1</v>
      </c>
      <c r="CT39" s="913">
        <f t="shared" si="54"/>
        <v>0.8</v>
      </c>
      <c r="CU39" s="914" t="str">
        <f t="shared" si="55"/>
        <v/>
      </c>
      <c r="CV39" s="915">
        <f t="shared" si="56"/>
        <v>0</v>
      </c>
      <c r="CW39" s="916" t="str" cm="1">
        <f t="array" ref="CW39">[1]!ACAELE_Inominal(BB39,F39,BT39,BV39,DA39,G39,V39,$P$5)</f>
        <v/>
      </c>
      <c r="CX39" s="917" t="str" cm="1">
        <f t="array" ref="CX39">[1]!ACAELE_Disparocalculado(BB39,H39,DL39,$N$21,$M$21,$O$21,BV39,$P$5)</f>
        <v/>
      </c>
      <c r="CY39" s="918" t="str" cm="1">
        <f t="array" ref="CY39">[1]!ACAELE_Icorregida($A$27,H39,BB39,BU39,CS39,CT39,$P$5)</f>
        <v/>
      </c>
      <c r="CZ39" s="919" t="str" cm="1">
        <f t="array" ref="CZ39">[1]!ACAELE_Icorregida2($A$27,H39,BB39,BU39,CS39,CU39,$P$5)</f>
        <v/>
      </c>
      <c r="DA39" s="920">
        <f t="shared" si="57"/>
        <v>0.9</v>
      </c>
      <c r="DB39" s="921">
        <f t="shared" si="58"/>
        <v>0.43588989435406728</v>
      </c>
      <c r="DC39" s="922" t="str" cm="1">
        <f t="array" ref="DC39">[1]!ACAELE_CONDPORTCORRIENTE(H39,BB39,I39,M39,CY39,CZ39,N39,$P$5)</f>
        <v/>
      </c>
      <c r="DD39" s="923" t="str" cm="1">
        <f t="array" ref="DD39">[1]!ACAELE_CAPACONDCORRIENTE(BB39,H39,I39,M39,CY39,CZ39,$P$5)</f>
        <v/>
      </c>
      <c r="DE39" s="923" t="str" cm="1">
        <f t="array" ref="DE39">[1]!ACAELE_CAPACIDADCABLE(BB39,H39,I39,M39,DC39,N39,$P$5)</f>
        <v/>
      </c>
      <c r="DF39" s="924" t="str" cm="1">
        <f t="array" ref="DF39">[1]!ACAELE_encontrarcaida(BB39,H39,L39,BV39,F39,BU39,N39,K39)</f>
        <v/>
      </c>
      <c r="DG39" s="925" t="str" cm="1">
        <f t="array" ref="DG39">[1]!ACAELE_Cablecaida(BB39,H39,M39,I39,DF39)</f>
        <v/>
      </c>
      <c r="DH39" s="918" t="str" cm="1">
        <f t="array" ref="DH39">[1]!ACAELE_CAPACIDADCABLE(BB39,H39,I39,M39,DG39,N39,$P$5)</f>
        <v/>
      </c>
      <c r="DI39" s="926" t="str" cm="1">
        <f t="array" ref="DI39">IF($A$27=1,"",[1]!ACAELE_encontrarcaida(BB39,H39,R39,BV39,F39,BU39,T39,Q39,$P$5))</f>
        <v/>
      </c>
      <c r="DJ39" s="914" t="str" cm="1">
        <f t="array" ref="DJ39">IF($A$27=1,"",[1]!ACAELE_Cablecaida2(BB39,Q39,H39,S39,I39,DI39,$P$5))</f>
        <v/>
      </c>
      <c r="DK39" s="919" t="str" cm="1">
        <f t="array" ref="DK39">[1]!ACAELE_CAPACIDADCABLE(BB39,H39,I39,M39,DJ39,N39,$P$5)</f>
        <v/>
      </c>
      <c r="DL39" s="927" t="str" cm="1">
        <f t="array" ref="DL39">[1]!acaele_Iproteccion(BB39,H39,BU39,$F$20,$G$20,$F$19,$G$19,$H$20,$H$19,$P$5)</f>
        <v/>
      </c>
      <c r="DM39" s="928" cm="1">
        <f t="array" ref="DM39">[1]!acaele_ProtCalculada(CX39,H39,BT39,BW39,$G$21,$F$21,$H$21,$P$5)</f>
        <v>0</v>
      </c>
      <c r="DN39" s="929" t="str" cm="1">
        <f t="array" ref="DN39">[1]!ACAELE_cablecalculo(BB39,H39,I39,M39,EF39,$P$5)</f>
        <v/>
      </c>
      <c r="DO39" s="930" t="str" cm="1">
        <f t="array" ref="DO39">[1]!ACAELE_RESISTENCIA(BB39,H39,M39,I39,BX39, CW39,$P$5)</f>
        <v/>
      </c>
      <c r="DP39" s="931" t="str" cm="1">
        <f t="array" ref="DP39">[1]!ACAELE_REACTANCIA(BB39,H39,$F$11,M39,I39,BX39,$P$5)</f>
        <v/>
      </c>
      <c r="DQ39" s="918" t="str" cm="1">
        <f t="array" ref="DQ39">[1]!ACAELE_DIAMECAISLA(BB39,H39,I39,BX39,$P$5)</f>
        <v/>
      </c>
      <c r="DR39" s="918" t="str" cm="1">
        <f t="array" ref="DR39">[1]!ACAELE_AREACAISLAMIENTO(BB39,H39,DQ39,$P$5)</f>
        <v/>
      </c>
      <c r="DS39" s="918" t="str" cm="1">
        <f t="array" ref="DS39">[1]!ACAELE_CAIDAVOLTSFINAL(BB39,H39,F39,K39,BU39,N39,DO39,DA39,DP39,DB39,$P$5)</f>
        <v/>
      </c>
      <c r="DT39" s="918" t="str" cm="1">
        <f t="array" ref="DT39">[1]!ACAELE_AREACONDPTE(BB39,H39,CA39,$P$5)</f>
        <v/>
      </c>
      <c r="DU39" s="932" t="str" cm="1">
        <f t="array" ref="DU39">[1]!ACAELE_AREATOTAL(BZ39,M39,EO39,N39,DQ39,G39,DR39,DT39,N$20,$P$5)</f>
        <v/>
      </c>
      <c r="DV39" s="933" t="str" cm="1">
        <f t="array" ref="DV39">IF($A$27=1,"",[1]!ACAELE_cablecalculo(BB39,H39,I39,M39,EG39,$P$5))</f>
        <v/>
      </c>
      <c r="DW39" s="934" t="str" cm="1">
        <f t="array" ref="DW39">IF($A$27=1,"",[1]!ACAELE_RESISTENCIA(BB39,H39,M39,I39,CC39,CW39,$P$5))</f>
        <v/>
      </c>
      <c r="DX39" s="926" t="str" cm="1">
        <f t="array" ref="DX39">IF($A$27=1,"",[1]!ACAELE_REACTANCIA(BB39,H39,$F$11,M39,I39,CC39,$P$5))</f>
        <v/>
      </c>
      <c r="DY39" s="935" t="str" cm="1">
        <f t="array" ref="DY39">IF($A$27=1,"",[1]!ACAELE_DIAMECAISLA(BB39,H39,I39,CC39,$P$5))</f>
        <v/>
      </c>
      <c r="DZ39" s="935" t="str" cm="1">
        <f t="array" ref="DZ39">IF($A$27=1,"",[1]!ACAELE_AREACAISLAMIENTO(BB39,H39,DY39,$P$5))</f>
        <v/>
      </c>
      <c r="EA39" s="935" t="str" cm="1">
        <f t="array" ref="EA39">[1]!ACAELE_CAIDAVOLTSFINAL2(BB39,Q39,H39,F39,$A$27,BU39,T39,DW39,DA39,DX39,DB39)</f>
        <v/>
      </c>
      <c r="EB39" s="935" t="str" cm="1">
        <f t="array" ref="EB39">IF($A$27=1,"",[1]!ACAELE_AREACONDPTE(BB39,H39,CF39,$P$5))</f>
        <v/>
      </c>
      <c r="EC39" s="936" t="str" cm="1">
        <f t="array" ref="EC39">[1]!ACAELE_AREATOTAL2(H39,$A$27,DY39,S39,G39,T39,DZ39,U39,EB39)</f>
        <v/>
      </c>
      <c r="ED39" s="937" t="str">
        <f t="shared" si="59"/>
        <v/>
      </c>
      <c r="EE39" s="938" t="str">
        <f t="shared" si="60"/>
        <v/>
      </c>
      <c r="EF39" s="939" t="str">
        <f t="shared" si="61"/>
        <v/>
      </c>
      <c r="EG39" s="940">
        <f t="shared" si="62"/>
        <v>0</v>
      </c>
      <c r="EH39" s="941" t="str">
        <f t="shared" si="63"/>
        <v/>
      </c>
      <c r="EI39" s="942">
        <f t="shared" si="64"/>
        <v>30</v>
      </c>
      <c r="EJ39" s="943" t="str">
        <f t="shared" si="11"/>
        <v/>
      </c>
      <c r="EK39" s="943" t="str">
        <f t="shared" si="12"/>
        <v/>
      </c>
      <c r="EL39" s="943" t="str">
        <f t="shared" si="13"/>
        <v/>
      </c>
      <c r="EM39" s="944" t="str">
        <f t="shared" si="14"/>
        <v/>
      </c>
      <c r="EN39" s="945" t="str" cm="1">
        <f t="array" ref="EN39">[1]!ACAELE_MOTOR(H39,X39:BA39,$X$26:$BA$26,$P$5)</f>
        <v/>
      </c>
      <c r="EO39" s="550" t="str">
        <f t="shared" si="65"/>
        <v/>
      </c>
      <c r="EP39" s="431" t="s">
        <v>1214</v>
      </c>
      <c r="EQ39" s="434" t="str">
        <f t="shared" ca="1" si="66"/>
        <v/>
      </c>
      <c r="ER39" s="32"/>
      <c r="ES39" s="32"/>
      <c r="ET39" s="3" t="str">
        <f t="shared" si="67"/>
        <v/>
      </c>
      <c r="EU39" s="3" t="str">
        <f t="shared" si="68"/>
        <v/>
      </c>
      <c r="EV39" s="3" t="str">
        <f t="shared" si="69"/>
        <v/>
      </c>
      <c r="EW39" s="3" t="str">
        <f t="shared" si="70"/>
        <v/>
      </c>
      <c r="EX39" s="3" t="str">
        <f t="shared" si="71"/>
        <v/>
      </c>
      <c r="EY39" s="3" t="str">
        <f t="shared" si="72"/>
        <v/>
      </c>
      <c r="EZ39" s="3" t="str">
        <f t="shared" si="73"/>
        <v/>
      </c>
      <c r="FA39" s="3" t="str">
        <f t="shared" si="74"/>
        <v/>
      </c>
      <c r="FB39" s="3" t="str">
        <f t="shared" si="75"/>
        <v/>
      </c>
      <c r="FC39" s="3">
        <f t="shared" si="76"/>
        <v>0</v>
      </c>
      <c r="FD39" s="32"/>
      <c r="FE39" s="32"/>
      <c r="FF39" s="103">
        <v>1</v>
      </c>
      <c r="FG39" s="32"/>
      <c r="FH39" s="103"/>
      <c r="FI39" s="32"/>
      <c r="FJ39" s="103"/>
      <c r="FK39" s="3">
        <f t="shared" si="77"/>
        <v>0</v>
      </c>
      <c r="FL39" s="3" t="str" cm="1">
        <f t="array" aca="1" ref="FL39" ca="1">[1]!acaele_DIB_UNIFILAR(BB39,H39,F39,COUNTIF(X39:BA39,1),BW39)</f>
        <v/>
      </c>
      <c r="FM39" s="3" t="str">
        <f>IF(DATOS!$T$4=0,"",IF(DATOS!$T$4=1," (QO)",IF(DATOS!$T$4=2," (QOB)",IF(DATOS!$T$4=3," (EDB)",IF(DATOS!$T$4=4,IF(BW39&lt;151," (H"&amp;FN39&amp;")",IF(BW39&lt;251," (J"&amp;FN39&amp;")", IF(BW39&lt;401," (LA)",IF(BW39&lt;801," (MG)",IF(BW39&lt;5001," (POWERPACK)",""))))))))))</f>
        <v xml:space="preserve"> (QOB)</v>
      </c>
      <c r="FN39" s="3" t="str">
        <f t="shared" si="78"/>
        <v/>
      </c>
      <c r="FO39" s="146"/>
      <c r="FP39" s="146"/>
      <c r="FQ39" s="146"/>
      <c r="FR39" s="146"/>
      <c r="FS39" s="146"/>
      <c r="FT39" s="146"/>
      <c r="FU39" s="146"/>
      <c r="FV39" s="146"/>
      <c r="FW39" s="146"/>
      <c r="FX39" s="146" t="str">
        <f t="shared" si="9"/>
        <v/>
      </c>
      <c r="FY39" s="736"/>
      <c r="FZ39" s="740"/>
      <c r="GA39" s="740"/>
      <c r="GB39" s="717"/>
      <c r="GC39" s="838"/>
      <c r="GD39" s="736"/>
      <c r="GE39" s="146"/>
      <c r="GF39" s="506"/>
      <c r="GG39" s="506"/>
      <c r="GH39" s="506"/>
      <c r="GI39" s="506"/>
      <c r="GJ39" s="506"/>
      <c r="GM39" s="3">
        <f>IF(OR(GN39&gt;TABLERO!$M$19,GO39&gt;TABLERO!$M$19,GP39&gt;TABLERO!$M$19,B39=0,C39=0,D39=0),2,CUADROACAD!A39)</f>
        <v>2</v>
      </c>
      <c r="GN39" s="3">
        <f>IF(TABLERO!B39="",0,TABLERO!B39)</f>
        <v>9</v>
      </c>
      <c r="GO39" s="3">
        <f>IF(TABLERO!C39="",GN39,TABLERO!C39)</f>
        <v>9</v>
      </c>
      <c r="GP39" s="3">
        <f>IF(TABLERO!D39="",GN39,TABLERO!D39)</f>
        <v>9</v>
      </c>
    </row>
    <row r="40" spans="1:198" s="3" customFormat="1">
      <c r="A40" s="706"/>
      <c r="B40" s="869">
        <v>10</v>
      </c>
      <c r="C40" s="870" t="str">
        <f t="shared" si="15"/>
        <v/>
      </c>
      <c r="D40" s="870" t="str">
        <f t="shared" si="16"/>
        <v/>
      </c>
      <c r="E40" s="871"/>
      <c r="F40" s="872">
        <v>1</v>
      </c>
      <c r="G40" s="716">
        <f t="shared" si="17"/>
        <v>2</v>
      </c>
      <c r="H40" s="873" t="s">
        <v>12</v>
      </c>
      <c r="I40" s="874" t="str">
        <f t="shared" si="18"/>
        <v>CU</v>
      </c>
      <c r="J40" s="875">
        <v>6</v>
      </c>
      <c r="K40" s="876">
        <v>10</v>
      </c>
      <c r="L40" s="876">
        <v>3</v>
      </c>
      <c r="M40" s="877">
        <v>1</v>
      </c>
      <c r="N40" s="877">
        <v>1</v>
      </c>
      <c r="O40" s="878">
        <v>1</v>
      </c>
      <c r="P40" s="879">
        <v>4</v>
      </c>
      <c r="Q40" s="880">
        <v>1</v>
      </c>
      <c r="R40" s="880">
        <v>1</v>
      </c>
      <c r="S40" s="881">
        <v>1</v>
      </c>
      <c r="T40" s="881">
        <v>1</v>
      </c>
      <c r="U40" s="882">
        <v>1</v>
      </c>
      <c r="V40" s="883">
        <v>1</v>
      </c>
      <c r="W40" s="874" t="str">
        <f t="shared" si="19"/>
        <v>SI</v>
      </c>
      <c r="X40" s="884"/>
      <c r="Y40" s="885"/>
      <c r="Z40" s="885"/>
      <c r="AA40" s="885"/>
      <c r="AB40" s="885"/>
      <c r="AC40" s="885"/>
      <c r="AD40" s="885"/>
      <c r="AE40" s="885"/>
      <c r="AF40" s="885"/>
      <c r="AG40" s="885"/>
      <c r="AH40" s="885"/>
      <c r="AI40" s="885"/>
      <c r="AJ40" s="885"/>
      <c r="AK40" s="885"/>
      <c r="AL40" s="885"/>
      <c r="AM40" s="885"/>
      <c r="AN40" s="885"/>
      <c r="AO40" s="885"/>
      <c r="AP40" s="885"/>
      <c r="AQ40" s="885"/>
      <c r="AR40" s="885"/>
      <c r="AS40" s="885"/>
      <c r="AT40" s="885"/>
      <c r="AU40" s="885"/>
      <c r="AV40" s="885"/>
      <c r="AW40" s="885"/>
      <c r="AX40" s="885"/>
      <c r="AY40" s="885"/>
      <c r="AZ40" s="885"/>
      <c r="BA40" s="886"/>
      <c r="BB40" s="887">
        <f t="shared" si="20"/>
        <v>0</v>
      </c>
      <c r="BC40" s="888" t="str">
        <f t="shared" si="21"/>
        <v/>
      </c>
      <c r="BD40" s="889" t="str">
        <f t="shared" si="22"/>
        <v/>
      </c>
      <c r="BE40" s="889" t="str">
        <f t="shared" si="23"/>
        <v/>
      </c>
      <c r="BF40" s="889" t="str">
        <f t="shared" si="24"/>
        <v/>
      </c>
      <c r="BG40" s="889" t="str">
        <f t="shared" si="25"/>
        <v/>
      </c>
      <c r="BH40" s="889" t="str">
        <f t="shared" si="26"/>
        <v/>
      </c>
      <c r="BI40" s="890" t="str">
        <f t="shared" si="27"/>
        <v/>
      </c>
      <c r="BJ40" s="891" t="str">
        <f t="shared" si="28"/>
        <v/>
      </c>
      <c r="BK40" s="892" t="str">
        <f t="shared" si="29"/>
        <v/>
      </c>
      <c r="BL40" s="892" t="str">
        <f t="shared" si="30"/>
        <v/>
      </c>
      <c r="BM40" s="892" t="str">
        <f t="shared" si="31"/>
        <v/>
      </c>
      <c r="BN40" s="892" t="str">
        <f t="shared" si="32"/>
        <v/>
      </c>
      <c r="BO40" s="892" t="str">
        <f t="shared" si="33"/>
        <v/>
      </c>
      <c r="BP40" s="893" t="str">
        <f t="shared" si="34"/>
        <v/>
      </c>
      <c r="BQ40" s="894" t="str">
        <f t="shared" si="35"/>
        <v/>
      </c>
      <c r="BR40" s="895" t="str">
        <f t="shared" si="10"/>
        <v/>
      </c>
      <c r="BS40" s="896" t="str">
        <f t="shared" si="36"/>
        <v/>
      </c>
      <c r="BT40" s="897" t="str">
        <f t="shared" si="37"/>
        <v/>
      </c>
      <c r="BU40" s="231" t="str">
        <f t="shared" si="38"/>
        <v/>
      </c>
      <c r="BV40" s="898">
        <f t="shared" si="39"/>
        <v>127</v>
      </c>
      <c r="BW40" s="845" t="str">
        <f t="shared" si="40"/>
        <v/>
      </c>
      <c r="BX40" s="899" t="str">
        <f t="shared" si="41"/>
        <v/>
      </c>
      <c r="BY40" s="900" t="str" cm="1">
        <f t="array" ref="BY40">[1]!ACAELE_CAPACIDADCABLE(BB40,H40,I40,M40,BX40,N40)</f>
        <v/>
      </c>
      <c r="BZ40" s="900" t="str">
        <f t="shared" si="42"/>
        <v/>
      </c>
      <c r="CA40" s="901" t="str" cm="1">
        <f t="array" ref="CA40">[1]!ACAELE_cabledetierra(BZ40,$N$9,I40,BW40,BX40,G40)</f>
        <v/>
      </c>
      <c r="CB40" s="902" t="str" cm="1">
        <f t="array" ref="CB40">[1]!ACAELE_TAMATUBERIA(BX40,DU40,$N$9,M40,I40)</f>
        <v/>
      </c>
      <c r="CC40" s="846" t="str">
        <f t="shared" si="43"/>
        <v/>
      </c>
      <c r="CD40" s="903" t="str" cm="1">
        <f t="array" ref="CD40">[1]!ACAELE_CAPACIDADCABLE(BB40,H40,I40,M40,CC40,N40)</f>
        <v/>
      </c>
      <c r="CE40" s="903" t="str">
        <f t="shared" si="44"/>
        <v/>
      </c>
      <c r="CF40" s="904" t="str" cm="1">
        <f t="array" ref="CF40">[1]!ACAELE_cabledetierra(CE40,$N$9,I40,BW40,CC40,G40)</f>
        <v/>
      </c>
      <c r="CG40" s="905" t="str" cm="1">
        <f t="array" ref="CG40">[1]!ACAELE_TAMATUBERIA(CC40,EC40,$N$9,S40,I40)</f>
        <v/>
      </c>
      <c r="CH40" s="906" t="str">
        <f t="shared" si="45"/>
        <v/>
      </c>
      <c r="CI40" s="510" t="str">
        <f t="shared" si="46"/>
        <v>-</v>
      </c>
      <c r="CJ40" s="511" t="str">
        <f t="shared" si="47"/>
        <v>-</v>
      </c>
      <c r="CK40" s="512" t="str">
        <f t="shared" si="48"/>
        <v>-</v>
      </c>
      <c r="CL40" s="907" t="str">
        <f t="shared" si="49"/>
        <v>-</v>
      </c>
      <c r="CM40" s="908" t="str">
        <f t="shared" si="50"/>
        <v>-</v>
      </c>
      <c r="CN40" s="909" t="str">
        <f t="shared" si="51"/>
        <v>-</v>
      </c>
      <c r="CO40" s="910" t="str" cm="1">
        <f t="array" ref="CO40">[1]!ACAELE_fasecorresponde(B40,$F$10,$P$5)</f>
        <v>B</v>
      </c>
      <c r="CP40" s="910" t="str" cm="1">
        <f t="array" ref="CP40">[1]!ACAELE_fasecorresponde(C40,$F$10,$P$5)</f>
        <v>-</v>
      </c>
      <c r="CQ40" s="910" t="str" cm="1">
        <f t="array" ref="CQ40">[1]!ACAELE_fasecorresponde(D40,$F$10,$P$5)</f>
        <v>-</v>
      </c>
      <c r="CR40" s="911" t="str">
        <f t="shared" si="52"/>
        <v>C</v>
      </c>
      <c r="CS40" s="912">
        <f t="shared" si="53"/>
        <v>1</v>
      </c>
      <c r="CT40" s="913">
        <f t="shared" si="54"/>
        <v>0.8</v>
      </c>
      <c r="CU40" s="914" t="str">
        <f t="shared" si="55"/>
        <v/>
      </c>
      <c r="CV40" s="915">
        <f t="shared" si="56"/>
        <v>0</v>
      </c>
      <c r="CW40" s="916" t="str" cm="1">
        <f t="array" ref="CW40">[1]!ACAELE_Inominal(BB40,F40,BT40,BV40,DA40,G40,V40,$P$5)</f>
        <v/>
      </c>
      <c r="CX40" s="917" t="str" cm="1">
        <f t="array" ref="CX40">[1]!ACAELE_Disparocalculado(BB40,H40,DL40,$N$21,$M$21,$O$21,BV40,$P$5)</f>
        <v/>
      </c>
      <c r="CY40" s="918" t="str" cm="1">
        <f t="array" ref="CY40">[1]!ACAELE_Icorregida($A$27,H40,BB40,BU40,CS40,CT40,$P$5)</f>
        <v/>
      </c>
      <c r="CZ40" s="919" t="str" cm="1">
        <f t="array" ref="CZ40">[1]!ACAELE_Icorregida2($A$27,H40,BB40,BU40,CS40,CU40,$P$5)</f>
        <v/>
      </c>
      <c r="DA40" s="920">
        <f t="shared" si="57"/>
        <v>0.9</v>
      </c>
      <c r="DB40" s="921">
        <f t="shared" si="58"/>
        <v>0.43588989435406728</v>
      </c>
      <c r="DC40" s="922" t="str" cm="1">
        <f t="array" ref="DC40">[1]!ACAELE_CONDPORTCORRIENTE(H40,BB40,I40,M40,CY40,CZ40,N40,$P$5)</f>
        <v/>
      </c>
      <c r="DD40" s="923" t="str" cm="1">
        <f t="array" ref="DD40">[1]!ACAELE_CAPACONDCORRIENTE(BB40,H40,I40,M40,CY40,CZ40,$P$5)</f>
        <v/>
      </c>
      <c r="DE40" s="923" t="str" cm="1">
        <f t="array" ref="DE40">[1]!ACAELE_CAPACIDADCABLE(BB40,H40,I40,M40,DC40,N40,$P$5)</f>
        <v/>
      </c>
      <c r="DF40" s="924" t="str" cm="1">
        <f t="array" ref="DF40">[1]!ACAELE_encontrarcaida(BB40,H40,L40,BV40,F40,BU40,N40,K40)</f>
        <v/>
      </c>
      <c r="DG40" s="925" t="str" cm="1">
        <f t="array" ref="DG40">[1]!ACAELE_Cablecaida(BB40,H40,M40,I40,DF40)</f>
        <v/>
      </c>
      <c r="DH40" s="918" t="str" cm="1">
        <f t="array" ref="DH40">[1]!ACAELE_CAPACIDADCABLE(BB40,H40,I40,M40,DG40,N40,$P$5)</f>
        <v/>
      </c>
      <c r="DI40" s="926" t="str" cm="1">
        <f t="array" ref="DI40">IF($A$27=1,"",[1]!ACAELE_encontrarcaida(BB40,H40,R40,BV40,F40,BU40,T40,Q40,$P$5))</f>
        <v/>
      </c>
      <c r="DJ40" s="914" t="str" cm="1">
        <f t="array" ref="DJ40">IF($A$27=1,"",[1]!ACAELE_Cablecaida2(BB40,Q40,H40,S40,I40,DI40,$P$5))</f>
        <v/>
      </c>
      <c r="DK40" s="919" t="str" cm="1">
        <f t="array" ref="DK40">[1]!ACAELE_CAPACIDADCABLE(BB40,H40,I40,M40,DJ40,N40,$P$5)</f>
        <v/>
      </c>
      <c r="DL40" s="927" t="str" cm="1">
        <f t="array" ref="DL40">[1]!acaele_Iproteccion(BB40,H40,BU40,$F$20,$G$20,$F$19,$G$19,$H$20,$H$19,$P$5)</f>
        <v/>
      </c>
      <c r="DM40" s="928" cm="1">
        <f t="array" ref="DM40">[1]!acaele_ProtCalculada(CX40,H40,BT40,BW40,$G$21,$F$21,$H$21,$P$5)</f>
        <v>0</v>
      </c>
      <c r="DN40" s="929" t="str" cm="1">
        <f t="array" ref="DN40">[1]!ACAELE_cablecalculo(BB40,H40,I40,M40,EF40,$P$5)</f>
        <v/>
      </c>
      <c r="DO40" s="930" t="str" cm="1">
        <f t="array" ref="DO40">[1]!ACAELE_RESISTENCIA(BB40,H40,M40,I40,BX40, CW40,$P$5)</f>
        <v/>
      </c>
      <c r="DP40" s="931" t="str" cm="1">
        <f t="array" ref="DP40">[1]!ACAELE_REACTANCIA(BB40,H40,$F$11,M40,I40,BX40,$P$5)</f>
        <v/>
      </c>
      <c r="DQ40" s="918" t="str" cm="1">
        <f t="array" ref="DQ40">[1]!ACAELE_DIAMECAISLA(BB40,H40,I40,BX40,$P$5)</f>
        <v/>
      </c>
      <c r="DR40" s="918" t="str" cm="1">
        <f t="array" ref="DR40">[1]!ACAELE_AREACAISLAMIENTO(BB40,H40,DQ40,$P$5)</f>
        <v/>
      </c>
      <c r="DS40" s="918" t="str" cm="1">
        <f t="array" ref="DS40">[1]!ACAELE_CAIDAVOLTSFINAL(BB40,H40,F40,K40,BU40,N40,DO40,DA40,DP40,DB40,$P$5)</f>
        <v/>
      </c>
      <c r="DT40" s="918" t="str" cm="1">
        <f t="array" ref="DT40">[1]!ACAELE_AREACONDPTE(BB40,H40,CA40,$P$5)</f>
        <v/>
      </c>
      <c r="DU40" s="932" t="str" cm="1">
        <f t="array" ref="DU40">[1]!ACAELE_AREATOTAL(BZ40,M40,EO40,N40,DQ40,G40,DR40,DT40,N$20,$P$5)</f>
        <v/>
      </c>
      <c r="DV40" s="933" t="str" cm="1">
        <f t="array" ref="DV40">IF($A$27=1,"",[1]!ACAELE_cablecalculo(BB40,H40,I40,M40,EG40,$P$5))</f>
        <v/>
      </c>
      <c r="DW40" s="934" t="str" cm="1">
        <f t="array" ref="DW40">IF($A$27=1,"",[1]!ACAELE_RESISTENCIA(BB40,H40,M40,I40,CC40,CW40,$P$5))</f>
        <v/>
      </c>
      <c r="DX40" s="926" t="str" cm="1">
        <f t="array" ref="DX40">IF($A$27=1,"",[1]!ACAELE_REACTANCIA(BB40,H40,$F$11,M40,I40,CC40,$P$5))</f>
        <v/>
      </c>
      <c r="DY40" s="935" t="str" cm="1">
        <f t="array" ref="DY40">IF($A$27=1,"",[1]!ACAELE_DIAMECAISLA(BB40,H40,I40,CC40,$P$5))</f>
        <v/>
      </c>
      <c r="DZ40" s="935" t="str" cm="1">
        <f t="array" ref="DZ40">IF($A$27=1,"",[1]!ACAELE_AREACAISLAMIENTO(BB40,H40,DY40,$P$5))</f>
        <v/>
      </c>
      <c r="EA40" s="935" t="str" cm="1">
        <f t="array" ref="EA40">[1]!ACAELE_CAIDAVOLTSFINAL2(BB40,Q40,H40,F40,$A$27,BU40,T40,DW40,DA40,DX40,DB40)</f>
        <v/>
      </c>
      <c r="EB40" s="935" t="str" cm="1">
        <f t="array" ref="EB40">IF($A$27=1,"",[1]!ACAELE_AREACONDPTE(BB40,H40,CF40,$P$5))</f>
        <v/>
      </c>
      <c r="EC40" s="936" t="str" cm="1">
        <f t="array" ref="EC40">[1]!ACAELE_AREATOTAL2(H40,$A$27,DY40,S40,G40,T40,DZ40,U40,EB40)</f>
        <v/>
      </c>
      <c r="ED40" s="937" t="str">
        <f t="shared" si="59"/>
        <v/>
      </c>
      <c r="EE40" s="938" t="str">
        <f t="shared" si="60"/>
        <v/>
      </c>
      <c r="EF40" s="939" t="str">
        <f t="shared" si="61"/>
        <v/>
      </c>
      <c r="EG40" s="940">
        <f t="shared" si="62"/>
        <v>0</v>
      </c>
      <c r="EH40" s="941" t="str">
        <f t="shared" si="63"/>
        <v/>
      </c>
      <c r="EI40" s="942">
        <f t="shared" si="64"/>
        <v>30</v>
      </c>
      <c r="EJ40" s="943" t="str">
        <f t="shared" si="11"/>
        <v/>
      </c>
      <c r="EK40" s="943" t="str">
        <f t="shared" si="12"/>
        <v/>
      </c>
      <c r="EL40" s="943" t="str">
        <f t="shared" si="13"/>
        <v/>
      </c>
      <c r="EM40" s="944" t="str">
        <f t="shared" si="14"/>
        <v/>
      </c>
      <c r="EN40" s="945" t="str" cm="1">
        <f t="array" ref="EN40">[1]!ACAELE_MOTOR(H40,X40:BA40,$X$26:$BA$26,$P$5)</f>
        <v/>
      </c>
      <c r="EO40" s="550" t="str">
        <f t="shared" si="65"/>
        <v/>
      </c>
      <c r="EP40" s="431" t="s">
        <v>1214</v>
      </c>
      <c r="EQ40" s="434" t="str">
        <f t="shared" ca="1" si="66"/>
        <v/>
      </c>
      <c r="ER40" s="32"/>
      <c r="ES40" s="32"/>
      <c r="ET40" s="3" t="str">
        <f t="shared" si="67"/>
        <v/>
      </c>
      <c r="EU40" s="3" t="str">
        <f t="shared" si="68"/>
        <v/>
      </c>
      <c r="EV40" s="3" t="str">
        <f t="shared" si="69"/>
        <v/>
      </c>
      <c r="EW40" s="3" t="str">
        <f t="shared" si="70"/>
        <v/>
      </c>
      <c r="EX40" s="3" t="str">
        <f t="shared" si="71"/>
        <v/>
      </c>
      <c r="EY40" s="3" t="str">
        <f t="shared" si="72"/>
        <v/>
      </c>
      <c r="EZ40" s="3" t="str">
        <f t="shared" si="73"/>
        <v/>
      </c>
      <c r="FA40" s="3" t="str">
        <f t="shared" si="74"/>
        <v/>
      </c>
      <c r="FB40" s="3" t="str">
        <f t="shared" si="75"/>
        <v/>
      </c>
      <c r="FC40" s="3">
        <f t="shared" si="76"/>
        <v>0</v>
      </c>
      <c r="FD40" s="32"/>
      <c r="FE40" s="32"/>
      <c r="FF40" s="103">
        <v>1</v>
      </c>
      <c r="FG40" s="32"/>
      <c r="FH40" s="103"/>
      <c r="FI40" s="32"/>
      <c r="FJ40" s="103"/>
      <c r="FK40" s="3">
        <f t="shared" si="77"/>
        <v>0</v>
      </c>
      <c r="FL40" s="3" t="str" cm="1">
        <f t="array" aca="1" ref="FL40" ca="1">[1]!acaele_DIB_UNIFILAR(BB40,H40,F40,COUNTIF(X40:BA40,1),BW40)</f>
        <v/>
      </c>
      <c r="FM40" s="3" t="str">
        <f>IF(DATOS!$T$4=0,"",IF(DATOS!$T$4=1," (QO)",IF(DATOS!$T$4=2," (QOB)",IF(DATOS!$T$4=3," (EDB)",IF(DATOS!$T$4=4,IF(BW40&lt;151," (H"&amp;FN40&amp;")",IF(BW40&lt;251," (J"&amp;FN40&amp;")", IF(BW40&lt;401," (LA)",IF(BW40&lt;801," (MG)",IF(BW40&lt;5001," (POWERPACK)",""))))))))))</f>
        <v xml:space="preserve"> (QOB)</v>
      </c>
      <c r="FN40" s="3" t="str">
        <f t="shared" si="78"/>
        <v/>
      </c>
      <c r="FO40" s="146"/>
      <c r="FP40" s="146"/>
      <c r="FQ40" s="146"/>
      <c r="FR40" s="146"/>
      <c r="FS40" s="146"/>
      <c r="FT40" s="146"/>
      <c r="FU40" s="146"/>
      <c r="FV40" s="146"/>
      <c r="FW40" s="146"/>
      <c r="FX40" s="146" t="str">
        <f t="shared" si="9"/>
        <v/>
      </c>
      <c r="FY40" s="736"/>
      <c r="FZ40" s="740"/>
      <c r="GA40" s="740"/>
      <c r="GB40" s="717"/>
      <c r="GC40" s="838"/>
      <c r="GD40" s="736"/>
      <c r="GE40" s="146"/>
      <c r="GF40" s="506"/>
      <c r="GG40" s="506"/>
      <c r="GH40" s="506"/>
      <c r="GI40" s="506"/>
      <c r="GJ40" s="506"/>
      <c r="GM40" s="3">
        <f>IF(OR(GN40&gt;TABLERO!$M$19,GO40&gt;TABLERO!$M$19,GP40&gt;TABLERO!$M$19,B40=0,C40=0,D40=0),2,CUADROACAD!A40)</f>
        <v>2</v>
      </c>
      <c r="GN40" s="3">
        <f>IF(TABLERO!B40="",0,TABLERO!B40)</f>
        <v>10</v>
      </c>
      <c r="GO40" s="3">
        <f>IF(TABLERO!C40="",GN40,TABLERO!C40)</f>
        <v>10</v>
      </c>
      <c r="GP40" s="3">
        <f>IF(TABLERO!D40="",GN40,TABLERO!D40)</f>
        <v>10</v>
      </c>
    </row>
    <row r="41" spans="1:198" s="3" customFormat="1">
      <c r="A41" s="706"/>
      <c r="B41" s="869">
        <v>11</v>
      </c>
      <c r="C41" s="870" t="str">
        <f t="shared" si="15"/>
        <v/>
      </c>
      <c r="D41" s="870" t="str">
        <f t="shared" si="16"/>
        <v/>
      </c>
      <c r="E41" s="871"/>
      <c r="F41" s="872">
        <v>1</v>
      </c>
      <c r="G41" s="716">
        <f t="shared" si="17"/>
        <v>2</v>
      </c>
      <c r="H41" s="873" t="s">
        <v>12</v>
      </c>
      <c r="I41" s="874" t="str">
        <f t="shared" si="18"/>
        <v>CU</v>
      </c>
      <c r="J41" s="875">
        <v>6</v>
      </c>
      <c r="K41" s="876">
        <v>10</v>
      </c>
      <c r="L41" s="876">
        <v>3</v>
      </c>
      <c r="M41" s="877">
        <v>1</v>
      </c>
      <c r="N41" s="877">
        <v>1</v>
      </c>
      <c r="O41" s="878">
        <v>1</v>
      </c>
      <c r="P41" s="879">
        <v>4</v>
      </c>
      <c r="Q41" s="880">
        <v>1</v>
      </c>
      <c r="R41" s="880">
        <v>1</v>
      </c>
      <c r="S41" s="881">
        <v>1</v>
      </c>
      <c r="T41" s="881">
        <v>1</v>
      </c>
      <c r="U41" s="882">
        <v>1</v>
      </c>
      <c r="V41" s="883">
        <v>1</v>
      </c>
      <c r="W41" s="874" t="str">
        <f t="shared" si="19"/>
        <v>SI</v>
      </c>
      <c r="X41" s="884"/>
      <c r="Y41" s="885"/>
      <c r="Z41" s="885"/>
      <c r="AA41" s="885"/>
      <c r="AB41" s="885"/>
      <c r="AC41" s="885"/>
      <c r="AD41" s="885"/>
      <c r="AE41" s="885"/>
      <c r="AF41" s="885"/>
      <c r="AG41" s="885"/>
      <c r="AH41" s="885"/>
      <c r="AI41" s="885"/>
      <c r="AJ41" s="885"/>
      <c r="AK41" s="885"/>
      <c r="AL41" s="885"/>
      <c r="AM41" s="885"/>
      <c r="AN41" s="885"/>
      <c r="AO41" s="885"/>
      <c r="AP41" s="885"/>
      <c r="AQ41" s="885"/>
      <c r="AR41" s="885"/>
      <c r="AS41" s="885"/>
      <c r="AT41" s="885"/>
      <c r="AU41" s="885"/>
      <c r="AV41" s="885"/>
      <c r="AW41" s="885"/>
      <c r="AX41" s="885"/>
      <c r="AY41" s="885"/>
      <c r="AZ41" s="885"/>
      <c r="BA41" s="886"/>
      <c r="BB41" s="887">
        <f t="shared" si="20"/>
        <v>0</v>
      </c>
      <c r="BC41" s="888" t="str">
        <f t="shared" si="21"/>
        <v/>
      </c>
      <c r="BD41" s="889" t="str">
        <f t="shared" si="22"/>
        <v/>
      </c>
      <c r="BE41" s="889" t="str">
        <f t="shared" si="23"/>
        <v/>
      </c>
      <c r="BF41" s="889" t="str">
        <f t="shared" si="24"/>
        <v/>
      </c>
      <c r="BG41" s="889" t="str">
        <f t="shared" si="25"/>
        <v/>
      </c>
      <c r="BH41" s="889" t="str">
        <f t="shared" si="26"/>
        <v/>
      </c>
      <c r="BI41" s="890" t="str">
        <f t="shared" si="27"/>
        <v/>
      </c>
      <c r="BJ41" s="891" t="str">
        <f t="shared" si="28"/>
        <v/>
      </c>
      <c r="BK41" s="892" t="str">
        <f t="shared" si="29"/>
        <v/>
      </c>
      <c r="BL41" s="892" t="str">
        <f t="shared" si="30"/>
        <v/>
      </c>
      <c r="BM41" s="892" t="str">
        <f t="shared" si="31"/>
        <v/>
      </c>
      <c r="BN41" s="892" t="str">
        <f t="shared" si="32"/>
        <v/>
      </c>
      <c r="BO41" s="892" t="str">
        <f t="shared" si="33"/>
        <v/>
      </c>
      <c r="BP41" s="893" t="str">
        <f t="shared" si="34"/>
        <v/>
      </c>
      <c r="BQ41" s="894" t="str">
        <f t="shared" si="35"/>
        <v/>
      </c>
      <c r="BR41" s="895" t="str">
        <f t="shared" si="10"/>
        <v/>
      </c>
      <c r="BS41" s="896" t="str">
        <f t="shared" si="36"/>
        <v/>
      </c>
      <c r="BT41" s="897" t="str">
        <f t="shared" si="37"/>
        <v/>
      </c>
      <c r="BU41" s="231" t="str">
        <f t="shared" si="38"/>
        <v/>
      </c>
      <c r="BV41" s="898">
        <f t="shared" si="39"/>
        <v>127</v>
      </c>
      <c r="BW41" s="845" t="str">
        <f t="shared" si="40"/>
        <v/>
      </c>
      <c r="BX41" s="899" t="str">
        <f t="shared" si="41"/>
        <v/>
      </c>
      <c r="BY41" s="900" t="str" cm="1">
        <f t="array" ref="BY41">[1]!ACAELE_CAPACIDADCABLE(BB41,H41,I41,M41,BX41,N41)</f>
        <v/>
      </c>
      <c r="BZ41" s="900" t="str">
        <f t="shared" si="42"/>
        <v/>
      </c>
      <c r="CA41" s="901" t="str" cm="1">
        <f t="array" ref="CA41">[1]!ACAELE_cabledetierra(BZ41,$N$9,I41,BW41,BX41,G41)</f>
        <v/>
      </c>
      <c r="CB41" s="902" t="str" cm="1">
        <f t="array" ref="CB41">[1]!ACAELE_TAMATUBERIA(BX41,DU41,$N$9,M41,I41)</f>
        <v/>
      </c>
      <c r="CC41" s="846" t="str">
        <f t="shared" si="43"/>
        <v/>
      </c>
      <c r="CD41" s="903" t="str" cm="1">
        <f t="array" ref="CD41">[1]!ACAELE_CAPACIDADCABLE(BB41,H41,I41,M41,CC41,N41)</f>
        <v/>
      </c>
      <c r="CE41" s="903" t="str">
        <f t="shared" si="44"/>
        <v/>
      </c>
      <c r="CF41" s="904" t="str" cm="1">
        <f t="array" ref="CF41">[1]!ACAELE_cabledetierra(CE41,$N$9,I41,BW41,CC41,G41)</f>
        <v/>
      </c>
      <c r="CG41" s="905" t="str" cm="1">
        <f t="array" ref="CG41">[1]!ACAELE_TAMATUBERIA(CC41,EC41,$N$9,S41,I41)</f>
        <v/>
      </c>
      <c r="CH41" s="906" t="str">
        <f t="shared" si="45"/>
        <v/>
      </c>
      <c r="CI41" s="510" t="str">
        <f t="shared" si="46"/>
        <v>-</v>
      </c>
      <c r="CJ41" s="511" t="str">
        <f t="shared" si="47"/>
        <v>-</v>
      </c>
      <c r="CK41" s="512" t="str">
        <f t="shared" si="48"/>
        <v>-</v>
      </c>
      <c r="CL41" s="907" t="str">
        <f t="shared" si="49"/>
        <v>-</v>
      </c>
      <c r="CM41" s="908" t="str">
        <f t="shared" si="50"/>
        <v>-</v>
      </c>
      <c r="CN41" s="909" t="str">
        <f t="shared" si="51"/>
        <v>-</v>
      </c>
      <c r="CO41" s="910" t="str" cm="1">
        <f t="array" ref="CO41">[1]!ACAELE_fasecorresponde(B41,$F$10,$P$5)</f>
        <v>C</v>
      </c>
      <c r="CP41" s="910" t="str" cm="1">
        <f t="array" ref="CP41">[1]!ACAELE_fasecorresponde(C41,$F$10,$P$5)</f>
        <v>-</v>
      </c>
      <c r="CQ41" s="910" t="str" cm="1">
        <f t="array" ref="CQ41">[1]!ACAELE_fasecorresponde(D41,$F$10,$P$5)</f>
        <v>-</v>
      </c>
      <c r="CR41" s="911" t="str">
        <f t="shared" si="52"/>
        <v>C</v>
      </c>
      <c r="CS41" s="912">
        <f t="shared" si="53"/>
        <v>1</v>
      </c>
      <c r="CT41" s="913">
        <f t="shared" si="54"/>
        <v>0.8</v>
      </c>
      <c r="CU41" s="914" t="str">
        <f t="shared" si="55"/>
        <v/>
      </c>
      <c r="CV41" s="915">
        <f t="shared" si="56"/>
        <v>0</v>
      </c>
      <c r="CW41" s="916" t="str" cm="1">
        <f t="array" ref="CW41">[1]!ACAELE_Inominal(BB41,F41,BT41,BV41,DA41,G41,V41,$P$5)</f>
        <v/>
      </c>
      <c r="CX41" s="917" t="str" cm="1">
        <f t="array" ref="CX41">[1]!ACAELE_Disparocalculado(BB41,H41,DL41,$N$21,$M$21,$O$21,BV41,$P$5)</f>
        <v/>
      </c>
      <c r="CY41" s="918" t="str" cm="1">
        <f t="array" ref="CY41">[1]!ACAELE_Icorregida($A$27,H41,BB41,BU41,CS41,CT41,$P$5)</f>
        <v/>
      </c>
      <c r="CZ41" s="919" t="str" cm="1">
        <f t="array" ref="CZ41">[1]!ACAELE_Icorregida2($A$27,H41,BB41,BU41,CS41,CU41,$P$5)</f>
        <v/>
      </c>
      <c r="DA41" s="920">
        <f t="shared" si="57"/>
        <v>0.9</v>
      </c>
      <c r="DB41" s="921">
        <f t="shared" si="58"/>
        <v>0.43588989435406728</v>
      </c>
      <c r="DC41" s="922" t="str" cm="1">
        <f t="array" ref="DC41">[1]!ACAELE_CONDPORTCORRIENTE(H41,BB41,I41,M41,CY41,CZ41,N41,$P$5)</f>
        <v/>
      </c>
      <c r="DD41" s="923" t="str" cm="1">
        <f t="array" ref="DD41">[1]!ACAELE_CAPACONDCORRIENTE(BB41,H41,I41,M41,CY41,CZ41,$P$5)</f>
        <v/>
      </c>
      <c r="DE41" s="923" t="str" cm="1">
        <f t="array" ref="DE41">[1]!ACAELE_CAPACIDADCABLE(BB41,H41,I41,M41,DC41,N41,$P$5)</f>
        <v/>
      </c>
      <c r="DF41" s="924" t="str" cm="1">
        <f t="array" ref="DF41">[1]!ACAELE_encontrarcaida(BB41,H41,L41,BV41,F41,BU41,N41,K41)</f>
        <v/>
      </c>
      <c r="DG41" s="925" t="str" cm="1">
        <f t="array" ref="DG41">[1]!ACAELE_Cablecaida(BB41,H41,M41,I41,DF41)</f>
        <v/>
      </c>
      <c r="DH41" s="918" t="str" cm="1">
        <f t="array" ref="DH41">[1]!ACAELE_CAPACIDADCABLE(BB41,H41,I41,M41,DG41,N41,$P$5)</f>
        <v/>
      </c>
      <c r="DI41" s="926" t="str" cm="1">
        <f t="array" ref="DI41">IF($A$27=1,"",[1]!ACAELE_encontrarcaida(BB41,H41,R41,BV41,F41,BU41,T41,Q41,$P$5))</f>
        <v/>
      </c>
      <c r="DJ41" s="914" t="str" cm="1">
        <f t="array" ref="DJ41">IF($A$27=1,"",[1]!ACAELE_Cablecaida2(BB41,Q41,H41,S41,I41,DI41,$P$5))</f>
        <v/>
      </c>
      <c r="DK41" s="919" t="str" cm="1">
        <f t="array" ref="DK41">[1]!ACAELE_CAPACIDADCABLE(BB41,H41,I41,M41,DJ41,N41,$P$5)</f>
        <v/>
      </c>
      <c r="DL41" s="927" t="str" cm="1">
        <f t="array" ref="DL41">[1]!acaele_Iproteccion(BB41,H41,BU41,$F$20,$G$20,$F$19,$G$19,$H$20,$H$19,$P$5)</f>
        <v/>
      </c>
      <c r="DM41" s="928" cm="1">
        <f t="array" ref="DM41">[1]!acaele_ProtCalculada(CX41,H41,BT41,BW41,$G$21,$F$21,$H$21,$P$5)</f>
        <v>0</v>
      </c>
      <c r="DN41" s="929" t="str" cm="1">
        <f t="array" ref="DN41">[1]!ACAELE_cablecalculo(BB41,H41,I41,M41,EF41,$P$5)</f>
        <v/>
      </c>
      <c r="DO41" s="930" t="str" cm="1">
        <f t="array" ref="DO41">[1]!ACAELE_RESISTENCIA(BB41,H41,M41,I41,BX41, CW41,$P$5)</f>
        <v/>
      </c>
      <c r="DP41" s="931" t="str" cm="1">
        <f t="array" ref="DP41">[1]!ACAELE_REACTANCIA(BB41,H41,$F$11,M41,I41,BX41,$P$5)</f>
        <v/>
      </c>
      <c r="DQ41" s="918" t="str" cm="1">
        <f t="array" ref="DQ41">[1]!ACAELE_DIAMECAISLA(BB41,H41,I41,BX41,$P$5)</f>
        <v/>
      </c>
      <c r="DR41" s="918" t="str" cm="1">
        <f t="array" ref="DR41">[1]!ACAELE_AREACAISLAMIENTO(BB41,H41,DQ41,$P$5)</f>
        <v/>
      </c>
      <c r="DS41" s="918" t="str" cm="1">
        <f t="array" ref="DS41">[1]!ACAELE_CAIDAVOLTSFINAL(BB41,H41,F41,K41,BU41,N41,DO41,DA41,DP41,DB41,$P$5)</f>
        <v/>
      </c>
      <c r="DT41" s="918" t="str" cm="1">
        <f t="array" ref="DT41">[1]!ACAELE_AREACONDPTE(BB41,H41,CA41,$P$5)</f>
        <v/>
      </c>
      <c r="DU41" s="932" t="str" cm="1">
        <f t="array" ref="DU41">[1]!ACAELE_AREATOTAL(BZ41,M41,EO41,N41,DQ41,G41,DR41,DT41,N$20,$P$5)</f>
        <v/>
      </c>
      <c r="DV41" s="933" t="str" cm="1">
        <f t="array" ref="DV41">IF($A$27=1,"",[1]!ACAELE_cablecalculo(BB41,H41,I41,M41,EG41,$P$5))</f>
        <v/>
      </c>
      <c r="DW41" s="934" t="str" cm="1">
        <f t="array" ref="DW41">IF($A$27=1,"",[1]!ACAELE_RESISTENCIA(BB41,H41,M41,I41,CC41,CW41,$P$5))</f>
        <v/>
      </c>
      <c r="DX41" s="926" t="str" cm="1">
        <f t="array" ref="DX41">IF($A$27=1,"",[1]!ACAELE_REACTANCIA(BB41,H41,$F$11,M41,I41,CC41,$P$5))</f>
        <v/>
      </c>
      <c r="DY41" s="935" t="str" cm="1">
        <f t="array" ref="DY41">IF($A$27=1,"",[1]!ACAELE_DIAMECAISLA(BB41,H41,I41,CC41,$P$5))</f>
        <v/>
      </c>
      <c r="DZ41" s="935" t="str" cm="1">
        <f t="array" ref="DZ41">IF($A$27=1,"",[1]!ACAELE_AREACAISLAMIENTO(BB41,H41,DY41,$P$5))</f>
        <v/>
      </c>
      <c r="EA41" s="935" t="str" cm="1">
        <f t="array" ref="EA41">[1]!ACAELE_CAIDAVOLTSFINAL2(BB41,Q41,H41,F41,$A$27,BU41,T41,DW41,DA41,DX41,DB41)</f>
        <v/>
      </c>
      <c r="EB41" s="935" t="str" cm="1">
        <f t="array" ref="EB41">IF($A$27=1,"",[1]!ACAELE_AREACONDPTE(BB41,H41,CF41,$P$5))</f>
        <v/>
      </c>
      <c r="EC41" s="936" t="str" cm="1">
        <f t="array" ref="EC41">[1]!ACAELE_AREATOTAL2(H41,$A$27,DY41,S41,G41,T41,DZ41,U41,EB41)</f>
        <v/>
      </c>
      <c r="ED41" s="937" t="str">
        <f t="shared" si="59"/>
        <v/>
      </c>
      <c r="EE41" s="938" t="str">
        <f t="shared" si="60"/>
        <v/>
      </c>
      <c r="EF41" s="939" t="str">
        <f t="shared" si="61"/>
        <v/>
      </c>
      <c r="EG41" s="940">
        <f t="shared" si="62"/>
        <v>0</v>
      </c>
      <c r="EH41" s="941" t="str">
        <f t="shared" si="63"/>
        <v/>
      </c>
      <c r="EI41" s="942">
        <f t="shared" si="64"/>
        <v>30</v>
      </c>
      <c r="EJ41" s="943" t="str">
        <f t="shared" si="11"/>
        <v/>
      </c>
      <c r="EK41" s="943" t="str">
        <f t="shared" si="12"/>
        <v/>
      </c>
      <c r="EL41" s="943" t="str">
        <f t="shared" si="13"/>
        <v/>
      </c>
      <c r="EM41" s="944" t="str">
        <f t="shared" si="14"/>
        <v/>
      </c>
      <c r="EN41" s="945" t="str" cm="1">
        <f t="array" ref="EN41">[1]!ACAELE_MOTOR(H41,X41:BA41,$X$26:$BA$26,$P$5)</f>
        <v/>
      </c>
      <c r="EO41" s="550" t="str">
        <f t="shared" si="65"/>
        <v/>
      </c>
      <c r="EP41" s="431" t="s">
        <v>1214</v>
      </c>
      <c r="EQ41" s="434" t="str">
        <f t="shared" ca="1" si="66"/>
        <v/>
      </c>
      <c r="ER41" s="32"/>
      <c r="ES41" s="32"/>
      <c r="ET41" s="3" t="str">
        <f t="shared" si="67"/>
        <v/>
      </c>
      <c r="EU41" s="3" t="str">
        <f t="shared" si="68"/>
        <v/>
      </c>
      <c r="EV41" s="3" t="str">
        <f t="shared" si="69"/>
        <v/>
      </c>
      <c r="EW41" s="3" t="str">
        <f t="shared" si="70"/>
        <v/>
      </c>
      <c r="EX41" s="3" t="str">
        <f t="shared" si="71"/>
        <v/>
      </c>
      <c r="EY41" s="3" t="str">
        <f t="shared" si="72"/>
        <v/>
      </c>
      <c r="EZ41" s="3" t="str">
        <f t="shared" si="73"/>
        <v/>
      </c>
      <c r="FA41" s="3" t="str">
        <f t="shared" si="74"/>
        <v/>
      </c>
      <c r="FB41" s="3" t="str">
        <f t="shared" si="75"/>
        <v/>
      </c>
      <c r="FC41" s="3">
        <f t="shared" si="76"/>
        <v>0</v>
      </c>
      <c r="FD41" s="32"/>
      <c r="FE41" s="32"/>
      <c r="FF41" s="103">
        <v>1</v>
      </c>
      <c r="FG41" s="32"/>
      <c r="FH41" s="103"/>
      <c r="FI41" s="32"/>
      <c r="FJ41" s="103"/>
      <c r="FK41" s="3">
        <f t="shared" si="77"/>
        <v>0</v>
      </c>
      <c r="FL41" s="3" t="str" cm="1">
        <f t="array" aca="1" ref="FL41" ca="1">[1]!acaele_DIB_UNIFILAR(BB41,H41,F41,COUNTIF(X41:BA41,1),BW41)</f>
        <v/>
      </c>
      <c r="FM41" s="3" t="str">
        <f>IF(DATOS!$T$4=0,"",IF(DATOS!$T$4=1," (QO)",IF(DATOS!$T$4=2," (QOB)",IF(DATOS!$T$4=3," (EDB)",IF(DATOS!$T$4=4,IF(BW41&lt;151," (H"&amp;FN41&amp;")",IF(BW41&lt;251," (J"&amp;FN41&amp;")", IF(BW41&lt;401," (LA)",IF(BW41&lt;801," (MG)",IF(BW41&lt;5001," (POWERPACK)",""))))))))))</f>
        <v xml:space="preserve"> (QOB)</v>
      </c>
      <c r="FN41" s="3" t="str">
        <f t="shared" si="78"/>
        <v/>
      </c>
      <c r="FO41" s="146"/>
      <c r="FP41" s="146"/>
      <c r="FQ41" s="146"/>
      <c r="FR41" s="146"/>
      <c r="FS41" s="146"/>
      <c r="FT41" s="146"/>
      <c r="FU41" s="146"/>
      <c r="FV41" s="146"/>
      <c r="FW41" s="146"/>
      <c r="FX41" s="146" t="str">
        <f t="shared" si="9"/>
        <v/>
      </c>
      <c r="FY41" s="736"/>
      <c r="FZ41" s="740"/>
      <c r="GA41" s="740"/>
      <c r="GB41" s="717"/>
      <c r="GC41" s="838"/>
      <c r="GD41" s="736"/>
      <c r="GE41" s="146"/>
      <c r="GF41" s="506"/>
      <c r="GG41" s="506"/>
      <c r="GH41" s="506"/>
      <c r="GI41" s="506"/>
      <c r="GJ41" s="506"/>
      <c r="GM41" s="3">
        <f>IF(OR(GN41&gt;TABLERO!$M$19,GO41&gt;TABLERO!$M$19,GP41&gt;TABLERO!$M$19,B41=0,C41=0,D41=0),2,CUADROACAD!A41)</f>
        <v>2</v>
      </c>
      <c r="GN41" s="3">
        <f>IF(TABLERO!B41="",0,TABLERO!B41)</f>
        <v>11</v>
      </c>
      <c r="GO41" s="3">
        <f>IF(TABLERO!C41="",GN41,TABLERO!C41)</f>
        <v>11</v>
      </c>
      <c r="GP41" s="3">
        <f>IF(TABLERO!D41="",GN41,TABLERO!D41)</f>
        <v>11</v>
      </c>
    </row>
    <row r="42" spans="1:198" s="3" customFormat="1">
      <c r="A42" s="706"/>
      <c r="B42" s="869">
        <v>12</v>
      </c>
      <c r="C42" s="870" t="str">
        <f t="shared" si="15"/>
        <v/>
      </c>
      <c r="D42" s="870" t="str">
        <f t="shared" si="16"/>
        <v/>
      </c>
      <c r="E42" s="871"/>
      <c r="F42" s="872">
        <v>1</v>
      </c>
      <c r="G42" s="716">
        <f t="shared" si="17"/>
        <v>2</v>
      </c>
      <c r="H42" s="873" t="s">
        <v>12</v>
      </c>
      <c r="I42" s="874" t="str">
        <f t="shared" si="18"/>
        <v>CU</v>
      </c>
      <c r="J42" s="875">
        <v>6</v>
      </c>
      <c r="K42" s="876">
        <v>10</v>
      </c>
      <c r="L42" s="876">
        <v>3</v>
      </c>
      <c r="M42" s="877">
        <v>1</v>
      </c>
      <c r="N42" s="877">
        <v>1</v>
      </c>
      <c r="O42" s="878">
        <v>1</v>
      </c>
      <c r="P42" s="879">
        <v>4</v>
      </c>
      <c r="Q42" s="880">
        <v>1</v>
      </c>
      <c r="R42" s="880">
        <v>1</v>
      </c>
      <c r="S42" s="881">
        <v>1</v>
      </c>
      <c r="T42" s="881">
        <v>1</v>
      </c>
      <c r="U42" s="882">
        <v>1</v>
      </c>
      <c r="V42" s="883">
        <v>1</v>
      </c>
      <c r="W42" s="874" t="str">
        <f t="shared" si="19"/>
        <v>SI</v>
      </c>
      <c r="X42" s="884"/>
      <c r="Y42" s="885"/>
      <c r="Z42" s="885"/>
      <c r="AA42" s="885"/>
      <c r="AB42" s="885"/>
      <c r="AC42" s="885"/>
      <c r="AD42" s="885"/>
      <c r="AE42" s="885"/>
      <c r="AF42" s="885"/>
      <c r="AG42" s="885"/>
      <c r="AH42" s="885"/>
      <c r="AI42" s="885"/>
      <c r="AJ42" s="885"/>
      <c r="AK42" s="885"/>
      <c r="AL42" s="885"/>
      <c r="AM42" s="885"/>
      <c r="AN42" s="885"/>
      <c r="AO42" s="885"/>
      <c r="AP42" s="885"/>
      <c r="AQ42" s="885"/>
      <c r="AR42" s="885"/>
      <c r="AS42" s="885"/>
      <c r="AT42" s="885"/>
      <c r="AU42" s="885"/>
      <c r="AV42" s="885"/>
      <c r="AW42" s="885"/>
      <c r="AX42" s="885"/>
      <c r="AY42" s="885"/>
      <c r="AZ42" s="885"/>
      <c r="BA42" s="886"/>
      <c r="BB42" s="887">
        <f t="shared" si="20"/>
        <v>0</v>
      </c>
      <c r="BC42" s="888" t="str">
        <f t="shared" si="21"/>
        <v/>
      </c>
      <c r="BD42" s="889" t="str">
        <f t="shared" si="22"/>
        <v/>
      </c>
      <c r="BE42" s="889" t="str">
        <f t="shared" si="23"/>
        <v/>
      </c>
      <c r="BF42" s="889" t="str">
        <f t="shared" si="24"/>
        <v/>
      </c>
      <c r="BG42" s="889" t="str">
        <f t="shared" si="25"/>
        <v/>
      </c>
      <c r="BH42" s="889" t="str">
        <f t="shared" si="26"/>
        <v/>
      </c>
      <c r="BI42" s="890" t="str">
        <f t="shared" si="27"/>
        <v/>
      </c>
      <c r="BJ42" s="891" t="str">
        <f t="shared" si="28"/>
        <v/>
      </c>
      <c r="BK42" s="892" t="str">
        <f t="shared" si="29"/>
        <v/>
      </c>
      <c r="BL42" s="892" t="str">
        <f t="shared" si="30"/>
        <v/>
      </c>
      <c r="BM42" s="892" t="str">
        <f t="shared" si="31"/>
        <v/>
      </c>
      <c r="BN42" s="892" t="str">
        <f t="shared" si="32"/>
        <v/>
      </c>
      <c r="BO42" s="892" t="str">
        <f t="shared" si="33"/>
        <v/>
      </c>
      <c r="BP42" s="893" t="str">
        <f t="shared" si="34"/>
        <v/>
      </c>
      <c r="BQ42" s="894" t="str">
        <f t="shared" si="35"/>
        <v/>
      </c>
      <c r="BR42" s="895" t="str">
        <f t="shared" si="10"/>
        <v/>
      </c>
      <c r="BS42" s="896" t="str">
        <f t="shared" si="36"/>
        <v/>
      </c>
      <c r="BT42" s="897" t="str">
        <f t="shared" si="37"/>
        <v/>
      </c>
      <c r="BU42" s="231" t="str">
        <f t="shared" si="38"/>
        <v/>
      </c>
      <c r="BV42" s="898">
        <f t="shared" si="39"/>
        <v>127</v>
      </c>
      <c r="BW42" s="845" t="str">
        <f t="shared" si="40"/>
        <v/>
      </c>
      <c r="BX42" s="899" t="str">
        <f t="shared" si="41"/>
        <v/>
      </c>
      <c r="BY42" s="900" t="str" cm="1">
        <f t="array" ref="BY42">[1]!ACAELE_CAPACIDADCABLE(BB42,H42,I42,M42,BX42,N42)</f>
        <v/>
      </c>
      <c r="BZ42" s="900" t="str">
        <f t="shared" si="42"/>
        <v/>
      </c>
      <c r="CA42" s="901" t="str" cm="1">
        <f t="array" ref="CA42">[1]!ACAELE_cabledetierra(BZ42,$N$9,I42,BW42,BX42,G42)</f>
        <v/>
      </c>
      <c r="CB42" s="902" t="str" cm="1">
        <f t="array" ref="CB42">[1]!ACAELE_TAMATUBERIA(BX42,DU42,$N$9,M42,I42)</f>
        <v/>
      </c>
      <c r="CC42" s="846" t="str">
        <f t="shared" si="43"/>
        <v/>
      </c>
      <c r="CD42" s="903" t="str" cm="1">
        <f t="array" ref="CD42">[1]!ACAELE_CAPACIDADCABLE(BB42,H42,I42,M42,CC42,N42)</f>
        <v/>
      </c>
      <c r="CE42" s="903" t="str">
        <f t="shared" si="44"/>
        <v/>
      </c>
      <c r="CF42" s="904" t="str" cm="1">
        <f t="array" ref="CF42">[1]!ACAELE_cabledetierra(CE42,$N$9,I42,BW42,CC42,G42)</f>
        <v/>
      </c>
      <c r="CG42" s="905" t="str" cm="1">
        <f t="array" ref="CG42">[1]!ACAELE_TAMATUBERIA(CC42,EC42,$N$9,S42,I42)</f>
        <v/>
      </c>
      <c r="CH42" s="906" t="str">
        <f t="shared" si="45"/>
        <v/>
      </c>
      <c r="CI42" s="510" t="str">
        <f t="shared" si="46"/>
        <v>-</v>
      </c>
      <c r="CJ42" s="511" t="str">
        <f t="shared" si="47"/>
        <v>-</v>
      </c>
      <c r="CK42" s="512" t="str">
        <f t="shared" si="48"/>
        <v>-</v>
      </c>
      <c r="CL42" s="907" t="str">
        <f t="shared" si="49"/>
        <v>-</v>
      </c>
      <c r="CM42" s="908" t="str">
        <f t="shared" si="50"/>
        <v>-</v>
      </c>
      <c r="CN42" s="909" t="str">
        <f t="shared" si="51"/>
        <v>-</v>
      </c>
      <c r="CO42" s="910" t="str" cm="1">
        <f t="array" ref="CO42">[1]!ACAELE_fasecorresponde(B42,$F$10,$P$5)</f>
        <v>C</v>
      </c>
      <c r="CP42" s="910" t="str" cm="1">
        <f t="array" ref="CP42">[1]!ACAELE_fasecorresponde(C42,$F$10,$P$5)</f>
        <v>-</v>
      </c>
      <c r="CQ42" s="910" t="str" cm="1">
        <f t="array" ref="CQ42">[1]!ACAELE_fasecorresponde(D42,$F$10,$P$5)</f>
        <v>-</v>
      </c>
      <c r="CR42" s="911" t="str">
        <f t="shared" si="52"/>
        <v>C</v>
      </c>
      <c r="CS42" s="912">
        <f t="shared" si="53"/>
        <v>1</v>
      </c>
      <c r="CT42" s="913">
        <f t="shared" si="54"/>
        <v>0.8</v>
      </c>
      <c r="CU42" s="914" t="str">
        <f t="shared" si="55"/>
        <v/>
      </c>
      <c r="CV42" s="915">
        <f t="shared" si="56"/>
        <v>0</v>
      </c>
      <c r="CW42" s="916" t="str" cm="1">
        <f t="array" ref="CW42">[1]!ACAELE_Inominal(BB42,F42,BT42,BV42,DA42,G42,V42,$P$5)</f>
        <v/>
      </c>
      <c r="CX42" s="917" t="str" cm="1">
        <f t="array" ref="CX42">[1]!ACAELE_Disparocalculado(BB42,H42,DL42,$N$21,$M$21,$O$21,BV42,$P$5)</f>
        <v/>
      </c>
      <c r="CY42" s="918" t="str" cm="1">
        <f t="array" ref="CY42">[1]!ACAELE_Icorregida($A$27,H42,BB42,BU42,CS42,CT42,$P$5)</f>
        <v/>
      </c>
      <c r="CZ42" s="919" t="str" cm="1">
        <f t="array" ref="CZ42">[1]!ACAELE_Icorregida2($A$27,H42,BB42,BU42,CS42,CU42,$P$5)</f>
        <v/>
      </c>
      <c r="DA42" s="920">
        <f t="shared" si="57"/>
        <v>0.9</v>
      </c>
      <c r="DB42" s="921">
        <f t="shared" si="58"/>
        <v>0.43588989435406728</v>
      </c>
      <c r="DC42" s="922" t="str" cm="1">
        <f t="array" ref="DC42">[1]!ACAELE_CONDPORTCORRIENTE(H42,BB42,I42,M42,CY42,CZ42,N42,$P$5)</f>
        <v/>
      </c>
      <c r="DD42" s="923" t="str" cm="1">
        <f t="array" ref="DD42">[1]!ACAELE_CAPACONDCORRIENTE(BB42,H42,I42,M42,CY42,CZ42,$P$5)</f>
        <v/>
      </c>
      <c r="DE42" s="923" t="str" cm="1">
        <f t="array" ref="DE42">[1]!ACAELE_CAPACIDADCABLE(BB42,H42,I42,M42,DC42,N42,$P$5)</f>
        <v/>
      </c>
      <c r="DF42" s="924" t="str" cm="1">
        <f t="array" ref="DF42">[1]!ACAELE_encontrarcaida(BB42,H42,L42,BV42,F42,BU42,N42,K42)</f>
        <v/>
      </c>
      <c r="DG42" s="925" t="str" cm="1">
        <f t="array" ref="DG42">[1]!ACAELE_Cablecaida(BB42,H42,M42,I42,DF42)</f>
        <v/>
      </c>
      <c r="DH42" s="918" t="str" cm="1">
        <f t="array" ref="DH42">[1]!ACAELE_CAPACIDADCABLE(BB42,H42,I42,M42,DG42,N42,$P$5)</f>
        <v/>
      </c>
      <c r="DI42" s="926" t="str" cm="1">
        <f t="array" ref="DI42">IF($A$27=1,"",[1]!ACAELE_encontrarcaida(BB42,H42,R42,BV42,F42,BU42,T42,Q42,$P$5))</f>
        <v/>
      </c>
      <c r="DJ42" s="914" t="str" cm="1">
        <f t="array" ref="DJ42">IF($A$27=1,"",[1]!ACAELE_Cablecaida2(BB42,Q42,H42,S42,I42,DI42,$P$5))</f>
        <v/>
      </c>
      <c r="DK42" s="919" t="str" cm="1">
        <f t="array" ref="DK42">[1]!ACAELE_CAPACIDADCABLE(BB42,H42,I42,M42,DJ42,N42,$P$5)</f>
        <v/>
      </c>
      <c r="DL42" s="927" t="str" cm="1">
        <f t="array" ref="DL42">[1]!acaele_Iproteccion(BB42,H42,BU42,$F$20,$G$20,$F$19,$G$19,$H$20,$H$19,$P$5)</f>
        <v/>
      </c>
      <c r="DM42" s="928" cm="1">
        <f t="array" ref="DM42">[1]!acaele_ProtCalculada(CX42,H42,BT42,BW42,$G$21,$F$21,$H$21,$P$5)</f>
        <v>0</v>
      </c>
      <c r="DN42" s="929" t="str" cm="1">
        <f t="array" ref="DN42">[1]!ACAELE_cablecalculo(BB42,H42,I42,M42,EF42,$P$5)</f>
        <v/>
      </c>
      <c r="DO42" s="930" t="str" cm="1">
        <f t="array" ref="DO42">[1]!ACAELE_RESISTENCIA(BB42,H42,M42,I42,BX42, CW42,$P$5)</f>
        <v/>
      </c>
      <c r="DP42" s="931" t="str" cm="1">
        <f t="array" ref="DP42">[1]!ACAELE_REACTANCIA(BB42,H42,$F$11,M42,I42,BX42,$P$5)</f>
        <v/>
      </c>
      <c r="DQ42" s="918" t="str" cm="1">
        <f t="array" ref="DQ42">[1]!ACAELE_DIAMECAISLA(BB42,H42,I42,BX42,$P$5)</f>
        <v/>
      </c>
      <c r="DR42" s="918" t="str" cm="1">
        <f t="array" ref="DR42">[1]!ACAELE_AREACAISLAMIENTO(BB42,H42,DQ42,$P$5)</f>
        <v/>
      </c>
      <c r="DS42" s="918" t="str" cm="1">
        <f t="array" ref="DS42">[1]!ACAELE_CAIDAVOLTSFINAL(BB42,H42,F42,K42,BU42,N42,DO42,DA42,DP42,DB42,$P$5)</f>
        <v/>
      </c>
      <c r="DT42" s="918" t="str" cm="1">
        <f t="array" ref="DT42">[1]!ACAELE_AREACONDPTE(BB42,H42,CA42,$P$5)</f>
        <v/>
      </c>
      <c r="DU42" s="932" t="str" cm="1">
        <f t="array" ref="DU42">[1]!ACAELE_AREATOTAL(BZ42,M42,EO42,N42,DQ42,G42,DR42,DT42,N$20,$P$5)</f>
        <v/>
      </c>
      <c r="DV42" s="933" t="str" cm="1">
        <f t="array" ref="DV42">IF($A$27=1,"",[1]!ACAELE_cablecalculo(BB42,H42,I42,M42,EG42,$P$5))</f>
        <v/>
      </c>
      <c r="DW42" s="934" t="str" cm="1">
        <f t="array" ref="DW42">IF($A$27=1,"",[1]!ACAELE_RESISTENCIA(BB42,H42,M42,I42,CC42,CW42,$P$5))</f>
        <v/>
      </c>
      <c r="DX42" s="926" t="str" cm="1">
        <f t="array" ref="DX42">IF($A$27=1,"",[1]!ACAELE_REACTANCIA(BB42,H42,$F$11,M42,I42,CC42,$P$5))</f>
        <v/>
      </c>
      <c r="DY42" s="935" t="str" cm="1">
        <f t="array" ref="DY42">IF($A$27=1,"",[1]!ACAELE_DIAMECAISLA(BB42,H42,I42,CC42,$P$5))</f>
        <v/>
      </c>
      <c r="DZ42" s="935" t="str" cm="1">
        <f t="array" ref="DZ42">IF($A$27=1,"",[1]!ACAELE_AREACAISLAMIENTO(BB42,H42,DY42,$P$5))</f>
        <v/>
      </c>
      <c r="EA42" s="935" t="str" cm="1">
        <f t="array" ref="EA42">[1]!ACAELE_CAIDAVOLTSFINAL2(BB42,Q42,H42,F42,$A$27,BU42,T42,DW42,DA42,DX42,DB42)</f>
        <v/>
      </c>
      <c r="EB42" s="935" t="str" cm="1">
        <f t="array" ref="EB42">IF($A$27=1,"",[1]!ACAELE_AREACONDPTE(BB42,H42,CF42,$P$5))</f>
        <v/>
      </c>
      <c r="EC42" s="936" t="str" cm="1">
        <f t="array" ref="EC42">[1]!ACAELE_AREATOTAL2(H42,$A$27,DY42,S42,G42,T42,DZ42,U42,EB42)</f>
        <v/>
      </c>
      <c r="ED42" s="937" t="str">
        <f t="shared" si="59"/>
        <v/>
      </c>
      <c r="EE42" s="938" t="str">
        <f t="shared" si="60"/>
        <v/>
      </c>
      <c r="EF42" s="939" t="str">
        <f t="shared" si="61"/>
        <v/>
      </c>
      <c r="EG42" s="940">
        <f t="shared" si="62"/>
        <v>0</v>
      </c>
      <c r="EH42" s="941" t="str">
        <f t="shared" si="63"/>
        <v/>
      </c>
      <c r="EI42" s="942">
        <f t="shared" si="64"/>
        <v>30</v>
      </c>
      <c r="EJ42" s="943" t="str">
        <f t="shared" si="11"/>
        <v/>
      </c>
      <c r="EK42" s="943" t="str">
        <f t="shared" si="12"/>
        <v/>
      </c>
      <c r="EL42" s="943" t="str">
        <f t="shared" si="13"/>
        <v/>
      </c>
      <c r="EM42" s="944" t="str">
        <f t="shared" si="14"/>
        <v/>
      </c>
      <c r="EN42" s="945" t="str" cm="1">
        <f t="array" ref="EN42">[1]!ACAELE_MOTOR(H42,X42:BA42,$X$26:$BA$26,$P$5)</f>
        <v/>
      </c>
      <c r="EO42" s="550" t="str">
        <f t="shared" si="65"/>
        <v/>
      </c>
      <c r="EP42" s="431" t="s">
        <v>1214</v>
      </c>
      <c r="EQ42" s="434" t="str">
        <f t="shared" ca="1" si="66"/>
        <v/>
      </c>
      <c r="ER42" s="32"/>
      <c r="ES42" s="32"/>
      <c r="ET42" s="3" t="str">
        <f t="shared" si="67"/>
        <v/>
      </c>
      <c r="EU42" s="3" t="str">
        <f t="shared" si="68"/>
        <v/>
      </c>
      <c r="EV42" s="3" t="str">
        <f t="shared" si="69"/>
        <v/>
      </c>
      <c r="EW42" s="3" t="str">
        <f t="shared" si="70"/>
        <v/>
      </c>
      <c r="EX42" s="3" t="str">
        <f t="shared" si="71"/>
        <v/>
      </c>
      <c r="EY42" s="3" t="str">
        <f t="shared" si="72"/>
        <v/>
      </c>
      <c r="EZ42" s="3" t="str">
        <f t="shared" si="73"/>
        <v/>
      </c>
      <c r="FA42" s="3" t="str">
        <f t="shared" si="74"/>
        <v/>
      </c>
      <c r="FB42" s="3" t="str">
        <f t="shared" si="75"/>
        <v/>
      </c>
      <c r="FC42" s="3">
        <f t="shared" si="76"/>
        <v>0</v>
      </c>
      <c r="FD42" s="32"/>
      <c r="FE42" s="32"/>
      <c r="FF42" s="103">
        <v>1</v>
      </c>
      <c r="FG42" s="32"/>
      <c r="FH42" s="103"/>
      <c r="FI42" s="32"/>
      <c r="FJ42" s="103"/>
      <c r="FK42" s="3">
        <f t="shared" si="77"/>
        <v>0</v>
      </c>
      <c r="FL42" s="3" t="str" cm="1">
        <f t="array" aca="1" ref="FL42" ca="1">[1]!acaele_DIB_UNIFILAR(BB42,H42,F42,COUNTIF(X42:BA42,1),BW42)</f>
        <v/>
      </c>
      <c r="FM42" s="3" t="str">
        <f>IF(DATOS!$T$4=0,"",IF(DATOS!$T$4=1," (QO)",IF(DATOS!$T$4=2," (QOB)",IF(DATOS!$T$4=3," (EDB)",IF(DATOS!$T$4=4,IF(BW42&lt;151," (H"&amp;FN42&amp;")",IF(BW42&lt;251," (J"&amp;FN42&amp;")", IF(BW42&lt;401," (LA)",IF(BW42&lt;801," (MG)",IF(BW42&lt;5001," (POWERPACK)",""))))))))))</f>
        <v xml:space="preserve"> (QOB)</v>
      </c>
      <c r="FN42" s="3" t="str">
        <f t="shared" si="78"/>
        <v/>
      </c>
      <c r="FO42" s="146"/>
      <c r="FP42" s="146"/>
      <c r="FQ42" s="146"/>
      <c r="FR42" s="146"/>
      <c r="FS42" s="146"/>
      <c r="FT42" s="146"/>
      <c r="FU42" s="146"/>
      <c r="FV42" s="146"/>
      <c r="FW42" s="146"/>
      <c r="FX42" s="146" t="str">
        <f t="shared" si="9"/>
        <v/>
      </c>
      <c r="FY42" s="736"/>
      <c r="FZ42" s="740"/>
      <c r="GA42" s="740"/>
      <c r="GB42" s="717"/>
      <c r="GC42" s="838"/>
      <c r="GD42" s="736"/>
      <c r="GE42" s="146"/>
      <c r="GF42" s="506"/>
      <c r="GG42" s="506"/>
      <c r="GH42" s="506"/>
      <c r="GI42" s="506"/>
      <c r="GJ42" s="506"/>
      <c r="GM42" s="3">
        <f>IF(OR(GN42&gt;TABLERO!$M$19,GO42&gt;TABLERO!$M$19,GP42&gt;TABLERO!$M$19,B42=0,C42=0,D42=0),2,CUADROACAD!A42)</f>
        <v>2</v>
      </c>
      <c r="GN42" s="3">
        <f>IF(TABLERO!B42="",0,TABLERO!B42)</f>
        <v>12</v>
      </c>
      <c r="GO42" s="3">
        <f>IF(TABLERO!C42="",GN42,TABLERO!C42)</f>
        <v>12</v>
      </c>
      <c r="GP42" s="3">
        <f>IF(TABLERO!D42="",GN42,TABLERO!D42)</f>
        <v>12</v>
      </c>
    </row>
    <row r="43" spans="1:198" s="3" customFormat="1">
      <c r="A43" s="706"/>
      <c r="B43" s="869">
        <v>13</v>
      </c>
      <c r="C43" s="870" t="str">
        <f t="shared" si="15"/>
        <v/>
      </c>
      <c r="D43" s="870" t="str">
        <f t="shared" si="16"/>
        <v/>
      </c>
      <c r="E43" s="871"/>
      <c r="F43" s="872">
        <v>1</v>
      </c>
      <c r="G43" s="716">
        <f t="shared" si="17"/>
        <v>2</v>
      </c>
      <c r="H43" s="873" t="s">
        <v>12</v>
      </c>
      <c r="I43" s="874" t="str">
        <f t="shared" si="18"/>
        <v>CU</v>
      </c>
      <c r="J43" s="875">
        <v>6</v>
      </c>
      <c r="K43" s="876">
        <v>10</v>
      </c>
      <c r="L43" s="876">
        <v>3</v>
      </c>
      <c r="M43" s="877">
        <v>1</v>
      </c>
      <c r="N43" s="877">
        <v>1</v>
      </c>
      <c r="O43" s="878">
        <v>1</v>
      </c>
      <c r="P43" s="879">
        <v>4</v>
      </c>
      <c r="Q43" s="880">
        <v>1</v>
      </c>
      <c r="R43" s="880">
        <v>1</v>
      </c>
      <c r="S43" s="881">
        <v>1</v>
      </c>
      <c r="T43" s="881">
        <v>1</v>
      </c>
      <c r="U43" s="882">
        <v>1</v>
      </c>
      <c r="V43" s="883">
        <v>1</v>
      </c>
      <c r="W43" s="874" t="str">
        <f t="shared" si="19"/>
        <v>SI</v>
      </c>
      <c r="X43" s="884"/>
      <c r="Y43" s="885"/>
      <c r="Z43" s="885"/>
      <c r="AA43" s="885"/>
      <c r="AB43" s="885"/>
      <c r="AC43" s="885"/>
      <c r="AD43" s="885"/>
      <c r="AE43" s="885"/>
      <c r="AF43" s="885"/>
      <c r="AG43" s="885"/>
      <c r="AH43" s="885"/>
      <c r="AI43" s="885"/>
      <c r="AJ43" s="885"/>
      <c r="AK43" s="885"/>
      <c r="AL43" s="885"/>
      <c r="AM43" s="885"/>
      <c r="AN43" s="885"/>
      <c r="AO43" s="885"/>
      <c r="AP43" s="885"/>
      <c r="AQ43" s="885"/>
      <c r="AR43" s="885"/>
      <c r="AS43" s="885"/>
      <c r="AT43" s="885"/>
      <c r="AU43" s="885"/>
      <c r="AV43" s="885"/>
      <c r="AW43" s="885"/>
      <c r="AX43" s="885"/>
      <c r="AY43" s="885"/>
      <c r="AZ43" s="885"/>
      <c r="BA43" s="886"/>
      <c r="BB43" s="887">
        <f t="shared" si="20"/>
        <v>0</v>
      </c>
      <c r="BC43" s="888" t="str">
        <f t="shared" si="21"/>
        <v/>
      </c>
      <c r="BD43" s="889" t="str">
        <f t="shared" si="22"/>
        <v/>
      </c>
      <c r="BE43" s="889" t="str">
        <f t="shared" si="23"/>
        <v/>
      </c>
      <c r="BF43" s="889" t="str">
        <f t="shared" si="24"/>
        <v/>
      </c>
      <c r="BG43" s="889" t="str">
        <f t="shared" si="25"/>
        <v/>
      </c>
      <c r="BH43" s="889" t="str">
        <f t="shared" si="26"/>
        <v/>
      </c>
      <c r="BI43" s="890" t="str">
        <f t="shared" si="27"/>
        <v/>
      </c>
      <c r="BJ43" s="891" t="str">
        <f t="shared" si="28"/>
        <v/>
      </c>
      <c r="BK43" s="892" t="str">
        <f t="shared" si="29"/>
        <v/>
      </c>
      <c r="BL43" s="892" t="str">
        <f t="shared" si="30"/>
        <v/>
      </c>
      <c r="BM43" s="892" t="str">
        <f t="shared" si="31"/>
        <v/>
      </c>
      <c r="BN43" s="892" t="str">
        <f t="shared" si="32"/>
        <v/>
      </c>
      <c r="BO43" s="892" t="str">
        <f t="shared" si="33"/>
        <v/>
      </c>
      <c r="BP43" s="893" t="str">
        <f t="shared" si="34"/>
        <v/>
      </c>
      <c r="BQ43" s="894" t="str">
        <f t="shared" si="35"/>
        <v/>
      </c>
      <c r="BR43" s="895" t="str">
        <f t="shared" si="10"/>
        <v/>
      </c>
      <c r="BS43" s="896" t="str">
        <f t="shared" si="36"/>
        <v/>
      </c>
      <c r="BT43" s="897" t="str">
        <f t="shared" si="37"/>
        <v/>
      </c>
      <c r="BU43" s="231" t="str">
        <f t="shared" si="38"/>
        <v/>
      </c>
      <c r="BV43" s="898">
        <f t="shared" si="39"/>
        <v>127</v>
      </c>
      <c r="BW43" s="845" t="str">
        <f t="shared" si="40"/>
        <v/>
      </c>
      <c r="BX43" s="899" t="str">
        <f t="shared" si="41"/>
        <v/>
      </c>
      <c r="BY43" s="900" t="str" cm="1">
        <f t="array" ref="BY43">[1]!ACAELE_CAPACIDADCABLE(BB43,H43,I43,M43,BX43,N43)</f>
        <v/>
      </c>
      <c r="BZ43" s="900" t="str">
        <f t="shared" si="42"/>
        <v/>
      </c>
      <c r="CA43" s="901" t="str" cm="1">
        <f t="array" ref="CA43">[1]!ACAELE_cabledetierra(BZ43,$N$9,I43,BW43,BX43,G43)</f>
        <v/>
      </c>
      <c r="CB43" s="902" t="str" cm="1">
        <f t="array" ref="CB43">[1]!ACAELE_TAMATUBERIA(BX43,DU43,$N$9,M43,I43)</f>
        <v/>
      </c>
      <c r="CC43" s="846" t="str">
        <f t="shared" si="43"/>
        <v/>
      </c>
      <c r="CD43" s="903" t="str" cm="1">
        <f t="array" ref="CD43">[1]!ACAELE_CAPACIDADCABLE(BB43,H43,I43,M43,CC43,N43)</f>
        <v/>
      </c>
      <c r="CE43" s="903" t="str">
        <f t="shared" si="44"/>
        <v/>
      </c>
      <c r="CF43" s="904" t="str" cm="1">
        <f t="array" ref="CF43">[1]!ACAELE_cabledetierra(CE43,$N$9,I43,BW43,CC43,G43)</f>
        <v/>
      </c>
      <c r="CG43" s="905" t="str" cm="1">
        <f t="array" ref="CG43">[1]!ACAELE_TAMATUBERIA(CC43,EC43,$N$9,S43,I43)</f>
        <v/>
      </c>
      <c r="CH43" s="906" t="str">
        <f t="shared" si="45"/>
        <v/>
      </c>
      <c r="CI43" s="510" t="str">
        <f t="shared" si="46"/>
        <v>-</v>
      </c>
      <c r="CJ43" s="511" t="str">
        <f t="shared" si="47"/>
        <v>-</v>
      </c>
      <c r="CK43" s="512" t="str">
        <f t="shared" si="48"/>
        <v>-</v>
      </c>
      <c r="CL43" s="907" t="str">
        <f t="shared" si="49"/>
        <v>-</v>
      </c>
      <c r="CM43" s="908" t="str">
        <f t="shared" si="50"/>
        <v>-</v>
      </c>
      <c r="CN43" s="909" t="str">
        <f t="shared" si="51"/>
        <v>-</v>
      </c>
      <c r="CO43" s="910" t="str" cm="1">
        <f t="array" ref="CO43">[1]!ACAELE_fasecorresponde(B43,$F$10,$P$5)</f>
        <v>A</v>
      </c>
      <c r="CP43" s="910" t="str" cm="1">
        <f t="array" ref="CP43">[1]!ACAELE_fasecorresponde(C43,$F$10,$P$5)</f>
        <v>-</v>
      </c>
      <c r="CQ43" s="910" t="str" cm="1">
        <f t="array" ref="CQ43">[1]!ACAELE_fasecorresponde(D43,$F$10,$P$5)</f>
        <v>-</v>
      </c>
      <c r="CR43" s="911" t="str">
        <f t="shared" si="52"/>
        <v>C</v>
      </c>
      <c r="CS43" s="912">
        <f t="shared" si="53"/>
        <v>1</v>
      </c>
      <c r="CT43" s="913">
        <f t="shared" si="54"/>
        <v>0.8</v>
      </c>
      <c r="CU43" s="914" t="str">
        <f t="shared" si="55"/>
        <v/>
      </c>
      <c r="CV43" s="915">
        <f t="shared" si="56"/>
        <v>0</v>
      </c>
      <c r="CW43" s="916" t="str" cm="1">
        <f t="array" ref="CW43">[1]!ACAELE_Inominal(BB43,F43,BT43,BV43,DA43,G43,V43,$P$5)</f>
        <v/>
      </c>
      <c r="CX43" s="917" t="str" cm="1">
        <f t="array" ref="CX43">[1]!ACAELE_Disparocalculado(BB43,H43,DL43,$N$21,$M$21,$O$21,BV43,$P$5)</f>
        <v/>
      </c>
      <c r="CY43" s="918" t="str" cm="1">
        <f t="array" ref="CY43">[1]!ACAELE_Icorregida($A$27,H43,BB43,BU43,CS43,CT43,$P$5)</f>
        <v/>
      </c>
      <c r="CZ43" s="919" t="str" cm="1">
        <f t="array" ref="CZ43">[1]!ACAELE_Icorregida2($A$27,H43,BB43,BU43,CS43,CU43,$P$5)</f>
        <v/>
      </c>
      <c r="DA43" s="920">
        <f t="shared" si="57"/>
        <v>0.9</v>
      </c>
      <c r="DB43" s="921">
        <f t="shared" si="58"/>
        <v>0.43588989435406728</v>
      </c>
      <c r="DC43" s="922" t="str" cm="1">
        <f t="array" ref="DC43">[1]!ACAELE_CONDPORTCORRIENTE(H43,BB43,I43,M43,CY43,CZ43,N43,$P$5)</f>
        <v/>
      </c>
      <c r="DD43" s="923" t="str" cm="1">
        <f t="array" ref="DD43">[1]!ACAELE_CAPACONDCORRIENTE(BB43,H43,I43,M43,CY43,CZ43,$P$5)</f>
        <v/>
      </c>
      <c r="DE43" s="923" t="str" cm="1">
        <f t="array" ref="DE43">[1]!ACAELE_CAPACIDADCABLE(BB43,H43,I43,M43,DC43,N43,$P$5)</f>
        <v/>
      </c>
      <c r="DF43" s="924" t="str" cm="1">
        <f t="array" ref="DF43">[1]!ACAELE_encontrarcaida(BB43,H43,L43,BV43,F43,BU43,N43,K43)</f>
        <v/>
      </c>
      <c r="DG43" s="925" t="str" cm="1">
        <f t="array" ref="DG43">[1]!ACAELE_Cablecaida(BB43,H43,M43,I43,DF43)</f>
        <v/>
      </c>
      <c r="DH43" s="918" t="str" cm="1">
        <f t="array" ref="DH43">[1]!ACAELE_CAPACIDADCABLE(BB43,H43,I43,M43,DG43,N43,$P$5)</f>
        <v/>
      </c>
      <c r="DI43" s="926" t="str" cm="1">
        <f t="array" ref="DI43">IF($A$27=1,"",[1]!ACAELE_encontrarcaida(BB43,H43,R43,BV43,F43,BU43,T43,Q43,$P$5))</f>
        <v/>
      </c>
      <c r="DJ43" s="914" t="str" cm="1">
        <f t="array" ref="DJ43">IF($A$27=1,"",[1]!ACAELE_Cablecaida2(BB43,Q43,H43,S43,I43,DI43,$P$5))</f>
        <v/>
      </c>
      <c r="DK43" s="919" t="str" cm="1">
        <f t="array" ref="DK43">[1]!ACAELE_CAPACIDADCABLE(BB43,H43,I43,M43,DJ43,N43,$P$5)</f>
        <v/>
      </c>
      <c r="DL43" s="927" t="str" cm="1">
        <f t="array" ref="DL43">[1]!acaele_Iproteccion(BB43,H43,BU43,$F$20,$G$20,$F$19,$G$19,$H$20,$H$19,$P$5)</f>
        <v/>
      </c>
      <c r="DM43" s="928" cm="1">
        <f t="array" ref="DM43">[1]!acaele_ProtCalculada(CX43,H43,BT43,BW43,$G$21,$F$21,$H$21,$P$5)</f>
        <v>0</v>
      </c>
      <c r="DN43" s="929" t="str" cm="1">
        <f t="array" ref="DN43">[1]!ACAELE_cablecalculo(BB43,H43,I43,M43,EF43,$P$5)</f>
        <v/>
      </c>
      <c r="DO43" s="930" t="str" cm="1">
        <f t="array" ref="DO43">[1]!ACAELE_RESISTENCIA(BB43,H43,M43,I43,BX43, CW43,$P$5)</f>
        <v/>
      </c>
      <c r="DP43" s="931" t="str" cm="1">
        <f t="array" ref="DP43">[1]!ACAELE_REACTANCIA(BB43,H43,$F$11,M43,I43,BX43,$P$5)</f>
        <v/>
      </c>
      <c r="DQ43" s="918" t="str" cm="1">
        <f t="array" ref="DQ43">[1]!ACAELE_DIAMECAISLA(BB43,H43,I43,BX43,$P$5)</f>
        <v/>
      </c>
      <c r="DR43" s="918" t="str" cm="1">
        <f t="array" ref="DR43">[1]!ACAELE_AREACAISLAMIENTO(BB43,H43,DQ43,$P$5)</f>
        <v/>
      </c>
      <c r="DS43" s="918" t="str" cm="1">
        <f t="array" ref="DS43">[1]!ACAELE_CAIDAVOLTSFINAL(BB43,H43,F43,K43,BU43,N43,DO43,DA43,DP43,DB43,$P$5)</f>
        <v/>
      </c>
      <c r="DT43" s="918" t="str" cm="1">
        <f t="array" ref="DT43">[1]!ACAELE_AREACONDPTE(BB43,H43,CA43,$P$5)</f>
        <v/>
      </c>
      <c r="DU43" s="932" t="str" cm="1">
        <f t="array" ref="DU43">[1]!ACAELE_AREATOTAL(BZ43,M43,EO43,N43,DQ43,G43,DR43,DT43,N$20,$P$5)</f>
        <v/>
      </c>
      <c r="DV43" s="933" t="str" cm="1">
        <f t="array" ref="DV43">IF($A$27=1,"",[1]!ACAELE_cablecalculo(BB43,H43,I43,M43,EG43,$P$5))</f>
        <v/>
      </c>
      <c r="DW43" s="934" t="str" cm="1">
        <f t="array" ref="DW43">IF($A$27=1,"",[1]!ACAELE_RESISTENCIA(BB43,H43,M43,I43,CC43,CW43,$P$5))</f>
        <v/>
      </c>
      <c r="DX43" s="926" t="str" cm="1">
        <f t="array" ref="DX43">IF($A$27=1,"",[1]!ACAELE_REACTANCIA(BB43,H43,$F$11,M43,I43,CC43,$P$5))</f>
        <v/>
      </c>
      <c r="DY43" s="935" t="str" cm="1">
        <f t="array" ref="DY43">IF($A$27=1,"",[1]!ACAELE_DIAMECAISLA(BB43,H43,I43,CC43,$P$5))</f>
        <v/>
      </c>
      <c r="DZ43" s="935" t="str" cm="1">
        <f t="array" ref="DZ43">IF($A$27=1,"",[1]!ACAELE_AREACAISLAMIENTO(BB43,H43,DY43,$P$5))</f>
        <v/>
      </c>
      <c r="EA43" s="935" t="str" cm="1">
        <f t="array" ref="EA43">[1]!ACAELE_CAIDAVOLTSFINAL2(BB43,Q43,H43,F43,$A$27,BU43,T43,DW43,DA43,DX43,DB43)</f>
        <v/>
      </c>
      <c r="EB43" s="935" t="str" cm="1">
        <f t="array" ref="EB43">IF($A$27=1,"",[1]!ACAELE_AREACONDPTE(BB43,H43,CF43,$P$5))</f>
        <v/>
      </c>
      <c r="EC43" s="936" t="str" cm="1">
        <f t="array" ref="EC43">[1]!ACAELE_AREATOTAL2(H43,$A$27,DY43,S43,G43,T43,DZ43,U43,EB43)</f>
        <v/>
      </c>
      <c r="ED43" s="937" t="str">
        <f t="shared" si="59"/>
        <v/>
      </c>
      <c r="EE43" s="938" t="str">
        <f t="shared" si="60"/>
        <v/>
      </c>
      <c r="EF43" s="939" t="str">
        <f t="shared" si="61"/>
        <v/>
      </c>
      <c r="EG43" s="940">
        <f t="shared" si="62"/>
        <v>0</v>
      </c>
      <c r="EH43" s="941" t="str">
        <f t="shared" si="63"/>
        <v/>
      </c>
      <c r="EI43" s="942">
        <f t="shared" si="64"/>
        <v>30</v>
      </c>
      <c r="EJ43" s="943" t="str">
        <f t="shared" si="11"/>
        <v/>
      </c>
      <c r="EK43" s="943" t="str">
        <f t="shared" si="12"/>
        <v/>
      </c>
      <c r="EL43" s="943" t="str">
        <f t="shared" si="13"/>
        <v/>
      </c>
      <c r="EM43" s="944" t="str">
        <f t="shared" si="14"/>
        <v/>
      </c>
      <c r="EN43" s="945" t="str" cm="1">
        <f t="array" ref="EN43">[1]!ACAELE_MOTOR(H43,X43:BA43,$X$26:$BA$26,$P$5)</f>
        <v/>
      </c>
      <c r="EO43" s="550" t="str">
        <f t="shared" si="65"/>
        <v/>
      </c>
      <c r="EP43" s="431" t="s">
        <v>1214</v>
      </c>
      <c r="EQ43" s="434" t="str">
        <f t="shared" ca="1" si="66"/>
        <v/>
      </c>
      <c r="ER43" s="32"/>
      <c r="ES43" s="32"/>
      <c r="ET43" s="3" t="str">
        <f t="shared" si="67"/>
        <v/>
      </c>
      <c r="EU43" s="3" t="str">
        <f t="shared" si="68"/>
        <v/>
      </c>
      <c r="EV43" s="3" t="str">
        <f t="shared" si="69"/>
        <v/>
      </c>
      <c r="EW43" s="3" t="str">
        <f t="shared" si="70"/>
        <v/>
      </c>
      <c r="EX43" s="3" t="str">
        <f t="shared" si="71"/>
        <v/>
      </c>
      <c r="EY43" s="3" t="str">
        <f t="shared" si="72"/>
        <v/>
      </c>
      <c r="EZ43" s="3" t="str">
        <f t="shared" si="73"/>
        <v/>
      </c>
      <c r="FA43" s="3" t="str">
        <f t="shared" si="74"/>
        <v/>
      </c>
      <c r="FB43" s="3" t="str">
        <f t="shared" si="75"/>
        <v/>
      </c>
      <c r="FC43" s="3">
        <f t="shared" si="76"/>
        <v>0</v>
      </c>
      <c r="FD43" s="32"/>
      <c r="FE43" s="32"/>
      <c r="FF43" s="103">
        <v>1</v>
      </c>
      <c r="FG43" s="32"/>
      <c r="FH43" s="103"/>
      <c r="FI43" s="32"/>
      <c r="FJ43" s="103"/>
      <c r="FK43" s="3">
        <f t="shared" si="77"/>
        <v>0</v>
      </c>
      <c r="FL43" s="3" t="str" cm="1">
        <f t="array" aca="1" ref="FL43" ca="1">[1]!acaele_DIB_UNIFILAR(BB43,H43,F43,COUNTIF(X43:BA43,1),BW43)</f>
        <v/>
      </c>
      <c r="FM43" s="3" t="str">
        <f>IF(DATOS!$T$4=0,"",IF(DATOS!$T$4=1," (QO)",IF(DATOS!$T$4=2," (QOB)",IF(DATOS!$T$4=3," (EDB)",IF(DATOS!$T$4=4,IF(BW43&lt;151," (H"&amp;FN43&amp;")",IF(BW43&lt;251," (J"&amp;FN43&amp;")", IF(BW43&lt;401," (LA)",IF(BW43&lt;801," (MG)",IF(BW43&lt;5001," (POWERPACK)",""))))))))))</f>
        <v xml:space="preserve"> (QOB)</v>
      </c>
      <c r="FN43" s="3" t="str">
        <f t="shared" si="78"/>
        <v/>
      </c>
      <c r="FO43" s="146"/>
      <c r="FP43" s="146"/>
      <c r="FQ43" s="146"/>
      <c r="FR43" s="146"/>
      <c r="FS43" s="146"/>
      <c r="FT43" s="146"/>
      <c r="FU43" s="146"/>
      <c r="FV43" s="146"/>
      <c r="FW43" s="146"/>
      <c r="FX43" s="146" t="str">
        <f t="shared" si="9"/>
        <v/>
      </c>
      <c r="FY43" s="736"/>
      <c r="FZ43" s="740"/>
      <c r="GA43" s="740"/>
      <c r="GB43" s="717"/>
      <c r="GC43" s="838"/>
      <c r="GD43" s="736"/>
      <c r="GE43" s="146"/>
      <c r="GF43" s="506"/>
      <c r="GG43" s="506"/>
      <c r="GH43" s="506"/>
      <c r="GI43" s="506"/>
      <c r="GJ43" s="506"/>
      <c r="GM43" s="3">
        <f>IF(OR(GN43&gt;TABLERO!$M$19,GO43&gt;TABLERO!$M$19,GP43&gt;TABLERO!$M$19,B43=0,C43=0,D43=0),2,CUADROACAD!A43)</f>
        <v>2</v>
      </c>
      <c r="GN43" s="3">
        <f>IF(TABLERO!B43="",0,TABLERO!B43)</f>
        <v>13</v>
      </c>
      <c r="GO43" s="3">
        <f>IF(TABLERO!C43="",GN43,TABLERO!C43)</f>
        <v>13</v>
      </c>
      <c r="GP43" s="3">
        <f>IF(TABLERO!D43="",GN43,TABLERO!D43)</f>
        <v>13</v>
      </c>
    </row>
    <row r="44" spans="1:198" s="3" customFormat="1">
      <c r="A44" s="706"/>
      <c r="B44" s="869">
        <v>14</v>
      </c>
      <c r="C44" s="870" t="str">
        <f t="shared" si="15"/>
        <v/>
      </c>
      <c r="D44" s="870" t="str">
        <f t="shared" si="16"/>
        <v/>
      </c>
      <c r="E44" s="871"/>
      <c r="F44" s="872">
        <v>1</v>
      </c>
      <c r="G44" s="716">
        <f t="shared" si="17"/>
        <v>2</v>
      </c>
      <c r="H44" s="873" t="s">
        <v>12</v>
      </c>
      <c r="I44" s="874" t="str">
        <f t="shared" si="18"/>
        <v>CU</v>
      </c>
      <c r="J44" s="875">
        <v>6</v>
      </c>
      <c r="K44" s="876">
        <v>10</v>
      </c>
      <c r="L44" s="876">
        <v>3</v>
      </c>
      <c r="M44" s="877">
        <v>1</v>
      </c>
      <c r="N44" s="877">
        <v>1</v>
      </c>
      <c r="O44" s="878">
        <v>1</v>
      </c>
      <c r="P44" s="879">
        <v>4</v>
      </c>
      <c r="Q44" s="880">
        <v>1</v>
      </c>
      <c r="R44" s="880">
        <v>1</v>
      </c>
      <c r="S44" s="881">
        <v>1</v>
      </c>
      <c r="T44" s="881">
        <v>1</v>
      </c>
      <c r="U44" s="882">
        <v>1</v>
      </c>
      <c r="V44" s="883">
        <v>1</v>
      </c>
      <c r="W44" s="874" t="str">
        <f t="shared" si="19"/>
        <v>SI</v>
      </c>
      <c r="X44" s="884"/>
      <c r="Y44" s="885"/>
      <c r="Z44" s="885"/>
      <c r="AA44" s="885"/>
      <c r="AB44" s="885"/>
      <c r="AC44" s="885"/>
      <c r="AD44" s="885"/>
      <c r="AE44" s="885"/>
      <c r="AF44" s="885"/>
      <c r="AG44" s="885"/>
      <c r="AH44" s="885"/>
      <c r="AI44" s="885"/>
      <c r="AJ44" s="885"/>
      <c r="AK44" s="885"/>
      <c r="AL44" s="885"/>
      <c r="AM44" s="885"/>
      <c r="AN44" s="885"/>
      <c r="AO44" s="885"/>
      <c r="AP44" s="885"/>
      <c r="AQ44" s="885"/>
      <c r="AR44" s="885"/>
      <c r="AS44" s="885"/>
      <c r="AT44" s="885"/>
      <c r="AU44" s="885"/>
      <c r="AV44" s="885"/>
      <c r="AW44" s="885"/>
      <c r="AX44" s="885"/>
      <c r="AY44" s="885"/>
      <c r="AZ44" s="885"/>
      <c r="BA44" s="886"/>
      <c r="BB44" s="887">
        <f t="shared" si="20"/>
        <v>0</v>
      </c>
      <c r="BC44" s="888" t="str">
        <f t="shared" si="21"/>
        <v/>
      </c>
      <c r="BD44" s="889" t="str">
        <f t="shared" si="22"/>
        <v/>
      </c>
      <c r="BE44" s="889" t="str">
        <f t="shared" si="23"/>
        <v/>
      </c>
      <c r="BF44" s="889" t="str">
        <f t="shared" si="24"/>
        <v/>
      </c>
      <c r="BG44" s="889" t="str">
        <f t="shared" si="25"/>
        <v/>
      </c>
      <c r="BH44" s="889" t="str">
        <f t="shared" si="26"/>
        <v/>
      </c>
      <c r="BI44" s="890" t="str">
        <f t="shared" si="27"/>
        <v/>
      </c>
      <c r="BJ44" s="891" t="str">
        <f t="shared" si="28"/>
        <v/>
      </c>
      <c r="BK44" s="892" t="str">
        <f t="shared" si="29"/>
        <v/>
      </c>
      <c r="BL44" s="892" t="str">
        <f t="shared" si="30"/>
        <v/>
      </c>
      <c r="BM44" s="892" t="str">
        <f t="shared" si="31"/>
        <v/>
      </c>
      <c r="BN44" s="892" t="str">
        <f t="shared" si="32"/>
        <v/>
      </c>
      <c r="BO44" s="892" t="str">
        <f t="shared" si="33"/>
        <v/>
      </c>
      <c r="BP44" s="893" t="str">
        <f t="shared" si="34"/>
        <v/>
      </c>
      <c r="BQ44" s="894" t="str">
        <f t="shared" si="35"/>
        <v/>
      </c>
      <c r="BR44" s="895" t="str">
        <f t="shared" si="10"/>
        <v/>
      </c>
      <c r="BS44" s="896" t="str">
        <f t="shared" si="36"/>
        <v/>
      </c>
      <c r="BT44" s="897" t="str">
        <f t="shared" si="37"/>
        <v/>
      </c>
      <c r="BU44" s="231" t="str">
        <f t="shared" si="38"/>
        <v/>
      </c>
      <c r="BV44" s="898">
        <f t="shared" si="39"/>
        <v>127</v>
      </c>
      <c r="BW44" s="845" t="str">
        <f t="shared" si="40"/>
        <v/>
      </c>
      <c r="BX44" s="899" t="str">
        <f t="shared" si="41"/>
        <v/>
      </c>
      <c r="BY44" s="900" t="str" cm="1">
        <f t="array" ref="BY44">[1]!ACAELE_CAPACIDADCABLE(BB44,H44,I44,M44,BX44,N44)</f>
        <v/>
      </c>
      <c r="BZ44" s="900" t="str">
        <f t="shared" si="42"/>
        <v/>
      </c>
      <c r="CA44" s="901" t="str" cm="1">
        <f t="array" ref="CA44">[1]!ACAELE_cabledetierra(BZ44,$N$9,I44,BW44,BX44,G44)</f>
        <v/>
      </c>
      <c r="CB44" s="902" t="str" cm="1">
        <f t="array" ref="CB44">[1]!ACAELE_TAMATUBERIA(BX44,DU44,$N$9,M44,I44)</f>
        <v/>
      </c>
      <c r="CC44" s="846" t="str">
        <f t="shared" si="43"/>
        <v/>
      </c>
      <c r="CD44" s="903" t="str" cm="1">
        <f t="array" ref="CD44">[1]!ACAELE_CAPACIDADCABLE(BB44,H44,I44,M44,CC44,N44)</f>
        <v/>
      </c>
      <c r="CE44" s="903" t="str">
        <f t="shared" si="44"/>
        <v/>
      </c>
      <c r="CF44" s="904" t="str" cm="1">
        <f t="array" ref="CF44">[1]!ACAELE_cabledetierra(CE44,$N$9,I44,BW44,CC44,G44)</f>
        <v/>
      </c>
      <c r="CG44" s="905" t="str" cm="1">
        <f t="array" ref="CG44">[1]!ACAELE_TAMATUBERIA(CC44,EC44,$N$9,S44,I44)</f>
        <v/>
      </c>
      <c r="CH44" s="906" t="str">
        <f t="shared" si="45"/>
        <v/>
      </c>
      <c r="CI44" s="510" t="str">
        <f t="shared" si="46"/>
        <v>-</v>
      </c>
      <c r="CJ44" s="511" t="str">
        <f t="shared" si="47"/>
        <v>-</v>
      </c>
      <c r="CK44" s="512" t="str">
        <f t="shared" si="48"/>
        <v>-</v>
      </c>
      <c r="CL44" s="907" t="str">
        <f t="shared" si="49"/>
        <v>-</v>
      </c>
      <c r="CM44" s="908" t="str">
        <f t="shared" si="50"/>
        <v>-</v>
      </c>
      <c r="CN44" s="909" t="str">
        <f t="shared" si="51"/>
        <v>-</v>
      </c>
      <c r="CO44" s="910" t="str" cm="1">
        <f t="array" ref="CO44">[1]!ACAELE_fasecorresponde(B44,$F$10,$P$5)</f>
        <v>A</v>
      </c>
      <c r="CP44" s="910" t="str" cm="1">
        <f t="array" ref="CP44">[1]!ACAELE_fasecorresponde(C44,$F$10,$P$5)</f>
        <v>-</v>
      </c>
      <c r="CQ44" s="910" t="str" cm="1">
        <f t="array" ref="CQ44">[1]!ACAELE_fasecorresponde(D44,$F$10,$P$5)</f>
        <v>-</v>
      </c>
      <c r="CR44" s="911" t="str">
        <f t="shared" si="52"/>
        <v>C</v>
      </c>
      <c r="CS44" s="912">
        <f t="shared" si="53"/>
        <v>1</v>
      </c>
      <c r="CT44" s="913">
        <f t="shared" si="54"/>
        <v>0.8</v>
      </c>
      <c r="CU44" s="914" t="str">
        <f t="shared" si="55"/>
        <v/>
      </c>
      <c r="CV44" s="915">
        <f t="shared" si="56"/>
        <v>0</v>
      </c>
      <c r="CW44" s="916" t="str" cm="1">
        <f t="array" ref="CW44">[1]!ACAELE_Inominal(BB44,F44,BT44,BV44,DA44,G44,V44,$P$5)</f>
        <v/>
      </c>
      <c r="CX44" s="917" t="str" cm="1">
        <f t="array" ref="CX44">[1]!ACAELE_Disparocalculado(BB44,H44,DL44,$N$21,$M$21,$O$21,BV44,$P$5)</f>
        <v/>
      </c>
      <c r="CY44" s="918" t="str" cm="1">
        <f t="array" ref="CY44">[1]!ACAELE_Icorregida($A$27,H44,BB44,BU44,CS44,CT44,$P$5)</f>
        <v/>
      </c>
      <c r="CZ44" s="919" t="str" cm="1">
        <f t="array" ref="CZ44">[1]!ACAELE_Icorregida2($A$27,H44,BB44,BU44,CS44,CU44,$P$5)</f>
        <v/>
      </c>
      <c r="DA44" s="920">
        <f t="shared" si="57"/>
        <v>0.9</v>
      </c>
      <c r="DB44" s="921">
        <f t="shared" si="58"/>
        <v>0.43588989435406728</v>
      </c>
      <c r="DC44" s="922" t="str" cm="1">
        <f t="array" ref="DC44">[1]!ACAELE_CONDPORTCORRIENTE(H44,BB44,I44,M44,CY44,CZ44,N44,$P$5)</f>
        <v/>
      </c>
      <c r="DD44" s="923" t="str" cm="1">
        <f t="array" ref="DD44">[1]!ACAELE_CAPACONDCORRIENTE(BB44,H44,I44,M44,CY44,CZ44,$P$5)</f>
        <v/>
      </c>
      <c r="DE44" s="923" t="str" cm="1">
        <f t="array" ref="DE44">[1]!ACAELE_CAPACIDADCABLE(BB44,H44,I44,M44,DC44,N44,$P$5)</f>
        <v/>
      </c>
      <c r="DF44" s="924" t="str" cm="1">
        <f t="array" ref="DF44">[1]!ACAELE_encontrarcaida(BB44,H44,L44,BV44,F44,BU44,N44,K44)</f>
        <v/>
      </c>
      <c r="DG44" s="925" t="str" cm="1">
        <f t="array" ref="DG44">[1]!ACAELE_Cablecaida(BB44,H44,M44,I44,DF44)</f>
        <v/>
      </c>
      <c r="DH44" s="918" t="str" cm="1">
        <f t="array" ref="DH44">[1]!ACAELE_CAPACIDADCABLE(BB44,H44,I44,M44,DG44,N44,$P$5)</f>
        <v/>
      </c>
      <c r="DI44" s="926" t="str" cm="1">
        <f t="array" ref="DI44">IF($A$27=1,"",[1]!ACAELE_encontrarcaida(BB44,H44,R44,BV44,F44,BU44,T44,Q44,$P$5))</f>
        <v/>
      </c>
      <c r="DJ44" s="914" t="str" cm="1">
        <f t="array" ref="DJ44">IF($A$27=1,"",[1]!ACAELE_Cablecaida2(BB44,Q44,H44,S44,I44,DI44,$P$5))</f>
        <v/>
      </c>
      <c r="DK44" s="919" t="str" cm="1">
        <f t="array" ref="DK44">[1]!ACAELE_CAPACIDADCABLE(BB44,H44,I44,M44,DJ44,N44,$P$5)</f>
        <v/>
      </c>
      <c r="DL44" s="927" t="str" cm="1">
        <f t="array" ref="DL44">[1]!acaele_Iproteccion(BB44,H44,BU44,$F$20,$G$20,$F$19,$G$19,$H$20,$H$19,$P$5)</f>
        <v/>
      </c>
      <c r="DM44" s="928" cm="1">
        <f t="array" ref="DM44">[1]!acaele_ProtCalculada(CX44,H44,BT44,BW44,$G$21,$F$21,$H$21,$P$5)</f>
        <v>0</v>
      </c>
      <c r="DN44" s="929" t="str" cm="1">
        <f t="array" ref="DN44">[1]!ACAELE_cablecalculo(BB44,H44,I44,M44,EF44,$P$5)</f>
        <v/>
      </c>
      <c r="DO44" s="930" t="str" cm="1">
        <f t="array" ref="DO44">[1]!ACAELE_RESISTENCIA(BB44,H44,M44,I44,BX44, CW44,$P$5)</f>
        <v/>
      </c>
      <c r="DP44" s="931" t="str" cm="1">
        <f t="array" ref="DP44">[1]!ACAELE_REACTANCIA(BB44,H44,$F$11,M44,I44,BX44,$P$5)</f>
        <v/>
      </c>
      <c r="DQ44" s="918" t="str" cm="1">
        <f t="array" ref="DQ44">[1]!ACAELE_DIAMECAISLA(BB44,H44,I44,BX44,$P$5)</f>
        <v/>
      </c>
      <c r="DR44" s="918" t="str" cm="1">
        <f t="array" ref="DR44">[1]!ACAELE_AREACAISLAMIENTO(BB44,H44,DQ44,$P$5)</f>
        <v/>
      </c>
      <c r="DS44" s="918" t="str" cm="1">
        <f t="array" ref="DS44">[1]!ACAELE_CAIDAVOLTSFINAL(BB44,H44,F44,K44,BU44,N44,DO44,DA44,DP44,DB44,$P$5)</f>
        <v/>
      </c>
      <c r="DT44" s="918" t="str" cm="1">
        <f t="array" ref="DT44">[1]!ACAELE_AREACONDPTE(BB44,H44,CA44,$P$5)</f>
        <v/>
      </c>
      <c r="DU44" s="932" t="str" cm="1">
        <f t="array" ref="DU44">[1]!ACAELE_AREATOTAL(BZ44,M44,EO44,N44,DQ44,G44,DR44,DT44,N$20,$P$5)</f>
        <v/>
      </c>
      <c r="DV44" s="933" t="str" cm="1">
        <f t="array" ref="DV44">IF($A$27=1,"",[1]!ACAELE_cablecalculo(BB44,H44,I44,M44,EG44,$P$5))</f>
        <v/>
      </c>
      <c r="DW44" s="934" t="str" cm="1">
        <f t="array" ref="DW44">IF($A$27=1,"",[1]!ACAELE_RESISTENCIA(BB44,H44,M44,I44,CC44,CW44,$P$5))</f>
        <v/>
      </c>
      <c r="DX44" s="926" t="str" cm="1">
        <f t="array" ref="DX44">IF($A$27=1,"",[1]!ACAELE_REACTANCIA(BB44,H44,$F$11,M44,I44,CC44,$P$5))</f>
        <v/>
      </c>
      <c r="DY44" s="935" t="str" cm="1">
        <f t="array" ref="DY44">IF($A$27=1,"",[1]!ACAELE_DIAMECAISLA(BB44,H44,I44,CC44,$P$5))</f>
        <v/>
      </c>
      <c r="DZ44" s="935" t="str" cm="1">
        <f t="array" ref="DZ44">IF($A$27=1,"",[1]!ACAELE_AREACAISLAMIENTO(BB44,H44,DY44,$P$5))</f>
        <v/>
      </c>
      <c r="EA44" s="935" t="str" cm="1">
        <f t="array" ref="EA44">[1]!ACAELE_CAIDAVOLTSFINAL2(BB44,Q44,H44,F44,$A$27,BU44,T44,DW44,DA44,DX44,DB44)</f>
        <v/>
      </c>
      <c r="EB44" s="935" t="str" cm="1">
        <f t="array" ref="EB44">IF($A$27=1,"",[1]!ACAELE_AREACONDPTE(BB44,H44,CF44,$P$5))</f>
        <v/>
      </c>
      <c r="EC44" s="936" t="str" cm="1">
        <f t="array" ref="EC44">[1]!ACAELE_AREATOTAL2(H44,$A$27,DY44,S44,G44,T44,DZ44,U44,EB44)</f>
        <v/>
      </c>
      <c r="ED44" s="937" t="str">
        <f t="shared" si="59"/>
        <v/>
      </c>
      <c r="EE44" s="938" t="str">
        <f t="shared" si="60"/>
        <v/>
      </c>
      <c r="EF44" s="939" t="str">
        <f t="shared" si="61"/>
        <v/>
      </c>
      <c r="EG44" s="940">
        <f t="shared" si="62"/>
        <v>0</v>
      </c>
      <c r="EH44" s="941" t="str">
        <f t="shared" si="63"/>
        <v/>
      </c>
      <c r="EI44" s="942">
        <f t="shared" si="64"/>
        <v>30</v>
      </c>
      <c r="EJ44" s="943" t="str">
        <f t="shared" si="11"/>
        <v/>
      </c>
      <c r="EK44" s="943" t="str">
        <f t="shared" si="12"/>
        <v/>
      </c>
      <c r="EL44" s="943" t="str">
        <f t="shared" si="13"/>
        <v/>
      </c>
      <c r="EM44" s="944" t="str">
        <f t="shared" si="14"/>
        <v/>
      </c>
      <c r="EN44" s="945" t="str" cm="1">
        <f t="array" ref="EN44">[1]!ACAELE_MOTOR(H44,X44:BA44,$X$26:$BA$26,$P$5)</f>
        <v/>
      </c>
      <c r="EO44" s="550" t="str">
        <f t="shared" si="65"/>
        <v/>
      </c>
      <c r="EP44" s="431" t="s">
        <v>1214</v>
      </c>
      <c r="EQ44" s="434" t="str">
        <f t="shared" ca="1" si="66"/>
        <v/>
      </c>
      <c r="ER44" s="32"/>
      <c r="ES44" s="32"/>
      <c r="ET44" s="3" t="str">
        <f t="shared" si="67"/>
        <v/>
      </c>
      <c r="EU44" s="3" t="str">
        <f t="shared" si="68"/>
        <v/>
      </c>
      <c r="EV44" s="3" t="str">
        <f t="shared" si="69"/>
        <v/>
      </c>
      <c r="EW44" s="3" t="str">
        <f t="shared" si="70"/>
        <v/>
      </c>
      <c r="EX44" s="3" t="str">
        <f t="shared" si="71"/>
        <v/>
      </c>
      <c r="EY44" s="3" t="str">
        <f t="shared" si="72"/>
        <v/>
      </c>
      <c r="EZ44" s="3" t="str">
        <f t="shared" si="73"/>
        <v/>
      </c>
      <c r="FA44" s="3" t="str">
        <f t="shared" si="74"/>
        <v/>
      </c>
      <c r="FB44" s="3" t="str">
        <f t="shared" si="75"/>
        <v/>
      </c>
      <c r="FC44" s="3">
        <f t="shared" si="76"/>
        <v>0</v>
      </c>
      <c r="FD44" s="32"/>
      <c r="FE44" s="32"/>
      <c r="FF44" s="103">
        <v>1</v>
      </c>
      <c r="FG44" s="32"/>
      <c r="FH44" s="103"/>
      <c r="FI44" s="32"/>
      <c r="FJ44" s="103"/>
      <c r="FK44" s="3">
        <f t="shared" si="77"/>
        <v>0</v>
      </c>
      <c r="FL44" s="3" t="str" cm="1">
        <f t="array" aca="1" ref="FL44" ca="1">[1]!acaele_DIB_UNIFILAR(BB44,H44,F44,COUNTIF(X44:BA44,1),BW44)</f>
        <v/>
      </c>
      <c r="FM44" s="3" t="str">
        <f>IF(DATOS!$T$4=0,"",IF(DATOS!$T$4=1," (QO)",IF(DATOS!$T$4=2," (QOB)",IF(DATOS!$T$4=3," (EDB)",IF(DATOS!$T$4=4,IF(BW44&lt;151," (H"&amp;FN44&amp;")",IF(BW44&lt;251," (J"&amp;FN44&amp;")", IF(BW44&lt;401," (LA)",IF(BW44&lt;801," (MG)",IF(BW44&lt;5001," (POWERPACK)",""))))))))))</f>
        <v xml:space="preserve"> (QOB)</v>
      </c>
      <c r="FN44" s="3" t="str">
        <f t="shared" si="78"/>
        <v/>
      </c>
      <c r="FO44" s="146"/>
      <c r="FP44" s="146"/>
      <c r="FQ44" s="146"/>
      <c r="FR44" s="146"/>
      <c r="FS44" s="146"/>
      <c r="FT44" s="146"/>
      <c r="FU44" s="146"/>
      <c r="FV44" s="146"/>
      <c r="FW44" s="146"/>
      <c r="FX44" s="146" t="str">
        <f t="shared" si="9"/>
        <v/>
      </c>
      <c r="FY44" s="736"/>
      <c r="FZ44" s="740"/>
      <c r="GA44" s="740"/>
      <c r="GB44" s="717"/>
      <c r="GC44" s="838"/>
      <c r="GD44" s="736"/>
      <c r="GE44" s="146"/>
      <c r="GF44" s="506"/>
      <c r="GG44" s="506"/>
      <c r="GH44" s="506"/>
      <c r="GI44" s="506"/>
      <c r="GJ44" s="506"/>
      <c r="GM44" s="3">
        <f>IF(OR(GN44&gt;TABLERO!$M$19,GO44&gt;TABLERO!$M$19,GP44&gt;TABLERO!$M$19,B44=0,C44=0,D44=0),2,CUADROACAD!A44)</f>
        <v>2</v>
      </c>
      <c r="GN44" s="3">
        <f>IF(TABLERO!B44="",0,TABLERO!B44)</f>
        <v>14</v>
      </c>
      <c r="GO44" s="3">
        <f>IF(TABLERO!C44="",GN44,TABLERO!C44)</f>
        <v>14</v>
      </c>
      <c r="GP44" s="3">
        <f>IF(TABLERO!D44="",GN44,TABLERO!D44)</f>
        <v>14</v>
      </c>
    </row>
    <row r="45" spans="1:198" s="3" customFormat="1">
      <c r="A45" s="706"/>
      <c r="B45" s="869">
        <v>15</v>
      </c>
      <c r="C45" s="870" t="str">
        <f t="shared" si="15"/>
        <v/>
      </c>
      <c r="D45" s="870" t="str">
        <f t="shared" si="16"/>
        <v/>
      </c>
      <c r="E45" s="871"/>
      <c r="F45" s="872">
        <v>1</v>
      </c>
      <c r="G45" s="716">
        <f t="shared" si="17"/>
        <v>2</v>
      </c>
      <c r="H45" s="873" t="s">
        <v>12</v>
      </c>
      <c r="I45" s="874" t="str">
        <f t="shared" si="18"/>
        <v>CU</v>
      </c>
      <c r="J45" s="875">
        <v>6</v>
      </c>
      <c r="K45" s="876">
        <v>10</v>
      </c>
      <c r="L45" s="876">
        <v>3</v>
      </c>
      <c r="M45" s="877">
        <v>1</v>
      </c>
      <c r="N45" s="877">
        <v>1</v>
      </c>
      <c r="O45" s="878">
        <v>1</v>
      </c>
      <c r="P45" s="879">
        <v>4</v>
      </c>
      <c r="Q45" s="880">
        <v>1</v>
      </c>
      <c r="R45" s="880">
        <v>1</v>
      </c>
      <c r="S45" s="881">
        <v>1</v>
      </c>
      <c r="T45" s="881">
        <v>1</v>
      </c>
      <c r="U45" s="882">
        <v>1</v>
      </c>
      <c r="V45" s="883">
        <v>1</v>
      </c>
      <c r="W45" s="874" t="str">
        <f t="shared" si="19"/>
        <v>SI</v>
      </c>
      <c r="X45" s="884"/>
      <c r="Y45" s="885"/>
      <c r="Z45" s="885"/>
      <c r="AA45" s="885"/>
      <c r="AB45" s="885"/>
      <c r="AC45" s="885"/>
      <c r="AD45" s="885"/>
      <c r="AE45" s="885"/>
      <c r="AF45" s="885"/>
      <c r="AG45" s="885"/>
      <c r="AH45" s="885"/>
      <c r="AI45" s="885"/>
      <c r="AJ45" s="885"/>
      <c r="AK45" s="885"/>
      <c r="AL45" s="885"/>
      <c r="AM45" s="885"/>
      <c r="AN45" s="885"/>
      <c r="AO45" s="885"/>
      <c r="AP45" s="885"/>
      <c r="AQ45" s="885"/>
      <c r="AR45" s="885"/>
      <c r="AS45" s="885"/>
      <c r="AT45" s="885"/>
      <c r="AU45" s="885"/>
      <c r="AV45" s="885"/>
      <c r="AW45" s="885"/>
      <c r="AX45" s="885"/>
      <c r="AY45" s="885"/>
      <c r="AZ45" s="885"/>
      <c r="BA45" s="886"/>
      <c r="BB45" s="887">
        <f t="shared" si="20"/>
        <v>0</v>
      </c>
      <c r="BC45" s="888" t="str">
        <f t="shared" si="21"/>
        <v/>
      </c>
      <c r="BD45" s="889" t="str">
        <f t="shared" si="22"/>
        <v/>
      </c>
      <c r="BE45" s="889" t="str">
        <f t="shared" si="23"/>
        <v/>
      </c>
      <c r="BF45" s="889" t="str">
        <f t="shared" si="24"/>
        <v/>
      </c>
      <c r="BG45" s="889" t="str">
        <f t="shared" si="25"/>
        <v/>
      </c>
      <c r="BH45" s="889" t="str">
        <f t="shared" si="26"/>
        <v/>
      </c>
      <c r="BI45" s="890" t="str">
        <f t="shared" si="27"/>
        <v/>
      </c>
      <c r="BJ45" s="891" t="str">
        <f t="shared" si="28"/>
        <v/>
      </c>
      <c r="BK45" s="892" t="str">
        <f t="shared" si="29"/>
        <v/>
      </c>
      <c r="BL45" s="892" t="str">
        <f t="shared" si="30"/>
        <v/>
      </c>
      <c r="BM45" s="892" t="str">
        <f t="shared" si="31"/>
        <v/>
      </c>
      <c r="BN45" s="892" t="str">
        <f t="shared" si="32"/>
        <v/>
      </c>
      <c r="BO45" s="892" t="str">
        <f t="shared" si="33"/>
        <v/>
      </c>
      <c r="BP45" s="893" t="str">
        <f t="shared" si="34"/>
        <v/>
      </c>
      <c r="BQ45" s="894" t="str">
        <f t="shared" si="35"/>
        <v/>
      </c>
      <c r="BR45" s="895" t="str">
        <f t="shared" si="10"/>
        <v/>
      </c>
      <c r="BS45" s="896" t="str">
        <f t="shared" si="36"/>
        <v/>
      </c>
      <c r="BT45" s="897" t="str">
        <f t="shared" si="37"/>
        <v/>
      </c>
      <c r="BU45" s="231" t="str">
        <f t="shared" si="38"/>
        <v/>
      </c>
      <c r="BV45" s="898">
        <f t="shared" si="39"/>
        <v>127</v>
      </c>
      <c r="BW45" s="845" t="str">
        <f t="shared" si="40"/>
        <v/>
      </c>
      <c r="BX45" s="899" t="str">
        <f t="shared" si="41"/>
        <v/>
      </c>
      <c r="BY45" s="900" t="str" cm="1">
        <f t="array" ref="BY45">[1]!ACAELE_CAPACIDADCABLE(BB45,H45,I45,M45,BX45,N45)</f>
        <v/>
      </c>
      <c r="BZ45" s="900" t="str">
        <f t="shared" si="42"/>
        <v/>
      </c>
      <c r="CA45" s="901" t="str" cm="1">
        <f t="array" ref="CA45">[1]!ACAELE_cabledetierra(BZ45,$N$9,I45,BW45,BX45,G45)</f>
        <v/>
      </c>
      <c r="CB45" s="902" t="str" cm="1">
        <f t="array" ref="CB45">[1]!ACAELE_TAMATUBERIA(BX45,DU45,$N$9,M45,I45)</f>
        <v/>
      </c>
      <c r="CC45" s="846" t="str">
        <f t="shared" si="43"/>
        <v/>
      </c>
      <c r="CD45" s="903" t="str" cm="1">
        <f t="array" ref="CD45">[1]!ACAELE_CAPACIDADCABLE(BB45,H45,I45,M45,CC45,N45)</f>
        <v/>
      </c>
      <c r="CE45" s="903" t="str">
        <f t="shared" si="44"/>
        <v/>
      </c>
      <c r="CF45" s="904" t="str" cm="1">
        <f t="array" ref="CF45">[1]!ACAELE_cabledetierra(CE45,$N$9,I45,BW45,CC45,G45)</f>
        <v/>
      </c>
      <c r="CG45" s="905" t="str" cm="1">
        <f t="array" ref="CG45">[1]!ACAELE_TAMATUBERIA(CC45,EC45,$N$9,S45,I45)</f>
        <v/>
      </c>
      <c r="CH45" s="906" t="str">
        <f t="shared" si="45"/>
        <v/>
      </c>
      <c r="CI45" s="510" t="str">
        <f t="shared" si="46"/>
        <v>-</v>
      </c>
      <c r="CJ45" s="511" t="str">
        <f t="shared" si="47"/>
        <v>-</v>
      </c>
      <c r="CK45" s="512" t="str">
        <f t="shared" si="48"/>
        <v>-</v>
      </c>
      <c r="CL45" s="907" t="str">
        <f t="shared" si="49"/>
        <v>-</v>
      </c>
      <c r="CM45" s="908" t="str">
        <f t="shared" si="50"/>
        <v>-</v>
      </c>
      <c r="CN45" s="909" t="str">
        <f t="shared" si="51"/>
        <v>-</v>
      </c>
      <c r="CO45" s="910" t="str" cm="1">
        <f t="array" ref="CO45">[1]!ACAELE_fasecorresponde(B45,$F$10,$P$5)</f>
        <v>B</v>
      </c>
      <c r="CP45" s="910" t="str" cm="1">
        <f t="array" ref="CP45">[1]!ACAELE_fasecorresponde(C45,$F$10,$P$5)</f>
        <v>-</v>
      </c>
      <c r="CQ45" s="910" t="str" cm="1">
        <f t="array" ref="CQ45">[1]!ACAELE_fasecorresponde(D45,$F$10,$P$5)</f>
        <v>-</v>
      </c>
      <c r="CR45" s="911" t="str">
        <f t="shared" si="52"/>
        <v>C</v>
      </c>
      <c r="CS45" s="912">
        <f t="shared" si="53"/>
        <v>1</v>
      </c>
      <c r="CT45" s="913">
        <f t="shared" si="54"/>
        <v>0.8</v>
      </c>
      <c r="CU45" s="914" t="str">
        <f t="shared" si="55"/>
        <v/>
      </c>
      <c r="CV45" s="915">
        <f t="shared" si="56"/>
        <v>0</v>
      </c>
      <c r="CW45" s="916" t="str" cm="1">
        <f t="array" ref="CW45">[1]!ACAELE_Inominal(BB45,F45,BT45,BV45,DA45,G45,V45,$P$5)</f>
        <v/>
      </c>
      <c r="CX45" s="917" t="str" cm="1">
        <f t="array" ref="CX45">[1]!ACAELE_Disparocalculado(BB45,H45,DL45,$N$21,$M$21,$O$21,BV45,$P$5)</f>
        <v/>
      </c>
      <c r="CY45" s="918" t="str" cm="1">
        <f t="array" ref="CY45">[1]!ACAELE_Icorregida($A$27,H45,BB45,BU45,CS45,CT45,$P$5)</f>
        <v/>
      </c>
      <c r="CZ45" s="919" t="str" cm="1">
        <f t="array" ref="CZ45">[1]!ACAELE_Icorregida2($A$27,H45,BB45,BU45,CS45,CU45,$P$5)</f>
        <v/>
      </c>
      <c r="DA45" s="920">
        <f t="shared" si="57"/>
        <v>0.9</v>
      </c>
      <c r="DB45" s="921">
        <f t="shared" si="58"/>
        <v>0.43588989435406728</v>
      </c>
      <c r="DC45" s="922" t="str" cm="1">
        <f t="array" ref="DC45">[1]!ACAELE_CONDPORTCORRIENTE(H45,BB45,I45,M45,CY45,CZ45,N45,$P$5)</f>
        <v/>
      </c>
      <c r="DD45" s="923" t="str" cm="1">
        <f t="array" ref="DD45">[1]!ACAELE_CAPACONDCORRIENTE(BB45,H45,I45,M45,CY45,CZ45,$P$5)</f>
        <v/>
      </c>
      <c r="DE45" s="923" t="str" cm="1">
        <f t="array" ref="DE45">[1]!ACAELE_CAPACIDADCABLE(BB45,H45,I45,M45,DC45,N45,$P$5)</f>
        <v/>
      </c>
      <c r="DF45" s="924" t="str" cm="1">
        <f t="array" ref="DF45">[1]!ACAELE_encontrarcaida(BB45,H45,L45,BV45,F45,BU45,N45,K45)</f>
        <v/>
      </c>
      <c r="DG45" s="925" t="str" cm="1">
        <f t="array" ref="DG45">[1]!ACAELE_Cablecaida(BB45,H45,M45,I45,DF45)</f>
        <v/>
      </c>
      <c r="DH45" s="918" t="str" cm="1">
        <f t="array" ref="DH45">[1]!ACAELE_CAPACIDADCABLE(BB45,H45,I45,M45,DG45,N45,$P$5)</f>
        <v/>
      </c>
      <c r="DI45" s="926" t="str" cm="1">
        <f t="array" ref="DI45">IF($A$27=1,"",[1]!ACAELE_encontrarcaida(BB45,H45,R45,BV45,F45,BU45,T45,Q45,$P$5))</f>
        <v/>
      </c>
      <c r="DJ45" s="914" t="str" cm="1">
        <f t="array" ref="DJ45">IF($A$27=1,"",[1]!ACAELE_Cablecaida2(BB45,Q45,H45,S45,I45,DI45,$P$5))</f>
        <v/>
      </c>
      <c r="DK45" s="919" t="str" cm="1">
        <f t="array" ref="DK45">[1]!ACAELE_CAPACIDADCABLE(BB45,H45,I45,M45,DJ45,N45,$P$5)</f>
        <v/>
      </c>
      <c r="DL45" s="927" t="str" cm="1">
        <f t="array" ref="DL45">[1]!acaele_Iproteccion(BB45,H45,BU45,$F$20,$G$20,$F$19,$G$19,$H$20,$H$19,$P$5)</f>
        <v/>
      </c>
      <c r="DM45" s="928" cm="1">
        <f t="array" ref="DM45">[1]!acaele_ProtCalculada(CX45,H45,BT45,BW45,$G$21,$F$21,$H$21,$P$5)</f>
        <v>0</v>
      </c>
      <c r="DN45" s="929" t="str" cm="1">
        <f t="array" ref="DN45">[1]!ACAELE_cablecalculo(BB45,H45,I45,M45,EF45,$P$5)</f>
        <v/>
      </c>
      <c r="DO45" s="930" t="str" cm="1">
        <f t="array" ref="DO45">[1]!ACAELE_RESISTENCIA(BB45,H45,M45,I45,BX45, CW45,$P$5)</f>
        <v/>
      </c>
      <c r="DP45" s="931" t="str" cm="1">
        <f t="array" ref="DP45">[1]!ACAELE_REACTANCIA(BB45,H45,$F$11,M45,I45,BX45,$P$5)</f>
        <v/>
      </c>
      <c r="DQ45" s="918" t="str" cm="1">
        <f t="array" ref="DQ45">[1]!ACAELE_DIAMECAISLA(BB45,H45,I45,BX45,$P$5)</f>
        <v/>
      </c>
      <c r="DR45" s="918" t="str" cm="1">
        <f t="array" ref="DR45">[1]!ACAELE_AREACAISLAMIENTO(BB45,H45,DQ45,$P$5)</f>
        <v/>
      </c>
      <c r="DS45" s="918" t="str" cm="1">
        <f t="array" ref="DS45">[1]!ACAELE_CAIDAVOLTSFINAL(BB45,H45,F45,K45,BU45,N45,DO45,DA45,DP45,DB45,$P$5)</f>
        <v/>
      </c>
      <c r="DT45" s="918" t="str" cm="1">
        <f t="array" ref="DT45">[1]!ACAELE_AREACONDPTE(BB45,H45,CA45,$P$5)</f>
        <v/>
      </c>
      <c r="DU45" s="932" t="str" cm="1">
        <f t="array" ref="DU45">[1]!ACAELE_AREATOTAL(BZ45,M45,EO45,N45,DQ45,G45,DR45,DT45,N$20,$P$5)</f>
        <v/>
      </c>
      <c r="DV45" s="933" t="str" cm="1">
        <f t="array" ref="DV45">IF($A$27=1,"",[1]!ACAELE_cablecalculo(BB45,H45,I45,M45,EG45,$P$5))</f>
        <v/>
      </c>
      <c r="DW45" s="934" t="str" cm="1">
        <f t="array" ref="DW45">IF($A$27=1,"",[1]!ACAELE_RESISTENCIA(BB45,H45,M45,I45,CC45,CW45,$P$5))</f>
        <v/>
      </c>
      <c r="DX45" s="926" t="str" cm="1">
        <f t="array" ref="DX45">IF($A$27=1,"",[1]!ACAELE_REACTANCIA(BB45,H45,$F$11,M45,I45,CC45,$P$5))</f>
        <v/>
      </c>
      <c r="DY45" s="935" t="str" cm="1">
        <f t="array" ref="DY45">IF($A$27=1,"",[1]!ACAELE_DIAMECAISLA(BB45,H45,I45,CC45,$P$5))</f>
        <v/>
      </c>
      <c r="DZ45" s="935" t="str" cm="1">
        <f t="array" ref="DZ45">IF($A$27=1,"",[1]!ACAELE_AREACAISLAMIENTO(BB45,H45,DY45,$P$5))</f>
        <v/>
      </c>
      <c r="EA45" s="935" t="str" cm="1">
        <f t="array" ref="EA45">[1]!ACAELE_CAIDAVOLTSFINAL2(BB45,Q45,H45,F45,$A$27,BU45,T45,DW45,DA45,DX45,DB45)</f>
        <v/>
      </c>
      <c r="EB45" s="935" t="str" cm="1">
        <f t="array" ref="EB45">IF($A$27=1,"",[1]!ACAELE_AREACONDPTE(BB45,H45,CF45,$P$5))</f>
        <v/>
      </c>
      <c r="EC45" s="936" t="str" cm="1">
        <f t="array" ref="EC45">[1]!ACAELE_AREATOTAL2(H45,$A$27,DY45,S45,G45,T45,DZ45,U45,EB45)</f>
        <v/>
      </c>
      <c r="ED45" s="937" t="str">
        <f t="shared" si="59"/>
        <v/>
      </c>
      <c r="EE45" s="938" t="str">
        <f t="shared" si="60"/>
        <v/>
      </c>
      <c r="EF45" s="939" t="str">
        <f t="shared" si="61"/>
        <v/>
      </c>
      <c r="EG45" s="940">
        <f t="shared" si="62"/>
        <v>0</v>
      </c>
      <c r="EH45" s="941" t="str">
        <f t="shared" si="63"/>
        <v/>
      </c>
      <c r="EI45" s="942">
        <f t="shared" si="64"/>
        <v>30</v>
      </c>
      <c r="EJ45" s="943" t="str">
        <f t="shared" si="11"/>
        <v/>
      </c>
      <c r="EK45" s="943" t="str">
        <f t="shared" si="12"/>
        <v/>
      </c>
      <c r="EL45" s="943" t="str">
        <f t="shared" si="13"/>
        <v/>
      </c>
      <c r="EM45" s="944" t="str">
        <f t="shared" si="14"/>
        <v/>
      </c>
      <c r="EN45" s="945" t="str" cm="1">
        <f t="array" ref="EN45">[1]!ACAELE_MOTOR(H45,X45:BA45,$X$26:$BA$26,$P$5)</f>
        <v/>
      </c>
      <c r="EO45" s="550" t="str">
        <f t="shared" si="65"/>
        <v/>
      </c>
      <c r="EP45" s="431" t="s">
        <v>1214</v>
      </c>
      <c r="EQ45" s="434" t="str">
        <f t="shared" ca="1" si="66"/>
        <v/>
      </c>
      <c r="ER45" s="32"/>
      <c r="ES45" s="32"/>
      <c r="ET45" s="3" t="str">
        <f t="shared" si="67"/>
        <v/>
      </c>
      <c r="EU45" s="3" t="str">
        <f t="shared" si="68"/>
        <v/>
      </c>
      <c r="EV45" s="3" t="str">
        <f t="shared" si="69"/>
        <v/>
      </c>
      <c r="EW45" s="3" t="str">
        <f t="shared" si="70"/>
        <v/>
      </c>
      <c r="EX45" s="3" t="str">
        <f t="shared" si="71"/>
        <v/>
      </c>
      <c r="EY45" s="3" t="str">
        <f t="shared" si="72"/>
        <v/>
      </c>
      <c r="EZ45" s="3" t="str">
        <f t="shared" si="73"/>
        <v/>
      </c>
      <c r="FA45" s="3" t="str">
        <f t="shared" si="74"/>
        <v/>
      </c>
      <c r="FB45" s="3" t="str">
        <f t="shared" si="75"/>
        <v/>
      </c>
      <c r="FC45" s="3">
        <f t="shared" si="76"/>
        <v>0</v>
      </c>
      <c r="FD45" s="32"/>
      <c r="FE45" s="32"/>
      <c r="FF45" s="103">
        <v>1</v>
      </c>
      <c r="FG45" s="32"/>
      <c r="FH45" s="103"/>
      <c r="FI45" s="32"/>
      <c r="FJ45" s="103"/>
      <c r="FK45" s="3">
        <f t="shared" si="77"/>
        <v>0</v>
      </c>
      <c r="FL45" s="3" t="str" cm="1">
        <f t="array" aca="1" ref="FL45" ca="1">[1]!acaele_DIB_UNIFILAR(BB45,H45,F45,COUNTIF(X45:BA45,1),BW45)</f>
        <v/>
      </c>
      <c r="FM45" s="3" t="str">
        <f>IF(DATOS!$T$4=0,"",IF(DATOS!$T$4=1," (QO)",IF(DATOS!$T$4=2," (QOB)",IF(DATOS!$T$4=3," (EDB)",IF(DATOS!$T$4=4,IF(BW45&lt;151," (H"&amp;FN45&amp;")",IF(BW45&lt;251," (J"&amp;FN45&amp;")", IF(BW45&lt;401," (LA)",IF(BW45&lt;801," (MG)",IF(BW45&lt;5001," (POWERPACK)",""))))))))))</f>
        <v xml:space="preserve"> (QOB)</v>
      </c>
      <c r="FN45" s="3" t="str">
        <f t="shared" si="78"/>
        <v/>
      </c>
      <c r="FO45" s="146"/>
      <c r="FP45" s="146"/>
      <c r="FQ45" s="146"/>
      <c r="FR45" s="146"/>
      <c r="FS45" s="146"/>
      <c r="FT45" s="146"/>
      <c r="FU45" s="146"/>
      <c r="FV45" s="146"/>
      <c r="FW45" s="146"/>
      <c r="FX45" s="146" t="str">
        <f t="shared" si="9"/>
        <v/>
      </c>
      <c r="FY45" s="736"/>
      <c r="FZ45" s="740"/>
      <c r="GA45" s="740"/>
      <c r="GB45" s="717"/>
      <c r="GC45" s="838"/>
      <c r="GD45" s="736"/>
      <c r="GE45" s="146"/>
      <c r="GF45" s="506"/>
      <c r="GG45" s="506"/>
      <c r="GH45" s="506"/>
      <c r="GI45" s="506"/>
      <c r="GJ45" s="506"/>
      <c r="GM45" s="3">
        <f>IF(OR(GN45&gt;TABLERO!$M$19,GO45&gt;TABLERO!$M$19,GP45&gt;TABLERO!$M$19,B45=0,C45=0,D45=0),2,CUADROACAD!A45)</f>
        <v>2</v>
      </c>
      <c r="GN45" s="3">
        <f>IF(TABLERO!B45="",0,TABLERO!B45)</f>
        <v>15</v>
      </c>
      <c r="GO45" s="3">
        <f>IF(TABLERO!C45="",GN45,TABLERO!C45)</f>
        <v>15</v>
      </c>
      <c r="GP45" s="3">
        <f>IF(TABLERO!D45="",GN45,TABLERO!D45)</f>
        <v>15</v>
      </c>
    </row>
    <row r="46" spans="1:198" s="3" customFormat="1">
      <c r="A46" s="706"/>
      <c r="B46" s="869">
        <v>16</v>
      </c>
      <c r="C46" s="870" t="str">
        <f t="shared" si="15"/>
        <v/>
      </c>
      <c r="D46" s="870" t="str">
        <f t="shared" si="16"/>
        <v/>
      </c>
      <c r="E46" s="871"/>
      <c r="F46" s="872">
        <v>1</v>
      </c>
      <c r="G46" s="716">
        <f t="shared" si="17"/>
        <v>2</v>
      </c>
      <c r="H46" s="873" t="s">
        <v>12</v>
      </c>
      <c r="I46" s="874" t="str">
        <f t="shared" si="18"/>
        <v>CU</v>
      </c>
      <c r="J46" s="875">
        <v>6</v>
      </c>
      <c r="K46" s="876">
        <v>10</v>
      </c>
      <c r="L46" s="876">
        <v>3</v>
      </c>
      <c r="M46" s="877">
        <v>1</v>
      </c>
      <c r="N46" s="877">
        <v>1</v>
      </c>
      <c r="O46" s="878">
        <v>1</v>
      </c>
      <c r="P46" s="879">
        <v>4</v>
      </c>
      <c r="Q46" s="880">
        <v>1</v>
      </c>
      <c r="R46" s="880">
        <v>1</v>
      </c>
      <c r="S46" s="881">
        <v>1</v>
      </c>
      <c r="T46" s="881">
        <v>1</v>
      </c>
      <c r="U46" s="882">
        <v>1</v>
      </c>
      <c r="V46" s="883">
        <v>1</v>
      </c>
      <c r="W46" s="874" t="str">
        <f t="shared" si="19"/>
        <v>SI</v>
      </c>
      <c r="X46" s="884"/>
      <c r="Y46" s="885"/>
      <c r="Z46" s="885"/>
      <c r="AA46" s="885"/>
      <c r="AB46" s="885"/>
      <c r="AC46" s="885"/>
      <c r="AD46" s="885"/>
      <c r="AE46" s="885"/>
      <c r="AF46" s="885"/>
      <c r="AG46" s="885"/>
      <c r="AH46" s="885"/>
      <c r="AI46" s="885"/>
      <c r="AJ46" s="885"/>
      <c r="AK46" s="885"/>
      <c r="AL46" s="885"/>
      <c r="AM46" s="885"/>
      <c r="AN46" s="885"/>
      <c r="AO46" s="885"/>
      <c r="AP46" s="885"/>
      <c r="AQ46" s="885"/>
      <c r="AR46" s="885"/>
      <c r="AS46" s="885"/>
      <c r="AT46" s="885"/>
      <c r="AU46" s="885"/>
      <c r="AV46" s="885"/>
      <c r="AW46" s="885"/>
      <c r="AX46" s="885"/>
      <c r="AY46" s="885"/>
      <c r="AZ46" s="885"/>
      <c r="BA46" s="886"/>
      <c r="BB46" s="887">
        <f t="shared" si="20"/>
        <v>0</v>
      </c>
      <c r="BC46" s="888" t="str">
        <f t="shared" si="21"/>
        <v/>
      </c>
      <c r="BD46" s="889" t="str">
        <f t="shared" si="22"/>
        <v/>
      </c>
      <c r="BE46" s="889" t="str">
        <f t="shared" si="23"/>
        <v/>
      </c>
      <c r="BF46" s="889" t="str">
        <f t="shared" si="24"/>
        <v/>
      </c>
      <c r="BG46" s="889" t="str">
        <f t="shared" si="25"/>
        <v/>
      </c>
      <c r="BH46" s="889" t="str">
        <f t="shared" si="26"/>
        <v/>
      </c>
      <c r="BI46" s="890" t="str">
        <f t="shared" si="27"/>
        <v/>
      </c>
      <c r="BJ46" s="891" t="str">
        <f t="shared" si="28"/>
        <v/>
      </c>
      <c r="BK46" s="892" t="str">
        <f t="shared" si="29"/>
        <v/>
      </c>
      <c r="BL46" s="892" t="str">
        <f t="shared" si="30"/>
        <v/>
      </c>
      <c r="BM46" s="892" t="str">
        <f t="shared" si="31"/>
        <v/>
      </c>
      <c r="BN46" s="892" t="str">
        <f t="shared" si="32"/>
        <v/>
      </c>
      <c r="BO46" s="892" t="str">
        <f t="shared" si="33"/>
        <v/>
      </c>
      <c r="BP46" s="893" t="str">
        <f t="shared" si="34"/>
        <v/>
      </c>
      <c r="BQ46" s="894" t="str">
        <f t="shared" si="35"/>
        <v/>
      </c>
      <c r="BR46" s="895" t="str">
        <f t="shared" si="10"/>
        <v/>
      </c>
      <c r="BS46" s="896" t="str">
        <f t="shared" si="36"/>
        <v/>
      </c>
      <c r="BT46" s="897" t="str">
        <f t="shared" si="37"/>
        <v/>
      </c>
      <c r="BU46" s="231" t="str">
        <f t="shared" si="38"/>
        <v/>
      </c>
      <c r="BV46" s="898">
        <f t="shared" si="39"/>
        <v>127</v>
      </c>
      <c r="BW46" s="845" t="str">
        <f t="shared" si="40"/>
        <v/>
      </c>
      <c r="BX46" s="899" t="str">
        <f t="shared" si="41"/>
        <v/>
      </c>
      <c r="BY46" s="900" t="str" cm="1">
        <f t="array" ref="BY46">[1]!ACAELE_CAPACIDADCABLE(BB46,H46,I46,M46,BX46,N46)</f>
        <v/>
      </c>
      <c r="BZ46" s="900" t="str">
        <f t="shared" si="42"/>
        <v/>
      </c>
      <c r="CA46" s="901" t="str" cm="1">
        <f t="array" ref="CA46">[1]!ACAELE_cabledetierra(BZ46,$N$9,I46,BW46,BX46,G46)</f>
        <v/>
      </c>
      <c r="CB46" s="902" t="str" cm="1">
        <f t="array" ref="CB46">[1]!ACAELE_TAMATUBERIA(BX46,DU46,$N$9,M46,I46)</f>
        <v/>
      </c>
      <c r="CC46" s="846" t="str">
        <f t="shared" si="43"/>
        <v/>
      </c>
      <c r="CD46" s="903" t="str" cm="1">
        <f t="array" ref="CD46">[1]!ACAELE_CAPACIDADCABLE(BB46,H46,I46,M46,CC46,N46)</f>
        <v/>
      </c>
      <c r="CE46" s="903" t="str">
        <f t="shared" si="44"/>
        <v/>
      </c>
      <c r="CF46" s="904" t="str" cm="1">
        <f t="array" ref="CF46">[1]!ACAELE_cabledetierra(CE46,$N$9,I46,BW46,CC46,G46)</f>
        <v/>
      </c>
      <c r="CG46" s="905" t="str" cm="1">
        <f t="array" ref="CG46">[1]!ACAELE_TAMATUBERIA(CC46,EC46,$N$9,S46,I46)</f>
        <v/>
      </c>
      <c r="CH46" s="906" t="str">
        <f t="shared" si="45"/>
        <v/>
      </c>
      <c r="CI46" s="510" t="str">
        <f t="shared" si="46"/>
        <v>-</v>
      </c>
      <c r="CJ46" s="511" t="str">
        <f t="shared" si="47"/>
        <v>-</v>
      </c>
      <c r="CK46" s="512" t="str">
        <f t="shared" si="48"/>
        <v>-</v>
      </c>
      <c r="CL46" s="907" t="str">
        <f t="shared" si="49"/>
        <v>-</v>
      </c>
      <c r="CM46" s="908" t="str">
        <f t="shared" si="50"/>
        <v>-</v>
      </c>
      <c r="CN46" s="909" t="str">
        <f t="shared" si="51"/>
        <v>-</v>
      </c>
      <c r="CO46" s="910" t="str" cm="1">
        <f t="array" ref="CO46">[1]!ACAELE_fasecorresponde(B46,$F$10,$P$5)</f>
        <v>B</v>
      </c>
      <c r="CP46" s="910" t="str" cm="1">
        <f t="array" ref="CP46">[1]!ACAELE_fasecorresponde(C46,$F$10,$P$5)</f>
        <v>-</v>
      </c>
      <c r="CQ46" s="910" t="str" cm="1">
        <f t="array" ref="CQ46">[1]!ACAELE_fasecorresponde(D46,$F$10,$P$5)</f>
        <v>-</v>
      </c>
      <c r="CR46" s="911" t="str">
        <f t="shared" si="52"/>
        <v>C</v>
      </c>
      <c r="CS46" s="912">
        <f t="shared" si="53"/>
        <v>1</v>
      </c>
      <c r="CT46" s="913">
        <f t="shared" si="54"/>
        <v>0.8</v>
      </c>
      <c r="CU46" s="914" t="str">
        <f t="shared" si="55"/>
        <v/>
      </c>
      <c r="CV46" s="915">
        <f t="shared" si="56"/>
        <v>0</v>
      </c>
      <c r="CW46" s="916" t="str" cm="1">
        <f t="array" ref="CW46">[1]!ACAELE_Inominal(BB46,F46,BT46,BV46,DA46,G46,V46,$P$5)</f>
        <v/>
      </c>
      <c r="CX46" s="917" t="str" cm="1">
        <f t="array" ref="CX46">[1]!ACAELE_Disparocalculado(BB46,H46,DL46,$N$21,$M$21,$O$21,BV46,$P$5)</f>
        <v/>
      </c>
      <c r="CY46" s="918" t="str" cm="1">
        <f t="array" ref="CY46">[1]!ACAELE_Icorregida($A$27,H46,BB46,BU46,CS46,CT46,$P$5)</f>
        <v/>
      </c>
      <c r="CZ46" s="919" t="str" cm="1">
        <f t="array" ref="CZ46">[1]!ACAELE_Icorregida2($A$27,H46,BB46,BU46,CS46,CU46,$P$5)</f>
        <v/>
      </c>
      <c r="DA46" s="920">
        <f t="shared" si="57"/>
        <v>0.9</v>
      </c>
      <c r="DB46" s="921">
        <f t="shared" si="58"/>
        <v>0.43588989435406728</v>
      </c>
      <c r="DC46" s="922" t="str" cm="1">
        <f t="array" ref="DC46">[1]!ACAELE_CONDPORTCORRIENTE(H46,BB46,I46,M46,CY46,CZ46,N46,$P$5)</f>
        <v/>
      </c>
      <c r="DD46" s="923" t="str" cm="1">
        <f t="array" ref="DD46">[1]!ACAELE_CAPACONDCORRIENTE(BB46,H46,I46,M46,CY46,CZ46,$P$5)</f>
        <v/>
      </c>
      <c r="DE46" s="923" t="str" cm="1">
        <f t="array" ref="DE46">[1]!ACAELE_CAPACIDADCABLE(BB46,H46,I46,M46,DC46,N46,$P$5)</f>
        <v/>
      </c>
      <c r="DF46" s="924" t="str" cm="1">
        <f t="array" ref="DF46">[1]!ACAELE_encontrarcaida(BB46,H46,L46,BV46,F46,BU46,N46,K46)</f>
        <v/>
      </c>
      <c r="DG46" s="925" t="str" cm="1">
        <f t="array" ref="DG46">[1]!ACAELE_Cablecaida(BB46,H46,M46,I46,DF46)</f>
        <v/>
      </c>
      <c r="DH46" s="918" t="str" cm="1">
        <f t="array" ref="DH46">[1]!ACAELE_CAPACIDADCABLE(BB46,H46,I46,M46,DG46,N46,$P$5)</f>
        <v/>
      </c>
      <c r="DI46" s="926" t="str" cm="1">
        <f t="array" ref="DI46">IF($A$27=1,"",[1]!ACAELE_encontrarcaida(BB46,H46,R46,BV46,F46,BU46,T46,Q46,$P$5))</f>
        <v/>
      </c>
      <c r="DJ46" s="914" t="str" cm="1">
        <f t="array" ref="DJ46">IF($A$27=1,"",[1]!ACAELE_Cablecaida2(BB46,Q46,H46,S46,I46,DI46,$P$5))</f>
        <v/>
      </c>
      <c r="DK46" s="919" t="str" cm="1">
        <f t="array" ref="DK46">[1]!ACAELE_CAPACIDADCABLE(BB46,H46,I46,M46,DJ46,N46,$P$5)</f>
        <v/>
      </c>
      <c r="DL46" s="927" t="str" cm="1">
        <f t="array" ref="DL46">[1]!acaele_Iproteccion(BB46,H46,BU46,$F$20,$G$20,$F$19,$G$19,$H$20,$H$19,$P$5)</f>
        <v/>
      </c>
      <c r="DM46" s="928" cm="1">
        <f t="array" ref="DM46">[1]!acaele_ProtCalculada(CX46,H46,BT46,BW46,$G$21,$F$21,$H$21,$P$5)</f>
        <v>0</v>
      </c>
      <c r="DN46" s="929" t="str" cm="1">
        <f t="array" ref="DN46">[1]!ACAELE_cablecalculo(BB46,H46,I46,M46,EF46,$P$5)</f>
        <v/>
      </c>
      <c r="DO46" s="930" t="str" cm="1">
        <f t="array" ref="DO46">[1]!ACAELE_RESISTENCIA(BB46,H46,M46,I46,BX46, CW46,$P$5)</f>
        <v/>
      </c>
      <c r="DP46" s="931" t="str" cm="1">
        <f t="array" ref="DP46">[1]!ACAELE_REACTANCIA(BB46,H46,$F$11,M46,I46,BX46,$P$5)</f>
        <v/>
      </c>
      <c r="DQ46" s="918" t="str" cm="1">
        <f t="array" ref="DQ46">[1]!ACAELE_DIAMECAISLA(BB46,H46,I46,BX46,$P$5)</f>
        <v/>
      </c>
      <c r="DR46" s="918" t="str" cm="1">
        <f t="array" ref="DR46">[1]!ACAELE_AREACAISLAMIENTO(BB46,H46,DQ46,$P$5)</f>
        <v/>
      </c>
      <c r="DS46" s="918" t="str" cm="1">
        <f t="array" ref="DS46">[1]!ACAELE_CAIDAVOLTSFINAL(BB46,H46,F46,K46,BU46,N46,DO46,DA46,DP46,DB46,$P$5)</f>
        <v/>
      </c>
      <c r="DT46" s="918" t="str" cm="1">
        <f t="array" ref="DT46">[1]!ACAELE_AREACONDPTE(BB46,H46,CA46,$P$5)</f>
        <v/>
      </c>
      <c r="DU46" s="932" t="str" cm="1">
        <f t="array" ref="DU46">[1]!ACAELE_AREATOTAL(BZ46,M46,EO46,N46,DQ46,G46,DR46,DT46,N$20,$P$5)</f>
        <v/>
      </c>
      <c r="DV46" s="933" t="str" cm="1">
        <f t="array" ref="DV46">IF($A$27=1,"",[1]!ACAELE_cablecalculo(BB46,H46,I46,M46,EG46,$P$5))</f>
        <v/>
      </c>
      <c r="DW46" s="934" t="str" cm="1">
        <f t="array" ref="DW46">IF($A$27=1,"",[1]!ACAELE_RESISTENCIA(BB46,H46,M46,I46,CC46,CW46,$P$5))</f>
        <v/>
      </c>
      <c r="DX46" s="926" t="str" cm="1">
        <f t="array" ref="DX46">IF($A$27=1,"",[1]!ACAELE_REACTANCIA(BB46,H46,$F$11,M46,I46,CC46,$P$5))</f>
        <v/>
      </c>
      <c r="DY46" s="935" t="str" cm="1">
        <f t="array" ref="DY46">IF($A$27=1,"",[1]!ACAELE_DIAMECAISLA(BB46,H46,I46,CC46,$P$5))</f>
        <v/>
      </c>
      <c r="DZ46" s="935" t="str" cm="1">
        <f t="array" ref="DZ46">IF($A$27=1,"",[1]!ACAELE_AREACAISLAMIENTO(BB46,H46,DY46,$P$5))</f>
        <v/>
      </c>
      <c r="EA46" s="935" t="str" cm="1">
        <f t="array" ref="EA46">[1]!ACAELE_CAIDAVOLTSFINAL2(BB46,Q46,H46,F46,$A$27,BU46,T46,DW46,DA46,DX46,DB46)</f>
        <v/>
      </c>
      <c r="EB46" s="935" t="str" cm="1">
        <f t="array" ref="EB46">IF($A$27=1,"",[1]!ACAELE_AREACONDPTE(BB46,H46,CF46,$P$5))</f>
        <v/>
      </c>
      <c r="EC46" s="936" t="str" cm="1">
        <f t="array" ref="EC46">[1]!ACAELE_AREATOTAL2(H46,$A$27,DY46,S46,G46,T46,DZ46,U46,EB46)</f>
        <v/>
      </c>
      <c r="ED46" s="937" t="str">
        <f t="shared" si="59"/>
        <v/>
      </c>
      <c r="EE46" s="938" t="str">
        <f t="shared" si="60"/>
        <v/>
      </c>
      <c r="EF46" s="939" t="str">
        <f t="shared" si="61"/>
        <v/>
      </c>
      <c r="EG46" s="940">
        <f t="shared" si="62"/>
        <v>0</v>
      </c>
      <c r="EH46" s="941" t="str">
        <f t="shared" si="63"/>
        <v/>
      </c>
      <c r="EI46" s="942">
        <f t="shared" si="64"/>
        <v>30</v>
      </c>
      <c r="EJ46" s="943" t="str">
        <f t="shared" si="11"/>
        <v/>
      </c>
      <c r="EK46" s="943" t="str">
        <f t="shared" si="12"/>
        <v/>
      </c>
      <c r="EL46" s="943" t="str">
        <f t="shared" si="13"/>
        <v/>
      </c>
      <c r="EM46" s="944" t="str">
        <f t="shared" si="14"/>
        <v/>
      </c>
      <c r="EN46" s="945" t="str" cm="1">
        <f t="array" ref="EN46">[1]!ACAELE_MOTOR(H46,X46:BA46,$X$26:$BA$26,$P$5)</f>
        <v/>
      </c>
      <c r="EO46" s="550" t="str">
        <f t="shared" si="65"/>
        <v/>
      </c>
      <c r="EP46" s="431" t="s">
        <v>1214</v>
      </c>
      <c r="EQ46" s="434" t="str">
        <f t="shared" ca="1" si="66"/>
        <v/>
      </c>
      <c r="ER46" s="32"/>
      <c r="ES46" s="32"/>
      <c r="ET46" s="3" t="str">
        <f t="shared" si="67"/>
        <v/>
      </c>
      <c r="EU46" s="3" t="str">
        <f t="shared" si="68"/>
        <v/>
      </c>
      <c r="EV46" s="3" t="str">
        <f t="shared" si="69"/>
        <v/>
      </c>
      <c r="EW46" s="3" t="str">
        <f t="shared" si="70"/>
        <v/>
      </c>
      <c r="EX46" s="3" t="str">
        <f t="shared" si="71"/>
        <v/>
      </c>
      <c r="EY46" s="3" t="str">
        <f t="shared" si="72"/>
        <v/>
      </c>
      <c r="EZ46" s="3" t="str">
        <f t="shared" si="73"/>
        <v/>
      </c>
      <c r="FA46" s="3" t="str">
        <f t="shared" si="74"/>
        <v/>
      </c>
      <c r="FB46" s="3" t="str">
        <f t="shared" si="75"/>
        <v/>
      </c>
      <c r="FC46" s="3">
        <f t="shared" si="76"/>
        <v>0</v>
      </c>
      <c r="FD46" s="32"/>
      <c r="FE46" s="32"/>
      <c r="FF46" s="103">
        <v>1</v>
      </c>
      <c r="FG46" s="32"/>
      <c r="FH46" s="103"/>
      <c r="FI46" s="32"/>
      <c r="FJ46" s="103"/>
      <c r="FK46" s="3">
        <f t="shared" si="77"/>
        <v>0</v>
      </c>
      <c r="FL46" s="3" t="str" cm="1">
        <f t="array" aca="1" ref="FL46" ca="1">[1]!acaele_DIB_UNIFILAR(BB46,H46,F46,COUNTIF(X46:BA46,1),BW46)</f>
        <v/>
      </c>
      <c r="FM46" s="3" t="str">
        <f>IF(DATOS!$T$4=0,"",IF(DATOS!$T$4=1," (QO)",IF(DATOS!$T$4=2," (QOB)",IF(DATOS!$T$4=3," (EDB)",IF(DATOS!$T$4=4,IF(BW46&lt;151," (H"&amp;FN46&amp;")",IF(BW46&lt;251," (J"&amp;FN46&amp;")", IF(BW46&lt;401," (LA)",IF(BW46&lt;801," (MG)",IF(BW46&lt;5001," (POWERPACK)",""))))))))))</f>
        <v xml:space="preserve"> (QOB)</v>
      </c>
      <c r="FN46" s="3" t="str">
        <f t="shared" si="78"/>
        <v/>
      </c>
      <c r="FO46" s="146"/>
      <c r="FP46" s="146"/>
      <c r="FQ46" s="146"/>
      <c r="FR46" s="146"/>
      <c r="FS46" s="146"/>
      <c r="FT46" s="146"/>
      <c r="FU46" s="146"/>
      <c r="FV46" s="146"/>
      <c r="FW46" s="146"/>
      <c r="FX46" s="146" t="str">
        <f t="shared" si="9"/>
        <v/>
      </c>
      <c r="FY46" s="736"/>
      <c r="FZ46" s="740"/>
      <c r="GA46" s="740"/>
      <c r="GB46" s="717"/>
      <c r="GC46" s="838"/>
      <c r="GD46" s="736"/>
      <c r="GE46" s="146"/>
      <c r="GF46" s="506"/>
      <c r="GG46" s="506"/>
      <c r="GH46" s="506"/>
      <c r="GI46" s="506"/>
      <c r="GJ46" s="506"/>
      <c r="GM46" s="3">
        <f>IF(OR(GN46&gt;TABLERO!$M$19,GO46&gt;TABLERO!$M$19,GP46&gt;TABLERO!$M$19,B46=0,C46=0,D46=0),2,CUADROACAD!A46)</f>
        <v>2</v>
      </c>
      <c r="GN46" s="3">
        <f>IF(TABLERO!B46="",0,TABLERO!B46)</f>
        <v>16</v>
      </c>
      <c r="GO46" s="3">
        <f>IF(TABLERO!C46="",GN46,TABLERO!C46)</f>
        <v>16</v>
      </c>
      <c r="GP46" s="3">
        <f>IF(TABLERO!D46="",GN46,TABLERO!D46)</f>
        <v>16</v>
      </c>
    </row>
    <row r="47" spans="1:198" s="3" customFormat="1">
      <c r="A47" s="706"/>
      <c r="B47" s="869">
        <v>17</v>
      </c>
      <c r="C47" s="870" t="str">
        <f t="shared" si="15"/>
        <v/>
      </c>
      <c r="D47" s="870" t="str">
        <f t="shared" si="16"/>
        <v/>
      </c>
      <c r="E47" s="871"/>
      <c r="F47" s="872">
        <v>1</v>
      </c>
      <c r="G47" s="716">
        <f t="shared" si="17"/>
        <v>2</v>
      </c>
      <c r="H47" s="873" t="s">
        <v>12</v>
      </c>
      <c r="I47" s="874" t="str">
        <f t="shared" si="18"/>
        <v>CU</v>
      </c>
      <c r="J47" s="875">
        <v>6</v>
      </c>
      <c r="K47" s="876">
        <v>10</v>
      </c>
      <c r="L47" s="876">
        <v>3</v>
      </c>
      <c r="M47" s="877">
        <v>1</v>
      </c>
      <c r="N47" s="877">
        <v>1</v>
      </c>
      <c r="O47" s="878">
        <v>1</v>
      </c>
      <c r="P47" s="879">
        <v>4</v>
      </c>
      <c r="Q47" s="880">
        <v>1</v>
      </c>
      <c r="R47" s="880">
        <v>1</v>
      </c>
      <c r="S47" s="881">
        <v>1</v>
      </c>
      <c r="T47" s="881">
        <v>1</v>
      </c>
      <c r="U47" s="882">
        <v>1</v>
      </c>
      <c r="V47" s="883">
        <v>1</v>
      </c>
      <c r="W47" s="874" t="str">
        <f t="shared" si="19"/>
        <v>SI</v>
      </c>
      <c r="X47" s="884"/>
      <c r="Y47" s="885"/>
      <c r="Z47" s="885"/>
      <c r="AA47" s="885"/>
      <c r="AB47" s="885"/>
      <c r="AC47" s="885"/>
      <c r="AD47" s="885"/>
      <c r="AE47" s="885"/>
      <c r="AF47" s="885"/>
      <c r="AG47" s="885"/>
      <c r="AH47" s="885"/>
      <c r="AI47" s="885"/>
      <c r="AJ47" s="885"/>
      <c r="AK47" s="885"/>
      <c r="AL47" s="885"/>
      <c r="AM47" s="885"/>
      <c r="AN47" s="885"/>
      <c r="AO47" s="885"/>
      <c r="AP47" s="885"/>
      <c r="AQ47" s="885"/>
      <c r="AR47" s="885"/>
      <c r="AS47" s="885"/>
      <c r="AT47" s="885"/>
      <c r="AU47" s="885"/>
      <c r="AV47" s="885"/>
      <c r="AW47" s="885"/>
      <c r="AX47" s="885"/>
      <c r="AY47" s="885"/>
      <c r="AZ47" s="885"/>
      <c r="BA47" s="886"/>
      <c r="BB47" s="887">
        <f t="shared" si="20"/>
        <v>0</v>
      </c>
      <c r="BC47" s="888" t="str">
        <f t="shared" si="21"/>
        <v/>
      </c>
      <c r="BD47" s="889" t="str">
        <f t="shared" si="22"/>
        <v/>
      </c>
      <c r="BE47" s="889" t="str">
        <f t="shared" si="23"/>
        <v/>
      </c>
      <c r="BF47" s="889" t="str">
        <f t="shared" si="24"/>
        <v/>
      </c>
      <c r="BG47" s="889" t="str">
        <f t="shared" si="25"/>
        <v/>
      </c>
      <c r="BH47" s="889" t="str">
        <f t="shared" si="26"/>
        <v/>
      </c>
      <c r="BI47" s="890" t="str">
        <f t="shared" si="27"/>
        <v/>
      </c>
      <c r="BJ47" s="891" t="str">
        <f t="shared" si="28"/>
        <v/>
      </c>
      <c r="BK47" s="892" t="str">
        <f t="shared" si="29"/>
        <v/>
      </c>
      <c r="BL47" s="892" t="str">
        <f t="shared" si="30"/>
        <v/>
      </c>
      <c r="BM47" s="892" t="str">
        <f t="shared" si="31"/>
        <v/>
      </c>
      <c r="BN47" s="892" t="str">
        <f t="shared" si="32"/>
        <v/>
      </c>
      <c r="BO47" s="892" t="str">
        <f t="shared" si="33"/>
        <v/>
      </c>
      <c r="BP47" s="893" t="str">
        <f t="shared" si="34"/>
        <v/>
      </c>
      <c r="BQ47" s="894" t="str">
        <f t="shared" si="35"/>
        <v/>
      </c>
      <c r="BR47" s="895" t="str">
        <f t="shared" si="10"/>
        <v/>
      </c>
      <c r="BS47" s="896" t="str">
        <f t="shared" si="36"/>
        <v/>
      </c>
      <c r="BT47" s="897" t="str">
        <f t="shared" si="37"/>
        <v/>
      </c>
      <c r="BU47" s="231" t="str">
        <f t="shared" si="38"/>
        <v/>
      </c>
      <c r="BV47" s="898">
        <f t="shared" si="39"/>
        <v>127</v>
      </c>
      <c r="BW47" s="845" t="str">
        <f t="shared" si="40"/>
        <v/>
      </c>
      <c r="BX47" s="899" t="str">
        <f t="shared" si="41"/>
        <v/>
      </c>
      <c r="BY47" s="900" t="str" cm="1">
        <f t="array" ref="BY47">[1]!ACAELE_CAPACIDADCABLE(BB47,H47,I47,M47,BX47,N47)</f>
        <v/>
      </c>
      <c r="BZ47" s="900" t="str">
        <f t="shared" si="42"/>
        <v/>
      </c>
      <c r="CA47" s="901" t="str" cm="1">
        <f t="array" ref="CA47">[1]!ACAELE_cabledetierra(BZ47,$N$9,I47,BW47,BX47,G47)</f>
        <v/>
      </c>
      <c r="CB47" s="902" t="str" cm="1">
        <f t="array" ref="CB47">[1]!ACAELE_TAMATUBERIA(BX47,DU47,$N$9,M47,I47)</f>
        <v/>
      </c>
      <c r="CC47" s="846" t="str">
        <f t="shared" si="43"/>
        <v/>
      </c>
      <c r="CD47" s="903" t="str" cm="1">
        <f t="array" ref="CD47">[1]!ACAELE_CAPACIDADCABLE(BB47,H47,I47,M47,CC47,N47)</f>
        <v/>
      </c>
      <c r="CE47" s="903" t="str">
        <f t="shared" si="44"/>
        <v/>
      </c>
      <c r="CF47" s="904" t="str" cm="1">
        <f t="array" ref="CF47">[1]!ACAELE_cabledetierra(CE47,$N$9,I47,BW47,CC47,G47)</f>
        <v/>
      </c>
      <c r="CG47" s="905" t="str" cm="1">
        <f t="array" ref="CG47">[1]!ACAELE_TAMATUBERIA(CC47,EC47,$N$9,S47,I47)</f>
        <v/>
      </c>
      <c r="CH47" s="906" t="str">
        <f t="shared" si="45"/>
        <v/>
      </c>
      <c r="CI47" s="510" t="str">
        <f t="shared" si="46"/>
        <v>-</v>
      </c>
      <c r="CJ47" s="511" t="str">
        <f t="shared" si="47"/>
        <v>-</v>
      </c>
      <c r="CK47" s="512" t="str">
        <f t="shared" si="48"/>
        <v>-</v>
      </c>
      <c r="CL47" s="907" t="str">
        <f t="shared" si="49"/>
        <v>-</v>
      </c>
      <c r="CM47" s="908" t="str">
        <f t="shared" si="50"/>
        <v>-</v>
      </c>
      <c r="CN47" s="909" t="str">
        <f t="shared" si="51"/>
        <v>-</v>
      </c>
      <c r="CO47" s="910" t="str" cm="1">
        <f t="array" ref="CO47">[1]!ACAELE_fasecorresponde(B47,$F$10,$P$5)</f>
        <v>C</v>
      </c>
      <c r="CP47" s="910" t="str" cm="1">
        <f t="array" ref="CP47">[1]!ACAELE_fasecorresponde(C47,$F$10,$P$5)</f>
        <v>-</v>
      </c>
      <c r="CQ47" s="910" t="str" cm="1">
        <f t="array" ref="CQ47">[1]!ACAELE_fasecorresponde(D47,$F$10,$P$5)</f>
        <v>-</v>
      </c>
      <c r="CR47" s="911" t="str">
        <f t="shared" si="52"/>
        <v>C</v>
      </c>
      <c r="CS47" s="912">
        <f t="shared" si="53"/>
        <v>1</v>
      </c>
      <c r="CT47" s="913">
        <f t="shared" si="54"/>
        <v>0.8</v>
      </c>
      <c r="CU47" s="914" t="str">
        <f t="shared" si="55"/>
        <v/>
      </c>
      <c r="CV47" s="915">
        <f t="shared" si="56"/>
        <v>0</v>
      </c>
      <c r="CW47" s="916" t="str" cm="1">
        <f t="array" ref="CW47">[1]!ACAELE_Inominal(BB47,F47,BT47,BV47,DA47,G47,V47,$P$5)</f>
        <v/>
      </c>
      <c r="CX47" s="917" t="str" cm="1">
        <f t="array" ref="CX47">[1]!ACAELE_Disparocalculado(BB47,H47,DL47,$N$21,$M$21,$O$21,BV47,$P$5)</f>
        <v/>
      </c>
      <c r="CY47" s="918" t="str" cm="1">
        <f t="array" ref="CY47">[1]!ACAELE_Icorregida($A$27,H47,BB47,BU47,CS47,CT47,$P$5)</f>
        <v/>
      </c>
      <c r="CZ47" s="919" t="str" cm="1">
        <f t="array" ref="CZ47">[1]!ACAELE_Icorregida2($A$27,H47,BB47,BU47,CS47,CU47,$P$5)</f>
        <v/>
      </c>
      <c r="DA47" s="920">
        <f t="shared" si="57"/>
        <v>0.9</v>
      </c>
      <c r="DB47" s="921">
        <f t="shared" si="58"/>
        <v>0.43588989435406728</v>
      </c>
      <c r="DC47" s="922" t="str" cm="1">
        <f t="array" ref="DC47">[1]!ACAELE_CONDPORTCORRIENTE(H47,BB47,I47,M47,CY47,CZ47,N47,$P$5)</f>
        <v/>
      </c>
      <c r="DD47" s="923" t="str" cm="1">
        <f t="array" ref="DD47">[1]!ACAELE_CAPACONDCORRIENTE(BB47,H47,I47,M47,CY47,CZ47,$P$5)</f>
        <v/>
      </c>
      <c r="DE47" s="923" t="str" cm="1">
        <f t="array" ref="DE47">[1]!ACAELE_CAPACIDADCABLE(BB47,H47,I47,M47,DC47,N47,$P$5)</f>
        <v/>
      </c>
      <c r="DF47" s="924" t="str" cm="1">
        <f t="array" ref="DF47">[1]!ACAELE_encontrarcaida(BB47,H47,L47,BV47,F47,BU47,N47,K47)</f>
        <v/>
      </c>
      <c r="DG47" s="925" t="str" cm="1">
        <f t="array" ref="DG47">[1]!ACAELE_Cablecaida(BB47,H47,M47,I47,DF47)</f>
        <v/>
      </c>
      <c r="DH47" s="918" t="str" cm="1">
        <f t="array" ref="DH47">[1]!ACAELE_CAPACIDADCABLE(BB47,H47,I47,M47,DG47,N47,$P$5)</f>
        <v/>
      </c>
      <c r="DI47" s="926" t="str" cm="1">
        <f t="array" ref="DI47">IF($A$27=1,"",[1]!ACAELE_encontrarcaida(BB47,H47,R47,BV47,F47,BU47,T47,Q47,$P$5))</f>
        <v/>
      </c>
      <c r="DJ47" s="914" t="str" cm="1">
        <f t="array" ref="DJ47">IF($A$27=1,"",[1]!ACAELE_Cablecaida2(BB47,Q47,H47,S47,I47,DI47,$P$5))</f>
        <v/>
      </c>
      <c r="DK47" s="919" t="str" cm="1">
        <f t="array" ref="DK47">[1]!ACAELE_CAPACIDADCABLE(BB47,H47,I47,M47,DJ47,N47,$P$5)</f>
        <v/>
      </c>
      <c r="DL47" s="927" t="str" cm="1">
        <f t="array" ref="DL47">[1]!acaele_Iproteccion(BB47,H47,BU47,$F$20,$G$20,$F$19,$G$19,$H$20,$H$19,$P$5)</f>
        <v/>
      </c>
      <c r="DM47" s="928" cm="1">
        <f t="array" ref="DM47">[1]!acaele_ProtCalculada(CX47,H47,BT47,BW47,$G$21,$F$21,$H$21,$P$5)</f>
        <v>0</v>
      </c>
      <c r="DN47" s="929" t="str" cm="1">
        <f t="array" ref="DN47">[1]!ACAELE_cablecalculo(BB47,H47,I47,M47,EF47,$P$5)</f>
        <v/>
      </c>
      <c r="DO47" s="930" t="str" cm="1">
        <f t="array" ref="DO47">[1]!ACAELE_RESISTENCIA(BB47,H47,M47,I47,BX47, CW47,$P$5)</f>
        <v/>
      </c>
      <c r="DP47" s="931" t="str" cm="1">
        <f t="array" ref="DP47">[1]!ACAELE_REACTANCIA(BB47,H47,$F$11,M47,I47,BX47,$P$5)</f>
        <v/>
      </c>
      <c r="DQ47" s="918" t="str" cm="1">
        <f t="array" ref="DQ47">[1]!ACAELE_DIAMECAISLA(BB47,H47,I47,BX47,$P$5)</f>
        <v/>
      </c>
      <c r="DR47" s="918" t="str" cm="1">
        <f t="array" ref="DR47">[1]!ACAELE_AREACAISLAMIENTO(BB47,H47,DQ47,$P$5)</f>
        <v/>
      </c>
      <c r="DS47" s="918" t="str" cm="1">
        <f t="array" ref="DS47">[1]!ACAELE_CAIDAVOLTSFINAL(BB47,H47,F47,K47,BU47,N47,DO47,DA47,DP47,DB47,$P$5)</f>
        <v/>
      </c>
      <c r="DT47" s="918" t="str" cm="1">
        <f t="array" ref="DT47">[1]!ACAELE_AREACONDPTE(BB47,H47,CA47,$P$5)</f>
        <v/>
      </c>
      <c r="DU47" s="932" t="str" cm="1">
        <f t="array" ref="DU47">[1]!ACAELE_AREATOTAL(BZ47,M47,EO47,N47,DQ47,G47,DR47,DT47,N$20,$P$5)</f>
        <v/>
      </c>
      <c r="DV47" s="933" t="str" cm="1">
        <f t="array" ref="DV47">IF($A$27=1,"",[1]!ACAELE_cablecalculo(BB47,H47,I47,M47,EG47,$P$5))</f>
        <v/>
      </c>
      <c r="DW47" s="934" t="str" cm="1">
        <f t="array" ref="DW47">IF($A$27=1,"",[1]!ACAELE_RESISTENCIA(BB47,H47,M47,I47,CC47,CW47,$P$5))</f>
        <v/>
      </c>
      <c r="DX47" s="926" t="str" cm="1">
        <f t="array" ref="DX47">IF($A$27=1,"",[1]!ACAELE_REACTANCIA(BB47,H47,$F$11,M47,I47,CC47,$P$5))</f>
        <v/>
      </c>
      <c r="DY47" s="935" t="str" cm="1">
        <f t="array" ref="DY47">IF($A$27=1,"",[1]!ACAELE_DIAMECAISLA(BB47,H47,I47,CC47,$P$5))</f>
        <v/>
      </c>
      <c r="DZ47" s="935" t="str" cm="1">
        <f t="array" ref="DZ47">IF($A$27=1,"",[1]!ACAELE_AREACAISLAMIENTO(BB47,H47,DY47,$P$5))</f>
        <v/>
      </c>
      <c r="EA47" s="935" t="str" cm="1">
        <f t="array" ref="EA47">[1]!ACAELE_CAIDAVOLTSFINAL2(BB47,Q47,H47,F47,$A$27,BU47,T47,DW47,DA47,DX47,DB47)</f>
        <v/>
      </c>
      <c r="EB47" s="935" t="str" cm="1">
        <f t="array" ref="EB47">IF($A$27=1,"",[1]!ACAELE_AREACONDPTE(BB47,H47,CF47,$P$5))</f>
        <v/>
      </c>
      <c r="EC47" s="936" t="str" cm="1">
        <f t="array" ref="EC47">[1]!ACAELE_AREATOTAL2(H47,$A$27,DY47,S47,G47,T47,DZ47,U47,EB47)</f>
        <v/>
      </c>
      <c r="ED47" s="937" t="str">
        <f t="shared" si="59"/>
        <v/>
      </c>
      <c r="EE47" s="938" t="str">
        <f t="shared" si="60"/>
        <v/>
      </c>
      <c r="EF47" s="939" t="str">
        <f t="shared" si="61"/>
        <v/>
      </c>
      <c r="EG47" s="940">
        <f t="shared" si="62"/>
        <v>0</v>
      </c>
      <c r="EH47" s="941" t="str">
        <f t="shared" si="63"/>
        <v/>
      </c>
      <c r="EI47" s="942">
        <f t="shared" si="64"/>
        <v>30</v>
      </c>
      <c r="EJ47" s="943" t="str">
        <f t="shared" si="11"/>
        <v/>
      </c>
      <c r="EK47" s="943" t="str">
        <f t="shared" si="12"/>
        <v/>
      </c>
      <c r="EL47" s="943" t="str">
        <f t="shared" si="13"/>
        <v/>
      </c>
      <c r="EM47" s="944" t="str">
        <f t="shared" si="14"/>
        <v/>
      </c>
      <c r="EN47" s="945" t="str" cm="1">
        <f t="array" ref="EN47">[1]!ACAELE_MOTOR(H47,X47:BA47,$X$26:$BA$26,$P$5)</f>
        <v/>
      </c>
      <c r="EO47" s="550" t="str">
        <f t="shared" si="65"/>
        <v/>
      </c>
      <c r="EP47" s="431" t="s">
        <v>1214</v>
      </c>
      <c r="EQ47" s="434" t="str">
        <f t="shared" ca="1" si="66"/>
        <v/>
      </c>
      <c r="ER47" s="32"/>
      <c r="ES47" s="32"/>
      <c r="ET47" s="3" t="str">
        <f t="shared" si="67"/>
        <v/>
      </c>
      <c r="EU47" s="3" t="str">
        <f t="shared" si="68"/>
        <v/>
      </c>
      <c r="EV47" s="3" t="str">
        <f t="shared" si="69"/>
        <v/>
      </c>
      <c r="EW47" s="3" t="str">
        <f t="shared" si="70"/>
        <v/>
      </c>
      <c r="EX47" s="3" t="str">
        <f t="shared" si="71"/>
        <v/>
      </c>
      <c r="EY47" s="3" t="str">
        <f t="shared" si="72"/>
        <v/>
      </c>
      <c r="EZ47" s="3" t="str">
        <f t="shared" si="73"/>
        <v/>
      </c>
      <c r="FA47" s="3" t="str">
        <f t="shared" si="74"/>
        <v/>
      </c>
      <c r="FB47" s="3" t="str">
        <f t="shared" si="75"/>
        <v/>
      </c>
      <c r="FC47" s="3">
        <f t="shared" si="76"/>
        <v>0</v>
      </c>
      <c r="FD47" s="32"/>
      <c r="FE47" s="32"/>
      <c r="FF47" s="103">
        <v>1</v>
      </c>
      <c r="FG47" s="32"/>
      <c r="FH47" s="103"/>
      <c r="FI47" s="32"/>
      <c r="FJ47" s="103"/>
      <c r="FK47" s="3">
        <f t="shared" si="77"/>
        <v>0</v>
      </c>
      <c r="FL47" s="3" t="str" cm="1">
        <f t="array" aca="1" ref="FL47" ca="1">[1]!acaele_DIB_UNIFILAR(BB47,H47,F47,COUNTIF(X47:BA47,1),BW47)</f>
        <v/>
      </c>
      <c r="FM47" s="3" t="str">
        <f>IF(DATOS!$T$4=0,"",IF(DATOS!$T$4=1," (QO)",IF(DATOS!$T$4=2," (QOB)",IF(DATOS!$T$4=3," (EDB)",IF(DATOS!$T$4=4,IF(BW47&lt;151," (H"&amp;FN47&amp;")",IF(BW47&lt;251," (J"&amp;FN47&amp;")", IF(BW47&lt;401," (LA)",IF(BW47&lt;801," (MG)",IF(BW47&lt;5001," (POWERPACK)",""))))))))))</f>
        <v xml:space="preserve"> (QOB)</v>
      </c>
      <c r="FN47" s="3" t="str">
        <f t="shared" si="78"/>
        <v/>
      </c>
      <c r="FO47" s="146"/>
      <c r="FP47" s="146"/>
      <c r="FQ47" s="146"/>
      <c r="FR47" s="146"/>
      <c r="FS47" s="146"/>
      <c r="FT47" s="146"/>
      <c r="FU47" s="146"/>
      <c r="FV47" s="146"/>
      <c r="FW47" s="146"/>
      <c r="FX47" s="146" t="str">
        <f t="shared" si="9"/>
        <v/>
      </c>
      <c r="FY47" s="736"/>
      <c r="FZ47" s="740"/>
      <c r="GA47" s="740"/>
      <c r="GB47" s="717"/>
      <c r="GC47" s="838"/>
      <c r="GD47" s="736"/>
      <c r="GE47" s="146"/>
      <c r="GF47" s="506"/>
      <c r="GG47" s="506"/>
      <c r="GH47" s="506"/>
      <c r="GI47" s="506"/>
      <c r="GJ47" s="506"/>
      <c r="GM47" s="3">
        <f>IF(OR(GN47&gt;TABLERO!$M$19,GO47&gt;TABLERO!$M$19,GP47&gt;TABLERO!$M$19,B47=0,C47=0,D47=0),2,CUADROACAD!A47)</f>
        <v>2</v>
      </c>
      <c r="GN47" s="3">
        <f>IF(TABLERO!B47="",0,TABLERO!B47)</f>
        <v>17</v>
      </c>
      <c r="GO47" s="3">
        <f>IF(TABLERO!C47="",GN47,TABLERO!C47)</f>
        <v>17</v>
      </c>
      <c r="GP47" s="3">
        <f>IF(TABLERO!D47="",GN47,TABLERO!D47)</f>
        <v>17</v>
      </c>
    </row>
    <row r="48" spans="1:198" s="3" customFormat="1">
      <c r="A48" s="706"/>
      <c r="B48" s="869">
        <v>18</v>
      </c>
      <c r="C48" s="870" t="str">
        <f t="shared" si="15"/>
        <v/>
      </c>
      <c r="D48" s="870" t="str">
        <f t="shared" si="16"/>
        <v/>
      </c>
      <c r="E48" s="871"/>
      <c r="F48" s="872">
        <v>1</v>
      </c>
      <c r="G48" s="716">
        <f t="shared" si="17"/>
        <v>2</v>
      </c>
      <c r="H48" s="873" t="s">
        <v>12</v>
      </c>
      <c r="I48" s="874" t="str">
        <f t="shared" si="18"/>
        <v>CU</v>
      </c>
      <c r="J48" s="875">
        <v>6</v>
      </c>
      <c r="K48" s="876">
        <v>10</v>
      </c>
      <c r="L48" s="876">
        <v>3</v>
      </c>
      <c r="M48" s="877">
        <v>1</v>
      </c>
      <c r="N48" s="877">
        <v>1</v>
      </c>
      <c r="O48" s="878">
        <v>1</v>
      </c>
      <c r="P48" s="879">
        <v>4</v>
      </c>
      <c r="Q48" s="880">
        <v>1</v>
      </c>
      <c r="R48" s="880">
        <v>1</v>
      </c>
      <c r="S48" s="881">
        <v>1</v>
      </c>
      <c r="T48" s="881">
        <v>1</v>
      </c>
      <c r="U48" s="882">
        <v>1</v>
      </c>
      <c r="V48" s="883">
        <v>1</v>
      </c>
      <c r="W48" s="874" t="str">
        <f t="shared" si="19"/>
        <v>SI</v>
      </c>
      <c r="X48" s="884"/>
      <c r="Y48" s="885"/>
      <c r="Z48" s="885"/>
      <c r="AA48" s="885"/>
      <c r="AB48" s="885"/>
      <c r="AC48" s="885"/>
      <c r="AD48" s="885"/>
      <c r="AE48" s="885"/>
      <c r="AF48" s="885"/>
      <c r="AG48" s="885"/>
      <c r="AH48" s="885"/>
      <c r="AI48" s="885"/>
      <c r="AJ48" s="885"/>
      <c r="AK48" s="885"/>
      <c r="AL48" s="885"/>
      <c r="AM48" s="885"/>
      <c r="AN48" s="885"/>
      <c r="AO48" s="885"/>
      <c r="AP48" s="885"/>
      <c r="AQ48" s="885"/>
      <c r="AR48" s="885"/>
      <c r="AS48" s="885"/>
      <c r="AT48" s="885"/>
      <c r="AU48" s="885"/>
      <c r="AV48" s="885"/>
      <c r="AW48" s="885"/>
      <c r="AX48" s="885"/>
      <c r="AY48" s="885"/>
      <c r="AZ48" s="885"/>
      <c r="BA48" s="886"/>
      <c r="BB48" s="887">
        <f t="shared" si="20"/>
        <v>0</v>
      </c>
      <c r="BC48" s="888" t="str">
        <f t="shared" si="21"/>
        <v/>
      </c>
      <c r="BD48" s="889" t="str">
        <f t="shared" si="22"/>
        <v/>
      </c>
      <c r="BE48" s="889" t="str">
        <f t="shared" si="23"/>
        <v/>
      </c>
      <c r="BF48" s="889" t="str">
        <f t="shared" si="24"/>
        <v/>
      </c>
      <c r="BG48" s="889" t="str">
        <f t="shared" si="25"/>
        <v/>
      </c>
      <c r="BH48" s="889" t="str">
        <f t="shared" si="26"/>
        <v/>
      </c>
      <c r="BI48" s="890" t="str">
        <f t="shared" si="27"/>
        <v/>
      </c>
      <c r="BJ48" s="891" t="str">
        <f t="shared" si="28"/>
        <v/>
      </c>
      <c r="BK48" s="892" t="str">
        <f t="shared" si="29"/>
        <v/>
      </c>
      <c r="BL48" s="892" t="str">
        <f t="shared" si="30"/>
        <v/>
      </c>
      <c r="BM48" s="892" t="str">
        <f t="shared" si="31"/>
        <v/>
      </c>
      <c r="BN48" s="892" t="str">
        <f t="shared" si="32"/>
        <v/>
      </c>
      <c r="BO48" s="892" t="str">
        <f t="shared" si="33"/>
        <v/>
      </c>
      <c r="BP48" s="893" t="str">
        <f t="shared" si="34"/>
        <v/>
      </c>
      <c r="BQ48" s="894" t="str">
        <f t="shared" si="35"/>
        <v/>
      </c>
      <c r="BR48" s="895" t="str">
        <f t="shared" si="10"/>
        <v/>
      </c>
      <c r="BS48" s="896" t="str">
        <f t="shared" si="36"/>
        <v/>
      </c>
      <c r="BT48" s="897" t="str">
        <f t="shared" si="37"/>
        <v/>
      </c>
      <c r="BU48" s="231" t="str">
        <f t="shared" si="38"/>
        <v/>
      </c>
      <c r="BV48" s="898">
        <f t="shared" si="39"/>
        <v>127</v>
      </c>
      <c r="BW48" s="845" t="str">
        <f t="shared" si="40"/>
        <v/>
      </c>
      <c r="BX48" s="899" t="str">
        <f t="shared" si="41"/>
        <v/>
      </c>
      <c r="BY48" s="900" t="str" cm="1">
        <f t="array" ref="BY48">[1]!ACAELE_CAPACIDADCABLE(BB48,H48,I48,M48,BX48,N48)</f>
        <v/>
      </c>
      <c r="BZ48" s="900" t="str">
        <f t="shared" si="42"/>
        <v/>
      </c>
      <c r="CA48" s="901" t="str" cm="1">
        <f t="array" ref="CA48">[1]!ACAELE_cabledetierra(BZ48,$N$9,I48,BW48,BX48,G48)</f>
        <v/>
      </c>
      <c r="CB48" s="902" t="str" cm="1">
        <f t="array" ref="CB48">[1]!ACAELE_TAMATUBERIA(BX48,DU48,$N$9,M48,I48)</f>
        <v/>
      </c>
      <c r="CC48" s="846" t="str">
        <f t="shared" si="43"/>
        <v/>
      </c>
      <c r="CD48" s="903" t="str" cm="1">
        <f t="array" ref="CD48">[1]!ACAELE_CAPACIDADCABLE(BB48,H48,I48,M48,CC48,N48)</f>
        <v/>
      </c>
      <c r="CE48" s="903" t="str">
        <f t="shared" si="44"/>
        <v/>
      </c>
      <c r="CF48" s="904" t="str" cm="1">
        <f t="array" ref="CF48">[1]!ACAELE_cabledetierra(CE48,$N$9,I48,BW48,CC48,G48)</f>
        <v/>
      </c>
      <c r="CG48" s="905" t="str" cm="1">
        <f t="array" ref="CG48">[1]!ACAELE_TAMATUBERIA(CC48,EC48,$N$9,S48,I48)</f>
        <v/>
      </c>
      <c r="CH48" s="906" t="str">
        <f t="shared" si="45"/>
        <v/>
      </c>
      <c r="CI48" s="510" t="str">
        <f t="shared" si="46"/>
        <v>-</v>
      </c>
      <c r="CJ48" s="511" t="str">
        <f t="shared" si="47"/>
        <v>-</v>
      </c>
      <c r="CK48" s="512" t="str">
        <f t="shared" si="48"/>
        <v>-</v>
      </c>
      <c r="CL48" s="907" t="str">
        <f t="shared" si="49"/>
        <v>-</v>
      </c>
      <c r="CM48" s="908" t="str">
        <f t="shared" si="50"/>
        <v>-</v>
      </c>
      <c r="CN48" s="909" t="str">
        <f t="shared" si="51"/>
        <v>-</v>
      </c>
      <c r="CO48" s="910" t="str" cm="1">
        <f t="array" ref="CO48">[1]!ACAELE_fasecorresponde(B48,$F$10,$P$5)</f>
        <v>C</v>
      </c>
      <c r="CP48" s="910" t="str" cm="1">
        <f t="array" ref="CP48">[1]!ACAELE_fasecorresponde(C48,$F$10,$P$5)</f>
        <v>-</v>
      </c>
      <c r="CQ48" s="910" t="str" cm="1">
        <f t="array" ref="CQ48">[1]!ACAELE_fasecorresponde(D48,$F$10,$P$5)</f>
        <v>-</v>
      </c>
      <c r="CR48" s="911" t="str">
        <f t="shared" si="52"/>
        <v>C</v>
      </c>
      <c r="CS48" s="912">
        <f t="shared" si="53"/>
        <v>1</v>
      </c>
      <c r="CT48" s="913">
        <f t="shared" si="54"/>
        <v>0.8</v>
      </c>
      <c r="CU48" s="914" t="str">
        <f t="shared" si="55"/>
        <v/>
      </c>
      <c r="CV48" s="915">
        <f t="shared" si="56"/>
        <v>0</v>
      </c>
      <c r="CW48" s="916" t="str" cm="1">
        <f t="array" ref="CW48">[1]!ACAELE_Inominal(BB48,F48,BT48,BV48,DA48,G48,V48,$P$5)</f>
        <v/>
      </c>
      <c r="CX48" s="917" t="str" cm="1">
        <f t="array" ref="CX48">[1]!ACAELE_Disparocalculado(BB48,H48,DL48,$N$21,$M$21,$O$21,BV48,$P$5)</f>
        <v/>
      </c>
      <c r="CY48" s="918" t="str" cm="1">
        <f t="array" ref="CY48">[1]!ACAELE_Icorregida($A$27,H48,BB48,BU48,CS48,CT48,$P$5)</f>
        <v/>
      </c>
      <c r="CZ48" s="919" t="str" cm="1">
        <f t="array" ref="CZ48">[1]!ACAELE_Icorregida2($A$27,H48,BB48,BU48,CS48,CU48,$P$5)</f>
        <v/>
      </c>
      <c r="DA48" s="920">
        <f t="shared" si="57"/>
        <v>0.9</v>
      </c>
      <c r="DB48" s="921">
        <f t="shared" si="58"/>
        <v>0.43588989435406728</v>
      </c>
      <c r="DC48" s="922" t="str" cm="1">
        <f t="array" ref="DC48">[1]!ACAELE_CONDPORTCORRIENTE(H48,BB48,I48,M48,CY48,CZ48,N48,$P$5)</f>
        <v/>
      </c>
      <c r="DD48" s="923" t="str" cm="1">
        <f t="array" ref="DD48">[1]!ACAELE_CAPACONDCORRIENTE(BB48,H48,I48,M48,CY48,CZ48,$P$5)</f>
        <v/>
      </c>
      <c r="DE48" s="923" t="str" cm="1">
        <f t="array" ref="DE48">[1]!ACAELE_CAPACIDADCABLE(BB48,H48,I48,M48,DC48,N48,$P$5)</f>
        <v/>
      </c>
      <c r="DF48" s="924" t="str" cm="1">
        <f t="array" ref="DF48">[1]!ACAELE_encontrarcaida(BB48,H48,L48,BV48,F48,BU48,N48,K48)</f>
        <v/>
      </c>
      <c r="DG48" s="925" t="str" cm="1">
        <f t="array" ref="DG48">[1]!ACAELE_Cablecaida(BB48,H48,M48,I48,DF48)</f>
        <v/>
      </c>
      <c r="DH48" s="918" t="str" cm="1">
        <f t="array" ref="DH48">[1]!ACAELE_CAPACIDADCABLE(BB48,H48,I48,M48,DG48,N48,$P$5)</f>
        <v/>
      </c>
      <c r="DI48" s="926" t="str" cm="1">
        <f t="array" ref="DI48">IF($A$27=1,"",[1]!ACAELE_encontrarcaida(BB48,H48,R48,BV48,F48,BU48,T48,Q48,$P$5))</f>
        <v/>
      </c>
      <c r="DJ48" s="914" t="str" cm="1">
        <f t="array" ref="DJ48">IF($A$27=1,"",[1]!ACAELE_Cablecaida2(BB48,Q48,H48,S48,I48,DI48,$P$5))</f>
        <v/>
      </c>
      <c r="DK48" s="919" t="str" cm="1">
        <f t="array" ref="DK48">[1]!ACAELE_CAPACIDADCABLE(BB48,H48,I48,M48,DJ48,N48,$P$5)</f>
        <v/>
      </c>
      <c r="DL48" s="927" t="str" cm="1">
        <f t="array" ref="DL48">[1]!acaele_Iproteccion(BB48,H48,BU48,$F$20,$G$20,$F$19,$G$19,$H$20,$H$19,$P$5)</f>
        <v/>
      </c>
      <c r="DM48" s="928" cm="1">
        <f t="array" ref="DM48">[1]!acaele_ProtCalculada(CX48,H48,BT48,BW48,$G$21,$F$21,$H$21,$P$5)</f>
        <v>0</v>
      </c>
      <c r="DN48" s="929" t="str" cm="1">
        <f t="array" ref="DN48">[1]!ACAELE_cablecalculo(BB48,H48,I48,M48,EF48,$P$5)</f>
        <v/>
      </c>
      <c r="DO48" s="930" t="str" cm="1">
        <f t="array" ref="DO48">[1]!ACAELE_RESISTENCIA(BB48,H48,M48,I48,BX48, CW48,$P$5)</f>
        <v/>
      </c>
      <c r="DP48" s="931" t="str" cm="1">
        <f t="array" ref="DP48">[1]!ACAELE_REACTANCIA(BB48,H48,$F$11,M48,I48,BX48,$P$5)</f>
        <v/>
      </c>
      <c r="DQ48" s="918" t="str" cm="1">
        <f t="array" ref="DQ48">[1]!ACAELE_DIAMECAISLA(BB48,H48,I48,BX48,$P$5)</f>
        <v/>
      </c>
      <c r="DR48" s="918" t="str" cm="1">
        <f t="array" ref="DR48">[1]!ACAELE_AREACAISLAMIENTO(BB48,H48,DQ48,$P$5)</f>
        <v/>
      </c>
      <c r="DS48" s="918" t="str" cm="1">
        <f t="array" ref="DS48">[1]!ACAELE_CAIDAVOLTSFINAL(BB48,H48,F48,K48,BU48,N48,DO48,DA48,DP48,DB48,$P$5)</f>
        <v/>
      </c>
      <c r="DT48" s="918" t="str" cm="1">
        <f t="array" ref="DT48">[1]!ACAELE_AREACONDPTE(BB48,H48,CA48,$P$5)</f>
        <v/>
      </c>
      <c r="DU48" s="932" t="str" cm="1">
        <f t="array" ref="DU48">[1]!ACAELE_AREATOTAL(BZ48,M48,EO48,N48,DQ48,G48,DR48,DT48,N$20,$P$5)</f>
        <v/>
      </c>
      <c r="DV48" s="933" t="str" cm="1">
        <f t="array" ref="DV48">IF($A$27=1,"",[1]!ACAELE_cablecalculo(BB48,H48,I48,M48,EG48,$P$5))</f>
        <v/>
      </c>
      <c r="DW48" s="934" t="str" cm="1">
        <f t="array" ref="DW48">IF($A$27=1,"",[1]!ACAELE_RESISTENCIA(BB48,H48,M48,I48,CC48,CW48,$P$5))</f>
        <v/>
      </c>
      <c r="DX48" s="926" t="str" cm="1">
        <f t="array" ref="DX48">IF($A$27=1,"",[1]!ACAELE_REACTANCIA(BB48,H48,$F$11,M48,I48,CC48,$P$5))</f>
        <v/>
      </c>
      <c r="DY48" s="935" t="str" cm="1">
        <f t="array" ref="DY48">IF($A$27=1,"",[1]!ACAELE_DIAMECAISLA(BB48,H48,I48,CC48,$P$5))</f>
        <v/>
      </c>
      <c r="DZ48" s="935" t="str" cm="1">
        <f t="array" ref="DZ48">IF($A$27=1,"",[1]!ACAELE_AREACAISLAMIENTO(BB48,H48,DY48,$P$5))</f>
        <v/>
      </c>
      <c r="EA48" s="935" t="str" cm="1">
        <f t="array" ref="EA48">[1]!ACAELE_CAIDAVOLTSFINAL2(BB48,Q48,H48,F48,$A$27,BU48,T48,DW48,DA48,DX48,DB48)</f>
        <v/>
      </c>
      <c r="EB48" s="935" t="str" cm="1">
        <f t="array" ref="EB48">IF($A$27=1,"",[1]!ACAELE_AREACONDPTE(BB48,H48,CF48,$P$5))</f>
        <v/>
      </c>
      <c r="EC48" s="936" t="str" cm="1">
        <f t="array" ref="EC48">[1]!ACAELE_AREATOTAL2(H48,$A$27,DY48,S48,G48,T48,DZ48,U48,EB48)</f>
        <v/>
      </c>
      <c r="ED48" s="937" t="str">
        <f t="shared" si="59"/>
        <v/>
      </c>
      <c r="EE48" s="938" t="str">
        <f t="shared" si="60"/>
        <v/>
      </c>
      <c r="EF48" s="939" t="str">
        <f t="shared" si="61"/>
        <v/>
      </c>
      <c r="EG48" s="940">
        <f t="shared" si="62"/>
        <v>0</v>
      </c>
      <c r="EH48" s="941" t="str">
        <f t="shared" si="63"/>
        <v/>
      </c>
      <c r="EI48" s="942">
        <f t="shared" si="64"/>
        <v>30</v>
      </c>
      <c r="EJ48" s="943" t="str">
        <f t="shared" si="11"/>
        <v/>
      </c>
      <c r="EK48" s="943" t="str">
        <f t="shared" si="12"/>
        <v/>
      </c>
      <c r="EL48" s="943" t="str">
        <f t="shared" si="13"/>
        <v/>
      </c>
      <c r="EM48" s="944" t="str">
        <f t="shared" si="14"/>
        <v/>
      </c>
      <c r="EN48" s="945" t="str" cm="1">
        <f t="array" ref="EN48">[1]!ACAELE_MOTOR(H48,X48:BA48,$X$26:$BA$26,$P$5)</f>
        <v/>
      </c>
      <c r="EO48" s="550" t="str">
        <f t="shared" si="65"/>
        <v/>
      </c>
      <c r="EP48" s="431" t="s">
        <v>1214</v>
      </c>
      <c r="EQ48" s="434" t="str">
        <f t="shared" ca="1" si="66"/>
        <v/>
      </c>
      <c r="ER48" s="32"/>
      <c r="ES48" s="32"/>
      <c r="ET48" s="3" t="str">
        <f t="shared" si="67"/>
        <v/>
      </c>
      <c r="EU48" s="3" t="str">
        <f t="shared" si="68"/>
        <v/>
      </c>
      <c r="EV48" s="3" t="str">
        <f t="shared" si="69"/>
        <v/>
      </c>
      <c r="EW48" s="3" t="str">
        <f t="shared" si="70"/>
        <v/>
      </c>
      <c r="EX48" s="3" t="str">
        <f t="shared" si="71"/>
        <v/>
      </c>
      <c r="EY48" s="3" t="str">
        <f t="shared" si="72"/>
        <v/>
      </c>
      <c r="EZ48" s="3" t="str">
        <f t="shared" si="73"/>
        <v/>
      </c>
      <c r="FA48" s="3" t="str">
        <f t="shared" si="74"/>
        <v/>
      </c>
      <c r="FB48" s="3" t="str">
        <f t="shared" si="75"/>
        <v/>
      </c>
      <c r="FC48" s="3">
        <f t="shared" si="76"/>
        <v>0</v>
      </c>
      <c r="FD48" s="32"/>
      <c r="FE48" s="32"/>
      <c r="FF48" s="103">
        <v>1</v>
      </c>
      <c r="FG48" s="32"/>
      <c r="FH48" s="103"/>
      <c r="FI48" s="32"/>
      <c r="FJ48" s="103"/>
      <c r="FK48" s="3">
        <f t="shared" si="77"/>
        <v>0</v>
      </c>
      <c r="FL48" s="3" t="str" cm="1">
        <f t="array" aca="1" ref="FL48" ca="1">[1]!acaele_DIB_UNIFILAR(BB48,H48,F48,COUNTIF(X48:BA48,1),BW48)</f>
        <v/>
      </c>
      <c r="FM48" s="3" t="str">
        <f>IF(DATOS!$T$4=0,"",IF(DATOS!$T$4=1," (QO)",IF(DATOS!$T$4=2," (QOB)",IF(DATOS!$T$4=3," (EDB)",IF(DATOS!$T$4=4,IF(BW48&lt;151," (H"&amp;FN48&amp;")",IF(BW48&lt;251," (J"&amp;FN48&amp;")", IF(BW48&lt;401," (LA)",IF(BW48&lt;801," (MG)",IF(BW48&lt;5001," (POWERPACK)",""))))))))))</f>
        <v xml:space="preserve"> (QOB)</v>
      </c>
      <c r="FN48" s="3" t="str">
        <f t="shared" si="78"/>
        <v/>
      </c>
      <c r="FO48" s="146"/>
      <c r="FP48" s="146"/>
      <c r="FQ48" s="146"/>
      <c r="FR48" s="146"/>
      <c r="FS48" s="146"/>
      <c r="FT48" s="146"/>
      <c r="FU48" s="146"/>
      <c r="FV48" s="146"/>
      <c r="FW48" s="146"/>
      <c r="FX48" s="146" t="str">
        <f t="shared" si="9"/>
        <v/>
      </c>
      <c r="FY48" s="736"/>
      <c r="FZ48" s="740"/>
      <c r="GA48" s="740"/>
      <c r="GB48" s="717"/>
      <c r="GC48" s="838"/>
      <c r="GD48" s="736"/>
      <c r="GE48" s="146"/>
      <c r="GF48" s="506"/>
      <c r="GG48" s="506"/>
      <c r="GH48" s="506"/>
      <c r="GI48" s="506"/>
      <c r="GJ48" s="506"/>
      <c r="GM48" s="3">
        <f>IF(OR(GN48&gt;TABLERO!$M$19,GO48&gt;TABLERO!$M$19,GP48&gt;TABLERO!$M$19,B48=0,C48=0,D48=0),2,CUADROACAD!A48)</f>
        <v>2</v>
      </c>
      <c r="GN48" s="3">
        <f>IF(TABLERO!B48="",0,TABLERO!B48)</f>
        <v>18</v>
      </c>
      <c r="GO48" s="3">
        <f>IF(TABLERO!C48="",GN48,TABLERO!C48)</f>
        <v>18</v>
      </c>
      <c r="GP48" s="3">
        <f>IF(TABLERO!D48="",GN48,TABLERO!D48)</f>
        <v>18</v>
      </c>
    </row>
    <row r="49" spans="1:198" s="3" customFormat="1">
      <c r="A49" s="706"/>
      <c r="B49" s="869">
        <v>19</v>
      </c>
      <c r="C49" s="870" t="str">
        <f t="shared" si="15"/>
        <v/>
      </c>
      <c r="D49" s="870" t="str">
        <f t="shared" si="16"/>
        <v/>
      </c>
      <c r="E49" s="871"/>
      <c r="F49" s="872">
        <v>1</v>
      </c>
      <c r="G49" s="716">
        <f t="shared" si="17"/>
        <v>2</v>
      </c>
      <c r="H49" s="873" t="s">
        <v>12</v>
      </c>
      <c r="I49" s="874" t="str">
        <f t="shared" si="18"/>
        <v>CU</v>
      </c>
      <c r="J49" s="875">
        <v>6</v>
      </c>
      <c r="K49" s="876">
        <v>10</v>
      </c>
      <c r="L49" s="876">
        <v>3</v>
      </c>
      <c r="M49" s="877">
        <v>1</v>
      </c>
      <c r="N49" s="877">
        <v>1</v>
      </c>
      <c r="O49" s="878">
        <v>1</v>
      </c>
      <c r="P49" s="879">
        <v>4</v>
      </c>
      <c r="Q49" s="880">
        <v>1</v>
      </c>
      <c r="R49" s="880">
        <v>1</v>
      </c>
      <c r="S49" s="881">
        <v>1</v>
      </c>
      <c r="T49" s="881">
        <v>1</v>
      </c>
      <c r="U49" s="882">
        <v>1</v>
      </c>
      <c r="V49" s="883">
        <v>1</v>
      </c>
      <c r="W49" s="874" t="str">
        <f t="shared" si="19"/>
        <v>SI</v>
      </c>
      <c r="X49" s="884"/>
      <c r="Y49" s="885"/>
      <c r="Z49" s="885"/>
      <c r="AA49" s="885"/>
      <c r="AB49" s="885"/>
      <c r="AC49" s="885"/>
      <c r="AD49" s="885"/>
      <c r="AE49" s="885"/>
      <c r="AF49" s="885"/>
      <c r="AG49" s="885"/>
      <c r="AH49" s="885"/>
      <c r="AI49" s="885"/>
      <c r="AJ49" s="885"/>
      <c r="AK49" s="885"/>
      <c r="AL49" s="885"/>
      <c r="AM49" s="885"/>
      <c r="AN49" s="885"/>
      <c r="AO49" s="885"/>
      <c r="AP49" s="885"/>
      <c r="AQ49" s="885"/>
      <c r="AR49" s="885"/>
      <c r="AS49" s="885"/>
      <c r="AT49" s="885"/>
      <c r="AU49" s="885"/>
      <c r="AV49" s="885"/>
      <c r="AW49" s="885"/>
      <c r="AX49" s="885"/>
      <c r="AY49" s="885"/>
      <c r="AZ49" s="885"/>
      <c r="BA49" s="886"/>
      <c r="BB49" s="887">
        <f t="shared" si="20"/>
        <v>0</v>
      </c>
      <c r="BC49" s="888" t="str">
        <f t="shared" si="21"/>
        <v/>
      </c>
      <c r="BD49" s="889" t="str">
        <f t="shared" si="22"/>
        <v/>
      </c>
      <c r="BE49" s="889" t="str">
        <f t="shared" si="23"/>
        <v/>
      </c>
      <c r="BF49" s="889" t="str">
        <f t="shared" si="24"/>
        <v/>
      </c>
      <c r="BG49" s="889" t="str">
        <f t="shared" si="25"/>
        <v/>
      </c>
      <c r="BH49" s="889" t="str">
        <f t="shared" si="26"/>
        <v/>
      </c>
      <c r="BI49" s="890" t="str">
        <f t="shared" si="27"/>
        <v/>
      </c>
      <c r="BJ49" s="891" t="str">
        <f t="shared" si="28"/>
        <v/>
      </c>
      <c r="BK49" s="892" t="str">
        <f t="shared" si="29"/>
        <v/>
      </c>
      <c r="BL49" s="892" t="str">
        <f t="shared" si="30"/>
        <v/>
      </c>
      <c r="BM49" s="892" t="str">
        <f t="shared" si="31"/>
        <v/>
      </c>
      <c r="BN49" s="892" t="str">
        <f t="shared" si="32"/>
        <v/>
      </c>
      <c r="BO49" s="892" t="str">
        <f t="shared" si="33"/>
        <v/>
      </c>
      <c r="BP49" s="893" t="str">
        <f t="shared" si="34"/>
        <v/>
      </c>
      <c r="BQ49" s="894" t="str">
        <f t="shared" si="35"/>
        <v/>
      </c>
      <c r="BR49" s="895" t="str">
        <f t="shared" si="10"/>
        <v/>
      </c>
      <c r="BS49" s="896" t="str">
        <f t="shared" si="36"/>
        <v/>
      </c>
      <c r="BT49" s="897" t="str">
        <f t="shared" si="37"/>
        <v/>
      </c>
      <c r="BU49" s="231" t="str">
        <f t="shared" si="38"/>
        <v/>
      </c>
      <c r="BV49" s="898">
        <f t="shared" si="39"/>
        <v>127</v>
      </c>
      <c r="BW49" s="845" t="str">
        <f t="shared" si="40"/>
        <v/>
      </c>
      <c r="BX49" s="899" t="str">
        <f t="shared" si="41"/>
        <v/>
      </c>
      <c r="BY49" s="900" t="str" cm="1">
        <f t="array" ref="BY49">[1]!ACAELE_CAPACIDADCABLE(BB49,H49,I49,M49,BX49,N49)</f>
        <v/>
      </c>
      <c r="BZ49" s="900" t="str">
        <f t="shared" si="42"/>
        <v/>
      </c>
      <c r="CA49" s="901" t="str" cm="1">
        <f t="array" ref="CA49">[1]!ACAELE_cabledetierra(BZ49,$N$9,I49,BW49,BX49,G49)</f>
        <v/>
      </c>
      <c r="CB49" s="902" t="str" cm="1">
        <f t="array" ref="CB49">[1]!ACAELE_TAMATUBERIA(BX49,DU49,$N$9,M49,I49)</f>
        <v/>
      </c>
      <c r="CC49" s="846" t="str">
        <f t="shared" si="43"/>
        <v/>
      </c>
      <c r="CD49" s="903" t="str" cm="1">
        <f t="array" ref="CD49">[1]!ACAELE_CAPACIDADCABLE(BB49,H49,I49,M49,CC49,N49)</f>
        <v/>
      </c>
      <c r="CE49" s="903" t="str">
        <f t="shared" si="44"/>
        <v/>
      </c>
      <c r="CF49" s="904" t="str" cm="1">
        <f t="array" ref="CF49">[1]!ACAELE_cabledetierra(CE49,$N$9,I49,BW49,CC49,G49)</f>
        <v/>
      </c>
      <c r="CG49" s="905" t="str" cm="1">
        <f t="array" ref="CG49">[1]!ACAELE_TAMATUBERIA(CC49,EC49,$N$9,S49,I49)</f>
        <v/>
      </c>
      <c r="CH49" s="906" t="str">
        <f t="shared" si="45"/>
        <v/>
      </c>
      <c r="CI49" s="510" t="str">
        <f t="shared" si="46"/>
        <v>-</v>
      </c>
      <c r="CJ49" s="511" t="str">
        <f t="shared" si="47"/>
        <v>-</v>
      </c>
      <c r="CK49" s="512" t="str">
        <f t="shared" si="48"/>
        <v>-</v>
      </c>
      <c r="CL49" s="907" t="str">
        <f t="shared" si="49"/>
        <v>-</v>
      </c>
      <c r="CM49" s="908" t="str">
        <f t="shared" si="50"/>
        <v>-</v>
      </c>
      <c r="CN49" s="909" t="str">
        <f t="shared" si="51"/>
        <v>-</v>
      </c>
      <c r="CO49" s="910" t="str" cm="1">
        <f t="array" ref="CO49">[1]!ACAELE_fasecorresponde(B49,$F$10,$P$5)</f>
        <v>A</v>
      </c>
      <c r="CP49" s="910" t="str" cm="1">
        <f t="array" ref="CP49">[1]!ACAELE_fasecorresponde(C49,$F$10,$P$5)</f>
        <v>-</v>
      </c>
      <c r="CQ49" s="910" t="str" cm="1">
        <f t="array" ref="CQ49">[1]!ACAELE_fasecorresponde(D49,$F$10,$P$5)</f>
        <v>-</v>
      </c>
      <c r="CR49" s="911" t="str">
        <f t="shared" si="52"/>
        <v>C</v>
      </c>
      <c r="CS49" s="912">
        <f t="shared" si="53"/>
        <v>1</v>
      </c>
      <c r="CT49" s="913">
        <f t="shared" si="54"/>
        <v>0.8</v>
      </c>
      <c r="CU49" s="914" t="str">
        <f t="shared" si="55"/>
        <v/>
      </c>
      <c r="CV49" s="915">
        <f t="shared" si="56"/>
        <v>0</v>
      </c>
      <c r="CW49" s="916" t="str" cm="1">
        <f t="array" ref="CW49">[1]!ACAELE_Inominal(BB49,F49,BT49,BV49,DA49,G49,V49,$P$5)</f>
        <v/>
      </c>
      <c r="CX49" s="917" t="str" cm="1">
        <f t="array" ref="CX49">[1]!ACAELE_Disparocalculado(BB49,H49,DL49,$N$21,$M$21,$O$21,BV49,$P$5)</f>
        <v/>
      </c>
      <c r="CY49" s="918" t="str" cm="1">
        <f t="array" ref="CY49">[1]!ACAELE_Icorregida($A$27,H49,BB49,BU49,CS49,CT49,$P$5)</f>
        <v/>
      </c>
      <c r="CZ49" s="919" t="str" cm="1">
        <f t="array" ref="CZ49">[1]!ACAELE_Icorregida2($A$27,H49,BB49,BU49,CS49,CU49,$P$5)</f>
        <v/>
      </c>
      <c r="DA49" s="920">
        <f t="shared" si="57"/>
        <v>0.9</v>
      </c>
      <c r="DB49" s="921">
        <f t="shared" si="58"/>
        <v>0.43588989435406728</v>
      </c>
      <c r="DC49" s="922" t="str" cm="1">
        <f t="array" ref="DC49">[1]!ACAELE_CONDPORTCORRIENTE(H49,BB49,I49,M49,CY49,CZ49,N49,$P$5)</f>
        <v/>
      </c>
      <c r="DD49" s="923" t="str" cm="1">
        <f t="array" ref="DD49">[1]!ACAELE_CAPACONDCORRIENTE(BB49,H49,I49,M49,CY49,CZ49,$P$5)</f>
        <v/>
      </c>
      <c r="DE49" s="923" t="str" cm="1">
        <f t="array" ref="DE49">[1]!ACAELE_CAPACIDADCABLE(BB49,H49,I49,M49,DC49,N49,$P$5)</f>
        <v/>
      </c>
      <c r="DF49" s="924" t="str" cm="1">
        <f t="array" ref="DF49">[1]!ACAELE_encontrarcaida(BB49,H49,L49,BV49,F49,BU49,N49,K49)</f>
        <v/>
      </c>
      <c r="DG49" s="925" t="str" cm="1">
        <f t="array" ref="DG49">[1]!ACAELE_Cablecaida(BB49,H49,M49,I49,DF49)</f>
        <v/>
      </c>
      <c r="DH49" s="918" t="str" cm="1">
        <f t="array" ref="DH49">[1]!ACAELE_CAPACIDADCABLE(BB49,H49,I49,M49,DG49,N49,$P$5)</f>
        <v/>
      </c>
      <c r="DI49" s="926" t="str" cm="1">
        <f t="array" ref="DI49">IF($A$27=1,"",[1]!ACAELE_encontrarcaida(BB49,H49,R49,BV49,F49,BU49,T49,Q49,$P$5))</f>
        <v/>
      </c>
      <c r="DJ49" s="914" t="str" cm="1">
        <f t="array" ref="DJ49">IF($A$27=1,"",[1]!ACAELE_Cablecaida2(BB49,Q49,H49,S49,I49,DI49,$P$5))</f>
        <v/>
      </c>
      <c r="DK49" s="919" t="str" cm="1">
        <f t="array" ref="DK49">[1]!ACAELE_CAPACIDADCABLE(BB49,H49,I49,M49,DJ49,N49,$P$5)</f>
        <v/>
      </c>
      <c r="DL49" s="927" t="str" cm="1">
        <f t="array" ref="DL49">[1]!acaele_Iproteccion(BB49,H49,BU49,$F$20,$G$20,$F$19,$G$19,$H$20,$H$19,$P$5)</f>
        <v/>
      </c>
      <c r="DM49" s="928" cm="1">
        <f t="array" ref="DM49">[1]!acaele_ProtCalculada(CX49,H49,BT49,BW49,$G$21,$F$21,$H$21,$P$5)</f>
        <v>0</v>
      </c>
      <c r="DN49" s="929" t="str" cm="1">
        <f t="array" ref="DN49">[1]!ACAELE_cablecalculo(BB49,H49,I49,M49,EF49,$P$5)</f>
        <v/>
      </c>
      <c r="DO49" s="930" t="str" cm="1">
        <f t="array" ref="DO49">[1]!ACAELE_RESISTENCIA(BB49,H49,M49,I49,BX49, CW49,$P$5)</f>
        <v/>
      </c>
      <c r="DP49" s="931" t="str" cm="1">
        <f t="array" ref="DP49">[1]!ACAELE_REACTANCIA(BB49,H49,$F$11,M49,I49,BX49,$P$5)</f>
        <v/>
      </c>
      <c r="DQ49" s="918" t="str" cm="1">
        <f t="array" ref="DQ49">[1]!ACAELE_DIAMECAISLA(BB49,H49,I49,BX49,$P$5)</f>
        <v/>
      </c>
      <c r="DR49" s="918" t="str" cm="1">
        <f t="array" ref="DR49">[1]!ACAELE_AREACAISLAMIENTO(BB49,H49,DQ49,$P$5)</f>
        <v/>
      </c>
      <c r="DS49" s="918" t="str" cm="1">
        <f t="array" ref="DS49">[1]!ACAELE_CAIDAVOLTSFINAL(BB49,H49,F49,K49,BU49,N49,DO49,DA49,DP49,DB49,$P$5)</f>
        <v/>
      </c>
      <c r="DT49" s="918" t="str" cm="1">
        <f t="array" ref="DT49">[1]!ACAELE_AREACONDPTE(BB49,H49,CA49,$P$5)</f>
        <v/>
      </c>
      <c r="DU49" s="932" t="str" cm="1">
        <f t="array" ref="DU49">[1]!ACAELE_AREATOTAL(BZ49,M49,EO49,N49,DQ49,G49,DR49,DT49,N$20,$P$5)</f>
        <v/>
      </c>
      <c r="DV49" s="933" t="str" cm="1">
        <f t="array" ref="DV49">IF($A$27=1,"",[1]!ACAELE_cablecalculo(BB49,H49,I49,M49,EG49,$P$5))</f>
        <v/>
      </c>
      <c r="DW49" s="934" t="str" cm="1">
        <f t="array" ref="DW49">IF($A$27=1,"",[1]!ACAELE_RESISTENCIA(BB49,H49,M49,I49,CC49,CW49,$P$5))</f>
        <v/>
      </c>
      <c r="DX49" s="926" t="str" cm="1">
        <f t="array" ref="DX49">IF($A$27=1,"",[1]!ACAELE_REACTANCIA(BB49,H49,$F$11,M49,I49,CC49,$P$5))</f>
        <v/>
      </c>
      <c r="DY49" s="935" t="str" cm="1">
        <f t="array" ref="DY49">IF($A$27=1,"",[1]!ACAELE_DIAMECAISLA(BB49,H49,I49,CC49,$P$5))</f>
        <v/>
      </c>
      <c r="DZ49" s="935" t="str" cm="1">
        <f t="array" ref="DZ49">IF($A$27=1,"",[1]!ACAELE_AREACAISLAMIENTO(BB49,H49,DY49,$P$5))</f>
        <v/>
      </c>
      <c r="EA49" s="935" t="str" cm="1">
        <f t="array" ref="EA49">[1]!ACAELE_CAIDAVOLTSFINAL2(BB49,Q49,H49,F49,$A$27,BU49,T49,DW49,DA49,DX49,DB49)</f>
        <v/>
      </c>
      <c r="EB49" s="935" t="str" cm="1">
        <f t="array" ref="EB49">IF($A$27=1,"",[1]!ACAELE_AREACONDPTE(BB49,H49,CF49,$P$5))</f>
        <v/>
      </c>
      <c r="EC49" s="936" t="str" cm="1">
        <f t="array" ref="EC49">[1]!ACAELE_AREATOTAL2(H49,$A$27,DY49,S49,G49,T49,DZ49,U49,EB49)</f>
        <v/>
      </c>
      <c r="ED49" s="937" t="str">
        <f t="shared" si="59"/>
        <v/>
      </c>
      <c r="EE49" s="938" t="str">
        <f t="shared" si="60"/>
        <v/>
      </c>
      <c r="EF49" s="939" t="str">
        <f t="shared" si="61"/>
        <v/>
      </c>
      <c r="EG49" s="940">
        <f t="shared" si="62"/>
        <v>0</v>
      </c>
      <c r="EH49" s="941" t="str">
        <f t="shared" si="63"/>
        <v/>
      </c>
      <c r="EI49" s="942">
        <f t="shared" si="64"/>
        <v>30</v>
      </c>
      <c r="EJ49" s="943" t="str">
        <f t="shared" si="11"/>
        <v/>
      </c>
      <c r="EK49" s="943" t="str">
        <f t="shared" si="12"/>
        <v/>
      </c>
      <c r="EL49" s="943" t="str">
        <f t="shared" si="13"/>
        <v/>
      </c>
      <c r="EM49" s="944" t="str">
        <f t="shared" si="14"/>
        <v/>
      </c>
      <c r="EN49" s="945" t="str" cm="1">
        <f t="array" ref="EN49">[1]!ACAELE_MOTOR(H49,X49:BA49,$X$26:$BA$26,$P$5)</f>
        <v/>
      </c>
      <c r="EO49" s="550" t="str">
        <f t="shared" si="65"/>
        <v/>
      </c>
      <c r="EP49" s="431" t="s">
        <v>1214</v>
      </c>
      <c r="EQ49" s="434" t="str">
        <f t="shared" ca="1" si="66"/>
        <v/>
      </c>
      <c r="ER49" s="32"/>
      <c r="ES49" s="32"/>
      <c r="ET49" s="3" t="str">
        <f t="shared" si="67"/>
        <v/>
      </c>
      <c r="EU49" s="3" t="str">
        <f t="shared" si="68"/>
        <v/>
      </c>
      <c r="EV49" s="3" t="str">
        <f t="shared" si="69"/>
        <v/>
      </c>
      <c r="EW49" s="3" t="str">
        <f t="shared" si="70"/>
        <v/>
      </c>
      <c r="EX49" s="3" t="str">
        <f t="shared" si="71"/>
        <v/>
      </c>
      <c r="EY49" s="3" t="str">
        <f t="shared" si="72"/>
        <v/>
      </c>
      <c r="EZ49" s="3" t="str">
        <f t="shared" si="73"/>
        <v/>
      </c>
      <c r="FA49" s="3" t="str">
        <f t="shared" si="74"/>
        <v/>
      </c>
      <c r="FB49" s="3" t="str">
        <f t="shared" si="75"/>
        <v/>
      </c>
      <c r="FC49" s="3">
        <f t="shared" si="76"/>
        <v>0</v>
      </c>
      <c r="FD49" s="32"/>
      <c r="FE49" s="32"/>
      <c r="FF49" s="103">
        <v>1</v>
      </c>
      <c r="FG49" s="32"/>
      <c r="FH49" s="103"/>
      <c r="FI49" s="32"/>
      <c r="FJ49" s="103"/>
      <c r="FK49" s="3">
        <f t="shared" si="77"/>
        <v>0</v>
      </c>
      <c r="FL49" s="3" t="str" cm="1">
        <f t="array" aca="1" ref="FL49" ca="1">[1]!acaele_DIB_UNIFILAR(BB49,H49,F49,COUNTIF(X49:BA49,1),BW49)</f>
        <v/>
      </c>
      <c r="FM49" s="3" t="str">
        <f>IF(DATOS!$T$4=0,"",IF(DATOS!$T$4=1," (QO)",IF(DATOS!$T$4=2," (QOB)",IF(DATOS!$T$4=3," (EDB)",IF(DATOS!$T$4=4,IF(BW49&lt;151," (H"&amp;FN49&amp;")",IF(BW49&lt;251," (J"&amp;FN49&amp;")", IF(BW49&lt;401," (LA)",IF(BW49&lt;801," (MG)",IF(BW49&lt;5001," (POWERPACK)",""))))))))))</f>
        <v xml:space="preserve"> (QOB)</v>
      </c>
      <c r="FN49" s="3" t="str">
        <f t="shared" si="78"/>
        <v/>
      </c>
      <c r="FO49" s="146"/>
      <c r="FP49" s="146"/>
      <c r="FQ49" s="146"/>
      <c r="FR49" s="146"/>
      <c r="FS49" s="146"/>
      <c r="FT49" s="146"/>
      <c r="FU49" s="146"/>
      <c r="FV49" s="146"/>
      <c r="FW49" s="146"/>
      <c r="FX49" s="146" t="str">
        <f t="shared" si="9"/>
        <v/>
      </c>
      <c r="FY49" s="736"/>
      <c r="FZ49" s="740"/>
      <c r="GA49" s="740"/>
      <c r="GB49" s="717"/>
      <c r="GC49" s="838"/>
      <c r="GD49" s="736"/>
      <c r="GE49" s="146"/>
      <c r="GF49" s="506"/>
      <c r="GG49" s="506"/>
      <c r="GH49" s="506"/>
      <c r="GI49" s="506"/>
      <c r="GJ49" s="506"/>
      <c r="GM49" s="3">
        <f>IF(OR(GN49&gt;TABLERO!$M$19,GO49&gt;TABLERO!$M$19,GP49&gt;TABLERO!$M$19,B49=0,C49=0,D49=0),2,CUADROACAD!A49)</f>
        <v>2</v>
      </c>
      <c r="GN49" s="3">
        <f>IF(TABLERO!B49="",0,TABLERO!B49)</f>
        <v>19</v>
      </c>
      <c r="GO49" s="3">
        <f>IF(TABLERO!C49="",GN49,TABLERO!C49)</f>
        <v>19</v>
      </c>
      <c r="GP49" s="3">
        <f>IF(TABLERO!D49="",GN49,TABLERO!D49)</f>
        <v>19</v>
      </c>
    </row>
    <row r="50" spans="1:198" s="3" customFormat="1">
      <c r="A50" s="706"/>
      <c r="B50" s="869">
        <v>20</v>
      </c>
      <c r="C50" s="870" t="str">
        <f t="shared" si="15"/>
        <v/>
      </c>
      <c r="D50" s="870" t="str">
        <f t="shared" si="16"/>
        <v/>
      </c>
      <c r="E50" s="871"/>
      <c r="F50" s="872">
        <v>1</v>
      </c>
      <c r="G50" s="716">
        <f t="shared" si="17"/>
        <v>2</v>
      </c>
      <c r="H50" s="873" t="s">
        <v>12</v>
      </c>
      <c r="I50" s="874" t="str">
        <f t="shared" si="18"/>
        <v>CU</v>
      </c>
      <c r="J50" s="875">
        <v>6</v>
      </c>
      <c r="K50" s="876">
        <v>10</v>
      </c>
      <c r="L50" s="876">
        <v>3</v>
      </c>
      <c r="M50" s="877">
        <v>1</v>
      </c>
      <c r="N50" s="877">
        <v>1</v>
      </c>
      <c r="O50" s="878">
        <v>1</v>
      </c>
      <c r="P50" s="879">
        <v>4</v>
      </c>
      <c r="Q50" s="880">
        <v>1</v>
      </c>
      <c r="R50" s="880">
        <v>1</v>
      </c>
      <c r="S50" s="881">
        <v>1</v>
      </c>
      <c r="T50" s="881">
        <v>1</v>
      </c>
      <c r="U50" s="882">
        <v>1</v>
      </c>
      <c r="V50" s="883">
        <v>1</v>
      </c>
      <c r="W50" s="874" t="str">
        <f t="shared" si="19"/>
        <v>SI</v>
      </c>
      <c r="X50" s="884"/>
      <c r="Y50" s="885"/>
      <c r="Z50" s="885"/>
      <c r="AA50" s="885"/>
      <c r="AB50" s="885"/>
      <c r="AC50" s="885"/>
      <c r="AD50" s="885"/>
      <c r="AE50" s="885"/>
      <c r="AF50" s="885"/>
      <c r="AG50" s="885"/>
      <c r="AH50" s="885"/>
      <c r="AI50" s="885"/>
      <c r="AJ50" s="885"/>
      <c r="AK50" s="885"/>
      <c r="AL50" s="885"/>
      <c r="AM50" s="885"/>
      <c r="AN50" s="885"/>
      <c r="AO50" s="885"/>
      <c r="AP50" s="885"/>
      <c r="AQ50" s="885"/>
      <c r="AR50" s="885"/>
      <c r="AS50" s="885"/>
      <c r="AT50" s="885"/>
      <c r="AU50" s="885"/>
      <c r="AV50" s="885"/>
      <c r="AW50" s="885"/>
      <c r="AX50" s="885"/>
      <c r="AY50" s="885"/>
      <c r="AZ50" s="885"/>
      <c r="BA50" s="886"/>
      <c r="BB50" s="887">
        <f t="shared" si="20"/>
        <v>0</v>
      </c>
      <c r="BC50" s="888" t="str">
        <f t="shared" si="21"/>
        <v/>
      </c>
      <c r="BD50" s="889" t="str">
        <f t="shared" si="22"/>
        <v/>
      </c>
      <c r="BE50" s="889" t="str">
        <f t="shared" si="23"/>
        <v/>
      </c>
      <c r="BF50" s="889" t="str">
        <f t="shared" si="24"/>
        <v/>
      </c>
      <c r="BG50" s="889" t="str">
        <f t="shared" si="25"/>
        <v/>
      </c>
      <c r="BH50" s="889" t="str">
        <f t="shared" si="26"/>
        <v/>
      </c>
      <c r="BI50" s="890" t="str">
        <f t="shared" si="27"/>
        <v/>
      </c>
      <c r="BJ50" s="891" t="str">
        <f t="shared" si="28"/>
        <v/>
      </c>
      <c r="BK50" s="892" t="str">
        <f t="shared" si="29"/>
        <v/>
      </c>
      <c r="BL50" s="892" t="str">
        <f t="shared" si="30"/>
        <v/>
      </c>
      <c r="BM50" s="892" t="str">
        <f t="shared" si="31"/>
        <v/>
      </c>
      <c r="BN50" s="892" t="str">
        <f t="shared" si="32"/>
        <v/>
      </c>
      <c r="BO50" s="892" t="str">
        <f t="shared" si="33"/>
        <v/>
      </c>
      <c r="BP50" s="893" t="str">
        <f t="shared" si="34"/>
        <v/>
      </c>
      <c r="BQ50" s="894" t="str">
        <f t="shared" si="35"/>
        <v/>
      </c>
      <c r="BR50" s="895" t="str">
        <f t="shared" si="10"/>
        <v/>
      </c>
      <c r="BS50" s="896" t="str">
        <f t="shared" si="36"/>
        <v/>
      </c>
      <c r="BT50" s="897" t="str">
        <f t="shared" si="37"/>
        <v/>
      </c>
      <c r="BU50" s="231" t="str">
        <f t="shared" si="38"/>
        <v/>
      </c>
      <c r="BV50" s="898">
        <f t="shared" si="39"/>
        <v>127</v>
      </c>
      <c r="BW50" s="845" t="str">
        <f t="shared" si="40"/>
        <v/>
      </c>
      <c r="BX50" s="899" t="str">
        <f t="shared" si="41"/>
        <v/>
      </c>
      <c r="BY50" s="900" t="str" cm="1">
        <f t="array" ref="BY50">[1]!ACAELE_CAPACIDADCABLE(BB50,H50,I50,M50,BX50,N50)</f>
        <v/>
      </c>
      <c r="BZ50" s="900" t="str">
        <f t="shared" si="42"/>
        <v/>
      </c>
      <c r="CA50" s="901" t="str" cm="1">
        <f t="array" ref="CA50">[1]!ACAELE_cabledetierra(BZ50,$N$9,I50,BW50,BX50,G50)</f>
        <v/>
      </c>
      <c r="CB50" s="902" t="str" cm="1">
        <f t="array" ref="CB50">[1]!ACAELE_TAMATUBERIA(BX50,DU50,$N$9,M50,I50)</f>
        <v/>
      </c>
      <c r="CC50" s="846" t="str">
        <f t="shared" si="43"/>
        <v/>
      </c>
      <c r="CD50" s="903" t="str" cm="1">
        <f t="array" ref="CD50">[1]!ACAELE_CAPACIDADCABLE(BB50,H50,I50,M50,CC50,N50)</f>
        <v/>
      </c>
      <c r="CE50" s="903" t="str">
        <f t="shared" si="44"/>
        <v/>
      </c>
      <c r="CF50" s="904" t="str" cm="1">
        <f t="array" ref="CF50">[1]!ACAELE_cabledetierra(CE50,$N$9,I50,BW50,CC50,G50)</f>
        <v/>
      </c>
      <c r="CG50" s="905" t="str" cm="1">
        <f t="array" ref="CG50">[1]!ACAELE_TAMATUBERIA(CC50,EC50,$N$9,S50,I50)</f>
        <v/>
      </c>
      <c r="CH50" s="906" t="str">
        <f t="shared" si="45"/>
        <v/>
      </c>
      <c r="CI50" s="510" t="str">
        <f t="shared" si="46"/>
        <v>-</v>
      </c>
      <c r="CJ50" s="511" t="str">
        <f t="shared" si="47"/>
        <v>-</v>
      </c>
      <c r="CK50" s="512" t="str">
        <f t="shared" si="48"/>
        <v>-</v>
      </c>
      <c r="CL50" s="907" t="str">
        <f t="shared" si="49"/>
        <v>-</v>
      </c>
      <c r="CM50" s="908" t="str">
        <f t="shared" si="50"/>
        <v>-</v>
      </c>
      <c r="CN50" s="909" t="str">
        <f t="shared" si="51"/>
        <v>-</v>
      </c>
      <c r="CO50" s="910" t="str" cm="1">
        <f t="array" ref="CO50">[1]!ACAELE_fasecorresponde(B50,$F$10,$P$5)</f>
        <v>A</v>
      </c>
      <c r="CP50" s="910" t="str" cm="1">
        <f t="array" ref="CP50">[1]!ACAELE_fasecorresponde(C50,$F$10,$P$5)</f>
        <v>-</v>
      </c>
      <c r="CQ50" s="910" t="str" cm="1">
        <f t="array" ref="CQ50">[1]!ACAELE_fasecorresponde(D50,$F$10,$P$5)</f>
        <v>-</v>
      </c>
      <c r="CR50" s="911" t="str">
        <f t="shared" si="52"/>
        <v>C</v>
      </c>
      <c r="CS50" s="912">
        <f t="shared" si="53"/>
        <v>1</v>
      </c>
      <c r="CT50" s="913">
        <f t="shared" si="54"/>
        <v>0.8</v>
      </c>
      <c r="CU50" s="914" t="str">
        <f t="shared" si="55"/>
        <v/>
      </c>
      <c r="CV50" s="915">
        <f t="shared" si="56"/>
        <v>0</v>
      </c>
      <c r="CW50" s="916" t="str" cm="1">
        <f t="array" ref="CW50">[1]!ACAELE_Inominal(BB50,F50,BT50,BV50,DA50,G50,V50,$P$5)</f>
        <v/>
      </c>
      <c r="CX50" s="917" t="str" cm="1">
        <f t="array" ref="CX50">[1]!ACAELE_Disparocalculado(BB50,H50,DL50,$N$21,$M$21,$O$21,BV50,$P$5)</f>
        <v/>
      </c>
      <c r="CY50" s="918" t="str" cm="1">
        <f t="array" ref="CY50">[1]!ACAELE_Icorregida($A$27,H50,BB50,BU50,CS50,CT50,$P$5)</f>
        <v/>
      </c>
      <c r="CZ50" s="919" t="str" cm="1">
        <f t="array" ref="CZ50">[1]!ACAELE_Icorregida2($A$27,H50,BB50,BU50,CS50,CU50,$P$5)</f>
        <v/>
      </c>
      <c r="DA50" s="920">
        <f t="shared" si="57"/>
        <v>0.9</v>
      </c>
      <c r="DB50" s="921">
        <f t="shared" si="58"/>
        <v>0.43588989435406728</v>
      </c>
      <c r="DC50" s="922" t="str" cm="1">
        <f t="array" ref="DC50">[1]!ACAELE_CONDPORTCORRIENTE(H50,BB50,I50,M50,CY50,CZ50,N50,$P$5)</f>
        <v/>
      </c>
      <c r="DD50" s="923" t="str" cm="1">
        <f t="array" ref="DD50">[1]!ACAELE_CAPACONDCORRIENTE(BB50,H50,I50,M50,CY50,CZ50,$P$5)</f>
        <v/>
      </c>
      <c r="DE50" s="923" t="str" cm="1">
        <f t="array" ref="DE50">[1]!ACAELE_CAPACIDADCABLE(BB50,H50,I50,M50,DC50,N50,$P$5)</f>
        <v/>
      </c>
      <c r="DF50" s="924" t="str" cm="1">
        <f t="array" ref="DF50">[1]!ACAELE_encontrarcaida(BB50,H50,L50,BV50,F50,BU50,N50,K50)</f>
        <v/>
      </c>
      <c r="DG50" s="925" t="str" cm="1">
        <f t="array" ref="DG50">[1]!ACAELE_Cablecaida(BB50,H50,M50,I50,DF50)</f>
        <v/>
      </c>
      <c r="DH50" s="918" t="str" cm="1">
        <f t="array" ref="DH50">[1]!ACAELE_CAPACIDADCABLE(BB50,H50,I50,M50,DG50,N50,$P$5)</f>
        <v/>
      </c>
      <c r="DI50" s="926" t="str" cm="1">
        <f t="array" ref="DI50">IF($A$27=1,"",[1]!ACAELE_encontrarcaida(BB50,H50,R50,BV50,F50,BU50,T50,Q50,$P$5))</f>
        <v/>
      </c>
      <c r="DJ50" s="914" t="str" cm="1">
        <f t="array" ref="DJ50">IF($A$27=1,"",[1]!ACAELE_Cablecaida2(BB50,Q50,H50,S50,I50,DI50,$P$5))</f>
        <v/>
      </c>
      <c r="DK50" s="919" t="str" cm="1">
        <f t="array" ref="DK50">[1]!ACAELE_CAPACIDADCABLE(BB50,H50,I50,M50,DJ50,N50,$P$5)</f>
        <v/>
      </c>
      <c r="DL50" s="927" t="str" cm="1">
        <f t="array" ref="DL50">[1]!acaele_Iproteccion(BB50,H50,BU50,$F$20,$G$20,$F$19,$G$19,$H$20,$H$19,$P$5)</f>
        <v/>
      </c>
      <c r="DM50" s="928" cm="1">
        <f t="array" ref="DM50">[1]!acaele_ProtCalculada(CX50,H50,BT50,BW50,$G$21,$F$21,$H$21,$P$5)</f>
        <v>0</v>
      </c>
      <c r="DN50" s="929" t="str" cm="1">
        <f t="array" ref="DN50">[1]!ACAELE_cablecalculo(BB50,H50,I50,M50,EF50,$P$5)</f>
        <v/>
      </c>
      <c r="DO50" s="930" t="str" cm="1">
        <f t="array" ref="DO50">[1]!ACAELE_RESISTENCIA(BB50,H50,M50,I50,BX50, CW50,$P$5)</f>
        <v/>
      </c>
      <c r="DP50" s="931" t="str" cm="1">
        <f t="array" ref="DP50">[1]!ACAELE_REACTANCIA(BB50,H50,$F$11,M50,I50,BX50,$P$5)</f>
        <v/>
      </c>
      <c r="DQ50" s="918" t="str" cm="1">
        <f t="array" ref="DQ50">[1]!ACAELE_DIAMECAISLA(BB50,H50,I50,BX50,$P$5)</f>
        <v/>
      </c>
      <c r="DR50" s="918" t="str" cm="1">
        <f t="array" ref="DR50">[1]!ACAELE_AREACAISLAMIENTO(BB50,H50,DQ50,$P$5)</f>
        <v/>
      </c>
      <c r="DS50" s="918" t="str" cm="1">
        <f t="array" ref="DS50">[1]!ACAELE_CAIDAVOLTSFINAL(BB50,H50,F50,K50,BU50,N50,DO50,DA50,DP50,DB50,$P$5)</f>
        <v/>
      </c>
      <c r="DT50" s="918" t="str" cm="1">
        <f t="array" ref="DT50">[1]!ACAELE_AREACONDPTE(BB50,H50,CA50,$P$5)</f>
        <v/>
      </c>
      <c r="DU50" s="932" t="str" cm="1">
        <f t="array" ref="DU50">[1]!ACAELE_AREATOTAL(BZ50,M50,EO50,N50,DQ50,G50,DR50,DT50,N$20,$P$5)</f>
        <v/>
      </c>
      <c r="DV50" s="933" t="str" cm="1">
        <f t="array" ref="DV50">IF($A$27=1,"",[1]!ACAELE_cablecalculo(BB50,H50,I50,M50,EG50,$P$5))</f>
        <v/>
      </c>
      <c r="DW50" s="934" t="str" cm="1">
        <f t="array" ref="DW50">IF($A$27=1,"",[1]!ACAELE_RESISTENCIA(BB50,H50,M50,I50,CC50,CW50,$P$5))</f>
        <v/>
      </c>
      <c r="DX50" s="926" t="str" cm="1">
        <f t="array" ref="DX50">IF($A$27=1,"",[1]!ACAELE_REACTANCIA(BB50,H50,$F$11,M50,I50,CC50,$P$5))</f>
        <v/>
      </c>
      <c r="DY50" s="935" t="str" cm="1">
        <f t="array" ref="DY50">IF($A$27=1,"",[1]!ACAELE_DIAMECAISLA(BB50,H50,I50,CC50,$P$5))</f>
        <v/>
      </c>
      <c r="DZ50" s="935" t="str" cm="1">
        <f t="array" ref="DZ50">IF($A$27=1,"",[1]!ACAELE_AREACAISLAMIENTO(BB50,H50,DY50,$P$5))</f>
        <v/>
      </c>
      <c r="EA50" s="935" t="str" cm="1">
        <f t="array" ref="EA50">[1]!ACAELE_CAIDAVOLTSFINAL2(BB50,Q50,H50,F50,$A$27,BU50,T50,DW50,DA50,DX50,DB50)</f>
        <v/>
      </c>
      <c r="EB50" s="935" t="str" cm="1">
        <f t="array" ref="EB50">IF($A$27=1,"",[1]!ACAELE_AREACONDPTE(BB50,H50,CF50,$P$5))</f>
        <v/>
      </c>
      <c r="EC50" s="936" t="str" cm="1">
        <f t="array" ref="EC50">[1]!ACAELE_AREATOTAL2(H50,$A$27,DY50,S50,G50,T50,DZ50,U50,EB50)</f>
        <v/>
      </c>
      <c r="ED50" s="937" t="str">
        <f t="shared" si="59"/>
        <v/>
      </c>
      <c r="EE50" s="938" t="str">
        <f t="shared" si="60"/>
        <v/>
      </c>
      <c r="EF50" s="939" t="str">
        <f t="shared" si="61"/>
        <v/>
      </c>
      <c r="EG50" s="940">
        <f t="shared" si="62"/>
        <v>0</v>
      </c>
      <c r="EH50" s="941" t="str">
        <f t="shared" si="63"/>
        <v/>
      </c>
      <c r="EI50" s="942">
        <f t="shared" si="64"/>
        <v>30</v>
      </c>
      <c r="EJ50" s="943" t="str">
        <f t="shared" si="11"/>
        <v/>
      </c>
      <c r="EK50" s="943" t="str">
        <f t="shared" si="12"/>
        <v/>
      </c>
      <c r="EL50" s="943" t="str">
        <f t="shared" si="13"/>
        <v/>
      </c>
      <c r="EM50" s="944" t="str">
        <f t="shared" si="14"/>
        <v/>
      </c>
      <c r="EN50" s="945" t="str" cm="1">
        <f t="array" ref="EN50">[1]!ACAELE_MOTOR(H50,X50:BA50,$X$26:$BA$26,$P$5)</f>
        <v/>
      </c>
      <c r="EO50" s="550" t="str">
        <f t="shared" si="65"/>
        <v/>
      </c>
      <c r="EP50" s="431" t="s">
        <v>1214</v>
      </c>
      <c r="EQ50" s="434" t="str">
        <f t="shared" ca="1" si="66"/>
        <v/>
      </c>
      <c r="ER50" s="32"/>
      <c r="ES50" s="32"/>
      <c r="ET50" s="3" t="str">
        <f t="shared" si="67"/>
        <v/>
      </c>
      <c r="EU50" s="3" t="str">
        <f t="shared" si="68"/>
        <v/>
      </c>
      <c r="EV50" s="3" t="str">
        <f t="shared" si="69"/>
        <v/>
      </c>
      <c r="EW50" s="3" t="str">
        <f t="shared" si="70"/>
        <v/>
      </c>
      <c r="EX50" s="3" t="str">
        <f t="shared" si="71"/>
        <v/>
      </c>
      <c r="EY50" s="3" t="str">
        <f t="shared" si="72"/>
        <v/>
      </c>
      <c r="EZ50" s="3" t="str">
        <f t="shared" si="73"/>
        <v/>
      </c>
      <c r="FA50" s="3" t="str">
        <f t="shared" si="74"/>
        <v/>
      </c>
      <c r="FB50" s="3" t="str">
        <f t="shared" si="75"/>
        <v/>
      </c>
      <c r="FC50" s="3">
        <f t="shared" si="76"/>
        <v>0</v>
      </c>
      <c r="FD50" s="32"/>
      <c r="FE50" s="32"/>
      <c r="FF50" s="103">
        <v>1</v>
      </c>
      <c r="FG50" s="32"/>
      <c r="FH50" s="103"/>
      <c r="FI50" s="32"/>
      <c r="FJ50" s="103"/>
      <c r="FK50" s="3">
        <f t="shared" si="77"/>
        <v>0</v>
      </c>
      <c r="FL50" s="3" t="str" cm="1">
        <f t="array" aca="1" ref="FL50" ca="1">[1]!acaele_DIB_UNIFILAR(BB50,H50,F50,COUNTIF(X50:BA50,1),BW50)</f>
        <v/>
      </c>
      <c r="FM50" s="3" t="str">
        <f>IF(DATOS!$T$4=0,"",IF(DATOS!$T$4=1," (QO)",IF(DATOS!$T$4=2," (QOB)",IF(DATOS!$T$4=3," (EDB)",IF(DATOS!$T$4=4,IF(BW50&lt;151," (H"&amp;FN50&amp;")",IF(BW50&lt;251," (J"&amp;FN50&amp;")", IF(BW50&lt;401," (LA)",IF(BW50&lt;801," (MG)",IF(BW50&lt;5001," (POWERPACK)",""))))))))))</f>
        <v xml:space="preserve"> (QOB)</v>
      </c>
      <c r="FN50" s="3" t="str">
        <f t="shared" si="78"/>
        <v/>
      </c>
      <c r="FO50" s="146"/>
      <c r="FP50" s="146"/>
      <c r="FQ50" s="146"/>
      <c r="FR50" s="146"/>
      <c r="FS50" s="146"/>
      <c r="FT50" s="146"/>
      <c r="FU50" s="146"/>
      <c r="FV50" s="146"/>
      <c r="FW50" s="146"/>
      <c r="FX50" s="146" t="str">
        <f t="shared" si="9"/>
        <v/>
      </c>
      <c r="FY50" s="736"/>
      <c r="FZ50" s="740"/>
      <c r="GA50" s="740"/>
      <c r="GB50" s="717"/>
      <c r="GC50" s="838"/>
      <c r="GD50" s="736"/>
      <c r="GE50" s="146"/>
      <c r="GF50" s="506"/>
      <c r="GG50" s="506"/>
      <c r="GH50" s="506"/>
      <c r="GI50" s="506"/>
      <c r="GJ50" s="506"/>
      <c r="GM50" s="3">
        <f>IF(OR(GN50&gt;TABLERO!$M$19,GO50&gt;TABLERO!$M$19,GP50&gt;TABLERO!$M$19,B50=0,C50=0,D50=0),2,CUADROACAD!A50)</f>
        <v>2</v>
      </c>
      <c r="GN50" s="3">
        <f>IF(TABLERO!B50="",0,TABLERO!B50)</f>
        <v>20</v>
      </c>
      <c r="GO50" s="3">
        <f>IF(TABLERO!C50="",GN50,TABLERO!C50)</f>
        <v>20</v>
      </c>
      <c r="GP50" s="3">
        <f>IF(TABLERO!D50="",GN50,TABLERO!D50)</f>
        <v>20</v>
      </c>
    </row>
    <row r="51" spans="1:198" s="3" customFormat="1">
      <c r="A51" s="706"/>
      <c r="B51" s="869">
        <v>21</v>
      </c>
      <c r="C51" s="870" t="str">
        <f t="shared" si="15"/>
        <v/>
      </c>
      <c r="D51" s="870" t="str">
        <f t="shared" si="16"/>
        <v/>
      </c>
      <c r="E51" s="871"/>
      <c r="F51" s="872">
        <v>1</v>
      </c>
      <c r="G51" s="716">
        <f t="shared" si="17"/>
        <v>2</v>
      </c>
      <c r="H51" s="873" t="s">
        <v>12</v>
      </c>
      <c r="I51" s="874" t="str">
        <f t="shared" si="18"/>
        <v>CU</v>
      </c>
      <c r="J51" s="875">
        <v>6</v>
      </c>
      <c r="K51" s="876">
        <v>10</v>
      </c>
      <c r="L51" s="876">
        <v>3</v>
      </c>
      <c r="M51" s="877">
        <v>1</v>
      </c>
      <c r="N51" s="877">
        <v>1</v>
      </c>
      <c r="O51" s="878">
        <v>1</v>
      </c>
      <c r="P51" s="879">
        <v>4</v>
      </c>
      <c r="Q51" s="880">
        <v>1</v>
      </c>
      <c r="R51" s="880">
        <v>1</v>
      </c>
      <c r="S51" s="881">
        <v>1</v>
      </c>
      <c r="T51" s="881">
        <v>1</v>
      </c>
      <c r="U51" s="882">
        <v>1</v>
      </c>
      <c r="V51" s="883">
        <v>1</v>
      </c>
      <c r="W51" s="874" t="str">
        <f t="shared" si="19"/>
        <v>SI</v>
      </c>
      <c r="X51" s="884"/>
      <c r="Y51" s="885"/>
      <c r="Z51" s="885"/>
      <c r="AA51" s="885"/>
      <c r="AB51" s="885"/>
      <c r="AC51" s="885"/>
      <c r="AD51" s="885"/>
      <c r="AE51" s="885"/>
      <c r="AF51" s="885"/>
      <c r="AG51" s="885"/>
      <c r="AH51" s="885"/>
      <c r="AI51" s="885"/>
      <c r="AJ51" s="885"/>
      <c r="AK51" s="885"/>
      <c r="AL51" s="885"/>
      <c r="AM51" s="885"/>
      <c r="AN51" s="885"/>
      <c r="AO51" s="885"/>
      <c r="AP51" s="885"/>
      <c r="AQ51" s="885"/>
      <c r="AR51" s="885"/>
      <c r="AS51" s="885"/>
      <c r="AT51" s="885"/>
      <c r="AU51" s="885"/>
      <c r="AV51" s="885"/>
      <c r="AW51" s="885"/>
      <c r="AX51" s="885"/>
      <c r="AY51" s="885"/>
      <c r="AZ51" s="885"/>
      <c r="BA51" s="886"/>
      <c r="BB51" s="887">
        <f t="shared" si="20"/>
        <v>0</v>
      </c>
      <c r="BC51" s="888" t="str">
        <f t="shared" si="21"/>
        <v/>
      </c>
      <c r="BD51" s="889" t="str">
        <f t="shared" si="22"/>
        <v/>
      </c>
      <c r="BE51" s="889" t="str">
        <f t="shared" si="23"/>
        <v/>
      </c>
      <c r="BF51" s="889" t="str">
        <f t="shared" si="24"/>
        <v/>
      </c>
      <c r="BG51" s="889" t="str">
        <f t="shared" si="25"/>
        <v/>
      </c>
      <c r="BH51" s="889" t="str">
        <f t="shared" si="26"/>
        <v/>
      </c>
      <c r="BI51" s="890" t="str">
        <f t="shared" si="27"/>
        <v/>
      </c>
      <c r="BJ51" s="891" t="str">
        <f t="shared" si="28"/>
        <v/>
      </c>
      <c r="BK51" s="892" t="str">
        <f t="shared" si="29"/>
        <v/>
      </c>
      <c r="BL51" s="892" t="str">
        <f t="shared" si="30"/>
        <v/>
      </c>
      <c r="BM51" s="892" t="str">
        <f t="shared" si="31"/>
        <v/>
      </c>
      <c r="BN51" s="892" t="str">
        <f t="shared" si="32"/>
        <v/>
      </c>
      <c r="BO51" s="892" t="str">
        <f t="shared" si="33"/>
        <v/>
      </c>
      <c r="BP51" s="893" t="str">
        <f t="shared" si="34"/>
        <v/>
      </c>
      <c r="BQ51" s="894" t="str">
        <f t="shared" si="35"/>
        <v/>
      </c>
      <c r="BR51" s="895" t="str">
        <f t="shared" si="10"/>
        <v/>
      </c>
      <c r="BS51" s="896" t="str">
        <f t="shared" si="36"/>
        <v/>
      </c>
      <c r="BT51" s="897" t="str">
        <f t="shared" si="37"/>
        <v/>
      </c>
      <c r="BU51" s="231" t="str">
        <f t="shared" si="38"/>
        <v/>
      </c>
      <c r="BV51" s="898">
        <f t="shared" si="39"/>
        <v>127</v>
      </c>
      <c r="BW51" s="845" t="str">
        <f t="shared" si="40"/>
        <v/>
      </c>
      <c r="BX51" s="899" t="str">
        <f t="shared" si="41"/>
        <v/>
      </c>
      <c r="BY51" s="900" t="str" cm="1">
        <f t="array" ref="BY51">[1]!ACAELE_CAPACIDADCABLE(BB51,H51,I51,M51,BX51,N51)</f>
        <v/>
      </c>
      <c r="BZ51" s="900" t="str">
        <f t="shared" si="42"/>
        <v/>
      </c>
      <c r="CA51" s="901" t="str" cm="1">
        <f t="array" ref="CA51">[1]!ACAELE_cabledetierra(BZ51,$N$9,I51,BW51,BX51,G51)</f>
        <v/>
      </c>
      <c r="CB51" s="902" t="str" cm="1">
        <f t="array" ref="CB51">[1]!ACAELE_TAMATUBERIA(BX51,DU51,$N$9,M51,I51)</f>
        <v/>
      </c>
      <c r="CC51" s="846" t="str">
        <f t="shared" si="43"/>
        <v/>
      </c>
      <c r="CD51" s="903" t="str" cm="1">
        <f t="array" ref="CD51">[1]!ACAELE_CAPACIDADCABLE(BB51,H51,I51,M51,CC51,N51)</f>
        <v/>
      </c>
      <c r="CE51" s="903" t="str">
        <f t="shared" si="44"/>
        <v/>
      </c>
      <c r="CF51" s="904" t="str" cm="1">
        <f t="array" ref="CF51">[1]!ACAELE_cabledetierra(CE51,$N$9,I51,BW51,CC51,G51)</f>
        <v/>
      </c>
      <c r="CG51" s="905" t="str" cm="1">
        <f t="array" ref="CG51">[1]!ACAELE_TAMATUBERIA(CC51,EC51,$N$9,S51,I51)</f>
        <v/>
      </c>
      <c r="CH51" s="906" t="str">
        <f t="shared" si="45"/>
        <v/>
      </c>
      <c r="CI51" s="510" t="str">
        <f t="shared" si="46"/>
        <v>-</v>
      </c>
      <c r="CJ51" s="511" t="str">
        <f t="shared" si="47"/>
        <v>-</v>
      </c>
      <c r="CK51" s="512" t="str">
        <f t="shared" si="48"/>
        <v>-</v>
      </c>
      <c r="CL51" s="907" t="str">
        <f t="shared" si="49"/>
        <v>-</v>
      </c>
      <c r="CM51" s="908" t="str">
        <f t="shared" si="50"/>
        <v>-</v>
      </c>
      <c r="CN51" s="909" t="str">
        <f t="shared" si="51"/>
        <v>-</v>
      </c>
      <c r="CO51" s="910" t="str" cm="1">
        <f t="array" ref="CO51">[1]!ACAELE_fasecorresponde(B51,$F$10,$P$5)</f>
        <v>B</v>
      </c>
      <c r="CP51" s="910" t="str" cm="1">
        <f t="array" ref="CP51">[1]!ACAELE_fasecorresponde(C51,$F$10,$P$5)</f>
        <v>-</v>
      </c>
      <c r="CQ51" s="910" t="str" cm="1">
        <f t="array" ref="CQ51">[1]!ACAELE_fasecorresponde(D51,$F$10,$P$5)</f>
        <v>-</v>
      </c>
      <c r="CR51" s="911" t="str">
        <f t="shared" si="52"/>
        <v>C</v>
      </c>
      <c r="CS51" s="912">
        <f t="shared" si="53"/>
        <v>1</v>
      </c>
      <c r="CT51" s="913">
        <f t="shared" si="54"/>
        <v>0.8</v>
      </c>
      <c r="CU51" s="914" t="str">
        <f t="shared" si="55"/>
        <v/>
      </c>
      <c r="CV51" s="915">
        <f t="shared" si="56"/>
        <v>0</v>
      </c>
      <c r="CW51" s="916" t="str" cm="1">
        <f t="array" ref="CW51">[1]!ACAELE_Inominal(BB51,F51,BT51,BV51,DA51,G51,V51,$P$5)</f>
        <v/>
      </c>
      <c r="CX51" s="917" t="str" cm="1">
        <f t="array" ref="CX51">[1]!ACAELE_Disparocalculado(BB51,H51,DL51,$N$21,$M$21,$O$21,BV51,$P$5)</f>
        <v/>
      </c>
      <c r="CY51" s="918" t="str" cm="1">
        <f t="array" ref="CY51">[1]!ACAELE_Icorregida($A$27,H51,BB51,BU51,CS51,CT51,$P$5)</f>
        <v/>
      </c>
      <c r="CZ51" s="919" t="str" cm="1">
        <f t="array" ref="CZ51">[1]!ACAELE_Icorregida2($A$27,H51,BB51,BU51,CS51,CU51,$P$5)</f>
        <v/>
      </c>
      <c r="DA51" s="920">
        <f t="shared" si="57"/>
        <v>0.9</v>
      </c>
      <c r="DB51" s="921">
        <f t="shared" si="58"/>
        <v>0.43588989435406728</v>
      </c>
      <c r="DC51" s="922" t="str" cm="1">
        <f t="array" ref="DC51">[1]!ACAELE_CONDPORTCORRIENTE(H51,BB51,I51,M51,CY51,CZ51,N51,$P$5)</f>
        <v/>
      </c>
      <c r="DD51" s="923" t="str" cm="1">
        <f t="array" ref="DD51">[1]!ACAELE_CAPACONDCORRIENTE(BB51,H51,I51,M51,CY51,CZ51,$P$5)</f>
        <v/>
      </c>
      <c r="DE51" s="923" t="str" cm="1">
        <f t="array" ref="DE51">[1]!ACAELE_CAPACIDADCABLE(BB51,H51,I51,M51,DC51,N51,$P$5)</f>
        <v/>
      </c>
      <c r="DF51" s="924" t="str" cm="1">
        <f t="array" ref="DF51">[1]!ACAELE_encontrarcaida(BB51,H51,L51,BV51,F51,BU51,N51,K51)</f>
        <v/>
      </c>
      <c r="DG51" s="925" t="str" cm="1">
        <f t="array" ref="DG51">[1]!ACAELE_Cablecaida(BB51,H51,M51,I51,DF51)</f>
        <v/>
      </c>
      <c r="DH51" s="918" t="str" cm="1">
        <f t="array" ref="DH51">[1]!ACAELE_CAPACIDADCABLE(BB51,H51,I51,M51,DG51,N51,$P$5)</f>
        <v/>
      </c>
      <c r="DI51" s="926" t="str" cm="1">
        <f t="array" ref="DI51">IF($A$27=1,"",[1]!ACAELE_encontrarcaida(BB51,H51,R51,BV51,F51,BU51,T51,Q51,$P$5))</f>
        <v/>
      </c>
      <c r="DJ51" s="914" t="str" cm="1">
        <f t="array" ref="DJ51">IF($A$27=1,"",[1]!ACAELE_Cablecaida2(BB51,Q51,H51,S51,I51,DI51,$P$5))</f>
        <v/>
      </c>
      <c r="DK51" s="919" t="str" cm="1">
        <f t="array" ref="DK51">[1]!ACAELE_CAPACIDADCABLE(BB51,H51,I51,M51,DJ51,N51,$P$5)</f>
        <v/>
      </c>
      <c r="DL51" s="927" t="str" cm="1">
        <f t="array" ref="DL51">[1]!acaele_Iproteccion(BB51,H51,BU51,$F$20,$G$20,$F$19,$G$19,$H$20,$H$19,$P$5)</f>
        <v/>
      </c>
      <c r="DM51" s="928" cm="1">
        <f t="array" ref="DM51">[1]!acaele_ProtCalculada(CX51,H51,BT51,BW51,$G$21,$F$21,$H$21,$P$5)</f>
        <v>0</v>
      </c>
      <c r="DN51" s="929" t="str" cm="1">
        <f t="array" ref="DN51">[1]!ACAELE_cablecalculo(BB51,H51,I51,M51,EF51,$P$5)</f>
        <v/>
      </c>
      <c r="DO51" s="930" t="str" cm="1">
        <f t="array" ref="DO51">[1]!ACAELE_RESISTENCIA(BB51,H51,M51,I51,BX51, CW51,$P$5)</f>
        <v/>
      </c>
      <c r="DP51" s="931" t="str" cm="1">
        <f t="array" ref="DP51">[1]!ACAELE_REACTANCIA(BB51,H51,$F$11,M51,I51,BX51,$P$5)</f>
        <v/>
      </c>
      <c r="DQ51" s="918" t="str" cm="1">
        <f t="array" ref="DQ51">[1]!ACAELE_DIAMECAISLA(BB51,H51,I51,BX51,$P$5)</f>
        <v/>
      </c>
      <c r="DR51" s="918" t="str" cm="1">
        <f t="array" ref="DR51">[1]!ACAELE_AREACAISLAMIENTO(BB51,H51,DQ51,$P$5)</f>
        <v/>
      </c>
      <c r="DS51" s="918" t="str" cm="1">
        <f t="array" ref="DS51">[1]!ACAELE_CAIDAVOLTSFINAL(BB51,H51,F51,K51,BU51,N51,DO51,DA51,DP51,DB51,$P$5)</f>
        <v/>
      </c>
      <c r="DT51" s="918" t="str" cm="1">
        <f t="array" ref="DT51">[1]!ACAELE_AREACONDPTE(BB51,H51,CA51,$P$5)</f>
        <v/>
      </c>
      <c r="DU51" s="932" t="str" cm="1">
        <f t="array" ref="DU51">[1]!ACAELE_AREATOTAL(BZ51,M51,EO51,N51,DQ51,G51,DR51,DT51,N$20,$P$5)</f>
        <v/>
      </c>
      <c r="DV51" s="933" t="str" cm="1">
        <f t="array" ref="DV51">IF($A$27=1,"",[1]!ACAELE_cablecalculo(BB51,H51,I51,M51,EG51,$P$5))</f>
        <v/>
      </c>
      <c r="DW51" s="934" t="str" cm="1">
        <f t="array" ref="DW51">IF($A$27=1,"",[1]!ACAELE_RESISTENCIA(BB51,H51,M51,I51,CC51,CW51,$P$5))</f>
        <v/>
      </c>
      <c r="DX51" s="926" t="str" cm="1">
        <f t="array" ref="DX51">IF($A$27=1,"",[1]!ACAELE_REACTANCIA(BB51,H51,$F$11,M51,I51,CC51,$P$5))</f>
        <v/>
      </c>
      <c r="DY51" s="935" t="str" cm="1">
        <f t="array" ref="DY51">IF($A$27=1,"",[1]!ACAELE_DIAMECAISLA(BB51,H51,I51,CC51,$P$5))</f>
        <v/>
      </c>
      <c r="DZ51" s="935" t="str" cm="1">
        <f t="array" ref="DZ51">IF($A$27=1,"",[1]!ACAELE_AREACAISLAMIENTO(BB51,H51,DY51,$P$5))</f>
        <v/>
      </c>
      <c r="EA51" s="935" t="str" cm="1">
        <f t="array" ref="EA51">[1]!ACAELE_CAIDAVOLTSFINAL2(BB51,Q51,H51,F51,$A$27,BU51,T51,DW51,DA51,DX51,DB51)</f>
        <v/>
      </c>
      <c r="EB51" s="935" t="str" cm="1">
        <f t="array" ref="EB51">IF($A$27=1,"",[1]!ACAELE_AREACONDPTE(BB51,H51,CF51,$P$5))</f>
        <v/>
      </c>
      <c r="EC51" s="936" t="str" cm="1">
        <f t="array" ref="EC51">[1]!ACAELE_AREATOTAL2(H51,$A$27,DY51,S51,G51,T51,DZ51,U51,EB51)</f>
        <v/>
      </c>
      <c r="ED51" s="937" t="str">
        <f t="shared" si="59"/>
        <v/>
      </c>
      <c r="EE51" s="938" t="str">
        <f t="shared" si="60"/>
        <v/>
      </c>
      <c r="EF51" s="939" t="str">
        <f t="shared" si="61"/>
        <v/>
      </c>
      <c r="EG51" s="940">
        <f t="shared" si="62"/>
        <v>0</v>
      </c>
      <c r="EH51" s="941" t="str">
        <f t="shared" si="63"/>
        <v/>
      </c>
      <c r="EI51" s="942">
        <f t="shared" si="64"/>
        <v>30</v>
      </c>
      <c r="EJ51" s="943" t="str">
        <f t="shared" si="11"/>
        <v/>
      </c>
      <c r="EK51" s="943" t="str">
        <f t="shared" si="12"/>
        <v/>
      </c>
      <c r="EL51" s="943" t="str">
        <f t="shared" si="13"/>
        <v/>
      </c>
      <c r="EM51" s="944" t="str">
        <f t="shared" si="14"/>
        <v/>
      </c>
      <c r="EN51" s="945" t="str" cm="1">
        <f t="array" ref="EN51">[1]!ACAELE_MOTOR(H51,X51:BA51,$X$26:$BA$26,$P$5)</f>
        <v/>
      </c>
      <c r="EO51" s="550" t="str">
        <f t="shared" si="65"/>
        <v/>
      </c>
      <c r="EP51" s="431" t="s">
        <v>1214</v>
      </c>
      <c r="EQ51" s="434" t="str">
        <f t="shared" ca="1" si="66"/>
        <v/>
      </c>
      <c r="ER51" s="32"/>
      <c r="ES51" s="32"/>
      <c r="ET51" s="3" t="str">
        <f t="shared" si="67"/>
        <v/>
      </c>
      <c r="EU51" s="3" t="str">
        <f t="shared" si="68"/>
        <v/>
      </c>
      <c r="EV51" s="3" t="str">
        <f t="shared" si="69"/>
        <v/>
      </c>
      <c r="EW51" s="3" t="str">
        <f t="shared" si="70"/>
        <v/>
      </c>
      <c r="EX51" s="3" t="str">
        <f t="shared" si="71"/>
        <v/>
      </c>
      <c r="EY51" s="3" t="str">
        <f t="shared" si="72"/>
        <v/>
      </c>
      <c r="EZ51" s="3" t="str">
        <f t="shared" si="73"/>
        <v/>
      </c>
      <c r="FA51" s="3" t="str">
        <f t="shared" si="74"/>
        <v/>
      </c>
      <c r="FB51" s="3" t="str">
        <f t="shared" si="75"/>
        <v/>
      </c>
      <c r="FC51" s="3">
        <f t="shared" si="76"/>
        <v>0</v>
      </c>
      <c r="FD51" s="32"/>
      <c r="FE51" s="32"/>
      <c r="FF51" s="103">
        <v>1</v>
      </c>
      <c r="FG51" s="32"/>
      <c r="FH51" s="103"/>
      <c r="FI51" s="32"/>
      <c r="FJ51" s="103"/>
      <c r="FK51" s="3">
        <f t="shared" si="77"/>
        <v>0</v>
      </c>
      <c r="FL51" s="3" t="str" cm="1">
        <f t="array" aca="1" ref="FL51" ca="1">[1]!acaele_DIB_UNIFILAR(BB51,H51,F51,COUNTIF(X51:BA51,1),BW51)</f>
        <v/>
      </c>
      <c r="FM51" s="3" t="str">
        <f>IF(DATOS!$T$4=0,"",IF(DATOS!$T$4=1," (QO)",IF(DATOS!$T$4=2," (QOB)",IF(DATOS!$T$4=3," (EDB)",IF(DATOS!$T$4=4,IF(BW51&lt;151," (H"&amp;FN51&amp;")",IF(BW51&lt;251," (J"&amp;FN51&amp;")", IF(BW51&lt;401," (LA)",IF(BW51&lt;801," (MG)",IF(BW51&lt;5001," (POWERPACK)",""))))))))))</f>
        <v xml:space="preserve"> (QOB)</v>
      </c>
      <c r="FN51" s="3" t="str">
        <f t="shared" si="78"/>
        <v/>
      </c>
      <c r="FO51" s="146"/>
      <c r="FP51" s="146"/>
      <c r="FQ51" s="146"/>
      <c r="FR51" s="146"/>
      <c r="FS51" s="146"/>
      <c r="FT51" s="146"/>
      <c r="FU51" s="146"/>
      <c r="FV51" s="146"/>
      <c r="FW51" s="146"/>
      <c r="FX51" s="146" t="str">
        <f t="shared" si="9"/>
        <v/>
      </c>
      <c r="FY51" s="736"/>
      <c r="FZ51" s="740"/>
      <c r="GA51" s="740"/>
      <c r="GB51" s="717"/>
      <c r="GC51" s="838"/>
      <c r="GD51" s="736"/>
      <c r="GE51" s="146"/>
      <c r="GF51" s="506"/>
      <c r="GG51" s="506"/>
      <c r="GH51" s="506"/>
      <c r="GI51" s="506"/>
      <c r="GJ51" s="506"/>
      <c r="GM51" s="3">
        <f>IF(OR(GN51&gt;TABLERO!$M$19,GO51&gt;TABLERO!$M$19,GP51&gt;TABLERO!$M$19,B51=0,C51=0,D51=0),2,CUADROACAD!A51)</f>
        <v>2</v>
      </c>
      <c r="GN51" s="3">
        <f>IF(TABLERO!B51="",0,TABLERO!B51)</f>
        <v>21</v>
      </c>
      <c r="GO51" s="3">
        <f>IF(TABLERO!C51="",GN51,TABLERO!C51)</f>
        <v>21</v>
      </c>
      <c r="GP51" s="3">
        <f>IF(TABLERO!D51="",GN51,TABLERO!D51)</f>
        <v>21</v>
      </c>
    </row>
    <row r="52" spans="1:198" s="3" customFormat="1">
      <c r="A52" s="706"/>
      <c r="B52" s="869">
        <v>22</v>
      </c>
      <c r="C52" s="870" t="str">
        <f t="shared" si="15"/>
        <v/>
      </c>
      <c r="D52" s="870" t="str">
        <f t="shared" si="16"/>
        <v/>
      </c>
      <c r="E52" s="871"/>
      <c r="F52" s="872">
        <v>1</v>
      </c>
      <c r="G52" s="716">
        <f t="shared" si="17"/>
        <v>2</v>
      </c>
      <c r="H52" s="873" t="s">
        <v>12</v>
      </c>
      <c r="I52" s="874" t="str">
        <f t="shared" si="18"/>
        <v>CU</v>
      </c>
      <c r="J52" s="875">
        <v>6</v>
      </c>
      <c r="K52" s="876">
        <v>10</v>
      </c>
      <c r="L52" s="876">
        <v>3</v>
      </c>
      <c r="M52" s="877">
        <v>1</v>
      </c>
      <c r="N52" s="877">
        <v>1</v>
      </c>
      <c r="O52" s="878">
        <v>1</v>
      </c>
      <c r="P52" s="879">
        <v>4</v>
      </c>
      <c r="Q52" s="880">
        <v>1</v>
      </c>
      <c r="R52" s="880">
        <v>1</v>
      </c>
      <c r="S52" s="881">
        <v>1</v>
      </c>
      <c r="T52" s="881">
        <v>1</v>
      </c>
      <c r="U52" s="882">
        <v>1</v>
      </c>
      <c r="V52" s="883">
        <v>1</v>
      </c>
      <c r="W52" s="874" t="str">
        <f t="shared" si="19"/>
        <v>SI</v>
      </c>
      <c r="X52" s="884"/>
      <c r="Y52" s="885"/>
      <c r="Z52" s="885"/>
      <c r="AA52" s="885"/>
      <c r="AB52" s="885"/>
      <c r="AC52" s="885"/>
      <c r="AD52" s="885"/>
      <c r="AE52" s="885"/>
      <c r="AF52" s="885"/>
      <c r="AG52" s="885"/>
      <c r="AH52" s="885"/>
      <c r="AI52" s="885"/>
      <c r="AJ52" s="885"/>
      <c r="AK52" s="885"/>
      <c r="AL52" s="885"/>
      <c r="AM52" s="885"/>
      <c r="AN52" s="885"/>
      <c r="AO52" s="885"/>
      <c r="AP52" s="885"/>
      <c r="AQ52" s="885"/>
      <c r="AR52" s="885"/>
      <c r="AS52" s="885"/>
      <c r="AT52" s="885"/>
      <c r="AU52" s="885"/>
      <c r="AV52" s="885"/>
      <c r="AW52" s="885"/>
      <c r="AX52" s="885"/>
      <c r="AY52" s="885"/>
      <c r="AZ52" s="885"/>
      <c r="BA52" s="886"/>
      <c r="BB52" s="887">
        <f t="shared" si="20"/>
        <v>0</v>
      </c>
      <c r="BC52" s="888" t="str">
        <f t="shared" si="21"/>
        <v/>
      </c>
      <c r="BD52" s="889" t="str">
        <f t="shared" si="22"/>
        <v/>
      </c>
      <c r="BE52" s="889" t="str">
        <f t="shared" si="23"/>
        <v/>
      </c>
      <c r="BF52" s="889" t="str">
        <f t="shared" si="24"/>
        <v/>
      </c>
      <c r="BG52" s="889" t="str">
        <f t="shared" si="25"/>
        <v/>
      </c>
      <c r="BH52" s="889" t="str">
        <f t="shared" si="26"/>
        <v/>
      </c>
      <c r="BI52" s="890" t="str">
        <f t="shared" si="27"/>
        <v/>
      </c>
      <c r="BJ52" s="891" t="str">
        <f t="shared" si="28"/>
        <v/>
      </c>
      <c r="BK52" s="892" t="str">
        <f t="shared" si="29"/>
        <v/>
      </c>
      <c r="BL52" s="892" t="str">
        <f t="shared" si="30"/>
        <v/>
      </c>
      <c r="BM52" s="892" t="str">
        <f t="shared" si="31"/>
        <v/>
      </c>
      <c r="BN52" s="892" t="str">
        <f t="shared" si="32"/>
        <v/>
      </c>
      <c r="BO52" s="892" t="str">
        <f t="shared" si="33"/>
        <v/>
      </c>
      <c r="BP52" s="893" t="str">
        <f t="shared" si="34"/>
        <v/>
      </c>
      <c r="BQ52" s="894" t="str">
        <f t="shared" si="35"/>
        <v/>
      </c>
      <c r="BR52" s="895" t="str">
        <f t="shared" si="10"/>
        <v/>
      </c>
      <c r="BS52" s="896" t="str">
        <f t="shared" si="36"/>
        <v/>
      </c>
      <c r="BT52" s="897" t="str">
        <f t="shared" si="37"/>
        <v/>
      </c>
      <c r="BU52" s="231" t="str">
        <f t="shared" si="38"/>
        <v/>
      </c>
      <c r="BV52" s="898">
        <f t="shared" si="39"/>
        <v>127</v>
      </c>
      <c r="BW52" s="845" t="str">
        <f t="shared" si="40"/>
        <v/>
      </c>
      <c r="BX52" s="899" t="str">
        <f t="shared" si="41"/>
        <v/>
      </c>
      <c r="BY52" s="900" t="str" cm="1">
        <f t="array" ref="BY52">[1]!ACAELE_CAPACIDADCABLE(BB52,H52,I52,M52,BX52,N52)</f>
        <v/>
      </c>
      <c r="BZ52" s="900" t="str">
        <f t="shared" si="42"/>
        <v/>
      </c>
      <c r="CA52" s="901" t="str" cm="1">
        <f t="array" ref="CA52">[1]!ACAELE_cabledetierra(BZ52,$N$9,I52,BW52,BX52,G52)</f>
        <v/>
      </c>
      <c r="CB52" s="902" t="str" cm="1">
        <f t="array" ref="CB52">[1]!ACAELE_TAMATUBERIA(BX52,DU52,$N$9,M52,I52)</f>
        <v/>
      </c>
      <c r="CC52" s="846" t="str">
        <f t="shared" si="43"/>
        <v/>
      </c>
      <c r="CD52" s="903" t="str" cm="1">
        <f t="array" ref="CD52">[1]!ACAELE_CAPACIDADCABLE(BB52,H52,I52,M52,CC52,N52)</f>
        <v/>
      </c>
      <c r="CE52" s="903" t="str">
        <f t="shared" si="44"/>
        <v/>
      </c>
      <c r="CF52" s="904" t="str" cm="1">
        <f t="array" ref="CF52">[1]!ACAELE_cabledetierra(CE52,$N$9,I52,BW52,CC52,G52)</f>
        <v/>
      </c>
      <c r="CG52" s="905" t="str" cm="1">
        <f t="array" ref="CG52">[1]!ACAELE_TAMATUBERIA(CC52,EC52,$N$9,S52,I52)</f>
        <v/>
      </c>
      <c r="CH52" s="906" t="str">
        <f t="shared" si="45"/>
        <v/>
      </c>
      <c r="CI52" s="510" t="str">
        <f t="shared" si="46"/>
        <v>-</v>
      </c>
      <c r="CJ52" s="511" t="str">
        <f t="shared" si="47"/>
        <v>-</v>
      </c>
      <c r="CK52" s="512" t="str">
        <f t="shared" si="48"/>
        <v>-</v>
      </c>
      <c r="CL52" s="907" t="str">
        <f t="shared" si="49"/>
        <v>-</v>
      </c>
      <c r="CM52" s="908" t="str">
        <f t="shared" si="50"/>
        <v>-</v>
      </c>
      <c r="CN52" s="909" t="str">
        <f t="shared" si="51"/>
        <v>-</v>
      </c>
      <c r="CO52" s="910" t="str" cm="1">
        <f t="array" ref="CO52">[1]!ACAELE_fasecorresponde(B52,$F$10,$P$5)</f>
        <v>B</v>
      </c>
      <c r="CP52" s="910" t="str" cm="1">
        <f t="array" ref="CP52">[1]!ACAELE_fasecorresponde(C52,$F$10,$P$5)</f>
        <v>-</v>
      </c>
      <c r="CQ52" s="910" t="str" cm="1">
        <f t="array" ref="CQ52">[1]!ACAELE_fasecorresponde(D52,$F$10,$P$5)</f>
        <v>-</v>
      </c>
      <c r="CR52" s="911" t="str">
        <f t="shared" si="52"/>
        <v>C</v>
      </c>
      <c r="CS52" s="912">
        <f t="shared" si="53"/>
        <v>1</v>
      </c>
      <c r="CT52" s="913">
        <f t="shared" si="54"/>
        <v>0.8</v>
      </c>
      <c r="CU52" s="914" t="str">
        <f t="shared" si="55"/>
        <v/>
      </c>
      <c r="CV52" s="915">
        <f t="shared" si="56"/>
        <v>0</v>
      </c>
      <c r="CW52" s="916" t="str" cm="1">
        <f t="array" ref="CW52">[1]!ACAELE_Inominal(BB52,F52,BT52,BV52,DA52,G52,V52,$P$5)</f>
        <v/>
      </c>
      <c r="CX52" s="917" t="str" cm="1">
        <f t="array" ref="CX52">[1]!ACAELE_Disparocalculado(BB52,H52,DL52,$N$21,$M$21,$O$21,BV52,$P$5)</f>
        <v/>
      </c>
      <c r="CY52" s="918" t="str" cm="1">
        <f t="array" ref="CY52">[1]!ACAELE_Icorregida($A$27,H52,BB52,BU52,CS52,CT52,$P$5)</f>
        <v/>
      </c>
      <c r="CZ52" s="919" t="str" cm="1">
        <f t="array" ref="CZ52">[1]!ACAELE_Icorregida2($A$27,H52,BB52,BU52,CS52,CU52,$P$5)</f>
        <v/>
      </c>
      <c r="DA52" s="920">
        <f t="shared" si="57"/>
        <v>0.9</v>
      </c>
      <c r="DB52" s="921">
        <f t="shared" si="58"/>
        <v>0.43588989435406728</v>
      </c>
      <c r="DC52" s="922" t="str" cm="1">
        <f t="array" ref="DC52">[1]!ACAELE_CONDPORTCORRIENTE(H52,BB52,I52,M52,CY52,CZ52,N52,$P$5)</f>
        <v/>
      </c>
      <c r="DD52" s="923" t="str" cm="1">
        <f t="array" ref="DD52">[1]!ACAELE_CAPACONDCORRIENTE(BB52,H52,I52,M52,CY52,CZ52,$P$5)</f>
        <v/>
      </c>
      <c r="DE52" s="923" t="str" cm="1">
        <f t="array" ref="DE52">[1]!ACAELE_CAPACIDADCABLE(BB52,H52,I52,M52,DC52,N52,$P$5)</f>
        <v/>
      </c>
      <c r="DF52" s="924" t="str" cm="1">
        <f t="array" ref="DF52">[1]!ACAELE_encontrarcaida(BB52,H52,L52,BV52,F52,BU52,N52,K52)</f>
        <v/>
      </c>
      <c r="DG52" s="925" t="str" cm="1">
        <f t="array" ref="DG52">[1]!ACAELE_Cablecaida(BB52,H52,M52,I52,DF52)</f>
        <v/>
      </c>
      <c r="DH52" s="918" t="str" cm="1">
        <f t="array" ref="DH52">[1]!ACAELE_CAPACIDADCABLE(BB52,H52,I52,M52,DG52,N52,$P$5)</f>
        <v/>
      </c>
      <c r="DI52" s="926" t="str" cm="1">
        <f t="array" ref="DI52">IF($A$27=1,"",[1]!ACAELE_encontrarcaida(BB52,H52,R52,BV52,F52,BU52,T52,Q52,$P$5))</f>
        <v/>
      </c>
      <c r="DJ52" s="914" t="str" cm="1">
        <f t="array" ref="DJ52">IF($A$27=1,"",[1]!ACAELE_Cablecaida2(BB52,Q52,H52,S52,I52,DI52,$P$5))</f>
        <v/>
      </c>
      <c r="DK52" s="919" t="str" cm="1">
        <f t="array" ref="DK52">[1]!ACAELE_CAPACIDADCABLE(BB52,H52,I52,M52,DJ52,N52,$P$5)</f>
        <v/>
      </c>
      <c r="DL52" s="927" t="str" cm="1">
        <f t="array" ref="DL52">[1]!acaele_Iproteccion(BB52,H52,BU52,$F$20,$G$20,$F$19,$G$19,$H$20,$H$19,$P$5)</f>
        <v/>
      </c>
      <c r="DM52" s="928" cm="1">
        <f t="array" ref="DM52">[1]!acaele_ProtCalculada(CX52,H52,BT52,BW52,$G$21,$F$21,$H$21,$P$5)</f>
        <v>0</v>
      </c>
      <c r="DN52" s="929" t="str" cm="1">
        <f t="array" ref="DN52">[1]!ACAELE_cablecalculo(BB52,H52,I52,M52,EF52,$P$5)</f>
        <v/>
      </c>
      <c r="DO52" s="930" t="str" cm="1">
        <f t="array" ref="DO52">[1]!ACAELE_RESISTENCIA(BB52,H52,M52,I52,BX52, CW52,$P$5)</f>
        <v/>
      </c>
      <c r="DP52" s="931" t="str" cm="1">
        <f t="array" ref="DP52">[1]!ACAELE_REACTANCIA(BB52,H52,$F$11,M52,I52,BX52,$P$5)</f>
        <v/>
      </c>
      <c r="DQ52" s="918" t="str" cm="1">
        <f t="array" ref="DQ52">[1]!ACAELE_DIAMECAISLA(BB52,H52,I52,BX52,$P$5)</f>
        <v/>
      </c>
      <c r="DR52" s="918" t="str" cm="1">
        <f t="array" ref="DR52">[1]!ACAELE_AREACAISLAMIENTO(BB52,H52,DQ52,$P$5)</f>
        <v/>
      </c>
      <c r="DS52" s="918" t="str" cm="1">
        <f t="array" ref="DS52">[1]!ACAELE_CAIDAVOLTSFINAL(BB52,H52,F52,K52,BU52,N52,DO52,DA52,DP52,DB52,$P$5)</f>
        <v/>
      </c>
      <c r="DT52" s="918" t="str" cm="1">
        <f t="array" ref="DT52">[1]!ACAELE_AREACONDPTE(BB52,H52,CA52,$P$5)</f>
        <v/>
      </c>
      <c r="DU52" s="932" t="str" cm="1">
        <f t="array" ref="DU52">[1]!ACAELE_AREATOTAL(BZ52,M52,EO52,N52,DQ52,G52,DR52,DT52,N$20,$P$5)</f>
        <v/>
      </c>
      <c r="DV52" s="933" t="str" cm="1">
        <f t="array" ref="DV52">IF($A$27=1,"",[1]!ACAELE_cablecalculo(BB52,H52,I52,M52,EG52,$P$5))</f>
        <v/>
      </c>
      <c r="DW52" s="934" t="str" cm="1">
        <f t="array" ref="DW52">IF($A$27=1,"",[1]!ACAELE_RESISTENCIA(BB52,H52,M52,I52,CC52,CW52,$P$5))</f>
        <v/>
      </c>
      <c r="DX52" s="926" t="str" cm="1">
        <f t="array" ref="DX52">IF($A$27=1,"",[1]!ACAELE_REACTANCIA(BB52,H52,$F$11,M52,I52,CC52,$P$5))</f>
        <v/>
      </c>
      <c r="DY52" s="935" t="str" cm="1">
        <f t="array" ref="DY52">IF($A$27=1,"",[1]!ACAELE_DIAMECAISLA(BB52,H52,I52,CC52,$P$5))</f>
        <v/>
      </c>
      <c r="DZ52" s="935" t="str" cm="1">
        <f t="array" ref="DZ52">IF($A$27=1,"",[1]!ACAELE_AREACAISLAMIENTO(BB52,H52,DY52,$P$5))</f>
        <v/>
      </c>
      <c r="EA52" s="935" t="str" cm="1">
        <f t="array" ref="EA52">[1]!ACAELE_CAIDAVOLTSFINAL2(BB52,Q52,H52,F52,$A$27,BU52,T52,DW52,DA52,DX52,DB52)</f>
        <v/>
      </c>
      <c r="EB52" s="935" t="str" cm="1">
        <f t="array" ref="EB52">IF($A$27=1,"",[1]!ACAELE_AREACONDPTE(BB52,H52,CF52,$P$5))</f>
        <v/>
      </c>
      <c r="EC52" s="936" t="str" cm="1">
        <f t="array" ref="EC52">[1]!ACAELE_AREATOTAL2(H52,$A$27,DY52,S52,G52,T52,DZ52,U52,EB52)</f>
        <v/>
      </c>
      <c r="ED52" s="937" t="str">
        <f t="shared" si="59"/>
        <v/>
      </c>
      <c r="EE52" s="938" t="str">
        <f t="shared" si="60"/>
        <v/>
      </c>
      <c r="EF52" s="939" t="str">
        <f t="shared" si="61"/>
        <v/>
      </c>
      <c r="EG52" s="940">
        <f t="shared" si="62"/>
        <v>0</v>
      </c>
      <c r="EH52" s="941" t="str">
        <f t="shared" si="63"/>
        <v/>
      </c>
      <c r="EI52" s="942">
        <f t="shared" si="64"/>
        <v>30</v>
      </c>
      <c r="EJ52" s="943" t="str">
        <f t="shared" si="11"/>
        <v/>
      </c>
      <c r="EK52" s="943" t="str">
        <f t="shared" si="12"/>
        <v/>
      </c>
      <c r="EL52" s="943" t="str">
        <f t="shared" si="13"/>
        <v/>
      </c>
      <c r="EM52" s="944" t="str">
        <f t="shared" si="14"/>
        <v/>
      </c>
      <c r="EN52" s="945" t="str" cm="1">
        <f t="array" ref="EN52">[1]!ACAELE_MOTOR(H52,X52:BA52,$X$26:$BA$26,$P$5)</f>
        <v/>
      </c>
      <c r="EO52" s="550" t="str">
        <f t="shared" si="65"/>
        <v/>
      </c>
      <c r="EP52" s="431" t="s">
        <v>1214</v>
      </c>
      <c r="EQ52" s="434" t="str">
        <f t="shared" ca="1" si="66"/>
        <v/>
      </c>
      <c r="ER52" s="32"/>
      <c r="ES52" s="32"/>
      <c r="ET52" s="3" t="str">
        <f t="shared" si="67"/>
        <v/>
      </c>
      <c r="EU52" s="3" t="str">
        <f t="shared" si="68"/>
        <v/>
      </c>
      <c r="EV52" s="3" t="str">
        <f t="shared" si="69"/>
        <v/>
      </c>
      <c r="EW52" s="3" t="str">
        <f t="shared" si="70"/>
        <v/>
      </c>
      <c r="EX52" s="3" t="str">
        <f t="shared" si="71"/>
        <v/>
      </c>
      <c r="EY52" s="3" t="str">
        <f t="shared" si="72"/>
        <v/>
      </c>
      <c r="EZ52" s="3" t="str">
        <f t="shared" si="73"/>
        <v/>
      </c>
      <c r="FA52" s="3" t="str">
        <f t="shared" si="74"/>
        <v/>
      </c>
      <c r="FB52" s="3" t="str">
        <f t="shared" si="75"/>
        <v/>
      </c>
      <c r="FC52" s="3">
        <f t="shared" si="76"/>
        <v>0</v>
      </c>
      <c r="FD52" s="32"/>
      <c r="FE52" s="32"/>
      <c r="FF52" s="103">
        <v>1</v>
      </c>
      <c r="FG52" s="32"/>
      <c r="FH52" s="103"/>
      <c r="FI52" s="32"/>
      <c r="FJ52" s="103"/>
      <c r="FK52" s="3">
        <f t="shared" si="77"/>
        <v>0</v>
      </c>
      <c r="FL52" s="3" t="str" cm="1">
        <f t="array" aca="1" ref="FL52" ca="1">[1]!acaele_DIB_UNIFILAR(BB52,H52,F52,COUNTIF(X52:BA52,1),BW52)</f>
        <v/>
      </c>
      <c r="FM52" s="3" t="str">
        <f>IF(DATOS!$T$4=0,"",IF(DATOS!$T$4=1," (QO)",IF(DATOS!$T$4=2," (QOB)",IF(DATOS!$T$4=3," (EDB)",IF(DATOS!$T$4=4,IF(BW52&lt;151," (H"&amp;FN52&amp;")",IF(BW52&lt;251," (J"&amp;FN52&amp;")", IF(BW52&lt;401," (LA)",IF(BW52&lt;801," (MG)",IF(BW52&lt;5001," (POWERPACK)",""))))))))))</f>
        <v xml:space="preserve"> (QOB)</v>
      </c>
      <c r="FN52" s="3" t="str">
        <f t="shared" si="78"/>
        <v/>
      </c>
      <c r="FO52" s="146"/>
      <c r="FP52" s="146"/>
      <c r="FQ52" s="146"/>
      <c r="FR52" s="146"/>
      <c r="FS52" s="146"/>
      <c r="FT52" s="146"/>
      <c r="FU52" s="146"/>
      <c r="FV52" s="146"/>
      <c r="FW52" s="146"/>
      <c r="FX52" s="146" t="str">
        <f t="shared" si="9"/>
        <v/>
      </c>
      <c r="FY52" s="736"/>
      <c r="FZ52" s="740"/>
      <c r="GA52" s="740"/>
      <c r="GB52" s="717"/>
      <c r="GC52" s="838"/>
      <c r="GD52" s="736"/>
      <c r="GE52" s="146"/>
      <c r="GF52" s="506"/>
      <c r="GG52" s="506"/>
      <c r="GH52" s="506"/>
      <c r="GI52" s="506"/>
      <c r="GJ52" s="506"/>
      <c r="GM52" s="3">
        <f>IF(OR(GN52&gt;TABLERO!$M$19,GO52&gt;TABLERO!$M$19,GP52&gt;TABLERO!$M$19,B52=0,C52=0,D52=0),2,CUADROACAD!A52)</f>
        <v>2</v>
      </c>
      <c r="GN52" s="3">
        <f>IF(TABLERO!B52="",0,TABLERO!B52)</f>
        <v>22</v>
      </c>
      <c r="GO52" s="3">
        <f>IF(TABLERO!C52="",GN52,TABLERO!C52)</f>
        <v>22</v>
      </c>
      <c r="GP52" s="3">
        <f>IF(TABLERO!D52="",GN52,TABLERO!D52)</f>
        <v>22</v>
      </c>
    </row>
    <row r="53" spans="1:198" s="3" customFormat="1">
      <c r="A53" s="706"/>
      <c r="B53" s="869">
        <v>23</v>
      </c>
      <c r="C53" s="870" t="str">
        <f t="shared" si="15"/>
        <v/>
      </c>
      <c r="D53" s="870" t="str">
        <f t="shared" si="16"/>
        <v/>
      </c>
      <c r="E53" s="871"/>
      <c r="F53" s="872">
        <v>1</v>
      </c>
      <c r="G53" s="716">
        <f t="shared" si="17"/>
        <v>2</v>
      </c>
      <c r="H53" s="873" t="s">
        <v>12</v>
      </c>
      <c r="I53" s="874" t="str">
        <f t="shared" si="18"/>
        <v>CU</v>
      </c>
      <c r="J53" s="875">
        <v>6</v>
      </c>
      <c r="K53" s="876">
        <v>10</v>
      </c>
      <c r="L53" s="876">
        <v>3</v>
      </c>
      <c r="M53" s="877">
        <v>1</v>
      </c>
      <c r="N53" s="877">
        <v>1</v>
      </c>
      <c r="O53" s="878">
        <v>1</v>
      </c>
      <c r="P53" s="879">
        <v>4</v>
      </c>
      <c r="Q53" s="880">
        <v>1</v>
      </c>
      <c r="R53" s="880">
        <v>1</v>
      </c>
      <c r="S53" s="881">
        <v>1</v>
      </c>
      <c r="T53" s="881">
        <v>1</v>
      </c>
      <c r="U53" s="882">
        <v>1</v>
      </c>
      <c r="V53" s="883">
        <v>1</v>
      </c>
      <c r="W53" s="874" t="str">
        <f t="shared" si="19"/>
        <v>SI</v>
      </c>
      <c r="X53" s="884"/>
      <c r="Y53" s="885"/>
      <c r="Z53" s="885"/>
      <c r="AA53" s="885"/>
      <c r="AB53" s="885"/>
      <c r="AC53" s="885"/>
      <c r="AD53" s="885"/>
      <c r="AE53" s="885"/>
      <c r="AF53" s="885"/>
      <c r="AG53" s="885"/>
      <c r="AH53" s="885"/>
      <c r="AI53" s="885"/>
      <c r="AJ53" s="885"/>
      <c r="AK53" s="885"/>
      <c r="AL53" s="885"/>
      <c r="AM53" s="885"/>
      <c r="AN53" s="885"/>
      <c r="AO53" s="885"/>
      <c r="AP53" s="885"/>
      <c r="AQ53" s="885"/>
      <c r="AR53" s="885"/>
      <c r="AS53" s="885"/>
      <c r="AT53" s="885"/>
      <c r="AU53" s="885"/>
      <c r="AV53" s="885"/>
      <c r="AW53" s="885"/>
      <c r="AX53" s="885"/>
      <c r="AY53" s="885"/>
      <c r="AZ53" s="885"/>
      <c r="BA53" s="886"/>
      <c r="BB53" s="887">
        <f t="shared" si="20"/>
        <v>0</v>
      </c>
      <c r="BC53" s="888" t="str">
        <f t="shared" si="21"/>
        <v/>
      </c>
      <c r="BD53" s="889" t="str">
        <f t="shared" si="22"/>
        <v/>
      </c>
      <c r="BE53" s="889" t="str">
        <f t="shared" si="23"/>
        <v/>
      </c>
      <c r="BF53" s="889" t="str">
        <f t="shared" si="24"/>
        <v/>
      </c>
      <c r="BG53" s="889" t="str">
        <f t="shared" si="25"/>
        <v/>
      </c>
      <c r="BH53" s="889" t="str">
        <f t="shared" si="26"/>
        <v/>
      </c>
      <c r="BI53" s="890" t="str">
        <f t="shared" si="27"/>
        <v/>
      </c>
      <c r="BJ53" s="891" t="str">
        <f t="shared" si="28"/>
        <v/>
      </c>
      <c r="BK53" s="892" t="str">
        <f t="shared" si="29"/>
        <v/>
      </c>
      <c r="BL53" s="892" t="str">
        <f t="shared" si="30"/>
        <v/>
      </c>
      <c r="BM53" s="892" t="str">
        <f t="shared" si="31"/>
        <v/>
      </c>
      <c r="BN53" s="892" t="str">
        <f t="shared" si="32"/>
        <v/>
      </c>
      <c r="BO53" s="892" t="str">
        <f t="shared" si="33"/>
        <v/>
      </c>
      <c r="BP53" s="893" t="str">
        <f t="shared" si="34"/>
        <v/>
      </c>
      <c r="BQ53" s="894" t="str">
        <f t="shared" si="35"/>
        <v/>
      </c>
      <c r="BR53" s="895" t="str">
        <f t="shared" si="10"/>
        <v/>
      </c>
      <c r="BS53" s="896" t="str">
        <f t="shared" si="36"/>
        <v/>
      </c>
      <c r="BT53" s="897" t="str">
        <f t="shared" si="37"/>
        <v/>
      </c>
      <c r="BU53" s="231" t="str">
        <f t="shared" si="38"/>
        <v/>
      </c>
      <c r="BV53" s="898">
        <f t="shared" si="39"/>
        <v>127</v>
      </c>
      <c r="BW53" s="845" t="str">
        <f t="shared" si="40"/>
        <v/>
      </c>
      <c r="BX53" s="899" t="str">
        <f t="shared" si="41"/>
        <v/>
      </c>
      <c r="BY53" s="900" t="str" cm="1">
        <f t="array" ref="BY53">[1]!ACAELE_CAPACIDADCABLE(BB53,H53,I53,M53,BX53,N53)</f>
        <v/>
      </c>
      <c r="BZ53" s="900" t="str">
        <f t="shared" si="42"/>
        <v/>
      </c>
      <c r="CA53" s="901" t="str" cm="1">
        <f t="array" ref="CA53">[1]!ACAELE_cabledetierra(BZ53,$N$9,I53,BW53,BX53,G53)</f>
        <v/>
      </c>
      <c r="CB53" s="902" t="str" cm="1">
        <f t="array" ref="CB53">[1]!ACAELE_TAMATUBERIA(BX53,DU53,$N$9,M53,I53)</f>
        <v/>
      </c>
      <c r="CC53" s="846" t="str">
        <f t="shared" si="43"/>
        <v/>
      </c>
      <c r="CD53" s="903" t="str" cm="1">
        <f t="array" ref="CD53">[1]!ACAELE_CAPACIDADCABLE(BB53,H53,I53,M53,CC53,N53)</f>
        <v/>
      </c>
      <c r="CE53" s="903" t="str">
        <f t="shared" si="44"/>
        <v/>
      </c>
      <c r="CF53" s="904" t="str" cm="1">
        <f t="array" ref="CF53">[1]!ACAELE_cabledetierra(CE53,$N$9,I53,BW53,CC53,G53)</f>
        <v/>
      </c>
      <c r="CG53" s="905" t="str" cm="1">
        <f t="array" ref="CG53">[1]!ACAELE_TAMATUBERIA(CC53,EC53,$N$9,S53,I53)</f>
        <v/>
      </c>
      <c r="CH53" s="906" t="str">
        <f t="shared" si="45"/>
        <v/>
      </c>
      <c r="CI53" s="510" t="str">
        <f t="shared" si="46"/>
        <v>-</v>
      </c>
      <c r="CJ53" s="511" t="str">
        <f t="shared" si="47"/>
        <v>-</v>
      </c>
      <c r="CK53" s="512" t="str">
        <f t="shared" si="48"/>
        <v>-</v>
      </c>
      <c r="CL53" s="907" t="str">
        <f t="shared" si="49"/>
        <v>-</v>
      </c>
      <c r="CM53" s="908" t="str">
        <f t="shared" si="50"/>
        <v>-</v>
      </c>
      <c r="CN53" s="909" t="str">
        <f t="shared" si="51"/>
        <v>-</v>
      </c>
      <c r="CO53" s="910" t="str" cm="1">
        <f t="array" ref="CO53">[1]!ACAELE_fasecorresponde(B53,$F$10,$P$5)</f>
        <v>C</v>
      </c>
      <c r="CP53" s="910" t="str" cm="1">
        <f t="array" ref="CP53">[1]!ACAELE_fasecorresponde(C53,$F$10,$P$5)</f>
        <v>-</v>
      </c>
      <c r="CQ53" s="910" t="str" cm="1">
        <f t="array" ref="CQ53">[1]!ACAELE_fasecorresponde(D53,$F$10,$P$5)</f>
        <v>-</v>
      </c>
      <c r="CR53" s="911" t="str">
        <f t="shared" si="52"/>
        <v>C</v>
      </c>
      <c r="CS53" s="912">
        <f t="shared" si="53"/>
        <v>1</v>
      </c>
      <c r="CT53" s="913">
        <f t="shared" si="54"/>
        <v>0.8</v>
      </c>
      <c r="CU53" s="914" t="str">
        <f t="shared" si="55"/>
        <v/>
      </c>
      <c r="CV53" s="915">
        <f t="shared" si="56"/>
        <v>0</v>
      </c>
      <c r="CW53" s="916" t="str" cm="1">
        <f t="array" ref="CW53">[1]!ACAELE_Inominal(BB53,F53,BT53,BV53,DA53,G53,V53,$P$5)</f>
        <v/>
      </c>
      <c r="CX53" s="917" t="str" cm="1">
        <f t="array" ref="CX53">[1]!ACAELE_Disparocalculado(BB53,H53,DL53,$N$21,$M$21,$O$21,BV53,$P$5)</f>
        <v/>
      </c>
      <c r="CY53" s="918" t="str" cm="1">
        <f t="array" ref="CY53">[1]!ACAELE_Icorregida($A$27,H53,BB53,BU53,CS53,CT53,$P$5)</f>
        <v/>
      </c>
      <c r="CZ53" s="919" t="str" cm="1">
        <f t="array" ref="CZ53">[1]!ACAELE_Icorregida2($A$27,H53,BB53,BU53,CS53,CU53,$P$5)</f>
        <v/>
      </c>
      <c r="DA53" s="920">
        <f t="shared" si="57"/>
        <v>0.9</v>
      </c>
      <c r="DB53" s="921">
        <f t="shared" si="58"/>
        <v>0.43588989435406728</v>
      </c>
      <c r="DC53" s="922" t="str" cm="1">
        <f t="array" ref="DC53">[1]!ACAELE_CONDPORTCORRIENTE(H53,BB53,I53,M53,CY53,CZ53,N53,$P$5)</f>
        <v/>
      </c>
      <c r="DD53" s="923" t="str" cm="1">
        <f t="array" ref="DD53">[1]!ACAELE_CAPACONDCORRIENTE(BB53,H53,I53,M53,CY53,CZ53,$P$5)</f>
        <v/>
      </c>
      <c r="DE53" s="923" t="str" cm="1">
        <f t="array" ref="DE53">[1]!ACAELE_CAPACIDADCABLE(BB53,H53,I53,M53,DC53,N53,$P$5)</f>
        <v/>
      </c>
      <c r="DF53" s="924" t="str" cm="1">
        <f t="array" ref="DF53">[1]!ACAELE_encontrarcaida(BB53,H53,L53,BV53,F53,BU53,N53,K53)</f>
        <v/>
      </c>
      <c r="DG53" s="925" t="str" cm="1">
        <f t="array" ref="DG53">[1]!ACAELE_Cablecaida(BB53,H53,M53,I53,DF53)</f>
        <v/>
      </c>
      <c r="DH53" s="918" t="str" cm="1">
        <f t="array" ref="DH53">[1]!ACAELE_CAPACIDADCABLE(BB53,H53,I53,M53,DG53,N53,$P$5)</f>
        <v/>
      </c>
      <c r="DI53" s="926" t="str" cm="1">
        <f t="array" ref="DI53">IF($A$27=1,"",[1]!ACAELE_encontrarcaida(BB53,H53,R53,BV53,F53,BU53,T53,Q53,$P$5))</f>
        <v/>
      </c>
      <c r="DJ53" s="914" t="str" cm="1">
        <f t="array" ref="DJ53">IF($A$27=1,"",[1]!ACAELE_Cablecaida2(BB53,Q53,H53,S53,I53,DI53,$P$5))</f>
        <v/>
      </c>
      <c r="DK53" s="919" t="str" cm="1">
        <f t="array" ref="DK53">[1]!ACAELE_CAPACIDADCABLE(BB53,H53,I53,M53,DJ53,N53,$P$5)</f>
        <v/>
      </c>
      <c r="DL53" s="927" t="str" cm="1">
        <f t="array" ref="DL53">[1]!acaele_Iproteccion(BB53,H53,BU53,$F$20,$G$20,$F$19,$G$19,$H$20,$H$19,$P$5)</f>
        <v/>
      </c>
      <c r="DM53" s="928" cm="1">
        <f t="array" ref="DM53">[1]!acaele_ProtCalculada(CX53,H53,BT53,BW53,$G$21,$F$21,$H$21,$P$5)</f>
        <v>0</v>
      </c>
      <c r="DN53" s="929" t="str" cm="1">
        <f t="array" ref="DN53">[1]!ACAELE_cablecalculo(BB53,H53,I53,M53,EF53,$P$5)</f>
        <v/>
      </c>
      <c r="DO53" s="930" t="str" cm="1">
        <f t="array" ref="DO53">[1]!ACAELE_RESISTENCIA(BB53,H53,M53,I53,BX53, CW53,$P$5)</f>
        <v/>
      </c>
      <c r="DP53" s="931" t="str" cm="1">
        <f t="array" ref="DP53">[1]!ACAELE_REACTANCIA(BB53,H53,$F$11,M53,I53,BX53,$P$5)</f>
        <v/>
      </c>
      <c r="DQ53" s="918" t="str" cm="1">
        <f t="array" ref="DQ53">[1]!ACAELE_DIAMECAISLA(BB53,H53,I53,BX53,$P$5)</f>
        <v/>
      </c>
      <c r="DR53" s="918" t="str" cm="1">
        <f t="array" ref="DR53">[1]!ACAELE_AREACAISLAMIENTO(BB53,H53,DQ53,$P$5)</f>
        <v/>
      </c>
      <c r="DS53" s="918" t="str" cm="1">
        <f t="array" ref="DS53">[1]!ACAELE_CAIDAVOLTSFINAL(BB53,H53,F53,K53,BU53,N53,DO53,DA53,DP53,DB53,$P$5)</f>
        <v/>
      </c>
      <c r="DT53" s="918" t="str" cm="1">
        <f t="array" ref="DT53">[1]!ACAELE_AREACONDPTE(BB53,H53,CA53,$P$5)</f>
        <v/>
      </c>
      <c r="DU53" s="932" t="str" cm="1">
        <f t="array" ref="DU53">[1]!ACAELE_AREATOTAL(BZ53,M53,EO53,N53,DQ53,G53,DR53,DT53,N$20,$P$5)</f>
        <v/>
      </c>
      <c r="DV53" s="933" t="str" cm="1">
        <f t="array" ref="DV53">IF($A$27=1,"",[1]!ACAELE_cablecalculo(BB53,H53,I53,M53,EG53,$P$5))</f>
        <v/>
      </c>
      <c r="DW53" s="934" t="str" cm="1">
        <f t="array" ref="DW53">IF($A$27=1,"",[1]!ACAELE_RESISTENCIA(BB53,H53,M53,I53,CC53,CW53,$P$5))</f>
        <v/>
      </c>
      <c r="DX53" s="926" t="str" cm="1">
        <f t="array" ref="DX53">IF($A$27=1,"",[1]!ACAELE_REACTANCIA(BB53,H53,$F$11,M53,I53,CC53,$P$5))</f>
        <v/>
      </c>
      <c r="DY53" s="935" t="str" cm="1">
        <f t="array" ref="DY53">IF($A$27=1,"",[1]!ACAELE_DIAMECAISLA(BB53,H53,I53,CC53,$P$5))</f>
        <v/>
      </c>
      <c r="DZ53" s="935" t="str" cm="1">
        <f t="array" ref="DZ53">IF($A$27=1,"",[1]!ACAELE_AREACAISLAMIENTO(BB53,H53,DY53,$P$5))</f>
        <v/>
      </c>
      <c r="EA53" s="935" t="str" cm="1">
        <f t="array" ref="EA53">[1]!ACAELE_CAIDAVOLTSFINAL2(BB53,Q53,H53,F53,$A$27,BU53,T53,DW53,DA53,DX53,DB53)</f>
        <v/>
      </c>
      <c r="EB53" s="935" t="str" cm="1">
        <f t="array" ref="EB53">IF($A$27=1,"",[1]!ACAELE_AREACONDPTE(BB53,H53,CF53,$P$5))</f>
        <v/>
      </c>
      <c r="EC53" s="936" t="str" cm="1">
        <f t="array" ref="EC53">[1]!ACAELE_AREATOTAL2(H53,$A$27,DY53,S53,G53,T53,DZ53,U53,EB53)</f>
        <v/>
      </c>
      <c r="ED53" s="937" t="str">
        <f t="shared" si="59"/>
        <v/>
      </c>
      <c r="EE53" s="938" t="str">
        <f t="shared" si="60"/>
        <v/>
      </c>
      <c r="EF53" s="939" t="str">
        <f t="shared" si="61"/>
        <v/>
      </c>
      <c r="EG53" s="940">
        <f t="shared" si="62"/>
        <v>0</v>
      </c>
      <c r="EH53" s="941" t="str">
        <f t="shared" si="63"/>
        <v/>
      </c>
      <c r="EI53" s="942">
        <f t="shared" si="64"/>
        <v>30</v>
      </c>
      <c r="EJ53" s="943" t="str">
        <f t="shared" si="11"/>
        <v/>
      </c>
      <c r="EK53" s="943" t="str">
        <f t="shared" si="12"/>
        <v/>
      </c>
      <c r="EL53" s="943" t="str">
        <f t="shared" si="13"/>
        <v/>
      </c>
      <c r="EM53" s="944" t="str">
        <f t="shared" si="14"/>
        <v/>
      </c>
      <c r="EN53" s="945" t="str" cm="1">
        <f t="array" ref="EN53">[1]!ACAELE_MOTOR(H53,X53:BA53,$X$26:$BA$26,$P$5)</f>
        <v/>
      </c>
      <c r="EO53" s="550" t="str">
        <f t="shared" si="65"/>
        <v/>
      </c>
      <c r="EP53" s="431" t="s">
        <v>1214</v>
      </c>
      <c r="EQ53" s="434" t="str">
        <f t="shared" ca="1" si="66"/>
        <v/>
      </c>
      <c r="ER53" s="32"/>
      <c r="ES53" s="32"/>
      <c r="ET53" s="3" t="str">
        <f t="shared" si="67"/>
        <v/>
      </c>
      <c r="EU53" s="3" t="str">
        <f t="shared" si="68"/>
        <v/>
      </c>
      <c r="EV53" s="3" t="str">
        <f t="shared" si="69"/>
        <v/>
      </c>
      <c r="EW53" s="3" t="str">
        <f t="shared" si="70"/>
        <v/>
      </c>
      <c r="EX53" s="3" t="str">
        <f t="shared" si="71"/>
        <v/>
      </c>
      <c r="EY53" s="3" t="str">
        <f t="shared" si="72"/>
        <v/>
      </c>
      <c r="EZ53" s="3" t="str">
        <f t="shared" si="73"/>
        <v/>
      </c>
      <c r="FA53" s="3" t="str">
        <f t="shared" si="74"/>
        <v/>
      </c>
      <c r="FB53" s="3" t="str">
        <f t="shared" si="75"/>
        <v/>
      </c>
      <c r="FC53" s="3">
        <f t="shared" si="76"/>
        <v>0</v>
      </c>
      <c r="FD53" s="32"/>
      <c r="FE53" s="32"/>
      <c r="FF53" s="103">
        <v>1</v>
      </c>
      <c r="FG53" s="32"/>
      <c r="FH53" s="103"/>
      <c r="FI53" s="32"/>
      <c r="FJ53" s="103"/>
      <c r="FK53" s="3">
        <f t="shared" si="77"/>
        <v>0</v>
      </c>
      <c r="FL53" s="3" t="str" cm="1">
        <f t="array" aca="1" ref="FL53" ca="1">[1]!acaele_DIB_UNIFILAR(BB53,H53,F53,COUNTIF(X53:BA53,1),BW53)</f>
        <v/>
      </c>
      <c r="FM53" s="3" t="str">
        <f>IF(DATOS!$T$4=0,"",IF(DATOS!$T$4=1," (QO)",IF(DATOS!$T$4=2," (QOB)",IF(DATOS!$T$4=3," (EDB)",IF(DATOS!$T$4=4,IF(BW53&lt;151," (H"&amp;FN53&amp;")",IF(BW53&lt;251," (J"&amp;FN53&amp;")", IF(BW53&lt;401," (LA)",IF(BW53&lt;801," (MG)",IF(BW53&lt;5001," (POWERPACK)",""))))))))))</f>
        <v xml:space="preserve"> (QOB)</v>
      </c>
      <c r="FN53" s="3" t="str">
        <f t="shared" si="78"/>
        <v/>
      </c>
      <c r="FO53" s="146"/>
      <c r="FP53" s="146"/>
      <c r="FQ53" s="146"/>
      <c r="FR53" s="146"/>
      <c r="FS53" s="146"/>
      <c r="FT53" s="146"/>
      <c r="FU53" s="146"/>
      <c r="FV53" s="146"/>
      <c r="FW53" s="146"/>
      <c r="FX53" s="146" t="str">
        <f t="shared" si="9"/>
        <v/>
      </c>
      <c r="FY53" s="736"/>
      <c r="FZ53" s="740"/>
      <c r="GA53" s="740"/>
      <c r="GB53" s="717"/>
      <c r="GC53" s="838"/>
      <c r="GD53" s="736"/>
      <c r="GE53" s="146"/>
      <c r="GF53" s="506"/>
      <c r="GG53" s="506"/>
      <c r="GH53" s="506"/>
      <c r="GI53" s="506"/>
      <c r="GJ53" s="506"/>
      <c r="GM53" s="3">
        <f>IF(OR(GN53&gt;TABLERO!$M$19,GO53&gt;TABLERO!$M$19,GP53&gt;TABLERO!$M$19,B53=0,C53=0,D53=0),2,CUADROACAD!A53)</f>
        <v>2</v>
      </c>
      <c r="GN53" s="3">
        <f>IF(TABLERO!B53="",0,TABLERO!B53)</f>
        <v>23</v>
      </c>
      <c r="GO53" s="3">
        <f>IF(TABLERO!C53="",GN53,TABLERO!C53)</f>
        <v>23</v>
      </c>
      <c r="GP53" s="3">
        <f>IF(TABLERO!D53="",GN53,TABLERO!D53)</f>
        <v>23</v>
      </c>
    </row>
    <row r="54" spans="1:198" s="3" customFormat="1">
      <c r="A54" s="706"/>
      <c r="B54" s="869">
        <v>24</v>
      </c>
      <c r="C54" s="870" t="str">
        <f t="shared" si="15"/>
        <v/>
      </c>
      <c r="D54" s="870" t="str">
        <f t="shared" si="16"/>
        <v/>
      </c>
      <c r="E54" s="871"/>
      <c r="F54" s="872">
        <v>1</v>
      </c>
      <c r="G54" s="716">
        <f t="shared" si="17"/>
        <v>2</v>
      </c>
      <c r="H54" s="873" t="s">
        <v>12</v>
      </c>
      <c r="I54" s="874" t="str">
        <f t="shared" si="18"/>
        <v>CU</v>
      </c>
      <c r="J54" s="875">
        <v>6</v>
      </c>
      <c r="K54" s="876">
        <v>10</v>
      </c>
      <c r="L54" s="876">
        <v>3</v>
      </c>
      <c r="M54" s="877">
        <v>1</v>
      </c>
      <c r="N54" s="877">
        <v>1</v>
      </c>
      <c r="O54" s="878">
        <v>1</v>
      </c>
      <c r="P54" s="879">
        <v>4</v>
      </c>
      <c r="Q54" s="880">
        <v>1</v>
      </c>
      <c r="R54" s="880">
        <v>1</v>
      </c>
      <c r="S54" s="881">
        <v>1</v>
      </c>
      <c r="T54" s="881">
        <v>1</v>
      </c>
      <c r="U54" s="882">
        <v>1</v>
      </c>
      <c r="V54" s="883">
        <v>1</v>
      </c>
      <c r="W54" s="874" t="str">
        <f t="shared" si="19"/>
        <v>SI</v>
      </c>
      <c r="X54" s="884"/>
      <c r="Y54" s="885"/>
      <c r="Z54" s="885"/>
      <c r="AA54" s="885"/>
      <c r="AB54" s="885"/>
      <c r="AC54" s="885"/>
      <c r="AD54" s="885"/>
      <c r="AE54" s="885"/>
      <c r="AF54" s="885"/>
      <c r="AG54" s="885"/>
      <c r="AH54" s="885"/>
      <c r="AI54" s="885"/>
      <c r="AJ54" s="885"/>
      <c r="AK54" s="885"/>
      <c r="AL54" s="885"/>
      <c r="AM54" s="885"/>
      <c r="AN54" s="885"/>
      <c r="AO54" s="885"/>
      <c r="AP54" s="885"/>
      <c r="AQ54" s="885"/>
      <c r="AR54" s="885"/>
      <c r="AS54" s="885"/>
      <c r="AT54" s="885"/>
      <c r="AU54" s="885"/>
      <c r="AV54" s="885"/>
      <c r="AW54" s="885"/>
      <c r="AX54" s="885"/>
      <c r="AY54" s="885"/>
      <c r="AZ54" s="885"/>
      <c r="BA54" s="886"/>
      <c r="BB54" s="887">
        <f t="shared" si="20"/>
        <v>0</v>
      </c>
      <c r="BC54" s="888" t="str">
        <f t="shared" si="21"/>
        <v/>
      </c>
      <c r="BD54" s="889" t="str">
        <f t="shared" si="22"/>
        <v/>
      </c>
      <c r="BE54" s="889" t="str">
        <f t="shared" si="23"/>
        <v/>
      </c>
      <c r="BF54" s="889" t="str">
        <f t="shared" si="24"/>
        <v/>
      </c>
      <c r="BG54" s="889" t="str">
        <f t="shared" si="25"/>
        <v/>
      </c>
      <c r="BH54" s="889" t="str">
        <f t="shared" si="26"/>
        <v/>
      </c>
      <c r="BI54" s="890" t="str">
        <f t="shared" si="27"/>
        <v/>
      </c>
      <c r="BJ54" s="891" t="str">
        <f t="shared" si="28"/>
        <v/>
      </c>
      <c r="BK54" s="892" t="str">
        <f t="shared" si="29"/>
        <v/>
      </c>
      <c r="BL54" s="892" t="str">
        <f t="shared" si="30"/>
        <v/>
      </c>
      <c r="BM54" s="892" t="str">
        <f t="shared" si="31"/>
        <v/>
      </c>
      <c r="BN54" s="892" t="str">
        <f t="shared" si="32"/>
        <v/>
      </c>
      <c r="BO54" s="892" t="str">
        <f t="shared" si="33"/>
        <v/>
      </c>
      <c r="BP54" s="893" t="str">
        <f t="shared" si="34"/>
        <v/>
      </c>
      <c r="BQ54" s="894" t="str">
        <f t="shared" si="35"/>
        <v/>
      </c>
      <c r="BR54" s="895" t="str">
        <f t="shared" si="10"/>
        <v/>
      </c>
      <c r="BS54" s="896" t="str">
        <f t="shared" si="36"/>
        <v/>
      </c>
      <c r="BT54" s="897" t="str">
        <f t="shared" si="37"/>
        <v/>
      </c>
      <c r="BU54" s="231" t="str">
        <f t="shared" si="38"/>
        <v/>
      </c>
      <c r="BV54" s="898">
        <f t="shared" si="39"/>
        <v>127</v>
      </c>
      <c r="BW54" s="845" t="str">
        <f t="shared" si="40"/>
        <v/>
      </c>
      <c r="BX54" s="899" t="str">
        <f t="shared" si="41"/>
        <v/>
      </c>
      <c r="BY54" s="900" t="str" cm="1">
        <f t="array" ref="BY54">[1]!ACAELE_CAPACIDADCABLE(BB54,H54,I54,M54,BX54,N54)</f>
        <v/>
      </c>
      <c r="BZ54" s="900" t="str">
        <f t="shared" si="42"/>
        <v/>
      </c>
      <c r="CA54" s="901" t="str" cm="1">
        <f t="array" ref="CA54">[1]!ACAELE_cabledetierra(BZ54,$N$9,I54,BW54,BX54,G54)</f>
        <v/>
      </c>
      <c r="CB54" s="902" t="str" cm="1">
        <f t="array" ref="CB54">[1]!ACAELE_TAMATUBERIA(BX54,DU54,$N$9,M54,I54)</f>
        <v/>
      </c>
      <c r="CC54" s="846" t="str">
        <f t="shared" si="43"/>
        <v/>
      </c>
      <c r="CD54" s="903" t="str" cm="1">
        <f t="array" ref="CD54">[1]!ACAELE_CAPACIDADCABLE(BB54,H54,I54,M54,CC54,N54)</f>
        <v/>
      </c>
      <c r="CE54" s="903" t="str">
        <f t="shared" si="44"/>
        <v/>
      </c>
      <c r="CF54" s="904" t="str" cm="1">
        <f t="array" ref="CF54">[1]!ACAELE_cabledetierra(CE54,$N$9,I54,BW54,CC54,G54)</f>
        <v/>
      </c>
      <c r="CG54" s="905" t="str" cm="1">
        <f t="array" ref="CG54">[1]!ACAELE_TAMATUBERIA(CC54,EC54,$N$9,S54,I54)</f>
        <v/>
      </c>
      <c r="CH54" s="906" t="str">
        <f t="shared" si="45"/>
        <v/>
      </c>
      <c r="CI54" s="510" t="str">
        <f t="shared" si="46"/>
        <v>-</v>
      </c>
      <c r="CJ54" s="511" t="str">
        <f t="shared" si="47"/>
        <v>-</v>
      </c>
      <c r="CK54" s="512" t="str">
        <f t="shared" si="48"/>
        <v>-</v>
      </c>
      <c r="CL54" s="907" t="str">
        <f t="shared" si="49"/>
        <v>-</v>
      </c>
      <c r="CM54" s="908" t="str">
        <f t="shared" si="50"/>
        <v>-</v>
      </c>
      <c r="CN54" s="909" t="str">
        <f t="shared" si="51"/>
        <v>-</v>
      </c>
      <c r="CO54" s="910" t="str" cm="1">
        <f t="array" ref="CO54">[1]!ACAELE_fasecorresponde(B54,$F$10,$P$5)</f>
        <v>C</v>
      </c>
      <c r="CP54" s="910" t="str" cm="1">
        <f t="array" ref="CP54">[1]!ACAELE_fasecorresponde(C54,$F$10,$P$5)</f>
        <v>-</v>
      </c>
      <c r="CQ54" s="910" t="str" cm="1">
        <f t="array" ref="CQ54">[1]!ACAELE_fasecorresponde(D54,$F$10,$P$5)</f>
        <v>-</v>
      </c>
      <c r="CR54" s="911" t="str">
        <f t="shared" si="52"/>
        <v>C</v>
      </c>
      <c r="CS54" s="912">
        <f t="shared" si="53"/>
        <v>1</v>
      </c>
      <c r="CT54" s="913">
        <f t="shared" si="54"/>
        <v>0.8</v>
      </c>
      <c r="CU54" s="914" t="str">
        <f t="shared" si="55"/>
        <v/>
      </c>
      <c r="CV54" s="915">
        <f t="shared" si="56"/>
        <v>0</v>
      </c>
      <c r="CW54" s="916" t="str" cm="1">
        <f t="array" ref="CW54">[1]!ACAELE_Inominal(BB54,F54,BT54,BV54,DA54,G54,V54,$P$5)</f>
        <v/>
      </c>
      <c r="CX54" s="917" t="str" cm="1">
        <f t="array" ref="CX54">[1]!ACAELE_Disparocalculado(BB54,H54,DL54,$N$21,$M$21,$O$21,BV54,$P$5)</f>
        <v/>
      </c>
      <c r="CY54" s="918" t="str" cm="1">
        <f t="array" ref="CY54">[1]!ACAELE_Icorregida($A$27,H54,BB54,BU54,CS54,CT54,$P$5)</f>
        <v/>
      </c>
      <c r="CZ54" s="919" t="str" cm="1">
        <f t="array" ref="CZ54">[1]!ACAELE_Icorregida2($A$27,H54,BB54,BU54,CS54,CU54,$P$5)</f>
        <v/>
      </c>
      <c r="DA54" s="920">
        <f t="shared" si="57"/>
        <v>0.9</v>
      </c>
      <c r="DB54" s="921">
        <f t="shared" si="58"/>
        <v>0.43588989435406728</v>
      </c>
      <c r="DC54" s="922" t="str" cm="1">
        <f t="array" ref="DC54">[1]!ACAELE_CONDPORTCORRIENTE(H54,BB54,I54,M54,CY54,CZ54,N54,$P$5)</f>
        <v/>
      </c>
      <c r="DD54" s="923" t="str" cm="1">
        <f t="array" ref="DD54">[1]!ACAELE_CAPACONDCORRIENTE(BB54,H54,I54,M54,CY54,CZ54,$P$5)</f>
        <v/>
      </c>
      <c r="DE54" s="923" t="str" cm="1">
        <f t="array" ref="DE54">[1]!ACAELE_CAPACIDADCABLE(BB54,H54,I54,M54,DC54,N54,$P$5)</f>
        <v/>
      </c>
      <c r="DF54" s="924" t="str" cm="1">
        <f t="array" ref="DF54">[1]!ACAELE_encontrarcaida(BB54,H54,L54,BV54,F54,BU54,N54,K54)</f>
        <v/>
      </c>
      <c r="DG54" s="925" t="str" cm="1">
        <f t="array" ref="DG54">[1]!ACAELE_Cablecaida(BB54,H54,M54,I54,DF54)</f>
        <v/>
      </c>
      <c r="DH54" s="918" t="str" cm="1">
        <f t="array" ref="DH54">[1]!ACAELE_CAPACIDADCABLE(BB54,H54,I54,M54,DG54,N54,$P$5)</f>
        <v/>
      </c>
      <c r="DI54" s="926" t="str" cm="1">
        <f t="array" ref="DI54">IF($A$27=1,"",[1]!ACAELE_encontrarcaida(BB54,H54,R54,BV54,F54,BU54,T54,Q54,$P$5))</f>
        <v/>
      </c>
      <c r="DJ54" s="914" t="str" cm="1">
        <f t="array" ref="DJ54">IF($A$27=1,"",[1]!ACAELE_Cablecaida2(BB54,Q54,H54,S54,I54,DI54,$P$5))</f>
        <v/>
      </c>
      <c r="DK54" s="919" t="str" cm="1">
        <f t="array" ref="DK54">[1]!ACAELE_CAPACIDADCABLE(BB54,H54,I54,M54,DJ54,N54,$P$5)</f>
        <v/>
      </c>
      <c r="DL54" s="927" t="str" cm="1">
        <f t="array" ref="DL54">[1]!acaele_Iproteccion(BB54,H54,BU54,$F$20,$G$20,$F$19,$G$19,$H$20,$H$19,$P$5)</f>
        <v/>
      </c>
      <c r="DM54" s="928" cm="1">
        <f t="array" ref="DM54">[1]!acaele_ProtCalculada(CX54,H54,BT54,BW54,$G$21,$F$21,$H$21,$P$5)</f>
        <v>0</v>
      </c>
      <c r="DN54" s="929" t="str" cm="1">
        <f t="array" ref="DN54">[1]!ACAELE_cablecalculo(BB54,H54,I54,M54,EF54,$P$5)</f>
        <v/>
      </c>
      <c r="DO54" s="930" t="str" cm="1">
        <f t="array" ref="DO54">[1]!ACAELE_RESISTENCIA(BB54,H54,M54,I54,BX54, CW54,$P$5)</f>
        <v/>
      </c>
      <c r="DP54" s="931" t="str" cm="1">
        <f t="array" ref="DP54">[1]!ACAELE_REACTANCIA(BB54,H54,$F$11,M54,I54,BX54,$P$5)</f>
        <v/>
      </c>
      <c r="DQ54" s="918" t="str" cm="1">
        <f t="array" ref="DQ54">[1]!ACAELE_DIAMECAISLA(BB54,H54,I54,BX54,$P$5)</f>
        <v/>
      </c>
      <c r="DR54" s="918" t="str" cm="1">
        <f t="array" ref="DR54">[1]!ACAELE_AREACAISLAMIENTO(BB54,H54,DQ54,$P$5)</f>
        <v/>
      </c>
      <c r="DS54" s="918" t="str" cm="1">
        <f t="array" ref="DS54">[1]!ACAELE_CAIDAVOLTSFINAL(BB54,H54,F54,K54,BU54,N54,DO54,DA54,DP54,DB54,$P$5)</f>
        <v/>
      </c>
      <c r="DT54" s="918" t="str" cm="1">
        <f t="array" ref="DT54">[1]!ACAELE_AREACONDPTE(BB54,H54,CA54,$P$5)</f>
        <v/>
      </c>
      <c r="DU54" s="932" t="str" cm="1">
        <f t="array" ref="DU54">[1]!ACAELE_AREATOTAL(BZ54,M54,EO54,N54,DQ54,G54,DR54,DT54,N$20,$P$5)</f>
        <v/>
      </c>
      <c r="DV54" s="933" t="str" cm="1">
        <f t="array" ref="DV54">IF($A$27=1,"",[1]!ACAELE_cablecalculo(BB54,H54,I54,M54,EG54,$P$5))</f>
        <v/>
      </c>
      <c r="DW54" s="934" t="str" cm="1">
        <f t="array" ref="DW54">IF($A$27=1,"",[1]!ACAELE_RESISTENCIA(BB54,H54,M54,I54,CC54,CW54,$P$5))</f>
        <v/>
      </c>
      <c r="DX54" s="926" t="str" cm="1">
        <f t="array" ref="DX54">IF($A$27=1,"",[1]!ACAELE_REACTANCIA(BB54,H54,$F$11,M54,I54,CC54,$P$5))</f>
        <v/>
      </c>
      <c r="DY54" s="935" t="str" cm="1">
        <f t="array" ref="DY54">IF($A$27=1,"",[1]!ACAELE_DIAMECAISLA(BB54,H54,I54,CC54,$P$5))</f>
        <v/>
      </c>
      <c r="DZ54" s="935" t="str" cm="1">
        <f t="array" ref="DZ54">IF($A$27=1,"",[1]!ACAELE_AREACAISLAMIENTO(BB54,H54,DY54,$P$5))</f>
        <v/>
      </c>
      <c r="EA54" s="935" t="str" cm="1">
        <f t="array" ref="EA54">[1]!ACAELE_CAIDAVOLTSFINAL2(BB54,Q54,H54,F54,$A$27,BU54,T54,DW54,DA54,DX54,DB54)</f>
        <v/>
      </c>
      <c r="EB54" s="935" t="str" cm="1">
        <f t="array" ref="EB54">IF($A$27=1,"",[1]!ACAELE_AREACONDPTE(BB54,H54,CF54,$P$5))</f>
        <v/>
      </c>
      <c r="EC54" s="936" t="str" cm="1">
        <f t="array" ref="EC54">[1]!ACAELE_AREATOTAL2(H54,$A$27,DY54,S54,G54,T54,DZ54,U54,EB54)</f>
        <v/>
      </c>
      <c r="ED54" s="937" t="str">
        <f t="shared" si="59"/>
        <v/>
      </c>
      <c r="EE54" s="938" t="str">
        <f t="shared" si="60"/>
        <v/>
      </c>
      <c r="EF54" s="939" t="str">
        <f t="shared" si="61"/>
        <v/>
      </c>
      <c r="EG54" s="940">
        <f t="shared" si="62"/>
        <v>0</v>
      </c>
      <c r="EH54" s="941" t="str">
        <f t="shared" si="63"/>
        <v/>
      </c>
      <c r="EI54" s="942">
        <f t="shared" si="64"/>
        <v>30</v>
      </c>
      <c r="EJ54" s="943" t="str">
        <f t="shared" si="11"/>
        <v/>
      </c>
      <c r="EK54" s="943" t="str">
        <f t="shared" si="12"/>
        <v/>
      </c>
      <c r="EL54" s="943" t="str">
        <f t="shared" si="13"/>
        <v/>
      </c>
      <c r="EM54" s="944" t="str">
        <f t="shared" si="14"/>
        <v/>
      </c>
      <c r="EN54" s="945" t="str" cm="1">
        <f t="array" ref="EN54">[1]!ACAELE_MOTOR(H54,X54:BA54,$X$26:$BA$26,$P$5)</f>
        <v/>
      </c>
      <c r="EO54" s="550" t="str">
        <f t="shared" si="65"/>
        <v/>
      </c>
      <c r="EP54" s="431" t="s">
        <v>1214</v>
      </c>
      <c r="EQ54" s="434" t="str">
        <f t="shared" ca="1" si="66"/>
        <v/>
      </c>
      <c r="ER54" s="32"/>
      <c r="ES54" s="32"/>
      <c r="ET54" s="3" t="str">
        <f t="shared" si="67"/>
        <v/>
      </c>
      <c r="EU54" s="3" t="str">
        <f t="shared" si="68"/>
        <v/>
      </c>
      <c r="EV54" s="3" t="str">
        <f t="shared" si="69"/>
        <v/>
      </c>
      <c r="EW54" s="3" t="str">
        <f t="shared" si="70"/>
        <v/>
      </c>
      <c r="EX54" s="3" t="str">
        <f t="shared" si="71"/>
        <v/>
      </c>
      <c r="EY54" s="3" t="str">
        <f t="shared" si="72"/>
        <v/>
      </c>
      <c r="EZ54" s="3" t="str">
        <f t="shared" si="73"/>
        <v/>
      </c>
      <c r="FA54" s="3" t="str">
        <f t="shared" si="74"/>
        <v/>
      </c>
      <c r="FB54" s="3" t="str">
        <f t="shared" si="75"/>
        <v/>
      </c>
      <c r="FC54" s="3">
        <f t="shared" si="76"/>
        <v>0</v>
      </c>
      <c r="FD54" s="32"/>
      <c r="FE54" s="32"/>
      <c r="FF54" s="103">
        <v>1</v>
      </c>
      <c r="FG54" s="32"/>
      <c r="FH54" s="103"/>
      <c r="FI54" s="32"/>
      <c r="FJ54" s="103"/>
      <c r="FK54" s="3">
        <f t="shared" si="77"/>
        <v>0</v>
      </c>
      <c r="FL54" s="3" t="str" cm="1">
        <f t="array" aca="1" ref="FL54" ca="1">[1]!acaele_DIB_UNIFILAR(BB54,H54,F54,COUNTIF(X54:BA54,1),BW54)</f>
        <v/>
      </c>
      <c r="FM54" s="3" t="str">
        <f>IF(DATOS!$T$4=0,"",IF(DATOS!$T$4=1," (QO)",IF(DATOS!$T$4=2," (QOB)",IF(DATOS!$T$4=3," (EDB)",IF(DATOS!$T$4=4,IF(BW54&lt;151," (H"&amp;FN54&amp;")",IF(BW54&lt;251," (J"&amp;FN54&amp;")", IF(BW54&lt;401," (LA)",IF(BW54&lt;801," (MG)",IF(BW54&lt;5001," (POWERPACK)",""))))))))))</f>
        <v xml:space="preserve"> (QOB)</v>
      </c>
      <c r="FN54" s="3" t="str">
        <f t="shared" si="78"/>
        <v/>
      </c>
      <c r="FO54" s="146"/>
      <c r="FP54" s="146"/>
      <c r="FQ54" s="146"/>
      <c r="FR54" s="146"/>
      <c r="FS54" s="146"/>
      <c r="FT54" s="146"/>
      <c r="FU54" s="146"/>
      <c r="FV54" s="146"/>
      <c r="FW54" s="146"/>
      <c r="FX54" s="146" t="str">
        <f t="shared" si="9"/>
        <v/>
      </c>
      <c r="FY54" s="736"/>
      <c r="FZ54" s="740"/>
      <c r="GA54" s="740"/>
      <c r="GB54" s="717"/>
      <c r="GC54" s="838"/>
      <c r="GD54" s="736"/>
      <c r="GE54" s="146"/>
      <c r="GF54" s="506"/>
      <c r="GG54" s="506"/>
      <c r="GH54" s="506"/>
      <c r="GI54" s="506"/>
      <c r="GJ54" s="506"/>
      <c r="GM54" s="3">
        <f>IF(OR(GN54&gt;TABLERO!$M$19,GO54&gt;TABLERO!$M$19,GP54&gt;TABLERO!$M$19,B54=0,C54=0,D54=0),2,CUADROACAD!A54)</f>
        <v>2</v>
      </c>
      <c r="GN54" s="3">
        <f>IF(TABLERO!B54="",0,TABLERO!B54)</f>
        <v>24</v>
      </c>
      <c r="GO54" s="3">
        <f>IF(TABLERO!C54="",GN54,TABLERO!C54)</f>
        <v>24</v>
      </c>
      <c r="GP54" s="3">
        <f>IF(TABLERO!D54="",GN54,TABLERO!D54)</f>
        <v>24</v>
      </c>
    </row>
    <row r="55" spans="1:198" s="3" customFormat="1">
      <c r="A55" s="706"/>
      <c r="B55" s="869">
        <v>25</v>
      </c>
      <c r="C55" s="870" t="str">
        <f t="shared" si="15"/>
        <v/>
      </c>
      <c r="D55" s="870" t="str">
        <f t="shared" si="16"/>
        <v/>
      </c>
      <c r="E55" s="871"/>
      <c r="F55" s="872">
        <v>1</v>
      </c>
      <c r="G55" s="716">
        <f t="shared" si="17"/>
        <v>2</v>
      </c>
      <c r="H55" s="873" t="s">
        <v>12</v>
      </c>
      <c r="I55" s="874" t="str">
        <f t="shared" si="18"/>
        <v>CU</v>
      </c>
      <c r="J55" s="875">
        <v>6</v>
      </c>
      <c r="K55" s="876">
        <v>10</v>
      </c>
      <c r="L55" s="876">
        <v>3</v>
      </c>
      <c r="M55" s="877">
        <v>1</v>
      </c>
      <c r="N55" s="877">
        <v>1</v>
      </c>
      <c r="O55" s="878">
        <v>1</v>
      </c>
      <c r="P55" s="879">
        <v>4</v>
      </c>
      <c r="Q55" s="880">
        <v>1</v>
      </c>
      <c r="R55" s="880">
        <v>1</v>
      </c>
      <c r="S55" s="881">
        <v>1</v>
      </c>
      <c r="T55" s="881">
        <v>1</v>
      </c>
      <c r="U55" s="882">
        <v>1</v>
      </c>
      <c r="V55" s="883">
        <v>1</v>
      </c>
      <c r="W55" s="874" t="str">
        <f t="shared" si="19"/>
        <v>SI</v>
      </c>
      <c r="X55" s="884"/>
      <c r="Y55" s="885"/>
      <c r="Z55" s="885"/>
      <c r="AA55" s="885"/>
      <c r="AB55" s="885"/>
      <c r="AC55" s="885"/>
      <c r="AD55" s="885"/>
      <c r="AE55" s="885"/>
      <c r="AF55" s="885"/>
      <c r="AG55" s="885"/>
      <c r="AH55" s="885"/>
      <c r="AI55" s="885"/>
      <c r="AJ55" s="885"/>
      <c r="AK55" s="885"/>
      <c r="AL55" s="885"/>
      <c r="AM55" s="885"/>
      <c r="AN55" s="885"/>
      <c r="AO55" s="885"/>
      <c r="AP55" s="885"/>
      <c r="AQ55" s="885"/>
      <c r="AR55" s="885"/>
      <c r="AS55" s="885"/>
      <c r="AT55" s="885"/>
      <c r="AU55" s="885"/>
      <c r="AV55" s="885"/>
      <c r="AW55" s="885"/>
      <c r="AX55" s="885"/>
      <c r="AY55" s="885"/>
      <c r="AZ55" s="885"/>
      <c r="BA55" s="886"/>
      <c r="BB55" s="887">
        <f t="shared" si="20"/>
        <v>0</v>
      </c>
      <c r="BC55" s="888" t="str">
        <f t="shared" si="21"/>
        <v/>
      </c>
      <c r="BD55" s="889" t="str">
        <f t="shared" si="22"/>
        <v/>
      </c>
      <c r="BE55" s="889" t="str">
        <f t="shared" si="23"/>
        <v/>
      </c>
      <c r="BF55" s="889" t="str">
        <f t="shared" si="24"/>
        <v/>
      </c>
      <c r="BG55" s="889" t="str">
        <f t="shared" si="25"/>
        <v/>
      </c>
      <c r="BH55" s="889" t="str">
        <f t="shared" si="26"/>
        <v/>
      </c>
      <c r="BI55" s="890" t="str">
        <f t="shared" si="27"/>
        <v/>
      </c>
      <c r="BJ55" s="891" t="str">
        <f t="shared" si="28"/>
        <v/>
      </c>
      <c r="BK55" s="892" t="str">
        <f t="shared" si="29"/>
        <v/>
      </c>
      <c r="BL55" s="892" t="str">
        <f t="shared" si="30"/>
        <v/>
      </c>
      <c r="BM55" s="892" t="str">
        <f t="shared" si="31"/>
        <v/>
      </c>
      <c r="BN55" s="892" t="str">
        <f t="shared" si="32"/>
        <v/>
      </c>
      <c r="BO55" s="892" t="str">
        <f t="shared" si="33"/>
        <v/>
      </c>
      <c r="BP55" s="893" t="str">
        <f t="shared" si="34"/>
        <v/>
      </c>
      <c r="BQ55" s="894" t="str">
        <f t="shared" si="35"/>
        <v/>
      </c>
      <c r="BR55" s="895" t="str">
        <f t="shared" si="10"/>
        <v/>
      </c>
      <c r="BS55" s="896" t="str">
        <f t="shared" si="36"/>
        <v/>
      </c>
      <c r="BT55" s="897" t="str">
        <f t="shared" si="37"/>
        <v/>
      </c>
      <c r="BU55" s="231" t="str">
        <f t="shared" si="38"/>
        <v/>
      </c>
      <c r="BV55" s="898">
        <f t="shared" si="39"/>
        <v>127</v>
      </c>
      <c r="BW55" s="845" t="str">
        <f t="shared" si="40"/>
        <v/>
      </c>
      <c r="BX55" s="899" t="str">
        <f t="shared" si="41"/>
        <v/>
      </c>
      <c r="BY55" s="900" t="str" cm="1">
        <f t="array" ref="BY55">[1]!ACAELE_CAPACIDADCABLE(BB55,H55,I55,M55,BX55,N55)</f>
        <v/>
      </c>
      <c r="BZ55" s="900" t="str">
        <f t="shared" si="42"/>
        <v/>
      </c>
      <c r="CA55" s="901" t="str" cm="1">
        <f t="array" ref="CA55">[1]!ACAELE_cabledetierra(BZ55,$N$9,I55,BW55,BX55,G55)</f>
        <v/>
      </c>
      <c r="CB55" s="902" t="str" cm="1">
        <f t="array" ref="CB55">[1]!ACAELE_TAMATUBERIA(BX55,DU55,$N$9,M55,I55)</f>
        <v/>
      </c>
      <c r="CC55" s="846" t="str">
        <f t="shared" si="43"/>
        <v/>
      </c>
      <c r="CD55" s="903" t="str" cm="1">
        <f t="array" ref="CD55">[1]!ACAELE_CAPACIDADCABLE(BB55,H55,I55,M55,CC55,N55)</f>
        <v/>
      </c>
      <c r="CE55" s="903" t="str">
        <f t="shared" si="44"/>
        <v/>
      </c>
      <c r="CF55" s="904" t="str" cm="1">
        <f t="array" ref="CF55">[1]!ACAELE_cabledetierra(CE55,$N$9,I55,BW55,CC55,G55)</f>
        <v/>
      </c>
      <c r="CG55" s="905" t="str" cm="1">
        <f t="array" ref="CG55">[1]!ACAELE_TAMATUBERIA(CC55,EC55,$N$9,S55,I55)</f>
        <v/>
      </c>
      <c r="CH55" s="906" t="str">
        <f t="shared" si="45"/>
        <v/>
      </c>
      <c r="CI55" s="510" t="str">
        <f t="shared" si="46"/>
        <v>-</v>
      </c>
      <c r="CJ55" s="511" t="str">
        <f t="shared" si="47"/>
        <v>-</v>
      </c>
      <c r="CK55" s="512" t="str">
        <f t="shared" si="48"/>
        <v>-</v>
      </c>
      <c r="CL55" s="907" t="str">
        <f t="shared" si="49"/>
        <v>-</v>
      </c>
      <c r="CM55" s="908" t="str">
        <f t="shared" si="50"/>
        <v>-</v>
      </c>
      <c r="CN55" s="909" t="str">
        <f t="shared" si="51"/>
        <v>-</v>
      </c>
      <c r="CO55" s="910" t="str" cm="1">
        <f t="array" ref="CO55">[1]!ACAELE_fasecorresponde(B55,$F$10,$P$5)</f>
        <v>A</v>
      </c>
      <c r="CP55" s="910" t="str" cm="1">
        <f t="array" ref="CP55">[1]!ACAELE_fasecorresponde(C55,$F$10,$P$5)</f>
        <v>-</v>
      </c>
      <c r="CQ55" s="910" t="str" cm="1">
        <f t="array" ref="CQ55">[1]!ACAELE_fasecorresponde(D55,$F$10,$P$5)</f>
        <v>-</v>
      </c>
      <c r="CR55" s="911" t="str">
        <f t="shared" si="52"/>
        <v>C</v>
      </c>
      <c r="CS55" s="912">
        <f t="shared" si="53"/>
        <v>1</v>
      </c>
      <c r="CT55" s="913">
        <f t="shared" si="54"/>
        <v>0.8</v>
      </c>
      <c r="CU55" s="914" t="str">
        <f t="shared" si="55"/>
        <v/>
      </c>
      <c r="CV55" s="915">
        <f t="shared" si="56"/>
        <v>0</v>
      </c>
      <c r="CW55" s="916" t="str" cm="1">
        <f t="array" ref="CW55">[1]!ACAELE_Inominal(BB55,F55,BT55,BV55,DA55,G55,V55,$P$5)</f>
        <v/>
      </c>
      <c r="CX55" s="917" t="str" cm="1">
        <f t="array" ref="CX55">[1]!ACAELE_Disparocalculado(BB55,H55,DL55,$N$21,$M$21,$O$21,BV55,$P$5)</f>
        <v/>
      </c>
      <c r="CY55" s="918" t="str" cm="1">
        <f t="array" ref="CY55">[1]!ACAELE_Icorregida($A$27,H55,BB55,BU55,CS55,CT55,$P$5)</f>
        <v/>
      </c>
      <c r="CZ55" s="919" t="str" cm="1">
        <f t="array" ref="CZ55">[1]!ACAELE_Icorregida2($A$27,H55,BB55,BU55,CS55,CU55,$P$5)</f>
        <v/>
      </c>
      <c r="DA55" s="920">
        <f t="shared" si="57"/>
        <v>0.9</v>
      </c>
      <c r="DB55" s="921">
        <f t="shared" si="58"/>
        <v>0.43588989435406728</v>
      </c>
      <c r="DC55" s="922" t="str" cm="1">
        <f t="array" ref="DC55">[1]!ACAELE_CONDPORTCORRIENTE(H55,BB55,I55,M55,CY55,CZ55,N55,$P$5)</f>
        <v/>
      </c>
      <c r="DD55" s="923" t="str" cm="1">
        <f t="array" ref="DD55">[1]!ACAELE_CAPACONDCORRIENTE(BB55,H55,I55,M55,CY55,CZ55,$P$5)</f>
        <v/>
      </c>
      <c r="DE55" s="923" t="str" cm="1">
        <f t="array" ref="DE55">[1]!ACAELE_CAPACIDADCABLE(BB55,H55,I55,M55,DC55,N55,$P$5)</f>
        <v/>
      </c>
      <c r="DF55" s="924" t="str" cm="1">
        <f t="array" ref="DF55">[1]!ACAELE_encontrarcaida(BB55,H55,L55,BV55,F55,BU55,N55,K55)</f>
        <v/>
      </c>
      <c r="DG55" s="925" t="str" cm="1">
        <f t="array" ref="DG55">[1]!ACAELE_Cablecaida(BB55,H55,M55,I55,DF55)</f>
        <v/>
      </c>
      <c r="DH55" s="918" t="str" cm="1">
        <f t="array" ref="DH55">[1]!ACAELE_CAPACIDADCABLE(BB55,H55,I55,M55,DG55,N55,$P$5)</f>
        <v/>
      </c>
      <c r="DI55" s="926" t="str" cm="1">
        <f t="array" ref="DI55">IF($A$27=1,"",[1]!ACAELE_encontrarcaida(BB55,H55,R55,BV55,F55,BU55,T55,Q55,$P$5))</f>
        <v/>
      </c>
      <c r="DJ55" s="914" t="str" cm="1">
        <f t="array" ref="DJ55">IF($A$27=1,"",[1]!ACAELE_Cablecaida2(BB55,Q55,H55,S55,I55,DI55,$P$5))</f>
        <v/>
      </c>
      <c r="DK55" s="919" t="str" cm="1">
        <f t="array" ref="DK55">[1]!ACAELE_CAPACIDADCABLE(BB55,H55,I55,M55,DJ55,N55,$P$5)</f>
        <v/>
      </c>
      <c r="DL55" s="927" t="str" cm="1">
        <f t="array" ref="DL55">[1]!acaele_Iproteccion(BB55,H55,BU55,$F$20,$G$20,$F$19,$G$19,$H$20,$H$19,$P$5)</f>
        <v/>
      </c>
      <c r="DM55" s="928" cm="1">
        <f t="array" ref="DM55">[1]!acaele_ProtCalculada(CX55,H55,BT55,BW55,$G$21,$F$21,$H$21,$P$5)</f>
        <v>0</v>
      </c>
      <c r="DN55" s="929" t="str" cm="1">
        <f t="array" ref="DN55">[1]!ACAELE_cablecalculo(BB55,H55,I55,M55,EF55,$P$5)</f>
        <v/>
      </c>
      <c r="DO55" s="930" t="str" cm="1">
        <f t="array" ref="DO55">[1]!ACAELE_RESISTENCIA(BB55,H55,M55,I55,BX55, CW55,$P$5)</f>
        <v/>
      </c>
      <c r="DP55" s="931" t="str" cm="1">
        <f t="array" ref="DP55">[1]!ACAELE_REACTANCIA(BB55,H55,$F$11,M55,I55,BX55,$P$5)</f>
        <v/>
      </c>
      <c r="DQ55" s="918" t="str" cm="1">
        <f t="array" ref="DQ55">[1]!ACAELE_DIAMECAISLA(BB55,H55,I55,BX55,$P$5)</f>
        <v/>
      </c>
      <c r="DR55" s="918" t="str" cm="1">
        <f t="array" ref="DR55">[1]!ACAELE_AREACAISLAMIENTO(BB55,H55,DQ55,$P$5)</f>
        <v/>
      </c>
      <c r="DS55" s="918" t="str" cm="1">
        <f t="array" ref="DS55">[1]!ACAELE_CAIDAVOLTSFINAL(BB55,H55,F55,K55,BU55,N55,DO55,DA55,DP55,DB55,$P$5)</f>
        <v/>
      </c>
      <c r="DT55" s="918" t="str" cm="1">
        <f t="array" ref="DT55">[1]!ACAELE_AREACONDPTE(BB55,H55,CA55,$P$5)</f>
        <v/>
      </c>
      <c r="DU55" s="932" t="str" cm="1">
        <f t="array" ref="DU55">[1]!ACAELE_AREATOTAL(BZ55,M55,EO55,N55,DQ55,G55,DR55,DT55,N$20,$P$5)</f>
        <v/>
      </c>
      <c r="DV55" s="933" t="str" cm="1">
        <f t="array" ref="DV55">IF($A$27=1,"",[1]!ACAELE_cablecalculo(BB55,H55,I55,M55,EG55,$P$5))</f>
        <v/>
      </c>
      <c r="DW55" s="934" t="str" cm="1">
        <f t="array" ref="DW55">IF($A$27=1,"",[1]!ACAELE_RESISTENCIA(BB55,H55,M55,I55,CC55,CW55,$P$5))</f>
        <v/>
      </c>
      <c r="DX55" s="926" t="str" cm="1">
        <f t="array" ref="DX55">IF($A$27=1,"",[1]!ACAELE_REACTANCIA(BB55,H55,$F$11,M55,I55,CC55,$P$5))</f>
        <v/>
      </c>
      <c r="DY55" s="935" t="str" cm="1">
        <f t="array" ref="DY55">IF($A$27=1,"",[1]!ACAELE_DIAMECAISLA(BB55,H55,I55,CC55,$P$5))</f>
        <v/>
      </c>
      <c r="DZ55" s="935" t="str" cm="1">
        <f t="array" ref="DZ55">IF($A$27=1,"",[1]!ACAELE_AREACAISLAMIENTO(BB55,H55,DY55,$P$5))</f>
        <v/>
      </c>
      <c r="EA55" s="935" t="str" cm="1">
        <f t="array" ref="EA55">[1]!ACAELE_CAIDAVOLTSFINAL2(BB55,Q55,H55,F55,$A$27,BU55,T55,DW55,DA55,DX55,DB55)</f>
        <v/>
      </c>
      <c r="EB55" s="935" t="str" cm="1">
        <f t="array" ref="EB55">IF($A$27=1,"",[1]!ACAELE_AREACONDPTE(BB55,H55,CF55,$P$5))</f>
        <v/>
      </c>
      <c r="EC55" s="936" t="str" cm="1">
        <f t="array" ref="EC55">[1]!ACAELE_AREATOTAL2(H55,$A$27,DY55,S55,G55,T55,DZ55,U55,EB55)</f>
        <v/>
      </c>
      <c r="ED55" s="937" t="str">
        <f t="shared" si="59"/>
        <v/>
      </c>
      <c r="EE55" s="938" t="str">
        <f t="shared" si="60"/>
        <v/>
      </c>
      <c r="EF55" s="939" t="str">
        <f t="shared" si="61"/>
        <v/>
      </c>
      <c r="EG55" s="940">
        <f t="shared" si="62"/>
        <v>0</v>
      </c>
      <c r="EH55" s="941" t="str">
        <f t="shared" si="63"/>
        <v/>
      </c>
      <c r="EI55" s="942">
        <f t="shared" si="64"/>
        <v>30</v>
      </c>
      <c r="EJ55" s="943" t="str">
        <f t="shared" si="11"/>
        <v/>
      </c>
      <c r="EK55" s="943" t="str">
        <f t="shared" si="12"/>
        <v/>
      </c>
      <c r="EL55" s="943" t="str">
        <f t="shared" si="13"/>
        <v/>
      </c>
      <c r="EM55" s="944" t="str">
        <f t="shared" si="14"/>
        <v/>
      </c>
      <c r="EN55" s="945" t="str" cm="1">
        <f t="array" ref="EN55">[1]!ACAELE_MOTOR(H55,X55:BA55,$X$26:$BA$26,$P$5)</f>
        <v/>
      </c>
      <c r="EO55" s="550" t="str">
        <f t="shared" si="65"/>
        <v/>
      </c>
      <c r="EP55" s="431" t="s">
        <v>1214</v>
      </c>
      <c r="EQ55" s="434" t="str">
        <f t="shared" ca="1" si="66"/>
        <v/>
      </c>
      <c r="ER55" s="32"/>
      <c r="ES55" s="32"/>
      <c r="ET55" s="3" t="str">
        <f t="shared" si="67"/>
        <v/>
      </c>
      <c r="EU55" s="3" t="str">
        <f t="shared" si="68"/>
        <v/>
      </c>
      <c r="EV55" s="3" t="str">
        <f t="shared" si="69"/>
        <v/>
      </c>
      <c r="EW55" s="3" t="str">
        <f t="shared" si="70"/>
        <v/>
      </c>
      <c r="EX55" s="3" t="str">
        <f t="shared" si="71"/>
        <v/>
      </c>
      <c r="EY55" s="3" t="str">
        <f t="shared" si="72"/>
        <v/>
      </c>
      <c r="EZ55" s="3" t="str">
        <f t="shared" si="73"/>
        <v/>
      </c>
      <c r="FA55" s="3" t="str">
        <f t="shared" si="74"/>
        <v/>
      </c>
      <c r="FB55" s="3" t="str">
        <f t="shared" si="75"/>
        <v/>
      </c>
      <c r="FC55" s="3">
        <f t="shared" si="76"/>
        <v>0</v>
      </c>
      <c r="FD55" s="32"/>
      <c r="FE55" s="32"/>
      <c r="FF55" s="103">
        <v>1</v>
      </c>
      <c r="FG55" s="32"/>
      <c r="FH55" s="103"/>
      <c r="FI55" s="32"/>
      <c r="FJ55" s="103"/>
      <c r="FK55" s="3">
        <f t="shared" si="77"/>
        <v>0</v>
      </c>
      <c r="FL55" s="3" t="str" cm="1">
        <f t="array" aca="1" ref="FL55" ca="1">[1]!acaele_DIB_UNIFILAR(BB55,H55,F55,COUNTIF(X55:BA55,1),BW55)</f>
        <v/>
      </c>
      <c r="FM55" s="3" t="str">
        <f>IF(DATOS!$T$4=0,"",IF(DATOS!$T$4=1," (QO)",IF(DATOS!$T$4=2," (QOB)",IF(DATOS!$T$4=3," (EDB)",IF(DATOS!$T$4=4,IF(BW55&lt;151," (H"&amp;FN55&amp;")",IF(BW55&lt;251," (J"&amp;FN55&amp;")", IF(BW55&lt;401," (LA)",IF(BW55&lt;801," (MG)",IF(BW55&lt;5001," (POWERPACK)",""))))))))))</f>
        <v xml:space="preserve"> (QOB)</v>
      </c>
      <c r="FN55" s="3" t="str">
        <f t="shared" si="78"/>
        <v/>
      </c>
      <c r="FO55" s="146"/>
      <c r="FP55" s="146"/>
      <c r="FQ55" s="146"/>
      <c r="FR55" s="146"/>
      <c r="FS55" s="146"/>
      <c r="FT55" s="146"/>
      <c r="FU55" s="146"/>
      <c r="FV55" s="146"/>
      <c r="FW55" s="146"/>
      <c r="FX55" s="146" t="str">
        <f t="shared" si="9"/>
        <v/>
      </c>
      <c r="FY55" s="736"/>
      <c r="FZ55" s="740"/>
      <c r="GA55" s="740"/>
      <c r="GB55" s="717"/>
      <c r="GC55" s="838"/>
      <c r="GD55" s="736"/>
      <c r="GE55" s="146"/>
      <c r="GF55" s="506"/>
      <c r="GG55" s="506"/>
      <c r="GH55" s="506"/>
      <c r="GI55" s="506"/>
      <c r="GJ55" s="506"/>
      <c r="GM55" s="3">
        <f>IF(OR(GN55&gt;TABLERO!$M$19,GO55&gt;TABLERO!$M$19,GP55&gt;TABLERO!$M$19,B55=0,C55=0,D55=0),2,CUADROACAD!A55)</f>
        <v>2</v>
      </c>
      <c r="GN55" s="3">
        <f>IF(TABLERO!B55="",0,TABLERO!B55)</f>
        <v>25</v>
      </c>
      <c r="GO55" s="3">
        <f>IF(TABLERO!C55="",GN55,TABLERO!C55)</f>
        <v>25</v>
      </c>
      <c r="GP55" s="3">
        <f>IF(TABLERO!D55="",GN55,TABLERO!D55)</f>
        <v>25</v>
      </c>
    </row>
    <row r="56" spans="1:198" s="3" customFormat="1">
      <c r="A56" s="706"/>
      <c r="B56" s="869">
        <v>26</v>
      </c>
      <c r="C56" s="870" t="str">
        <f t="shared" si="15"/>
        <v/>
      </c>
      <c r="D56" s="870" t="str">
        <f t="shared" si="16"/>
        <v/>
      </c>
      <c r="E56" s="871"/>
      <c r="F56" s="872">
        <v>1</v>
      </c>
      <c r="G56" s="716">
        <f t="shared" si="17"/>
        <v>2</v>
      </c>
      <c r="H56" s="873" t="s">
        <v>12</v>
      </c>
      <c r="I56" s="874" t="str">
        <f t="shared" si="18"/>
        <v>CU</v>
      </c>
      <c r="J56" s="875">
        <v>6</v>
      </c>
      <c r="K56" s="876">
        <v>10</v>
      </c>
      <c r="L56" s="876">
        <v>3</v>
      </c>
      <c r="M56" s="877">
        <v>1</v>
      </c>
      <c r="N56" s="877">
        <v>1</v>
      </c>
      <c r="O56" s="878">
        <v>1</v>
      </c>
      <c r="P56" s="879">
        <v>4</v>
      </c>
      <c r="Q56" s="880">
        <v>1</v>
      </c>
      <c r="R56" s="880">
        <v>1</v>
      </c>
      <c r="S56" s="881">
        <v>1</v>
      </c>
      <c r="T56" s="881">
        <v>1</v>
      </c>
      <c r="U56" s="882">
        <v>1</v>
      </c>
      <c r="V56" s="883">
        <v>1</v>
      </c>
      <c r="W56" s="874" t="str">
        <f t="shared" si="19"/>
        <v>SI</v>
      </c>
      <c r="X56" s="884"/>
      <c r="Y56" s="885"/>
      <c r="Z56" s="885"/>
      <c r="AA56" s="885"/>
      <c r="AB56" s="885"/>
      <c r="AC56" s="885"/>
      <c r="AD56" s="885"/>
      <c r="AE56" s="885"/>
      <c r="AF56" s="885"/>
      <c r="AG56" s="885"/>
      <c r="AH56" s="885"/>
      <c r="AI56" s="885"/>
      <c r="AJ56" s="885"/>
      <c r="AK56" s="885"/>
      <c r="AL56" s="885"/>
      <c r="AM56" s="885"/>
      <c r="AN56" s="885"/>
      <c r="AO56" s="885"/>
      <c r="AP56" s="885"/>
      <c r="AQ56" s="885"/>
      <c r="AR56" s="885"/>
      <c r="AS56" s="885"/>
      <c r="AT56" s="885"/>
      <c r="AU56" s="885"/>
      <c r="AV56" s="885"/>
      <c r="AW56" s="885"/>
      <c r="AX56" s="885"/>
      <c r="AY56" s="885"/>
      <c r="AZ56" s="885"/>
      <c r="BA56" s="886"/>
      <c r="BB56" s="887">
        <f t="shared" si="20"/>
        <v>0</v>
      </c>
      <c r="BC56" s="888" t="str">
        <f t="shared" si="21"/>
        <v/>
      </c>
      <c r="BD56" s="889" t="str">
        <f t="shared" si="22"/>
        <v/>
      </c>
      <c r="BE56" s="889" t="str">
        <f t="shared" si="23"/>
        <v/>
      </c>
      <c r="BF56" s="889" t="str">
        <f t="shared" si="24"/>
        <v/>
      </c>
      <c r="BG56" s="889" t="str">
        <f t="shared" si="25"/>
        <v/>
      </c>
      <c r="BH56" s="889" t="str">
        <f t="shared" si="26"/>
        <v/>
      </c>
      <c r="BI56" s="890" t="str">
        <f t="shared" si="27"/>
        <v/>
      </c>
      <c r="BJ56" s="891" t="str">
        <f t="shared" si="28"/>
        <v/>
      </c>
      <c r="BK56" s="892" t="str">
        <f t="shared" si="29"/>
        <v/>
      </c>
      <c r="BL56" s="892" t="str">
        <f t="shared" si="30"/>
        <v/>
      </c>
      <c r="BM56" s="892" t="str">
        <f t="shared" si="31"/>
        <v/>
      </c>
      <c r="BN56" s="892" t="str">
        <f t="shared" si="32"/>
        <v/>
      </c>
      <c r="BO56" s="892" t="str">
        <f t="shared" si="33"/>
        <v/>
      </c>
      <c r="BP56" s="893" t="str">
        <f t="shared" si="34"/>
        <v/>
      </c>
      <c r="BQ56" s="894" t="str">
        <f t="shared" si="35"/>
        <v/>
      </c>
      <c r="BR56" s="895" t="str">
        <f t="shared" si="10"/>
        <v/>
      </c>
      <c r="BS56" s="896" t="str">
        <f t="shared" si="36"/>
        <v/>
      </c>
      <c r="BT56" s="897" t="str">
        <f t="shared" si="37"/>
        <v/>
      </c>
      <c r="BU56" s="231" t="str">
        <f t="shared" si="38"/>
        <v/>
      </c>
      <c r="BV56" s="898">
        <f t="shared" si="39"/>
        <v>127</v>
      </c>
      <c r="BW56" s="845" t="str">
        <f t="shared" si="40"/>
        <v/>
      </c>
      <c r="BX56" s="899" t="str">
        <f t="shared" si="41"/>
        <v/>
      </c>
      <c r="BY56" s="900" t="str" cm="1">
        <f t="array" ref="BY56">[1]!ACAELE_CAPACIDADCABLE(BB56,H56,I56,M56,BX56,N56)</f>
        <v/>
      </c>
      <c r="BZ56" s="900" t="str">
        <f t="shared" si="42"/>
        <v/>
      </c>
      <c r="CA56" s="901" t="str" cm="1">
        <f t="array" ref="CA56">[1]!ACAELE_cabledetierra(BZ56,$N$9,I56,BW56,BX56,G56)</f>
        <v/>
      </c>
      <c r="CB56" s="902" t="str" cm="1">
        <f t="array" ref="CB56">[1]!ACAELE_TAMATUBERIA(BX56,DU56,$N$9,M56,I56)</f>
        <v/>
      </c>
      <c r="CC56" s="846" t="str">
        <f t="shared" si="43"/>
        <v/>
      </c>
      <c r="CD56" s="903" t="str" cm="1">
        <f t="array" ref="CD56">[1]!ACAELE_CAPACIDADCABLE(BB56,H56,I56,M56,CC56,N56)</f>
        <v/>
      </c>
      <c r="CE56" s="903" t="str">
        <f t="shared" si="44"/>
        <v/>
      </c>
      <c r="CF56" s="904" t="str" cm="1">
        <f t="array" ref="CF56">[1]!ACAELE_cabledetierra(CE56,$N$9,I56,BW56,CC56,G56)</f>
        <v/>
      </c>
      <c r="CG56" s="905" t="str" cm="1">
        <f t="array" ref="CG56">[1]!ACAELE_TAMATUBERIA(CC56,EC56,$N$9,S56,I56)</f>
        <v/>
      </c>
      <c r="CH56" s="906" t="str">
        <f t="shared" si="45"/>
        <v/>
      </c>
      <c r="CI56" s="510" t="str">
        <f t="shared" si="46"/>
        <v>-</v>
      </c>
      <c r="CJ56" s="511" t="str">
        <f t="shared" si="47"/>
        <v>-</v>
      </c>
      <c r="CK56" s="512" t="str">
        <f t="shared" si="48"/>
        <v>-</v>
      </c>
      <c r="CL56" s="907" t="str">
        <f t="shared" si="49"/>
        <v>-</v>
      </c>
      <c r="CM56" s="908" t="str">
        <f t="shared" si="50"/>
        <v>-</v>
      </c>
      <c r="CN56" s="909" t="str">
        <f t="shared" si="51"/>
        <v>-</v>
      </c>
      <c r="CO56" s="910" t="str" cm="1">
        <f t="array" ref="CO56">[1]!ACAELE_fasecorresponde(B56,$F$10,$P$5)</f>
        <v>A</v>
      </c>
      <c r="CP56" s="910" t="str" cm="1">
        <f t="array" ref="CP56">[1]!ACAELE_fasecorresponde(C56,$F$10,$P$5)</f>
        <v>-</v>
      </c>
      <c r="CQ56" s="910" t="str" cm="1">
        <f t="array" ref="CQ56">[1]!ACAELE_fasecorresponde(D56,$F$10,$P$5)</f>
        <v>-</v>
      </c>
      <c r="CR56" s="911" t="str">
        <f t="shared" si="52"/>
        <v>C</v>
      </c>
      <c r="CS56" s="912">
        <f t="shared" si="53"/>
        <v>1</v>
      </c>
      <c r="CT56" s="913">
        <f t="shared" si="54"/>
        <v>0.8</v>
      </c>
      <c r="CU56" s="914" t="str">
        <f t="shared" si="55"/>
        <v/>
      </c>
      <c r="CV56" s="915">
        <f t="shared" si="56"/>
        <v>0</v>
      </c>
      <c r="CW56" s="916" t="str" cm="1">
        <f t="array" ref="CW56">[1]!ACAELE_Inominal(BB56,F56,BT56,BV56,DA56,G56,V56,$P$5)</f>
        <v/>
      </c>
      <c r="CX56" s="917" t="str" cm="1">
        <f t="array" ref="CX56">[1]!ACAELE_Disparocalculado(BB56,H56,DL56,$N$21,$M$21,$O$21,BV56,$P$5)</f>
        <v/>
      </c>
      <c r="CY56" s="918" t="str" cm="1">
        <f t="array" ref="CY56">[1]!ACAELE_Icorregida($A$27,H56,BB56,BU56,CS56,CT56,$P$5)</f>
        <v/>
      </c>
      <c r="CZ56" s="919" t="str" cm="1">
        <f t="array" ref="CZ56">[1]!ACAELE_Icorregida2($A$27,H56,BB56,BU56,CS56,CU56,$P$5)</f>
        <v/>
      </c>
      <c r="DA56" s="920">
        <f t="shared" si="57"/>
        <v>0.9</v>
      </c>
      <c r="DB56" s="921">
        <f t="shared" si="58"/>
        <v>0.43588989435406728</v>
      </c>
      <c r="DC56" s="922" t="str" cm="1">
        <f t="array" ref="DC56">[1]!ACAELE_CONDPORTCORRIENTE(H56,BB56,I56,M56,CY56,CZ56,N56,$P$5)</f>
        <v/>
      </c>
      <c r="DD56" s="923" t="str" cm="1">
        <f t="array" ref="DD56">[1]!ACAELE_CAPACONDCORRIENTE(BB56,H56,I56,M56,CY56,CZ56,$P$5)</f>
        <v/>
      </c>
      <c r="DE56" s="923" t="str" cm="1">
        <f t="array" ref="DE56">[1]!ACAELE_CAPACIDADCABLE(BB56,H56,I56,M56,DC56,N56,$P$5)</f>
        <v/>
      </c>
      <c r="DF56" s="924" t="str" cm="1">
        <f t="array" ref="DF56">[1]!ACAELE_encontrarcaida(BB56,H56,L56,BV56,F56,BU56,N56,K56)</f>
        <v/>
      </c>
      <c r="DG56" s="925" t="str" cm="1">
        <f t="array" ref="DG56">[1]!ACAELE_Cablecaida(BB56,H56,M56,I56,DF56)</f>
        <v/>
      </c>
      <c r="DH56" s="918" t="str" cm="1">
        <f t="array" ref="DH56">[1]!ACAELE_CAPACIDADCABLE(BB56,H56,I56,M56,DG56,N56,$P$5)</f>
        <v/>
      </c>
      <c r="DI56" s="926" t="str" cm="1">
        <f t="array" ref="DI56">IF($A$27=1,"",[1]!ACAELE_encontrarcaida(BB56,H56,R56,BV56,F56,BU56,T56,Q56,$P$5))</f>
        <v/>
      </c>
      <c r="DJ56" s="914" t="str" cm="1">
        <f t="array" ref="DJ56">IF($A$27=1,"",[1]!ACAELE_Cablecaida2(BB56,Q56,H56,S56,I56,DI56,$P$5))</f>
        <v/>
      </c>
      <c r="DK56" s="919" t="str" cm="1">
        <f t="array" ref="DK56">[1]!ACAELE_CAPACIDADCABLE(BB56,H56,I56,M56,DJ56,N56,$P$5)</f>
        <v/>
      </c>
      <c r="DL56" s="927" t="str" cm="1">
        <f t="array" ref="DL56">[1]!acaele_Iproteccion(BB56,H56,BU56,$F$20,$G$20,$F$19,$G$19,$H$20,$H$19,$P$5)</f>
        <v/>
      </c>
      <c r="DM56" s="928" cm="1">
        <f t="array" ref="DM56">[1]!acaele_ProtCalculada(CX56,H56,BT56,BW56,$G$21,$F$21,$H$21,$P$5)</f>
        <v>0</v>
      </c>
      <c r="DN56" s="929" t="str" cm="1">
        <f t="array" ref="DN56">[1]!ACAELE_cablecalculo(BB56,H56,I56,M56,EF56,$P$5)</f>
        <v/>
      </c>
      <c r="DO56" s="930" t="str" cm="1">
        <f t="array" ref="DO56">[1]!ACAELE_RESISTENCIA(BB56,H56,M56,I56,BX56, CW56,$P$5)</f>
        <v/>
      </c>
      <c r="DP56" s="931" t="str" cm="1">
        <f t="array" ref="DP56">[1]!ACAELE_REACTANCIA(BB56,H56,$F$11,M56,I56,BX56,$P$5)</f>
        <v/>
      </c>
      <c r="DQ56" s="918" t="str" cm="1">
        <f t="array" ref="DQ56">[1]!ACAELE_DIAMECAISLA(BB56,H56,I56,BX56,$P$5)</f>
        <v/>
      </c>
      <c r="DR56" s="918" t="str" cm="1">
        <f t="array" ref="DR56">[1]!ACAELE_AREACAISLAMIENTO(BB56,H56,DQ56,$P$5)</f>
        <v/>
      </c>
      <c r="DS56" s="918" t="str" cm="1">
        <f t="array" ref="DS56">[1]!ACAELE_CAIDAVOLTSFINAL(BB56,H56,F56,K56,BU56,N56,DO56,DA56,DP56,DB56,$P$5)</f>
        <v/>
      </c>
      <c r="DT56" s="918" t="str" cm="1">
        <f t="array" ref="DT56">[1]!ACAELE_AREACONDPTE(BB56,H56,CA56,$P$5)</f>
        <v/>
      </c>
      <c r="DU56" s="932" t="str" cm="1">
        <f t="array" ref="DU56">[1]!ACAELE_AREATOTAL(BZ56,M56,EO56,N56,DQ56,G56,DR56,DT56,N$20,$P$5)</f>
        <v/>
      </c>
      <c r="DV56" s="933" t="str" cm="1">
        <f t="array" ref="DV56">IF($A$27=1,"",[1]!ACAELE_cablecalculo(BB56,H56,I56,M56,EG56,$P$5))</f>
        <v/>
      </c>
      <c r="DW56" s="934" t="str" cm="1">
        <f t="array" ref="DW56">IF($A$27=1,"",[1]!ACAELE_RESISTENCIA(BB56,H56,M56,I56,CC56,CW56,$P$5))</f>
        <v/>
      </c>
      <c r="DX56" s="926" t="str" cm="1">
        <f t="array" ref="DX56">IF($A$27=1,"",[1]!ACAELE_REACTANCIA(BB56,H56,$F$11,M56,I56,CC56,$P$5))</f>
        <v/>
      </c>
      <c r="DY56" s="935" t="str" cm="1">
        <f t="array" ref="DY56">IF($A$27=1,"",[1]!ACAELE_DIAMECAISLA(BB56,H56,I56,CC56,$P$5))</f>
        <v/>
      </c>
      <c r="DZ56" s="935" t="str" cm="1">
        <f t="array" ref="DZ56">IF($A$27=1,"",[1]!ACAELE_AREACAISLAMIENTO(BB56,H56,DY56,$P$5))</f>
        <v/>
      </c>
      <c r="EA56" s="935" t="str" cm="1">
        <f t="array" ref="EA56">[1]!ACAELE_CAIDAVOLTSFINAL2(BB56,Q56,H56,F56,$A$27,BU56,T56,DW56,DA56,DX56,DB56)</f>
        <v/>
      </c>
      <c r="EB56" s="935" t="str" cm="1">
        <f t="array" ref="EB56">IF($A$27=1,"",[1]!ACAELE_AREACONDPTE(BB56,H56,CF56,$P$5))</f>
        <v/>
      </c>
      <c r="EC56" s="936" t="str" cm="1">
        <f t="array" ref="EC56">[1]!ACAELE_AREATOTAL2(H56,$A$27,DY56,S56,G56,T56,DZ56,U56,EB56)</f>
        <v/>
      </c>
      <c r="ED56" s="937" t="str">
        <f t="shared" si="59"/>
        <v/>
      </c>
      <c r="EE56" s="938" t="str">
        <f t="shared" si="60"/>
        <v/>
      </c>
      <c r="EF56" s="939" t="str">
        <f t="shared" si="61"/>
        <v/>
      </c>
      <c r="EG56" s="940">
        <f t="shared" si="62"/>
        <v>0</v>
      </c>
      <c r="EH56" s="941" t="str">
        <f t="shared" si="63"/>
        <v/>
      </c>
      <c r="EI56" s="942">
        <f t="shared" si="64"/>
        <v>30</v>
      </c>
      <c r="EJ56" s="943" t="str">
        <f t="shared" si="11"/>
        <v/>
      </c>
      <c r="EK56" s="943" t="str">
        <f t="shared" si="12"/>
        <v/>
      </c>
      <c r="EL56" s="943" t="str">
        <f t="shared" si="13"/>
        <v/>
      </c>
      <c r="EM56" s="944" t="str">
        <f t="shared" si="14"/>
        <v/>
      </c>
      <c r="EN56" s="945" t="str" cm="1">
        <f t="array" ref="EN56">[1]!ACAELE_MOTOR(H56,X56:BA56,$X$26:$BA$26,$P$5)</f>
        <v/>
      </c>
      <c r="EO56" s="550" t="str">
        <f t="shared" si="65"/>
        <v/>
      </c>
      <c r="EP56" s="431" t="s">
        <v>1214</v>
      </c>
      <c r="EQ56" s="434" t="str">
        <f t="shared" ca="1" si="66"/>
        <v/>
      </c>
      <c r="ER56" s="32"/>
      <c r="ES56" s="32"/>
      <c r="ET56" s="3" t="str">
        <f t="shared" si="67"/>
        <v/>
      </c>
      <c r="EU56" s="3" t="str">
        <f t="shared" si="68"/>
        <v/>
      </c>
      <c r="EV56" s="3" t="str">
        <f t="shared" si="69"/>
        <v/>
      </c>
      <c r="EW56" s="3" t="str">
        <f t="shared" si="70"/>
        <v/>
      </c>
      <c r="EX56" s="3" t="str">
        <f t="shared" si="71"/>
        <v/>
      </c>
      <c r="EY56" s="3" t="str">
        <f t="shared" si="72"/>
        <v/>
      </c>
      <c r="EZ56" s="3" t="str">
        <f t="shared" si="73"/>
        <v/>
      </c>
      <c r="FA56" s="3" t="str">
        <f t="shared" si="74"/>
        <v/>
      </c>
      <c r="FB56" s="3" t="str">
        <f t="shared" si="75"/>
        <v/>
      </c>
      <c r="FC56" s="3">
        <f t="shared" si="76"/>
        <v>0</v>
      </c>
      <c r="FD56" s="32"/>
      <c r="FE56" s="32"/>
      <c r="FF56" s="103">
        <v>1</v>
      </c>
      <c r="FG56" s="32"/>
      <c r="FH56" s="103"/>
      <c r="FI56" s="32"/>
      <c r="FJ56" s="103"/>
      <c r="FK56" s="3">
        <f t="shared" si="77"/>
        <v>0</v>
      </c>
      <c r="FL56" s="3" t="str" cm="1">
        <f t="array" aca="1" ref="FL56" ca="1">[1]!acaele_DIB_UNIFILAR(BB56,H56,F56,COUNTIF(X56:BA56,1),BW56)</f>
        <v/>
      </c>
      <c r="FM56" s="3" t="str">
        <f>IF(DATOS!$T$4=0,"",IF(DATOS!$T$4=1," (QO)",IF(DATOS!$T$4=2," (QOB)",IF(DATOS!$T$4=3," (EDB)",IF(DATOS!$T$4=4,IF(BW56&lt;151," (H"&amp;FN56&amp;")",IF(BW56&lt;251," (J"&amp;FN56&amp;")", IF(BW56&lt;401," (LA)",IF(BW56&lt;801," (MG)",IF(BW56&lt;5001," (POWERPACK)",""))))))))))</f>
        <v xml:space="preserve"> (QOB)</v>
      </c>
      <c r="FN56" s="3" t="str">
        <f t="shared" si="78"/>
        <v/>
      </c>
      <c r="FO56" s="146"/>
      <c r="FP56" s="146"/>
      <c r="FQ56" s="146"/>
      <c r="FR56" s="146"/>
      <c r="FS56" s="146"/>
      <c r="FT56" s="146"/>
      <c r="FU56" s="146"/>
      <c r="FV56" s="146"/>
      <c r="FW56" s="146"/>
      <c r="FX56" s="146" t="str">
        <f t="shared" si="9"/>
        <v/>
      </c>
      <c r="FY56" s="736"/>
      <c r="FZ56" s="740"/>
      <c r="GA56" s="740"/>
      <c r="GB56" s="717"/>
      <c r="GC56" s="838"/>
      <c r="GD56" s="736"/>
      <c r="GE56" s="146"/>
      <c r="GF56" s="506"/>
      <c r="GG56" s="506"/>
      <c r="GH56" s="506"/>
      <c r="GI56" s="506"/>
      <c r="GJ56" s="506"/>
      <c r="GM56" s="3">
        <f>IF(OR(GN56&gt;TABLERO!$M$19,GO56&gt;TABLERO!$M$19,GP56&gt;TABLERO!$M$19,B56=0,C56=0,D56=0),2,CUADROACAD!A56)</f>
        <v>2</v>
      </c>
      <c r="GN56" s="3">
        <f>IF(TABLERO!B56="",0,TABLERO!B56)</f>
        <v>26</v>
      </c>
      <c r="GO56" s="3">
        <f>IF(TABLERO!C56="",GN56,TABLERO!C56)</f>
        <v>26</v>
      </c>
      <c r="GP56" s="3">
        <f>IF(TABLERO!D56="",GN56,TABLERO!D56)</f>
        <v>26</v>
      </c>
    </row>
    <row r="57" spans="1:198" s="3" customFormat="1">
      <c r="A57" s="706"/>
      <c r="B57" s="869">
        <v>27</v>
      </c>
      <c r="C57" s="870" t="str">
        <f t="shared" si="15"/>
        <v/>
      </c>
      <c r="D57" s="870" t="str">
        <f t="shared" si="16"/>
        <v/>
      </c>
      <c r="E57" s="871"/>
      <c r="F57" s="872">
        <v>1</v>
      </c>
      <c r="G57" s="716">
        <f t="shared" si="17"/>
        <v>2</v>
      </c>
      <c r="H57" s="873" t="s">
        <v>12</v>
      </c>
      <c r="I57" s="874" t="str">
        <f t="shared" si="18"/>
        <v>CU</v>
      </c>
      <c r="J57" s="875">
        <v>6</v>
      </c>
      <c r="K57" s="876">
        <v>10</v>
      </c>
      <c r="L57" s="876">
        <v>3</v>
      </c>
      <c r="M57" s="877">
        <v>1</v>
      </c>
      <c r="N57" s="877">
        <v>1</v>
      </c>
      <c r="O57" s="878">
        <v>1</v>
      </c>
      <c r="P57" s="879">
        <v>4</v>
      </c>
      <c r="Q57" s="880">
        <v>1</v>
      </c>
      <c r="R57" s="880">
        <v>1</v>
      </c>
      <c r="S57" s="881">
        <v>1</v>
      </c>
      <c r="T57" s="881">
        <v>1</v>
      </c>
      <c r="U57" s="882">
        <v>1</v>
      </c>
      <c r="V57" s="883">
        <v>1</v>
      </c>
      <c r="W57" s="874" t="str">
        <f t="shared" si="19"/>
        <v>SI</v>
      </c>
      <c r="X57" s="884"/>
      <c r="Y57" s="885"/>
      <c r="Z57" s="885"/>
      <c r="AA57" s="885"/>
      <c r="AB57" s="885"/>
      <c r="AC57" s="885"/>
      <c r="AD57" s="885"/>
      <c r="AE57" s="885"/>
      <c r="AF57" s="885"/>
      <c r="AG57" s="885"/>
      <c r="AH57" s="885"/>
      <c r="AI57" s="885"/>
      <c r="AJ57" s="885"/>
      <c r="AK57" s="885"/>
      <c r="AL57" s="885"/>
      <c r="AM57" s="885"/>
      <c r="AN57" s="885"/>
      <c r="AO57" s="885"/>
      <c r="AP57" s="885"/>
      <c r="AQ57" s="885"/>
      <c r="AR57" s="885"/>
      <c r="AS57" s="885"/>
      <c r="AT57" s="885"/>
      <c r="AU57" s="885"/>
      <c r="AV57" s="885"/>
      <c r="AW57" s="885"/>
      <c r="AX57" s="885"/>
      <c r="AY57" s="885"/>
      <c r="AZ57" s="885"/>
      <c r="BA57" s="886"/>
      <c r="BB57" s="887">
        <f t="shared" si="20"/>
        <v>0</v>
      </c>
      <c r="BC57" s="888" t="str">
        <f t="shared" si="21"/>
        <v/>
      </c>
      <c r="BD57" s="889" t="str">
        <f t="shared" si="22"/>
        <v/>
      </c>
      <c r="BE57" s="889" t="str">
        <f t="shared" si="23"/>
        <v/>
      </c>
      <c r="BF57" s="889" t="str">
        <f t="shared" si="24"/>
        <v/>
      </c>
      <c r="BG57" s="889" t="str">
        <f t="shared" si="25"/>
        <v/>
      </c>
      <c r="BH57" s="889" t="str">
        <f t="shared" si="26"/>
        <v/>
      </c>
      <c r="BI57" s="890" t="str">
        <f t="shared" si="27"/>
        <v/>
      </c>
      <c r="BJ57" s="891" t="str">
        <f t="shared" si="28"/>
        <v/>
      </c>
      <c r="BK57" s="892" t="str">
        <f t="shared" si="29"/>
        <v/>
      </c>
      <c r="BL57" s="892" t="str">
        <f t="shared" si="30"/>
        <v/>
      </c>
      <c r="BM57" s="892" t="str">
        <f t="shared" si="31"/>
        <v/>
      </c>
      <c r="BN57" s="892" t="str">
        <f t="shared" si="32"/>
        <v/>
      </c>
      <c r="BO57" s="892" t="str">
        <f t="shared" si="33"/>
        <v/>
      </c>
      <c r="BP57" s="893" t="str">
        <f t="shared" si="34"/>
        <v/>
      </c>
      <c r="BQ57" s="894" t="str">
        <f t="shared" si="35"/>
        <v/>
      </c>
      <c r="BR57" s="895" t="str">
        <f t="shared" si="10"/>
        <v/>
      </c>
      <c r="BS57" s="896" t="str">
        <f t="shared" si="36"/>
        <v/>
      </c>
      <c r="BT57" s="897" t="str">
        <f t="shared" si="37"/>
        <v/>
      </c>
      <c r="BU57" s="231" t="str">
        <f t="shared" si="38"/>
        <v/>
      </c>
      <c r="BV57" s="898">
        <f t="shared" si="39"/>
        <v>127</v>
      </c>
      <c r="BW57" s="845" t="str">
        <f t="shared" si="40"/>
        <v/>
      </c>
      <c r="BX57" s="899" t="str">
        <f t="shared" si="41"/>
        <v/>
      </c>
      <c r="BY57" s="900" t="str" cm="1">
        <f t="array" ref="BY57">[1]!ACAELE_CAPACIDADCABLE(BB57,H57,I57,M57,BX57,N57)</f>
        <v/>
      </c>
      <c r="BZ57" s="900" t="str">
        <f t="shared" si="42"/>
        <v/>
      </c>
      <c r="CA57" s="901" t="str" cm="1">
        <f t="array" ref="CA57">[1]!ACAELE_cabledetierra(BZ57,$N$9,I57,BW57,BX57,G57)</f>
        <v/>
      </c>
      <c r="CB57" s="902" t="str" cm="1">
        <f t="array" ref="CB57">[1]!ACAELE_TAMATUBERIA(BX57,DU57,$N$9,M57,I57)</f>
        <v/>
      </c>
      <c r="CC57" s="846" t="str">
        <f t="shared" si="43"/>
        <v/>
      </c>
      <c r="CD57" s="903" t="str" cm="1">
        <f t="array" ref="CD57">[1]!ACAELE_CAPACIDADCABLE(BB57,H57,I57,M57,CC57,N57)</f>
        <v/>
      </c>
      <c r="CE57" s="903" t="str">
        <f t="shared" si="44"/>
        <v/>
      </c>
      <c r="CF57" s="904" t="str" cm="1">
        <f t="array" ref="CF57">[1]!ACAELE_cabledetierra(CE57,$N$9,I57,BW57,CC57,G57)</f>
        <v/>
      </c>
      <c r="CG57" s="905" t="str" cm="1">
        <f t="array" ref="CG57">[1]!ACAELE_TAMATUBERIA(CC57,EC57,$N$9,S57,I57)</f>
        <v/>
      </c>
      <c r="CH57" s="906" t="str">
        <f t="shared" si="45"/>
        <v/>
      </c>
      <c r="CI57" s="510" t="str">
        <f t="shared" si="46"/>
        <v>-</v>
      </c>
      <c r="CJ57" s="511" t="str">
        <f t="shared" si="47"/>
        <v>-</v>
      </c>
      <c r="CK57" s="512" t="str">
        <f t="shared" si="48"/>
        <v>-</v>
      </c>
      <c r="CL57" s="907" t="str">
        <f t="shared" si="49"/>
        <v>-</v>
      </c>
      <c r="CM57" s="908" t="str">
        <f t="shared" si="50"/>
        <v>-</v>
      </c>
      <c r="CN57" s="909" t="str">
        <f t="shared" si="51"/>
        <v>-</v>
      </c>
      <c r="CO57" s="910" t="str" cm="1">
        <f t="array" ref="CO57">[1]!ACAELE_fasecorresponde(B57,$F$10,$P$5)</f>
        <v>B</v>
      </c>
      <c r="CP57" s="910" t="str" cm="1">
        <f t="array" ref="CP57">[1]!ACAELE_fasecorresponde(C57,$F$10,$P$5)</f>
        <v>-</v>
      </c>
      <c r="CQ57" s="910" t="str" cm="1">
        <f t="array" ref="CQ57">[1]!ACAELE_fasecorresponde(D57,$F$10,$P$5)</f>
        <v>-</v>
      </c>
      <c r="CR57" s="911" t="str">
        <f t="shared" si="52"/>
        <v>C</v>
      </c>
      <c r="CS57" s="912">
        <f t="shared" si="53"/>
        <v>1</v>
      </c>
      <c r="CT57" s="913">
        <f t="shared" si="54"/>
        <v>0.8</v>
      </c>
      <c r="CU57" s="914" t="str">
        <f t="shared" si="55"/>
        <v/>
      </c>
      <c r="CV57" s="915">
        <f t="shared" si="56"/>
        <v>0</v>
      </c>
      <c r="CW57" s="916" t="str" cm="1">
        <f t="array" ref="CW57">[1]!ACAELE_Inominal(BB57,F57,BT57,BV57,DA57,G57,V57,$P$5)</f>
        <v/>
      </c>
      <c r="CX57" s="917" t="str" cm="1">
        <f t="array" ref="CX57">[1]!ACAELE_Disparocalculado(BB57,H57,DL57,$N$21,$M$21,$O$21,BV57,$P$5)</f>
        <v/>
      </c>
      <c r="CY57" s="918" t="str" cm="1">
        <f t="array" ref="CY57">[1]!ACAELE_Icorregida($A$27,H57,BB57,BU57,CS57,CT57,$P$5)</f>
        <v/>
      </c>
      <c r="CZ57" s="919" t="str" cm="1">
        <f t="array" ref="CZ57">[1]!ACAELE_Icorregida2($A$27,H57,BB57,BU57,CS57,CU57,$P$5)</f>
        <v/>
      </c>
      <c r="DA57" s="920">
        <f t="shared" si="57"/>
        <v>0.9</v>
      </c>
      <c r="DB57" s="921">
        <f t="shared" si="58"/>
        <v>0.43588989435406728</v>
      </c>
      <c r="DC57" s="922" t="str" cm="1">
        <f t="array" ref="DC57">[1]!ACAELE_CONDPORTCORRIENTE(H57,BB57,I57,M57,CY57,CZ57,N57,$P$5)</f>
        <v/>
      </c>
      <c r="DD57" s="923" t="str" cm="1">
        <f t="array" ref="DD57">[1]!ACAELE_CAPACONDCORRIENTE(BB57,H57,I57,M57,CY57,CZ57,$P$5)</f>
        <v/>
      </c>
      <c r="DE57" s="923" t="str" cm="1">
        <f t="array" ref="DE57">[1]!ACAELE_CAPACIDADCABLE(BB57,H57,I57,M57,DC57,N57,$P$5)</f>
        <v/>
      </c>
      <c r="DF57" s="924" t="str" cm="1">
        <f t="array" ref="DF57">[1]!ACAELE_encontrarcaida(BB57,H57,L57,BV57,F57,BU57,N57,K57)</f>
        <v/>
      </c>
      <c r="DG57" s="925" t="str" cm="1">
        <f t="array" ref="DG57">[1]!ACAELE_Cablecaida(BB57,H57,M57,I57,DF57)</f>
        <v/>
      </c>
      <c r="DH57" s="918" t="str" cm="1">
        <f t="array" ref="DH57">[1]!ACAELE_CAPACIDADCABLE(BB57,H57,I57,M57,DG57,N57,$P$5)</f>
        <v/>
      </c>
      <c r="DI57" s="926" t="str" cm="1">
        <f t="array" ref="DI57">IF($A$27=1,"",[1]!ACAELE_encontrarcaida(BB57,H57,R57,BV57,F57,BU57,T57,Q57,$P$5))</f>
        <v/>
      </c>
      <c r="DJ57" s="914" t="str" cm="1">
        <f t="array" ref="DJ57">IF($A$27=1,"",[1]!ACAELE_Cablecaida2(BB57,Q57,H57,S57,I57,DI57,$P$5))</f>
        <v/>
      </c>
      <c r="DK57" s="919" t="str" cm="1">
        <f t="array" ref="DK57">[1]!ACAELE_CAPACIDADCABLE(BB57,H57,I57,M57,DJ57,N57,$P$5)</f>
        <v/>
      </c>
      <c r="DL57" s="927" t="str" cm="1">
        <f t="array" ref="DL57">[1]!acaele_Iproteccion(BB57,H57,BU57,$F$20,$G$20,$F$19,$G$19,$H$20,$H$19,$P$5)</f>
        <v/>
      </c>
      <c r="DM57" s="928" cm="1">
        <f t="array" ref="DM57">[1]!acaele_ProtCalculada(CX57,H57,BT57,BW57,$G$21,$F$21,$H$21,$P$5)</f>
        <v>0</v>
      </c>
      <c r="DN57" s="929" t="str" cm="1">
        <f t="array" ref="DN57">[1]!ACAELE_cablecalculo(BB57,H57,I57,M57,EF57,$P$5)</f>
        <v/>
      </c>
      <c r="DO57" s="930" t="str" cm="1">
        <f t="array" ref="DO57">[1]!ACAELE_RESISTENCIA(BB57,H57,M57,I57,BX57, CW57,$P$5)</f>
        <v/>
      </c>
      <c r="DP57" s="931" t="str" cm="1">
        <f t="array" ref="DP57">[1]!ACAELE_REACTANCIA(BB57,H57,$F$11,M57,I57,BX57,$P$5)</f>
        <v/>
      </c>
      <c r="DQ57" s="918" t="str" cm="1">
        <f t="array" ref="DQ57">[1]!ACAELE_DIAMECAISLA(BB57,H57,I57,BX57,$P$5)</f>
        <v/>
      </c>
      <c r="DR57" s="918" t="str" cm="1">
        <f t="array" ref="DR57">[1]!ACAELE_AREACAISLAMIENTO(BB57,H57,DQ57,$P$5)</f>
        <v/>
      </c>
      <c r="DS57" s="918" t="str" cm="1">
        <f t="array" ref="DS57">[1]!ACAELE_CAIDAVOLTSFINAL(BB57,H57,F57,K57,BU57,N57,DO57,DA57,DP57,DB57,$P$5)</f>
        <v/>
      </c>
      <c r="DT57" s="918" t="str" cm="1">
        <f t="array" ref="DT57">[1]!ACAELE_AREACONDPTE(BB57,H57,CA57,$P$5)</f>
        <v/>
      </c>
      <c r="DU57" s="932" t="str" cm="1">
        <f t="array" ref="DU57">[1]!ACAELE_AREATOTAL(BZ57,M57,EO57,N57,DQ57,G57,DR57,DT57,N$20,$P$5)</f>
        <v/>
      </c>
      <c r="DV57" s="933" t="str" cm="1">
        <f t="array" ref="DV57">IF($A$27=1,"",[1]!ACAELE_cablecalculo(BB57,H57,I57,M57,EG57,$P$5))</f>
        <v/>
      </c>
      <c r="DW57" s="934" t="str" cm="1">
        <f t="array" ref="DW57">IF($A$27=1,"",[1]!ACAELE_RESISTENCIA(BB57,H57,M57,I57,CC57,CW57,$P$5))</f>
        <v/>
      </c>
      <c r="DX57" s="926" t="str" cm="1">
        <f t="array" ref="DX57">IF($A$27=1,"",[1]!ACAELE_REACTANCIA(BB57,H57,$F$11,M57,I57,CC57,$P$5))</f>
        <v/>
      </c>
      <c r="DY57" s="935" t="str" cm="1">
        <f t="array" ref="DY57">IF($A$27=1,"",[1]!ACAELE_DIAMECAISLA(BB57,H57,I57,CC57,$P$5))</f>
        <v/>
      </c>
      <c r="DZ57" s="935" t="str" cm="1">
        <f t="array" ref="DZ57">IF($A$27=1,"",[1]!ACAELE_AREACAISLAMIENTO(BB57,H57,DY57,$P$5))</f>
        <v/>
      </c>
      <c r="EA57" s="935" t="str" cm="1">
        <f t="array" ref="EA57">[1]!ACAELE_CAIDAVOLTSFINAL2(BB57,Q57,H57,F57,$A$27,BU57,T57,DW57,DA57,DX57,DB57)</f>
        <v/>
      </c>
      <c r="EB57" s="935" t="str" cm="1">
        <f t="array" ref="EB57">IF($A$27=1,"",[1]!ACAELE_AREACONDPTE(BB57,H57,CF57,$P$5))</f>
        <v/>
      </c>
      <c r="EC57" s="936" t="str" cm="1">
        <f t="array" ref="EC57">[1]!ACAELE_AREATOTAL2(H57,$A$27,DY57,S57,G57,T57,DZ57,U57,EB57)</f>
        <v/>
      </c>
      <c r="ED57" s="937" t="str">
        <f t="shared" si="59"/>
        <v/>
      </c>
      <c r="EE57" s="938" t="str">
        <f t="shared" si="60"/>
        <v/>
      </c>
      <c r="EF57" s="939" t="str">
        <f t="shared" si="61"/>
        <v/>
      </c>
      <c r="EG57" s="940">
        <f t="shared" si="62"/>
        <v>0</v>
      </c>
      <c r="EH57" s="941" t="str">
        <f t="shared" si="63"/>
        <v/>
      </c>
      <c r="EI57" s="942">
        <f t="shared" si="64"/>
        <v>30</v>
      </c>
      <c r="EJ57" s="943" t="str">
        <f t="shared" si="11"/>
        <v/>
      </c>
      <c r="EK57" s="943" t="str">
        <f t="shared" si="12"/>
        <v/>
      </c>
      <c r="EL57" s="943" t="str">
        <f t="shared" si="13"/>
        <v/>
      </c>
      <c r="EM57" s="944" t="str">
        <f t="shared" si="14"/>
        <v/>
      </c>
      <c r="EN57" s="945" t="str" cm="1">
        <f t="array" ref="EN57">[1]!ACAELE_MOTOR(H57,X57:BA57,$X$26:$BA$26,$P$5)</f>
        <v/>
      </c>
      <c r="EO57" s="550" t="str">
        <f t="shared" si="65"/>
        <v/>
      </c>
      <c r="EP57" s="431" t="s">
        <v>1214</v>
      </c>
      <c r="EQ57" s="434" t="str">
        <f t="shared" ca="1" si="66"/>
        <v/>
      </c>
      <c r="ER57" s="32"/>
      <c r="ES57" s="32"/>
      <c r="ET57" s="3" t="str">
        <f t="shared" si="67"/>
        <v/>
      </c>
      <c r="EU57" s="3" t="str">
        <f t="shared" si="68"/>
        <v/>
      </c>
      <c r="EV57" s="3" t="str">
        <f t="shared" si="69"/>
        <v/>
      </c>
      <c r="EW57" s="3" t="str">
        <f t="shared" si="70"/>
        <v/>
      </c>
      <c r="EX57" s="3" t="str">
        <f t="shared" si="71"/>
        <v/>
      </c>
      <c r="EY57" s="3" t="str">
        <f t="shared" si="72"/>
        <v/>
      </c>
      <c r="EZ57" s="3" t="str">
        <f t="shared" si="73"/>
        <v/>
      </c>
      <c r="FA57" s="3" t="str">
        <f t="shared" si="74"/>
        <v/>
      </c>
      <c r="FB57" s="3" t="str">
        <f t="shared" si="75"/>
        <v/>
      </c>
      <c r="FC57" s="3">
        <f t="shared" si="76"/>
        <v>0</v>
      </c>
      <c r="FD57" s="32"/>
      <c r="FE57" s="32"/>
      <c r="FF57" s="103">
        <v>1</v>
      </c>
      <c r="FG57" s="32"/>
      <c r="FH57" s="103"/>
      <c r="FI57" s="32"/>
      <c r="FJ57" s="103"/>
      <c r="FK57" s="3">
        <f t="shared" si="77"/>
        <v>0</v>
      </c>
      <c r="FL57" s="3" t="str" cm="1">
        <f t="array" aca="1" ref="FL57" ca="1">[1]!acaele_DIB_UNIFILAR(BB57,H57,F57,COUNTIF(X57:BA57,1),BW57)</f>
        <v/>
      </c>
      <c r="FM57" s="3" t="str">
        <f>IF(DATOS!$T$4=0,"",IF(DATOS!$T$4=1," (QO)",IF(DATOS!$T$4=2," (QOB)",IF(DATOS!$T$4=3," (EDB)",IF(DATOS!$T$4=4,IF(BW57&lt;151," (H"&amp;FN57&amp;")",IF(BW57&lt;251," (J"&amp;FN57&amp;")", IF(BW57&lt;401," (LA)",IF(BW57&lt;801," (MG)",IF(BW57&lt;5001," (POWERPACK)",""))))))))))</f>
        <v xml:space="preserve"> (QOB)</v>
      </c>
      <c r="FN57" s="3" t="str">
        <f t="shared" si="78"/>
        <v/>
      </c>
      <c r="FO57" s="146"/>
      <c r="FP57" s="146"/>
      <c r="FQ57" s="146"/>
      <c r="FR57" s="146"/>
      <c r="FS57" s="146"/>
      <c r="FT57" s="146"/>
      <c r="FU57" s="146"/>
      <c r="FV57" s="146"/>
      <c r="FW57" s="146"/>
      <c r="FX57" s="146" t="str">
        <f t="shared" si="9"/>
        <v/>
      </c>
      <c r="FY57" s="736"/>
      <c r="FZ57" s="740"/>
      <c r="GA57" s="740"/>
      <c r="GB57" s="717"/>
      <c r="GC57" s="838"/>
      <c r="GD57" s="736"/>
      <c r="GE57" s="146"/>
      <c r="GF57" s="506"/>
      <c r="GG57" s="506"/>
      <c r="GH57" s="506"/>
      <c r="GI57" s="506"/>
      <c r="GJ57" s="506"/>
      <c r="GM57" s="3">
        <f>IF(OR(GN57&gt;TABLERO!$M$19,GO57&gt;TABLERO!$M$19,GP57&gt;TABLERO!$M$19,B57=0,C57=0,D57=0),2,CUADROACAD!A57)</f>
        <v>2</v>
      </c>
      <c r="GN57" s="3">
        <f>IF(TABLERO!B57="",0,TABLERO!B57)</f>
        <v>27</v>
      </c>
      <c r="GO57" s="3">
        <f>IF(TABLERO!C57="",GN57,TABLERO!C57)</f>
        <v>27</v>
      </c>
      <c r="GP57" s="3">
        <f>IF(TABLERO!D57="",GN57,TABLERO!D57)</f>
        <v>27</v>
      </c>
    </row>
    <row r="58" spans="1:198" s="3" customFormat="1">
      <c r="A58" s="706"/>
      <c r="B58" s="869">
        <v>28</v>
      </c>
      <c r="C58" s="870" t="str">
        <f t="shared" si="15"/>
        <v/>
      </c>
      <c r="D58" s="870" t="str">
        <f t="shared" si="16"/>
        <v/>
      </c>
      <c r="E58" s="871"/>
      <c r="F58" s="872">
        <v>1</v>
      </c>
      <c r="G58" s="716">
        <f t="shared" si="17"/>
        <v>2</v>
      </c>
      <c r="H58" s="873" t="s">
        <v>12</v>
      </c>
      <c r="I58" s="874" t="str">
        <f t="shared" si="18"/>
        <v>CU</v>
      </c>
      <c r="J58" s="875">
        <v>6</v>
      </c>
      <c r="K58" s="876">
        <v>10</v>
      </c>
      <c r="L58" s="876">
        <v>3</v>
      </c>
      <c r="M58" s="877">
        <v>1</v>
      </c>
      <c r="N58" s="877">
        <v>1</v>
      </c>
      <c r="O58" s="878">
        <v>1</v>
      </c>
      <c r="P58" s="879">
        <v>4</v>
      </c>
      <c r="Q58" s="880">
        <v>1</v>
      </c>
      <c r="R58" s="880">
        <v>1</v>
      </c>
      <c r="S58" s="881">
        <v>1</v>
      </c>
      <c r="T58" s="881">
        <v>1</v>
      </c>
      <c r="U58" s="882">
        <v>1</v>
      </c>
      <c r="V58" s="883">
        <v>1</v>
      </c>
      <c r="W58" s="874" t="str">
        <f t="shared" si="19"/>
        <v>SI</v>
      </c>
      <c r="X58" s="884"/>
      <c r="Y58" s="885"/>
      <c r="Z58" s="885"/>
      <c r="AA58" s="885"/>
      <c r="AB58" s="885"/>
      <c r="AC58" s="885"/>
      <c r="AD58" s="885"/>
      <c r="AE58" s="885"/>
      <c r="AF58" s="885"/>
      <c r="AG58" s="885"/>
      <c r="AH58" s="885"/>
      <c r="AI58" s="885"/>
      <c r="AJ58" s="885"/>
      <c r="AK58" s="885"/>
      <c r="AL58" s="885"/>
      <c r="AM58" s="885"/>
      <c r="AN58" s="885"/>
      <c r="AO58" s="885"/>
      <c r="AP58" s="885"/>
      <c r="AQ58" s="885"/>
      <c r="AR58" s="885"/>
      <c r="AS58" s="885"/>
      <c r="AT58" s="885"/>
      <c r="AU58" s="885"/>
      <c r="AV58" s="885"/>
      <c r="AW58" s="885"/>
      <c r="AX58" s="885"/>
      <c r="AY58" s="885"/>
      <c r="AZ58" s="885"/>
      <c r="BA58" s="886"/>
      <c r="BB58" s="887">
        <f t="shared" si="20"/>
        <v>0</v>
      </c>
      <c r="BC58" s="888" t="str">
        <f t="shared" si="21"/>
        <v/>
      </c>
      <c r="BD58" s="889" t="str">
        <f t="shared" si="22"/>
        <v/>
      </c>
      <c r="BE58" s="889" t="str">
        <f t="shared" si="23"/>
        <v/>
      </c>
      <c r="BF58" s="889" t="str">
        <f t="shared" si="24"/>
        <v/>
      </c>
      <c r="BG58" s="889" t="str">
        <f t="shared" si="25"/>
        <v/>
      </c>
      <c r="BH58" s="889" t="str">
        <f t="shared" si="26"/>
        <v/>
      </c>
      <c r="BI58" s="890" t="str">
        <f t="shared" si="27"/>
        <v/>
      </c>
      <c r="BJ58" s="891" t="str">
        <f t="shared" si="28"/>
        <v/>
      </c>
      <c r="BK58" s="892" t="str">
        <f t="shared" si="29"/>
        <v/>
      </c>
      <c r="BL58" s="892" t="str">
        <f t="shared" si="30"/>
        <v/>
      </c>
      <c r="BM58" s="892" t="str">
        <f t="shared" si="31"/>
        <v/>
      </c>
      <c r="BN58" s="892" t="str">
        <f t="shared" si="32"/>
        <v/>
      </c>
      <c r="BO58" s="892" t="str">
        <f t="shared" si="33"/>
        <v/>
      </c>
      <c r="BP58" s="893" t="str">
        <f t="shared" si="34"/>
        <v/>
      </c>
      <c r="BQ58" s="894" t="str">
        <f t="shared" si="35"/>
        <v/>
      </c>
      <c r="BR58" s="895" t="str">
        <f t="shared" si="10"/>
        <v/>
      </c>
      <c r="BS58" s="896" t="str">
        <f t="shared" si="36"/>
        <v/>
      </c>
      <c r="BT58" s="897" t="str">
        <f t="shared" si="37"/>
        <v/>
      </c>
      <c r="BU58" s="231" t="str">
        <f t="shared" si="38"/>
        <v/>
      </c>
      <c r="BV58" s="898">
        <f t="shared" si="39"/>
        <v>127</v>
      </c>
      <c r="BW58" s="845" t="str">
        <f t="shared" si="40"/>
        <v/>
      </c>
      <c r="BX58" s="899" t="str">
        <f t="shared" si="41"/>
        <v/>
      </c>
      <c r="BY58" s="900" t="str" cm="1">
        <f t="array" ref="BY58">[1]!ACAELE_CAPACIDADCABLE(BB58,H58,I58,M58,BX58,N58)</f>
        <v/>
      </c>
      <c r="BZ58" s="900" t="str">
        <f t="shared" si="42"/>
        <v/>
      </c>
      <c r="CA58" s="901" t="str" cm="1">
        <f t="array" ref="CA58">[1]!ACAELE_cabledetierra(BZ58,$N$9,I58,BW58,BX58,G58)</f>
        <v/>
      </c>
      <c r="CB58" s="902" t="str" cm="1">
        <f t="array" ref="CB58">[1]!ACAELE_TAMATUBERIA(BX58,DU58,$N$9,M58,I58)</f>
        <v/>
      </c>
      <c r="CC58" s="846" t="str">
        <f t="shared" si="43"/>
        <v/>
      </c>
      <c r="CD58" s="903" t="str" cm="1">
        <f t="array" ref="CD58">[1]!ACAELE_CAPACIDADCABLE(BB58,H58,I58,M58,CC58,N58)</f>
        <v/>
      </c>
      <c r="CE58" s="903" t="str">
        <f t="shared" si="44"/>
        <v/>
      </c>
      <c r="CF58" s="904" t="str" cm="1">
        <f t="array" ref="CF58">[1]!ACAELE_cabledetierra(CE58,$N$9,I58,BW58,CC58,G58)</f>
        <v/>
      </c>
      <c r="CG58" s="905" t="str" cm="1">
        <f t="array" ref="CG58">[1]!ACAELE_TAMATUBERIA(CC58,EC58,$N$9,S58,I58)</f>
        <v/>
      </c>
      <c r="CH58" s="906" t="str">
        <f t="shared" si="45"/>
        <v/>
      </c>
      <c r="CI58" s="510" t="str">
        <f t="shared" si="46"/>
        <v>-</v>
      </c>
      <c r="CJ58" s="511" t="str">
        <f t="shared" si="47"/>
        <v>-</v>
      </c>
      <c r="CK58" s="512" t="str">
        <f t="shared" si="48"/>
        <v>-</v>
      </c>
      <c r="CL58" s="907" t="str">
        <f t="shared" si="49"/>
        <v>-</v>
      </c>
      <c r="CM58" s="908" t="str">
        <f t="shared" si="50"/>
        <v>-</v>
      </c>
      <c r="CN58" s="909" t="str">
        <f t="shared" si="51"/>
        <v>-</v>
      </c>
      <c r="CO58" s="910" t="str" cm="1">
        <f t="array" ref="CO58">[1]!ACAELE_fasecorresponde(B58,$F$10,$P$5)</f>
        <v>B</v>
      </c>
      <c r="CP58" s="910" t="str" cm="1">
        <f t="array" ref="CP58">[1]!ACAELE_fasecorresponde(C58,$F$10,$P$5)</f>
        <v>-</v>
      </c>
      <c r="CQ58" s="910" t="str" cm="1">
        <f t="array" ref="CQ58">[1]!ACAELE_fasecorresponde(D58,$F$10,$P$5)</f>
        <v>-</v>
      </c>
      <c r="CR58" s="911" t="str">
        <f t="shared" si="52"/>
        <v>C</v>
      </c>
      <c r="CS58" s="912">
        <f t="shared" si="53"/>
        <v>1</v>
      </c>
      <c r="CT58" s="913">
        <f t="shared" si="54"/>
        <v>0.8</v>
      </c>
      <c r="CU58" s="914" t="str">
        <f t="shared" si="55"/>
        <v/>
      </c>
      <c r="CV58" s="915">
        <f t="shared" si="56"/>
        <v>0</v>
      </c>
      <c r="CW58" s="916" t="str" cm="1">
        <f t="array" ref="CW58">[1]!ACAELE_Inominal(BB58,F58,BT58,BV58,DA58,G58,V58,$P$5)</f>
        <v/>
      </c>
      <c r="CX58" s="917" t="str" cm="1">
        <f t="array" ref="CX58">[1]!ACAELE_Disparocalculado(BB58,H58,DL58,$N$21,$M$21,$O$21,BV58,$P$5)</f>
        <v/>
      </c>
      <c r="CY58" s="918" t="str" cm="1">
        <f t="array" ref="CY58">[1]!ACAELE_Icorregida($A$27,H58,BB58,BU58,CS58,CT58,$P$5)</f>
        <v/>
      </c>
      <c r="CZ58" s="919" t="str" cm="1">
        <f t="array" ref="CZ58">[1]!ACAELE_Icorregida2($A$27,H58,BB58,BU58,CS58,CU58,$P$5)</f>
        <v/>
      </c>
      <c r="DA58" s="920">
        <f t="shared" si="57"/>
        <v>0.9</v>
      </c>
      <c r="DB58" s="921">
        <f t="shared" si="58"/>
        <v>0.43588989435406728</v>
      </c>
      <c r="DC58" s="922" t="str" cm="1">
        <f t="array" ref="DC58">[1]!ACAELE_CONDPORTCORRIENTE(H58,BB58,I58,M58,CY58,CZ58,N58,$P$5)</f>
        <v/>
      </c>
      <c r="DD58" s="923" t="str" cm="1">
        <f t="array" ref="DD58">[1]!ACAELE_CAPACONDCORRIENTE(BB58,H58,I58,M58,CY58,CZ58,$P$5)</f>
        <v/>
      </c>
      <c r="DE58" s="923" t="str" cm="1">
        <f t="array" ref="DE58">[1]!ACAELE_CAPACIDADCABLE(BB58,H58,I58,M58,DC58,N58,$P$5)</f>
        <v/>
      </c>
      <c r="DF58" s="924" t="str" cm="1">
        <f t="array" ref="DF58">[1]!ACAELE_encontrarcaida(BB58,H58,L58,BV58,F58,BU58,N58,K58)</f>
        <v/>
      </c>
      <c r="DG58" s="925" t="str" cm="1">
        <f t="array" ref="DG58">[1]!ACAELE_Cablecaida(BB58,H58,M58,I58,DF58)</f>
        <v/>
      </c>
      <c r="DH58" s="918" t="str" cm="1">
        <f t="array" ref="DH58">[1]!ACAELE_CAPACIDADCABLE(BB58,H58,I58,M58,DG58,N58,$P$5)</f>
        <v/>
      </c>
      <c r="DI58" s="926" t="str" cm="1">
        <f t="array" ref="DI58">IF($A$27=1,"",[1]!ACAELE_encontrarcaida(BB58,H58,R58,BV58,F58,BU58,T58,Q58,$P$5))</f>
        <v/>
      </c>
      <c r="DJ58" s="914" t="str" cm="1">
        <f t="array" ref="DJ58">IF($A$27=1,"",[1]!ACAELE_Cablecaida2(BB58,Q58,H58,S58,I58,DI58,$P$5))</f>
        <v/>
      </c>
      <c r="DK58" s="919" t="str" cm="1">
        <f t="array" ref="DK58">[1]!ACAELE_CAPACIDADCABLE(BB58,H58,I58,M58,DJ58,N58,$P$5)</f>
        <v/>
      </c>
      <c r="DL58" s="927" t="str" cm="1">
        <f t="array" ref="DL58">[1]!acaele_Iproteccion(BB58,H58,BU58,$F$20,$G$20,$F$19,$G$19,$H$20,$H$19,$P$5)</f>
        <v/>
      </c>
      <c r="DM58" s="928" cm="1">
        <f t="array" ref="DM58">[1]!acaele_ProtCalculada(CX58,H58,BT58,BW58,$G$21,$F$21,$H$21,$P$5)</f>
        <v>0</v>
      </c>
      <c r="DN58" s="929" t="str" cm="1">
        <f t="array" ref="DN58">[1]!ACAELE_cablecalculo(BB58,H58,I58,M58,EF58,$P$5)</f>
        <v/>
      </c>
      <c r="DO58" s="930" t="str" cm="1">
        <f t="array" ref="DO58">[1]!ACAELE_RESISTENCIA(BB58,H58,M58,I58,BX58, CW58,$P$5)</f>
        <v/>
      </c>
      <c r="DP58" s="931" t="str" cm="1">
        <f t="array" ref="DP58">[1]!ACAELE_REACTANCIA(BB58,H58,$F$11,M58,I58,BX58,$P$5)</f>
        <v/>
      </c>
      <c r="DQ58" s="918" t="str" cm="1">
        <f t="array" ref="DQ58">[1]!ACAELE_DIAMECAISLA(BB58,H58,I58,BX58,$P$5)</f>
        <v/>
      </c>
      <c r="DR58" s="918" t="str" cm="1">
        <f t="array" ref="DR58">[1]!ACAELE_AREACAISLAMIENTO(BB58,H58,DQ58,$P$5)</f>
        <v/>
      </c>
      <c r="DS58" s="918" t="str" cm="1">
        <f t="array" ref="DS58">[1]!ACAELE_CAIDAVOLTSFINAL(BB58,H58,F58,K58,BU58,N58,DO58,DA58,DP58,DB58,$P$5)</f>
        <v/>
      </c>
      <c r="DT58" s="918" t="str" cm="1">
        <f t="array" ref="DT58">[1]!ACAELE_AREACONDPTE(BB58,H58,CA58,$P$5)</f>
        <v/>
      </c>
      <c r="DU58" s="932" t="str" cm="1">
        <f t="array" ref="DU58">[1]!ACAELE_AREATOTAL(BZ58,M58,EO58,N58,DQ58,G58,DR58,DT58,N$20,$P$5)</f>
        <v/>
      </c>
      <c r="DV58" s="933" t="str" cm="1">
        <f t="array" ref="DV58">IF($A$27=1,"",[1]!ACAELE_cablecalculo(BB58,H58,I58,M58,EG58,$P$5))</f>
        <v/>
      </c>
      <c r="DW58" s="934" t="str" cm="1">
        <f t="array" ref="DW58">IF($A$27=1,"",[1]!ACAELE_RESISTENCIA(BB58,H58,M58,I58,CC58,CW58,$P$5))</f>
        <v/>
      </c>
      <c r="DX58" s="926" t="str" cm="1">
        <f t="array" ref="DX58">IF($A$27=1,"",[1]!ACAELE_REACTANCIA(BB58,H58,$F$11,M58,I58,CC58,$P$5))</f>
        <v/>
      </c>
      <c r="DY58" s="935" t="str" cm="1">
        <f t="array" ref="DY58">IF($A$27=1,"",[1]!ACAELE_DIAMECAISLA(BB58,H58,I58,CC58,$P$5))</f>
        <v/>
      </c>
      <c r="DZ58" s="935" t="str" cm="1">
        <f t="array" ref="DZ58">IF($A$27=1,"",[1]!ACAELE_AREACAISLAMIENTO(BB58,H58,DY58,$P$5))</f>
        <v/>
      </c>
      <c r="EA58" s="935" t="str" cm="1">
        <f t="array" ref="EA58">[1]!ACAELE_CAIDAVOLTSFINAL2(BB58,Q58,H58,F58,$A$27,BU58,T58,DW58,DA58,DX58,DB58)</f>
        <v/>
      </c>
      <c r="EB58" s="935" t="str" cm="1">
        <f t="array" ref="EB58">IF($A$27=1,"",[1]!ACAELE_AREACONDPTE(BB58,H58,CF58,$P$5))</f>
        <v/>
      </c>
      <c r="EC58" s="936" t="str" cm="1">
        <f t="array" ref="EC58">[1]!ACAELE_AREATOTAL2(H58,$A$27,DY58,S58,G58,T58,DZ58,U58,EB58)</f>
        <v/>
      </c>
      <c r="ED58" s="937" t="str">
        <f t="shared" si="59"/>
        <v/>
      </c>
      <c r="EE58" s="938" t="str">
        <f t="shared" si="60"/>
        <v/>
      </c>
      <c r="EF58" s="939" t="str">
        <f t="shared" si="61"/>
        <v/>
      </c>
      <c r="EG58" s="940">
        <f t="shared" si="62"/>
        <v>0</v>
      </c>
      <c r="EH58" s="941" t="str">
        <f t="shared" si="63"/>
        <v/>
      </c>
      <c r="EI58" s="942">
        <f t="shared" si="64"/>
        <v>30</v>
      </c>
      <c r="EJ58" s="943" t="str">
        <f t="shared" si="11"/>
        <v/>
      </c>
      <c r="EK58" s="943" t="str">
        <f t="shared" si="12"/>
        <v/>
      </c>
      <c r="EL58" s="943" t="str">
        <f t="shared" si="13"/>
        <v/>
      </c>
      <c r="EM58" s="944" t="str">
        <f t="shared" si="14"/>
        <v/>
      </c>
      <c r="EN58" s="945" t="str" cm="1">
        <f t="array" ref="EN58">[1]!ACAELE_MOTOR(H58,X58:BA58,$X$26:$BA$26,$P$5)</f>
        <v/>
      </c>
      <c r="EO58" s="550" t="str">
        <f t="shared" si="65"/>
        <v/>
      </c>
      <c r="EP58" s="431" t="s">
        <v>1214</v>
      </c>
      <c r="EQ58" s="434" t="str">
        <f t="shared" ca="1" si="66"/>
        <v/>
      </c>
      <c r="ER58" s="32"/>
      <c r="ES58" s="32"/>
      <c r="ET58" s="3" t="str">
        <f t="shared" si="67"/>
        <v/>
      </c>
      <c r="EU58" s="3" t="str">
        <f t="shared" si="68"/>
        <v/>
      </c>
      <c r="EV58" s="3" t="str">
        <f t="shared" si="69"/>
        <v/>
      </c>
      <c r="EW58" s="3" t="str">
        <f t="shared" si="70"/>
        <v/>
      </c>
      <c r="EX58" s="3" t="str">
        <f t="shared" si="71"/>
        <v/>
      </c>
      <c r="EY58" s="3" t="str">
        <f t="shared" si="72"/>
        <v/>
      </c>
      <c r="EZ58" s="3" t="str">
        <f t="shared" si="73"/>
        <v/>
      </c>
      <c r="FA58" s="3" t="str">
        <f t="shared" si="74"/>
        <v/>
      </c>
      <c r="FB58" s="3" t="str">
        <f t="shared" si="75"/>
        <v/>
      </c>
      <c r="FC58" s="3">
        <f t="shared" si="76"/>
        <v>0</v>
      </c>
      <c r="FD58" s="32"/>
      <c r="FE58" s="32"/>
      <c r="FF58" s="103">
        <v>1</v>
      </c>
      <c r="FG58" s="32"/>
      <c r="FH58" s="103"/>
      <c r="FI58" s="32"/>
      <c r="FJ58" s="103"/>
      <c r="FK58" s="3">
        <f t="shared" si="77"/>
        <v>0</v>
      </c>
      <c r="FL58" s="3" t="str" cm="1">
        <f t="array" aca="1" ref="FL58" ca="1">[1]!acaele_DIB_UNIFILAR(BB58,H58,F58,COUNTIF(X58:BA58,1),BW58)</f>
        <v/>
      </c>
      <c r="FM58" s="3" t="str">
        <f>IF(DATOS!$T$4=0,"",IF(DATOS!$T$4=1," (QO)",IF(DATOS!$T$4=2," (QOB)",IF(DATOS!$T$4=3," (EDB)",IF(DATOS!$T$4=4,IF(BW58&lt;151," (H"&amp;FN58&amp;")",IF(BW58&lt;251," (J"&amp;FN58&amp;")", IF(BW58&lt;401," (LA)",IF(BW58&lt;801," (MG)",IF(BW58&lt;5001," (POWERPACK)",""))))))))))</f>
        <v xml:space="preserve"> (QOB)</v>
      </c>
      <c r="FN58" s="3" t="str">
        <f t="shared" si="78"/>
        <v/>
      </c>
      <c r="FO58" s="146"/>
      <c r="FP58" s="146"/>
      <c r="FQ58" s="146"/>
      <c r="FR58" s="146"/>
      <c r="FS58" s="146"/>
      <c r="FT58" s="146"/>
      <c r="FU58" s="146"/>
      <c r="FV58" s="146"/>
      <c r="FW58" s="146"/>
      <c r="FX58" s="146" t="str">
        <f t="shared" si="9"/>
        <v/>
      </c>
      <c r="FY58" s="736"/>
      <c r="FZ58" s="740"/>
      <c r="GA58" s="740"/>
      <c r="GB58" s="717"/>
      <c r="GC58" s="838"/>
      <c r="GD58" s="736"/>
      <c r="GE58" s="146"/>
      <c r="GF58" s="506"/>
      <c r="GG58" s="506"/>
      <c r="GH58" s="506"/>
      <c r="GI58" s="506"/>
      <c r="GJ58" s="506"/>
      <c r="GM58" s="3">
        <f>IF(OR(GN58&gt;TABLERO!$M$19,GO58&gt;TABLERO!$M$19,GP58&gt;TABLERO!$M$19,B58=0,C58=0,D58=0),2,CUADROACAD!A58)</f>
        <v>2</v>
      </c>
      <c r="GN58" s="3">
        <f>IF(TABLERO!B58="",0,TABLERO!B58)</f>
        <v>28</v>
      </c>
      <c r="GO58" s="3">
        <f>IF(TABLERO!C58="",GN58,TABLERO!C58)</f>
        <v>28</v>
      </c>
      <c r="GP58" s="3">
        <f>IF(TABLERO!D58="",GN58,TABLERO!D58)</f>
        <v>28</v>
      </c>
    </row>
    <row r="59" spans="1:198" s="3" customFormat="1">
      <c r="A59" s="706"/>
      <c r="B59" s="869">
        <v>29</v>
      </c>
      <c r="C59" s="870" t="str">
        <f t="shared" si="15"/>
        <v/>
      </c>
      <c r="D59" s="870" t="str">
        <f t="shared" si="16"/>
        <v/>
      </c>
      <c r="E59" s="871"/>
      <c r="F59" s="872">
        <v>1</v>
      </c>
      <c r="G59" s="716">
        <f t="shared" si="17"/>
        <v>2</v>
      </c>
      <c r="H59" s="873" t="s">
        <v>12</v>
      </c>
      <c r="I59" s="874" t="str">
        <f t="shared" si="18"/>
        <v>CU</v>
      </c>
      <c r="J59" s="875">
        <v>6</v>
      </c>
      <c r="K59" s="876">
        <v>10</v>
      </c>
      <c r="L59" s="876">
        <v>3</v>
      </c>
      <c r="M59" s="877">
        <v>1</v>
      </c>
      <c r="N59" s="877">
        <v>1</v>
      </c>
      <c r="O59" s="878">
        <v>1</v>
      </c>
      <c r="P59" s="879">
        <v>4</v>
      </c>
      <c r="Q59" s="880">
        <v>1</v>
      </c>
      <c r="R59" s="880">
        <v>1</v>
      </c>
      <c r="S59" s="881">
        <v>1</v>
      </c>
      <c r="T59" s="881">
        <v>1</v>
      </c>
      <c r="U59" s="882">
        <v>1</v>
      </c>
      <c r="V59" s="883">
        <v>1</v>
      </c>
      <c r="W59" s="874" t="str">
        <f t="shared" si="19"/>
        <v>SI</v>
      </c>
      <c r="X59" s="884"/>
      <c r="Y59" s="885"/>
      <c r="Z59" s="885"/>
      <c r="AA59" s="885"/>
      <c r="AB59" s="885"/>
      <c r="AC59" s="885"/>
      <c r="AD59" s="885"/>
      <c r="AE59" s="885"/>
      <c r="AF59" s="885"/>
      <c r="AG59" s="885"/>
      <c r="AH59" s="885"/>
      <c r="AI59" s="885"/>
      <c r="AJ59" s="885"/>
      <c r="AK59" s="885"/>
      <c r="AL59" s="885"/>
      <c r="AM59" s="885"/>
      <c r="AN59" s="885"/>
      <c r="AO59" s="885"/>
      <c r="AP59" s="885"/>
      <c r="AQ59" s="885"/>
      <c r="AR59" s="885"/>
      <c r="AS59" s="885"/>
      <c r="AT59" s="885"/>
      <c r="AU59" s="885"/>
      <c r="AV59" s="885"/>
      <c r="AW59" s="885"/>
      <c r="AX59" s="885"/>
      <c r="AY59" s="885"/>
      <c r="AZ59" s="885"/>
      <c r="BA59" s="886"/>
      <c r="BB59" s="887">
        <f t="shared" si="20"/>
        <v>0</v>
      </c>
      <c r="BC59" s="888" t="str">
        <f t="shared" si="21"/>
        <v/>
      </c>
      <c r="BD59" s="889" t="str">
        <f t="shared" si="22"/>
        <v/>
      </c>
      <c r="BE59" s="889" t="str">
        <f t="shared" si="23"/>
        <v/>
      </c>
      <c r="BF59" s="889" t="str">
        <f t="shared" si="24"/>
        <v/>
      </c>
      <c r="BG59" s="889" t="str">
        <f t="shared" si="25"/>
        <v/>
      </c>
      <c r="BH59" s="889" t="str">
        <f t="shared" si="26"/>
        <v/>
      </c>
      <c r="BI59" s="890" t="str">
        <f t="shared" si="27"/>
        <v/>
      </c>
      <c r="BJ59" s="891" t="str">
        <f t="shared" si="28"/>
        <v/>
      </c>
      <c r="BK59" s="892" t="str">
        <f t="shared" si="29"/>
        <v/>
      </c>
      <c r="BL59" s="892" t="str">
        <f t="shared" si="30"/>
        <v/>
      </c>
      <c r="BM59" s="892" t="str">
        <f t="shared" si="31"/>
        <v/>
      </c>
      <c r="BN59" s="892" t="str">
        <f t="shared" si="32"/>
        <v/>
      </c>
      <c r="BO59" s="892" t="str">
        <f t="shared" si="33"/>
        <v/>
      </c>
      <c r="BP59" s="893" t="str">
        <f t="shared" si="34"/>
        <v/>
      </c>
      <c r="BQ59" s="894" t="str">
        <f t="shared" si="35"/>
        <v/>
      </c>
      <c r="BR59" s="895" t="str">
        <f t="shared" si="10"/>
        <v/>
      </c>
      <c r="BS59" s="896" t="str">
        <f t="shared" si="36"/>
        <v/>
      </c>
      <c r="BT59" s="897" t="str">
        <f t="shared" si="37"/>
        <v/>
      </c>
      <c r="BU59" s="231" t="str">
        <f t="shared" si="38"/>
        <v/>
      </c>
      <c r="BV59" s="898">
        <f t="shared" si="39"/>
        <v>127</v>
      </c>
      <c r="BW59" s="845" t="str">
        <f t="shared" si="40"/>
        <v/>
      </c>
      <c r="BX59" s="899" t="str">
        <f t="shared" si="41"/>
        <v/>
      </c>
      <c r="BY59" s="900" t="str" cm="1">
        <f t="array" ref="BY59">[1]!ACAELE_CAPACIDADCABLE(BB59,H59,I59,M59,BX59,N59)</f>
        <v/>
      </c>
      <c r="BZ59" s="900" t="str">
        <f t="shared" si="42"/>
        <v/>
      </c>
      <c r="CA59" s="901" t="str" cm="1">
        <f t="array" ref="CA59">[1]!ACAELE_cabledetierra(BZ59,$N$9,I59,BW59,BX59,G59)</f>
        <v/>
      </c>
      <c r="CB59" s="902" t="str" cm="1">
        <f t="array" ref="CB59">[1]!ACAELE_TAMATUBERIA(BX59,DU59,$N$9,M59,I59)</f>
        <v/>
      </c>
      <c r="CC59" s="846" t="str">
        <f t="shared" si="43"/>
        <v/>
      </c>
      <c r="CD59" s="903" t="str" cm="1">
        <f t="array" ref="CD59">[1]!ACAELE_CAPACIDADCABLE(BB59,H59,I59,M59,CC59,N59)</f>
        <v/>
      </c>
      <c r="CE59" s="903" t="str">
        <f t="shared" si="44"/>
        <v/>
      </c>
      <c r="CF59" s="904" t="str" cm="1">
        <f t="array" ref="CF59">[1]!ACAELE_cabledetierra(CE59,$N$9,I59,BW59,CC59,G59)</f>
        <v/>
      </c>
      <c r="CG59" s="905" t="str" cm="1">
        <f t="array" ref="CG59">[1]!ACAELE_TAMATUBERIA(CC59,EC59,$N$9,S59,I59)</f>
        <v/>
      </c>
      <c r="CH59" s="906" t="str">
        <f t="shared" si="45"/>
        <v/>
      </c>
      <c r="CI59" s="510" t="str">
        <f t="shared" si="46"/>
        <v>-</v>
      </c>
      <c r="CJ59" s="511" t="str">
        <f t="shared" si="47"/>
        <v>-</v>
      </c>
      <c r="CK59" s="512" t="str">
        <f t="shared" si="48"/>
        <v>-</v>
      </c>
      <c r="CL59" s="907" t="str">
        <f t="shared" si="49"/>
        <v>-</v>
      </c>
      <c r="CM59" s="908" t="str">
        <f t="shared" si="50"/>
        <v>-</v>
      </c>
      <c r="CN59" s="909" t="str">
        <f t="shared" si="51"/>
        <v>-</v>
      </c>
      <c r="CO59" s="910" t="str" cm="1">
        <f t="array" ref="CO59">[1]!ACAELE_fasecorresponde(B59,$F$10,$P$5)</f>
        <v>C</v>
      </c>
      <c r="CP59" s="910" t="str" cm="1">
        <f t="array" ref="CP59">[1]!ACAELE_fasecorresponde(C59,$F$10,$P$5)</f>
        <v>-</v>
      </c>
      <c r="CQ59" s="910" t="str" cm="1">
        <f t="array" ref="CQ59">[1]!ACAELE_fasecorresponde(D59,$F$10,$P$5)</f>
        <v>-</v>
      </c>
      <c r="CR59" s="911" t="str">
        <f t="shared" si="52"/>
        <v>C</v>
      </c>
      <c r="CS59" s="912">
        <f t="shared" si="53"/>
        <v>1</v>
      </c>
      <c r="CT59" s="913">
        <f t="shared" si="54"/>
        <v>0.8</v>
      </c>
      <c r="CU59" s="914" t="str">
        <f t="shared" si="55"/>
        <v/>
      </c>
      <c r="CV59" s="915">
        <f t="shared" si="56"/>
        <v>0</v>
      </c>
      <c r="CW59" s="916" t="str" cm="1">
        <f t="array" ref="CW59">[1]!ACAELE_Inominal(BB59,F59,BT59,BV59,DA59,G59,V59,$P$5)</f>
        <v/>
      </c>
      <c r="CX59" s="917" t="str" cm="1">
        <f t="array" ref="CX59">[1]!ACAELE_Disparocalculado(BB59,H59,DL59,$N$21,$M$21,$O$21,BV59,$P$5)</f>
        <v/>
      </c>
      <c r="CY59" s="918" t="str" cm="1">
        <f t="array" ref="CY59">[1]!ACAELE_Icorregida($A$27,H59,BB59,BU59,CS59,CT59,$P$5)</f>
        <v/>
      </c>
      <c r="CZ59" s="919" t="str" cm="1">
        <f t="array" ref="CZ59">[1]!ACAELE_Icorregida2($A$27,H59,BB59,BU59,CS59,CU59,$P$5)</f>
        <v/>
      </c>
      <c r="DA59" s="920">
        <f t="shared" si="57"/>
        <v>0.9</v>
      </c>
      <c r="DB59" s="921">
        <f t="shared" si="58"/>
        <v>0.43588989435406728</v>
      </c>
      <c r="DC59" s="922" t="str" cm="1">
        <f t="array" ref="DC59">[1]!ACAELE_CONDPORTCORRIENTE(H59,BB59,I59,M59,CY59,CZ59,N59,$P$5)</f>
        <v/>
      </c>
      <c r="DD59" s="923" t="str" cm="1">
        <f t="array" ref="DD59">[1]!ACAELE_CAPACONDCORRIENTE(BB59,H59,I59,M59,CY59,CZ59,$P$5)</f>
        <v/>
      </c>
      <c r="DE59" s="923" t="str" cm="1">
        <f t="array" ref="DE59">[1]!ACAELE_CAPACIDADCABLE(BB59,H59,I59,M59,DC59,N59,$P$5)</f>
        <v/>
      </c>
      <c r="DF59" s="924" t="str" cm="1">
        <f t="array" ref="DF59">[1]!ACAELE_encontrarcaida(BB59,H59,L59,BV59,F59,BU59,N59,K59)</f>
        <v/>
      </c>
      <c r="DG59" s="925" t="str" cm="1">
        <f t="array" ref="DG59">[1]!ACAELE_Cablecaida(BB59,H59,M59,I59,DF59)</f>
        <v/>
      </c>
      <c r="DH59" s="918" t="str" cm="1">
        <f t="array" ref="DH59">[1]!ACAELE_CAPACIDADCABLE(BB59,H59,I59,M59,DG59,N59,$P$5)</f>
        <v/>
      </c>
      <c r="DI59" s="926" t="str" cm="1">
        <f t="array" ref="DI59">IF($A$27=1,"",[1]!ACAELE_encontrarcaida(BB59,H59,R59,BV59,F59,BU59,T59,Q59,$P$5))</f>
        <v/>
      </c>
      <c r="DJ59" s="914" t="str" cm="1">
        <f t="array" ref="DJ59">IF($A$27=1,"",[1]!ACAELE_Cablecaida2(BB59,Q59,H59,S59,I59,DI59,$P$5))</f>
        <v/>
      </c>
      <c r="DK59" s="919" t="str" cm="1">
        <f t="array" ref="DK59">[1]!ACAELE_CAPACIDADCABLE(BB59,H59,I59,M59,DJ59,N59,$P$5)</f>
        <v/>
      </c>
      <c r="DL59" s="927" t="str" cm="1">
        <f t="array" ref="DL59">[1]!acaele_Iproteccion(BB59,H59,BU59,$F$20,$G$20,$F$19,$G$19,$H$20,$H$19,$P$5)</f>
        <v/>
      </c>
      <c r="DM59" s="928" cm="1">
        <f t="array" ref="DM59">[1]!acaele_ProtCalculada(CX59,H59,BT59,BW59,$G$21,$F$21,$H$21,$P$5)</f>
        <v>0</v>
      </c>
      <c r="DN59" s="929" t="str" cm="1">
        <f t="array" ref="DN59">[1]!ACAELE_cablecalculo(BB59,H59,I59,M59,EF59,$P$5)</f>
        <v/>
      </c>
      <c r="DO59" s="930" t="str" cm="1">
        <f t="array" ref="DO59">[1]!ACAELE_RESISTENCIA(BB59,H59,M59,I59,BX59, CW59,$P$5)</f>
        <v/>
      </c>
      <c r="DP59" s="931" t="str" cm="1">
        <f t="array" ref="DP59">[1]!ACAELE_REACTANCIA(BB59,H59,$F$11,M59,I59,BX59,$P$5)</f>
        <v/>
      </c>
      <c r="DQ59" s="918" t="str" cm="1">
        <f t="array" ref="DQ59">[1]!ACAELE_DIAMECAISLA(BB59,H59,I59,BX59,$P$5)</f>
        <v/>
      </c>
      <c r="DR59" s="918" t="str" cm="1">
        <f t="array" ref="DR59">[1]!ACAELE_AREACAISLAMIENTO(BB59,H59,DQ59,$P$5)</f>
        <v/>
      </c>
      <c r="DS59" s="918" t="str" cm="1">
        <f t="array" ref="DS59">[1]!ACAELE_CAIDAVOLTSFINAL(BB59,H59,F59,K59,BU59,N59,DO59,DA59,DP59,DB59,$P$5)</f>
        <v/>
      </c>
      <c r="DT59" s="918" t="str" cm="1">
        <f t="array" ref="DT59">[1]!ACAELE_AREACONDPTE(BB59,H59,CA59,$P$5)</f>
        <v/>
      </c>
      <c r="DU59" s="932" t="str" cm="1">
        <f t="array" ref="DU59">[1]!ACAELE_AREATOTAL(BZ59,M59,EO59,N59,DQ59,G59,DR59,DT59,N$20,$P$5)</f>
        <v/>
      </c>
      <c r="DV59" s="933" t="str" cm="1">
        <f t="array" ref="DV59">IF($A$27=1,"",[1]!ACAELE_cablecalculo(BB59,H59,I59,M59,EG59,$P$5))</f>
        <v/>
      </c>
      <c r="DW59" s="934" t="str" cm="1">
        <f t="array" ref="DW59">IF($A$27=1,"",[1]!ACAELE_RESISTENCIA(BB59,H59,M59,I59,CC59,CW59,$P$5))</f>
        <v/>
      </c>
      <c r="DX59" s="926" t="str" cm="1">
        <f t="array" ref="DX59">IF($A$27=1,"",[1]!ACAELE_REACTANCIA(BB59,H59,$F$11,M59,I59,CC59,$P$5))</f>
        <v/>
      </c>
      <c r="DY59" s="935" t="str" cm="1">
        <f t="array" ref="DY59">IF($A$27=1,"",[1]!ACAELE_DIAMECAISLA(BB59,H59,I59,CC59,$P$5))</f>
        <v/>
      </c>
      <c r="DZ59" s="935" t="str" cm="1">
        <f t="array" ref="DZ59">IF($A$27=1,"",[1]!ACAELE_AREACAISLAMIENTO(BB59,H59,DY59,$P$5))</f>
        <v/>
      </c>
      <c r="EA59" s="935" t="str" cm="1">
        <f t="array" ref="EA59">[1]!ACAELE_CAIDAVOLTSFINAL2(BB59,Q59,H59,F59,$A$27,BU59,T59,DW59,DA59,DX59,DB59)</f>
        <v/>
      </c>
      <c r="EB59" s="935" t="str" cm="1">
        <f t="array" ref="EB59">IF($A$27=1,"",[1]!ACAELE_AREACONDPTE(BB59,H59,CF59,$P$5))</f>
        <v/>
      </c>
      <c r="EC59" s="936" t="str" cm="1">
        <f t="array" ref="EC59">[1]!ACAELE_AREATOTAL2(H59,$A$27,DY59,S59,G59,T59,DZ59,U59,EB59)</f>
        <v/>
      </c>
      <c r="ED59" s="937" t="str">
        <f t="shared" si="59"/>
        <v/>
      </c>
      <c r="EE59" s="938" t="str">
        <f t="shared" si="60"/>
        <v/>
      </c>
      <c r="EF59" s="939" t="str">
        <f t="shared" si="61"/>
        <v/>
      </c>
      <c r="EG59" s="940">
        <f t="shared" si="62"/>
        <v>0</v>
      </c>
      <c r="EH59" s="941" t="str">
        <f t="shared" si="63"/>
        <v/>
      </c>
      <c r="EI59" s="942">
        <f t="shared" si="64"/>
        <v>30</v>
      </c>
      <c r="EJ59" s="943" t="str">
        <f t="shared" si="11"/>
        <v/>
      </c>
      <c r="EK59" s="943" t="str">
        <f t="shared" si="12"/>
        <v/>
      </c>
      <c r="EL59" s="943" t="str">
        <f t="shared" si="13"/>
        <v/>
      </c>
      <c r="EM59" s="944" t="str">
        <f t="shared" si="14"/>
        <v/>
      </c>
      <c r="EN59" s="945" t="str" cm="1">
        <f t="array" ref="EN59">[1]!ACAELE_MOTOR(H59,X59:BA59,$X$26:$BA$26,$P$5)</f>
        <v/>
      </c>
      <c r="EO59" s="550" t="str">
        <f t="shared" si="65"/>
        <v/>
      </c>
      <c r="EP59" s="431" t="s">
        <v>1214</v>
      </c>
      <c r="EQ59" s="434" t="str">
        <f t="shared" ca="1" si="66"/>
        <v/>
      </c>
      <c r="ER59" s="32"/>
      <c r="ES59" s="32"/>
      <c r="ET59" s="3" t="str">
        <f t="shared" si="67"/>
        <v/>
      </c>
      <c r="EU59" s="3" t="str">
        <f t="shared" si="68"/>
        <v/>
      </c>
      <c r="EV59" s="3" t="str">
        <f t="shared" si="69"/>
        <v/>
      </c>
      <c r="EW59" s="3" t="str">
        <f t="shared" si="70"/>
        <v/>
      </c>
      <c r="EX59" s="3" t="str">
        <f t="shared" si="71"/>
        <v/>
      </c>
      <c r="EY59" s="3" t="str">
        <f t="shared" si="72"/>
        <v/>
      </c>
      <c r="EZ59" s="3" t="str">
        <f t="shared" si="73"/>
        <v/>
      </c>
      <c r="FA59" s="3" t="str">
        <f t="shared" si="74"/>
        <v/>
      </c>
      <c r="FB59" s="3" t="str">
        <f t="shared" si="75"/>
        <v/>
      </c>
      <c r="FC59" s="3">
        <f t="shared" si="76"/>
        <v>0</v>
      </c>
      <c r="FD59" s="32"/>
      <c r="FE59" s="32"/>
      <c r="FF59" s="103">
        <v>1</v>
      </c>
      <c r="FG59" s="32"/>
      <c r="FH59" s="103"/>
      <c r="FI59" s="32"/>
      <c r="FJ59" s="103"/>
      <c r="FK59" s="3">
        <f t="shared" si="77"/>
        <v>0</v>
      </c>
      <c r="FL59" s="3" t="str" cm="1">
        <f t="array" aca="1" ref="FL59" ca="1">[1]!acaele_DIB_UNIFILAR(BB59,H59,F59,COUNTIF(X59:BA59,1),BW59)</f>
        <v/>
      </c>
      <c r="FM59" s="3" t="str">
        <f>IF(DATOS!$T$4=0,"",IF(DATOS!$T$4=1," (QO)",IF(DATOS!$T$4=2," (QOB)",IF(DATOS!$T$4=3," (EDB)",IF(DATOS!$T$4=4,IF(BW59&lt;151," (H"&amp;FN59&amp;")",IF(BW59&lt;251," (J"&amp;FN59&amp;")", IF(BW59&lt;401," (LA)",IF(BW59&lt;801," (MG)",IF(BW59&lt;5001," (POWERPACK)",""))))))))))</f>
        <v xml:space="preserve"> (QOB)</v>
      </c>
      <c r="FN59" s="3" t="str">
        <f t="shared" si="78"/>
        <v/>
      </c>
      <c r="FO59" s="146"/>
      <c r="FP59" s="146"/>
      <c r="FQ59" s="146"/>
      <c r="FR59" s="146"/>
      <c r="FS59" s="146"/>
      <c r="FT59" s="146"/>
      <c r="FU59" s="146"/>
      <c r="FV59" s="146"/>
      <c r="FW59" s="146"/>
      <c r="FX59" s="146" t="str">
        <f t="shared" si="9"/>
        <v/>
      </c>
      <c r="FY59" s="736"/>
      <c r="FZ59" s="740"/>
      <c r="GA59" s="740"/>
      <c r="GB59" s="717"/>
      <c r="GC59" s="838"/>
      <c r="GD59" s="736"/>
      <c r="GE59" s="146"/>
      <c r="GF59" s="506"/>
      <c r="GG59" s="506"/>
      <c r="GH59" s="506"/>
      <c r="GI59" s="506"/>
      <c r="GJ59" s="506"/>
      <c r="GM59" s="3">
        <f>IF(OR(GN59&gt;TABLERO!$M$19,GO59&gt;TABLERO!$M$19,GP59&gt;TABLERO!$M$19,B59=0,C59=0,D59=0),2,CUADROACAD!A59)</f>
        <v>2</v>
      </c>
      <c r="GN59" s="3">
        <f>IF(TABLERO!B59="",0,TABLERO!B59)</f>
        <v>29</v>
      </c>
      <c r="GO59" s="3">
        <f>IF(TABLERO!C59="",GN59,TABLERO!C59)</f>
        <v>29</v>
      </c>
      <c r="GP59" s="3">
        <f>IF(TABLERO!D59="",GN59,TABLERO!D59)</f>
        <v>29</v>
      </c>
    </row>
    <row r="60" spans="1:198" s="3" customFormat="1">
      <c r="A60" s="706"/>
      <c r="B60" s="869">
        <v>30</v>
      </c>
      <c r="C60" s="870" t="str">
        <f t="shared" si="15"/>
        <v/>
      </c>
      <c r="D60" s="870" t="str">
        <f t="shared" si="16"/>
        <v/>
      </c>
      <c r="E60" s="871"/>
      <c r="F60" s="872">
        <v>1</v>
      </c>
      <c r="G60" s="716">
        <f t="shared" si="17"/>
        <v>2</v>
      </c>
      <c r="H60" s="873" t="s">
        <v>12</v>
      </c>
      <c r="I60" s="874" t="str">
        <f t="shared" si="18"/>
        <v>CU</v>
      </c>
      <c r="J60" s="875">
        <v>6</v>
      </c>
      <c r="K60" s="876">
        <v>10</v>
      </c>
      <c r="L60" s="876">
        <v>3</v>
      </c>
      <c r="M60" s="877">
        <v>1</v>
      </c>
      <c r="N60" s="877">
        <v>1</v>
      </c>
      <c r="O60" s="878">
        <v>1</v>
      </c>
      <c r="P60" s="879">
        <v>4</v>
      </c>
      <c r="Q60" s="880">
        <v>1</v>
      </c>
      <c r="R60" s="880">
        <v>1</v>
      </c>
      <c r="S60" s="881">
        <v>1</v>
      </c>
      <c r="T60" s="881">
        <v>1</v>
      </c>
      <c r="U60" s="882">
        <v>1</v>
      </c>
      <c r="V60" s="883">
        <v>1</v>
      </c>
      <c r="W60" s="874" t="str">
        <f t="shared" si="19"/>
        <v>SI</v>
      </c>
      <c r="X60" s="884"/>
      <c r="Y60" s="885"/>
      <c r="Z60" s="885"/>
      <c r="AA60" s="885"/>
      <c r="AB60" s="885"/>
      <c r="AC60" s="885"/>
      <c r="AD60" s="885"/>
      <c r="AE60" s="885"/>
      <c r="AF60" s="885"/>
      <c r="AG60" s="885"/>
      <c r="AH60" s="885"/>
      <c r="AI60" s="885"/>
      <c r="AJ60" s="885"/>
      <c r="AK60" s="885"/>
      <c r="AL60" s="885"/>
      <c r="AM60" s="885"/>
      <c r="AN60" s="885"/>
      <c r="AO60" s="885"/>
      <c r="AP60" s="885"/>
      <c r="AQ60" s="885"/>
      <c r="AR60" s="885"/>
      <c r="AS60" s="885"/>
      <c r="AT60" s="885"/>
      <c r="AU60" s="885"/>
      <c r="AV60" s="885"/>
      <c r="AW60" s="885"/>
      <c r="AX60" s="885"/>
      <c r="AY60" s="885"/>
      <c r="AZ60" s="885"/>
      <c r="BA60" s="886"/>
      <c r="BB60" s="887">
        <f t="shared" si="20"/>
        <v>0</v>
      </c>
      <c r="BC60" s="888" t="str">
        <f t="shared" si="21"/>
        <v/>
      </c>
      <c r="BD60" s="889" t="str">
        <f t="shared" si="22"/>
        <v/>
      </c>
      <c r="BE60" s="889" t="str">
        <f t="shared" si="23"/>
        <v/>
      </c>
      <c r="BF60" s="889" t="str">
        <f t="shared" si="24"/>
        <v/>
      </c>
      <c r="BG60" s="889" t="str">
        <f t="shared" si="25"/>
        <v/>
      </c>
      <c r="BH60" s="889" t="str">
        <f t="shared" si="26"/>
        <v/>
      </c>
      <c r="BI60" s="890" t="str">
        <f t="shared" si="27"/>
        <v/>
      </c>
      <c r="BJ60" s="891" t="str">
        <f t="shared" si="28"/>
        <v/>
      </c>
      <c r="BK60" s="892" t="str">
        <f t="shared" si="29"/>
        <v/>
      </c>
      <c r="BL60" s="892" t="str">
        <f t="shared" si="30"/>
        <v/>
      </c>
      <c r="BM60" s="892" t="str">
        <f t="shared" si="31"/>
        <v/>
      </c>
      <c r="BN60" s="892" t="str">
        <f t="shared" si="32"/>
        <v/>
      </c>
      <c r="BO60" s="892" t="str">
        <f t="shared" si="33"/>
        <v/>
      </c>
      <c r="BP60" s="893" t="str">
        <f t="shared" si="34"/>
        <v/>
      </c>
      <c r="BQ60" s="894" t="str">
        <f t="shared" si="35"/>
        <v/>
      </c>
      <c r="BR60" s="895" t="str">
        <f t="shared" si="10"/>
        <v/>
      </c>
      <c r="BS60" s="896" t="str">
        <f t="shared" si="36"/>
        <v/>
      </c>
      <c r="BT60" s="897" t="str">
        <f t="shared" si="37"/>
        <v/>
      </c>
      <c r="BU60" s="231" t="str">
        <f t="shared" si="38"/>
        <v/>
      </c>
      <c r="BV60" s="898">
        <f t="shared" si="39"/>
        <v>127</v>
      </c>
      <c r="BW60" s="845" t="str">
        <f t="shared" si="40"/>
        <v/>
      </c>
      <c r="BX60" s="899" t="str">
        <f t="shared" si="41"/>
        <v/>
      </c>
      <c r="BY60" s="900" t="str" cm="1">
        <f t="array" ref="BY60">[1]!ACAELE_CAPACIDADCABLE(BB60,H60,I60,M60,BX60,N60)</f>
        <v/>
      </c>
      <c r="BZ60" s="900" t="str">
        <f t="shared" si="42"/>
        <v/>
      </c>
      <c r="CA60" s="901" t="str" cm="1">
        <f t="array" ref="CA60">[1]!ACAELE_cabledetierra(BZ60,$N$9,I60,BW60,BX60,G60)</f>
        <v/>
      </c>
      <c r="CB60" s="902" t="str" cm="1">
        <f t="array" ref="CB60">[1]!ACAELE_TAMATUBERIA(BX60,DU60,$N$9,M60,I60)</f>
        <v/>
      </c>
      <c r="CC60" s="846" t="str">
        <f t="shared" si="43"/>
        <v/>
      </c>
      <c r="CD60" s="903" t="str" cm="1">
        <f t="array" ref="CD60">[1]!ACAELE_CAPACIDADCABLE(BB60,H60,I60,M60,CC60,N60)</f>
        <v/>
      </c>
      <c r="CE60" s="903" t="str">
        <f t="shared" si="44"/>
        <v/>
      </c>
      <c r="CF60" s="904" t="str" cm="1">
        <f t="array" ref="CF60">[1]!ACAELE_cabledetierra(CE60,$N$9,I60,BW60,CC60,G60)</f>
        <v/>
      </c>
      <c r="CG60" s="905" t="str" cm="1">
        <f t="array" ref="CG60">[1]!ACAELE_TAMATUBERIA(CC60,EC60,$N$9,S60,I60)</f>
        <v/>
      </c>
      <c r="CH60" s="906" t="str">
        <f t="shared" si="45"/>
        <v/>
      </c>
      <c r="CI60" s="510" t="str">
        <f t="shared" si="46"/>
        <v>-</v>
      </c>
      <c r="CJ60" s="511" t="str">
        <f t="shared" si="47"/>
        <v>-</v>
      </c>
      <c r="CK60" s="512" t="str">
        <f t="shared" si="48"/>
        <v>-</v>
      </c>
      <c r="CL60" s="907" t="str">
        <f t="shared" si="49"/>
        <v>-</v>
      </c>
      <c r="CM60" s="908" t="str">
        <f t="shared" si="50"/>
        <v>-</v>
      </c>
      <c r="CN60" s="909" t="str">
        <f t="shared" si="51"/>
        <v>-</v>
      </c>
      <c r="CO60" s="910" t="str" cm="1">
        <f t="array" ref="CO60">[1]!ACAELE_fasecorresponde(B60,$F$10,$P$5)</f>
        <v>C</v>
      </c>
      <c r="CP60" s="910" t="str" cm="1">
        <f t="array" ref="CP60">[1]!ACAELE_fasecorresponde(C60,$F$10,$P$5)</f>
        <v>-</v>
      </c>
      <c r="CQ60" s="910" t="str" cm="1">
        <f t="array" ref="CQ60">[1]!ACAELE_fasecorresponde(D60,$F$10,$P$5)</f>
        <v>-</v>
      </c>
      <c r="CR60" s="911" t="str">
        <f t="shared" si="52"/>
        <v>C</v>
      </c>
      <c r="CS60" s="912">
        <f t="shared" si="53"/>
        <v>1</v>
      </c>
      <c r="CT60" s="913">
        <f t="shared" si="54"/>
        <v>0.8</v>
      </c>
      <c r="CU60" s="914" t="str">
        <f t="shared" si="55"/>
        <v/>
      </c>
      <c r="CV60" s="915">
        <f t="shared" si="56"/>
        <v>0</v>
      </c>
      <c r="CW60" s="916" t="str" cm="1">
        <f t="array" ref="CW60">[1]!ACAELE_Inominal(BB60,F60,BT60,BV60,DA60,G60,V60,$P$5)</f>
        <v/>
      </c>
      <c r="CX60" s="917" t="str" cm="1">
        <f t="array" ref="CX60">[1]!ACAELE_Disparocalculado(BB60,H60,DL60,$N$21,$M$21,$O$21,BV60,$P$5)</f>
        <v/>
      </c>
      <c r="CY60" s="918" t="str" cm="1">
        <f t="array" ref="CY60">[1]!ACAELE_Icorregida($A$27,H60,BB60,BU60,CS60,CT60,$P$5)</f>
        <v/>
      </c>
      <c r="CZ60" s="919" t="str" cm="1">
        <f t="array" ref="CZ60">[1]!ACAELE_Icorregida2($A$27,H60,BB60,BU60,CS60,CU60,$P$5)</f>
        <v/>
      </c>
      <c r="DA60" s="920">
        <f t="shared" si="57"/>
        <v>0.9</v>
      </c>
      <c r="DB60" s="921">
        <f t="shared" si="58"/>
        <v>0.43588989435406728</v>
      </c>
      <c r="DC60" s="922" t="str" cm="1">
        <f t="array" ref="DC60">[1]!ACAELE_CONDPORTCORRIENTE(H60,BB60,I60,M60,CY60,CZ60,N60,$P$5)</f>
        <v/>
      </c>
      <c r="DD60" s="923" t="str" cm="1">
        <f t="array" ref="DD60">[1]!ACAELE_CAPACONDCORRIENTE(BB60,H60,I60,M60,CY60,CZ60,$P$5)</f>
        <v/>
      </c>
      <c r="DE60" s="923" t="str" cm="1">
        <f t="array" ref="DE60">[1]!ACAELE_CAPACIDADCABLE(BB60,H60,I60,M60,DC60,N60,$P$5)</f>
        <v/>
      </c>
      <c r="DF60" s="924" t="str" cm="1">
        <f t="array" ref="DF60">[1]!ACAELE_encontrarcaida(BB60,H60,L60,BV60,F60,BU60,N60,K60)</f>
        <v/>
      </c>
      <c r="DG60" s="925" t="str" cm="1">
        <f t="array" ref="DG60">[1]!ACAELE_Cablecaida(BB60,H60,M60,I60,DF60)</f>
        <v/>
      </c>
      <c r="DH60" s="918" t="str" cm="1">
        <f t="array" ref="DH60">[1]!ACAELE_CAPACIDADCABLE(BB60,H60,I60,M60,DG60,N60,$P$5)</f>
        <v/>
      </c>
      <c r="DI60" s="926" t="str" cm="1">
        <f t="array" ref="DI60">IF($A$27=1,"",[1]!ACAELE_encontrarcaida(BB60,H60,R60,BV60,F60,BU60,T60,Q60,$P$5))</f>
        <v/>
      </c>
      <c r="DJ60" s="914" t="str" cm="1">
        <f t="array" ref="DJ60">IF($A$27=1,"",[1]!ACAELE_Cablecaida2(BB60,Q60,H60,S60,I60,DI60,$P$5))</f>
        <v/>
      </c>
      <c r="DK60" s="919" t="str" cm="1">
        <f t="array" ref="DK60">[1]!ACAELE_CAPACIDADCABLE(BB60,H60,I60,M60,DJ60,N60,$P$5)</f>
        <v/>
      </c>
      <c r="DL60" s="927" t="str" cm="1">
        <f t="array" ref="DL60">[1]!acaele_Iproteccion(BB60,H60,BU60,$F$20,$G$20,$F$19,$G$19,$H$20,$H$19,$P$5)</f>
        <v/>
      </c>
      <c r="DM60" s="928" cm="1">
        <f t="array" ref="DM60">[1]!acaele_ProtCalculada(CX60,H60,BT60,BW60,$G$21,$F$21,$H$21,$P$5)</f>
        <v>0</v>
      </c>
      <c r="DN60" s="929" t="str" cm="1">
        <f t="array" ref="DN60">[1]!ACAELE_cablecalculo(BB60,H60,I60,M60,EF60,$P$5)</f>
        <v/>
      </c>
      <c r="DO60" s="930" t="str" cm="1">
        <f t="array" ref="DO60">[1]!ACAELE_RESISTENCIA(BB60,H60,M60,I60,BX60, CW60,$P$5)</f>
        <v/>
      </c>
      <c r="DP60" s="931" t="str" cm="1">
        <f t="array" ref="DP60">[1]!ACAELE_REACTANCIA(BB60,H60,$F$11,M60,I60,BX60,$P$5)</f>
        <v/>
      </c>
      <c r="DQ60" s="918" t="str" cm="1">
        <f t="array" ref="DQ60">[1]!ACAELE_DIAMECAISLA(BB60,H60,I60,BX60,$P$5)</f>
        <v/>
      </c>
      <c r="DR60" s="918" t="str" cm="1">
        <f t="array" ref="DR60">[1]!ACAELE_AREACAISLAMIENTO(BB60,H60,DQ60,$P$5)</f>
        <v/>
      </c>
      <c r="DS60" s="918" t="str" cm="1">
        <f t="array" ref="DS60">[1]!ACAELE_CAIDAVOLTSFINAL(BB60,H60,F60,K60,BU60,N60,DO60,DA60,DP60,DB60,$P$5)</f>
        <v/>
      </c>
      <c r="DT60" s="918" t="str" cm="1">
        <f t="array" ref="DT60">[1]!ACAELE_AREACONDPTE(BB60,H60,CA60,$P$5)</f>
        <v/>
      </c>
      <c r="DU60" s="932" t="str" cm="1">
        <f t="array" ref="DU60">[1]!ACAELE_AREATOTAL(BZ60,M60,EO60,N60,DQ60,G60,DR60,DT60,N$20,$P$5)</f>
        <v/>
      </c>
      <c r="DV60" s="933" t="str" cm="1">
        <f t="array" ref="DV60">IF($A$27=1,"",[1]!ACAELE_cablecalculo(BB60,H60,I60,M60,EG60,$P$5))</f>
        <v/>
      </c>
      <c r="DW60" s="934" t="str" cm="1">
        <f t="array" ref="DW60">IF($A$27=1,"",[1]!ACAELE_RESISTENCIA(BB60,H60,M60,I60,CC60,CW60,$P$5))</f>
        <v/>
      </c>
      <c r="DX60" s="926" t="str" cm="1">
        <f t="array" ref="DX60">IF($A$27=1,"",[1]!ACAELE_REACTANCIA(BB60,H60,$F$11,M60,I60,CC60,$P$5))</f>
        <v/>
      </c>
      <c r="DY60" s="935" t="str" cm="1">
        <f t="array" ref="DY60">IF($A$27=1,"",[1]!ACAELE_DIAMECAISLA(BB60,H60,I60,CC60,$P$5))</f>
        <v/>
      </c>
      <c r="DZ60" s="935" t="str" cm="1">
        <f t="array" ref="DZ60">IF($A$27=1,"",[1]!ACAELE_AREACAISLAMIENTO(BB60,H60,DY60,$P$5))</f>
        <v/>
      </c>
      <c r="EA60" s="935" t="str" cm="1">
        <f t="array" ref="EA60">[1]!ACAELE_CAIDAVOLTSFINAL2(BB60,Q60,H60,F60,$A$27,BU60,T60,DW60,DA60,DX60,DB60)</f>
        <v/>
      </c>
      <c r="EB60" s="935" t="str" cm="1">
        <f t="array" ref="EB60">IF($A$27=1,"",[1]!ACAELE_AREACONDPTE(BB60,H60,CF60,$P$5))</f>
        <v/>
      </c>
      <c r="EC60" s="936" t="str" cm="1">
        <f t="array" ref="EC60">[1]!ACAELE_AREATOTAL2(H60,$A$27,DY60,S60,G60,T60,DZ60,U60,EB60)</f>
        <v/>
      </c>
      <c r="ED60" s="937" t="str">
        <f t="shared" si="59"/>
        <v/>
      </c>
      <c r="EE60" s="938" t="str">
        <f t="shared" si="60"/>
        <v/>
      </c>
      <c r="EF60" s="939" t="str">
        <f t="shared" si="61"/>
        <v/>
      </c>
      <c r="EG60" s="940">
        <f t="shared" si="62"/>
        <v>0</v>
      </c>
      <c r="EH60" s="941" t="str">
        <f t="shared" si="63"/>
        <v/>
      </c>
      <c r="EI60" s="942">
        <f t="shared" si="64"/>
        <v>30</v>
      </c>
      <c r="EJ60" s="943" t="str">
        <f t="shared" si="11"/>
        <v/>
      </c>
      <c r="EK60" s="943" t="str">
        <f t="shared" si="12"/>
        <v/>
      </c>
      <c r="EL60" s="943" t="str">
        <f t="shared" si="13"/>
        <v/>
      </c>
      <c r="EM60" s="944" t="str">
        <f t="shared" si="14"/>
        <v/>
      </c>
      <c r="EN60" s="945" t="str" cm="1">
        <f t="array" ref="EN60">[1]!ACAELE_MOTOR(H60,X60:BA60,$X$26:$BA$26,$P$5)</f>
        <v/>
      </c>
      <c r="EO60" s="550" t="str">
        <f t="shared" si="65"/>
        <v/>
      </c>
      <c r="EP60" s="431" t="s">
        <v>1214</v>
      </c>
      <c r="EQ60" s="434" t="str">
        <f t="shared" ca="1" si="66"/>
        <v/>
      </c>
      <c r="ER60" s="32"/>
      <c r="ES60" s="32"/>
      <c r="ET60" s="3" t="str">
        <f t="shared" si="67"/>
        <v/>
      </c>
      <c r="EU60" s="3" t="str">
        <f t="shared" si="68"/>
        <v/>
      </c>
      <c r="EV60" s="3" t="str">
        <f t="shared" si="69"/>
        <v/>
      </c>
      <c r="EW60" s="3" t="str">
        <f t="shared" si="70"/>
        <v/>
      </c>
      <c r="EX60" s="3" t="str">
        <f t="shared" si="71"/>
        <v/>
      </c>
      <c r="EY60" s="3" t="str">
        <f t="shared" si="72"/>
        <v/>
      </c>
      <c r="EZ60" s="3" t="str">
        <f t="shared" si="73"/>
        <v/>
      </c>
      <c r="FA60" s="3" t="str">
        <f t="shared" si="74"/>
        <v/>
      </c>
      <c r="FB60" s="3" t="str">
        <f t="shared" si="75"/>
        <v/>
      </c>
      <c r="FC60" s="3">
        <f t="shared" si="76"/>
        <v>0</v>
      </c>
      <c r="FD60" s="32"/>
      <c r="FE60" s="32"/>
      <c r="FF60" s="103">
        <v>1</v>
      </c>
      <c r="FG60" s="32"/>
      <c r="FH60" s="103"/>
      <c r="FI60" s="32"/>
      <c r="FJ60" s="103"/>
      <c r="FK60" s="3">
        <f t="shared" si="77"/>
        <v>0</v>
      </c>
      <c r="FL60" s="3" t="str" cm="1">
        <f t="array" aca="1" ref="FL60" ca="1">[1]!acaele_DIB_UNIFILAR(BB60,H60,F60,COUNTIF(X60:BA60,1),BW60)</f>
        <v/>
      </c>
      <c r="FM60" s="3" t="str">
        <f>IF(DATOS!$T$4=0,"",IF(DATOS!$T$4=1," (QO)",IF(DATOS!$T$4=2," (QOB)",IF(DATOS!$T$4=3," (EDB)",IF(DATOS!$T$4=4,IF(BW60&lt;151," (H"&amp;FN60&amp;")",IF(BW60&lt;251," (J"&amp;FN60&amp;")", IF(BW60&lt;401," (LA)",IF(BW60&lt;801," (MG)",IF(BW60&lt;5001," (POWERPACK)",""))))))))))</f>
        <v xml:space="preserve"> (QOB)</v>
      </c>
      <c r="FN60" s="3" t="str">
        <f t="shared" si="78"/>
        <v/>
      </c>
      <c r="FO60" s="146"/>
      <c r="FP60" s="146"/>
      <c r="FQ60" s="146"/>
      <c r="FR60" s="146"/>
      <c r="FS60" s="146"/>
      <c r="FT60" s="146"/>
      <c r="FU60" s="146"/>
      <c r="FV60" s="146"/>
      <c r="FW60" s="146"/>
      <c r="FX60" s="146" t="str">
        <f t="shared" si="9"/>
        <v/>
      </c>
      <c r="FY60" s="736"/>
      <c r="FZ60" s="740"/>
      <c r="GA60" s="740"/>
      <c r="GB60" s="717"/>
      <c r="GC60" s="838"/>
      <c r="GD60" s="736"/>
      <c r="GE60" s="146"/>
      <c r="GF60" s="506"/>
      <c r="GG60" s="506"/>
      <c r="GH60" s="506"/>
      <c r="GI60" s="506"/>
      <c r="GJ60" s="506"/>
      <c r="GM60" s="3">
        <f>IF(OR(GN60&gt;TABLERO!$M$19,GO60&gt;TABLERO!$M$19,GP60&gt;TABLERO!$M$19,B60=0,C60=0,D60=0),2,CUADROACAD!A60)</f>
        <v>2</v>
      </c>
      <c r="GN60" s="3">
        <f>IF(TABLERO!B60="",0,TABLERO!B60)</f>
        <v>30</v>
      </c>
      <c r="GO60" s="3">
        <f>IF(TABLERO!C60="",GN60,TABLERO!C60)</f>
        <v>30</v>
      </c>
      <c r="GP60" s="3">
        <f>IF(TABLERO!D60="",GN60,TABLERO!D60)</f>
        <v>30</v>
      </c>
    </row>
    <row r="61" spans="1:198" s="3" customFormat="1">
      <c r="A61" s="706"/>
      <c r="B61" s="869">
        <v>31</v>
      </c>
      <c r="C61" s="870" t="str">
        <f t="shared" si="15"/>
        <v/>
      </c>
      <c r="D61" s="870" t="str">
        <f t="shared" si="16"/>
        <v/>
      </c>
      <c r="E61" s="871"/>
      <c r="F61" s="872">
        <v>1</v>
      </c>
      <c r="G61" s="716">
        <f t="shared" si="17"/>
        <v>2</v>
      </c>
      <c r="H61" s="873" t="s">
        <v>12</v>
      </c>
      <c r="I61" s="874" t="str">
        <f t="shared" si="18"/>
        <v>CU</v>
      </c>
      <c r="J61" s="875">
        <v>6</v>
      </c>
      <c r="K61" s="876">
        <v>10</v>
      </c>
      <c r="L61" s="876">
        <v>3</v>
      </c>
      <c r="M61" s="877">
        <v>1</v>
      </c>
      <c r="N61" s="877">
        <v>1</v>
      </c>
      <c r="O61" s="878">
        <v>1</v>
      </c>
      <c r="P61" s="879">
        <v>4</v>
      </c>
      <c r="Q61" s="880">
        <v>1</v>
      </c>
      <c r="R61" s="880">
        <v>1</v>
      </c>
      <c r="S61" s="881">
        <v>1</v>
      </c>
      <c r="T61" s="881">
        <v>1</v>
      </c>
      <c r="U61" s="882">
        <v>1</v>
      </c>
      <c r="V61" s="883">
        <v>1</v>
      </c>
      <c r="W61" s="874" t="str">
        <f t="shared" si="19"/>
        <v>SI</v>
      </c>
      <c r="X61" s="884"/>
      <c r="Y61" s="885"/>
      <c r="Z61" s="885"/>
      <c r="AA61" s="885"/>
      <c r="AB61" s="885"/>
      <c r="AC61" s="885"/>
      <c r="AD61" s="885"/>
      <c r="AE61" s="885"/>
      <c r="AF61" s="885"/>
      <c r="AG61" s="885"/>
      <c r="AH61" s="885"/>
      <c r="AI61" s="885"/>
      <c r="AJ61" s="885"/>
      <c r="AK61" s="885"/>
      <c r="AL61" s="885"/>
      <c r="AM61" s="885"/>
      <c r="AN61" s="885"/>
      <c r="AO61" s="885"/>
      <c r="AP61" s="885"/>
      <c r="AQ61" s="885"/>
      <c r="AR61" s="885"/>
      <c r="AS61" s="885"/>
      <c r="AT61" s="885"/>
      <c r="AU61" s="885"/>
      <c r="AV61" s="885"/>
      <c r="AW61" s="885"/>
      <c r="AX61" s="885"/>
      <c r="AY61" s="885"/>
      <c r="AZ61" s="885"/>
      <c r="BA61" s="886"/>
      <c r="BB61" s="887">
        <f t="shared" si="20"/>
        <v>0</v>
      </c>
      <c r="BC61" s="888" t="str">
        <f t="shared" si="21"/>
        <v/>
      </c>
      <c r="BD61" s="889" t="str">
        <f t="shared" si="22"/>
        <v/>
      </c>
      <c r="BE61" s="889" t="str">
        <f t="shared" si="23"/>
        <v/>
      </c>
      <c r="BF61" s="889" t="str">
        <f t="shared" si="24"/>
        <v/>
      </c>
      <c r="BG61" s="889" t="str">
        <f t="shared" si="25"/>
        <v/>
      </c>
      <c r="BH61" s="889" t="str">
        <f t="shared" si="26"/>
        <v/>
      </c>
      <c r="BI61" s="890" t="str">
        <f t="shared" si="27"/>
        <v/>
      </c>
      <c r="BJ61" s="891" t="str">
        <f t="shared" si="28"/>
        <v/>
      </c>
      <c r="BK61" s="892" t="str">
        <f t="shared" si="29"/>
        <v/>
      </c>
      <c r="BL61" s="892" t="str">
        <f t="shared" si="30"/>
        <v/>
      </c>
      <c r="BM61" s="892" t="str">
        <f t="shared" si="31"/>
        <v/>
      </c>
      <c r="BN61" s="892" t="str">
        <f t="shared" si="32"/>
        <v/>
      </c>
      <c r="BO61" s="892" t="str">
        <f t="shared" si="33"/>
        <v/>
      </c>
      <c r="BP61" s="893" t="str">
        <f t="shared" si="34"/>
        <v/>
      </c>
      <c r="BQ61" s="894" t="str">
        <f t="shared" si="35"/>
        <v/>
      </c>
      <c r="BR61" s="895" t="str">
        <f t="shared" si="10"/>
        <v/>
      </c>
      <c r="BS61" s="896" t="str">
        <f t="shared" si="36"/>
        <v/>
      </c>
      <c r="BT61" s="897" t="str">
        <f t="shared" si="37"/>
        <v/>
      </c>
      <c r="BU61" s="231" t="str">
        <f t="shared" si="38"/>
        <v/>
      </c>
      <c r="BV61" s="898">
        <f t="shared" si="39"/>
        <v>127</v>
      </c>
      <c r="BW61" s="845" t="str">
        <f t="shared" si="40"/>
        <v/>
      </c>
      <c r="BX61" s="899" t="str">
        <f t="shared" si="41"/>
        <v/>
      </c>
      <c r="BY61" s="900" t="str" cm="1">
        <f t="array" ref="BY61">[1]!ACAELE_CAPACIDADCABLE(BB61,H61,I61,M61,BX61,N61)</f>
        <v/>
      </c>
      <c r="BZ61" s="900" t="str">
        <f t="shared" si="42"/>
        <v/>
      </c>
      <c r="CA61" s="901" t="str" cm="1">
        <f t="array" ref="CA61">[1]!ACAELE_cabledetierra(BZ61,$N$9,I61,BW61,BX61,G61)</f>
        <v/>
      </c>
      <c r="CB61" s="902" t="str" cm="1">
        <f t="array" ref="CB61">[1]!ACAELE_TAMATUBERIA(BX61,DU61,$N$9,M61,I61)</f>
        <v/>
      </c>
      <c r="CC61" s="846" t="str">
        <f t="shared" si="43"/>
        <v/>
      </c>
      <c r="CD61" s="903" t="str" cm="1">
        <f t="array" ref="CD61">[1]!ACAELE_CAPACIDADCABLE(BB61,H61,I61,M61,CC61,N61)</f>
        <v/>
      </c>
      <c r="CE61" s="903" t="str">
        <f t="shared" si="44"/>
        <v/>
      </c>
      <c r="CF61" s="904" t="str" cm="1">
        <f t="array" ref="CF61">[1]!ACAELE_cabledetierra(CE61,$N$9,I61,BW61,CC61,G61)</f>
        <v/>
      </c>
      <c r="CG61" s="905" t="str" cm="1">
        <f t="array" ref="CG61">[1]!ACAELE_TAMATUBERIA(CC61,EC61,$N$9,S61,I61)</f>
        <v/>
      </c>
      <c r="CH61" s="906" t="str">
        <f t="shared" si="45"/>
        <v/>
      </c>
      <c r="CI61" s="510" t="str">
        <f t="shared" si="46"/>
        <v>-</v>
      </c>
      <c r="CJ61" s="511" t="str">
        <f t="shared" si="47"/>
        <v>-</v>
      </c>
      <c r="CK61" s="512" t="str">
        <f t="shared" si="48"/>
        <v>-</v>
      </c>
      <c r="CL61" s="907" t="str">
        <f t="shared" si="49"/>
        <v>-</v>
      </c>
      <c r="CM61" s="908" t="str">
        <f t="shared" si="50"/>
        <v>-</v>
      </c>
      <c r="CN61" s="909" t="str">
        <f t="shared" si="51"/>
        <v>-</v>
      </c>
      <c r="CO61" s="910" t="str" cm="1">
        <f t="array" ref="CO61">[1]!ACAELE_fasecorresponde(B61,$F$10,$P$5)</f>
        <v>A</v>
      </c>
      <c r="CP61" s="910" t="str" cm="1">
        <f t="array" ref="CP61">[1]!ACAELE_fasecorresponde(C61,$F$10,$P$5)</f>
        <v>-</v>
      </c>
      <c r="CQ61" s="910" t="str" cm="1">
        <f t="array" ref="CQ61">[1]!ACAELE_fasecorresponde(D61,$F$10,$P$5)</f>
        <v>-</v>
      </c>
      <c r="CR61" s="911" t="str">
        <f t="shared" si="52"/>
        <v>C</v>
      </c>
      <c r="CS61" s="912">
        <f t="shared" si="53"/>
        <v>1</v>
      </c>
      <c r="CT61" s="913">
        <f t="shared" si="54"/>
        <v>0.8</v>
      </c>
      <c r="CU61" s="914" t="str">
        <f t="shared" si="55"/>
        <v/>
      </c>
      <c r="CV61" s="915">
        <f t="shared" si="56"/>
        <v>0</v>
      </c>
      <c r="CW61" s="916" t="str" cm="1">
        <f t="array" ref="CW61">[1]!ACAELE_Inominal(BB61,F61,BT61,BV61,DA61,G61,V61,$P$5)</f>
        <v/>
      </c>
      <c r="CX61" s="917" t="str" cm="1">
        <f t="array" ref="CX61">[1]!ACAELE_Disparocalculado(BB61,H61,DL61,$N$21,$M$21,$O$21,BV61,$P$5)</f>
        <v/>
      </c>
      <c r="CY61" s="918" t="str" cm="1">
        <f t="array" ref="CY61">[1]!ACAELE_Icorregida($A$27,H61,BB61,BU61,CS61,CT61,$P$5)</f>
        <v/>
      </c>
      <c r="CZ61" s="919" t="str" cm="1">
        <f t="array" ref="CZ61">[1]!ACAELE_Icorregida2($A$27,H61,BB61,BU61,CS61,CU61,$P$5)</f>
        <v/>
      </c>
      <c r="DA61" s="920">
        <f t="shared" si="57"/>
        <v>0.9</v>
      </c>
      <c r="DB61" s="921">
        <f t="shared" si="58"/>
        <v>0.43588989435406728</v>
      </c>
      <c r="DC61" s="922" t="str" cm="1">
        <f t="array" ref="DC61">[1]!ACAELE_CONDPORTCORRIENTE(H61,BB61,I61,M61,CY61,CZ61,N61,$P$5)</f>
        <v/>
      </c>
      <c r="DD61" s="923" t="str" cm="1">
        <f t="array" ref="DD61">[1]!ACAELE_CAPACONDCORRIENTE(BB61,H61,I61,M61,CY61,CZ61,$P$5)</f>
        <v/>
      </c>
      <c r="DE61" s="923" t="str" cm="1">
        <f t="array" ref="DE61">[1]!ACAELE_CAPACIDADCABLE(BB61,H61,I61,M61,DC61,N61,$P$5)</f>
        <v/>
      </c>
      <c r="DF61" s="924" t="str" cm="1">
        <f t="array" ref="DF61">[1]!ACAELE_encontrarcaida(BB61,H61,L61,BV61,F61,BU61,N61,K61)</f>
        <v/>
      </c>
      <c r="DG61" s="925" t="str" cm="1">
        <f t="array" ref="DG61">[1]!ACAELE_Cablecaida(BB61,H61,M61,I61,DF61)</f>
        <v/>
      </c>
      <c r="DH61" s="918" t="str" cm="1">
        <f t="array" ref="DH61">[1]!ACAELE_CAPACIDADCABLE(BB61,H61,I61,M61,DG61,N61,$P$5)</f>
        <v/>
      </c>
      <c r="DI61" s="926" t="str" cm="1">
        <f t="array" ref="DI61">IF($A$27=1,"",[1]!ACAELE_encontrarcaida(BB61,H61,R61,BV61,F61,BU61,T61,Q61,$P$5))</f>
        <v/>
      </c>
      <c r="DJ61" s="914" t="str" cm="1">
        <f t="array" ref="DJ61">IF($A$27=1,"",[1]!ACAELE_Cablecaida2(BB61,Q61,H61,S61,I61,DI61,$P$5))</f>
        <v/>
      </c>
      <c r="DK61" s="919" t="str" cm="1">
        <f t="array" ref="DK61">[1]!ACAELE_CAPACIDADCABLE(BB61,H61,I61,M61,DJ61,N61,$P$5)</f>
        <v/>
      </c>
      <c r="DL61" s="927" t="str" cm="1">
        <f t="array" ref="DL61">[1]!acaele_Iproteccion(BB61,H61,BU61,$F$20,$G$20,$F$19,$G$19,$H$20,$H$19,$P$5)</f>
        <v/>
      </c>
      <c r="DM61" s="928" cm="1">
        <f t="array" ref="DM61">[1]!acaele_ProtCalculada(CX61,H61,BT61,BW61,$G$21,$F$21,$H$21,$P$5)</f>
        <v>0</v>
      </c>
      <c r="DN61" s="929" t="str" cm="1">
        <f t="array" ref="DN61">[1]!ACAELE_cablecalculo(BB61,H61,I61,M61,EF61,$P$5)</f>
        <v/>
      </c>
      <c r="DO61" s="930" t="str" cm="1">
        <f t="array" ref="DO61">[1]!ACAELE_RESISTENCIA(BB61,H61,M61,I61,BX61, CW61,$P$5)</f>
        <v/>
      </c>
      <c r="DP61" s="931" t="str" cm="1">
        <f t="array" ref="DP61">[1]!ACAELE_REACTANCIA(BB61,H61,$F$11,M61,I61,BX61,$P$5)</f>
        <v/>
      </c>
      <c r="DQ61" s="918" t="str" cm="1">
        <f t="array" ref="DQ61">[1]!ACAELE_DIAMECAISLA(BB61,H61,I61,BX61,$P$5)</f>
        <v/>
      </c>
      <c r="DR61" s="918" t="str" cm="1">
        <f t="array" ref="DR61">[1]!ACAELE_AREACAISLAMIENTO(BB61,H61,DQ61,$P$5)</f>
        <v/>
      </c>
      <c r="DS61" s="918" t="str" cm="1">
        <f t="array" ref="DS61">[1]!ACAELE_CAIDAVOLTSFINAL(BB61,H61,F61,K61,BU61,N61,DO61,DA61,DP61,DB61,$P$5)</f>
        <v/>
      </c>
      <c r="DT61" s="918" t="str" cm="1">
        <f t="array" ref="DT61">[1]!ACAELE_AREACONDPTE(BB61,H61,CA61,$P$5)</f>
        <v/>
      </c>
      <c r="DU61" s="932" t="str" cm="1">
        <f t="array" ref="DU61">[1]!ACAELE_AREATOTAL(BZ61,M61,EO61,N61,DQ61,G61,DR61,DT61,N$20,$P$5)</f>
        <v/>
      </c>
      <c r="DV61" s="933" t="str" cm="1">
        <f t="array" ref="DV61">IF($A$27=1,"",[1]!ACAELE_cablecalculo(BB61,H61,I61,M61,EG61,$P$5))</f>
        <v/>
      </c>
      <c r="DW61" s="934" t="str" cm="1">
        <f t="array" ref="DW61">IF($A$27=1,"",[1]!ACAELE_RESISTENCIA(BB61,H61,M61,I61,CC61,CW61,$P$5))</f>
        <v/>
      </c>
      <c r="DX61" s="926" t="str" cm="1">
        <f t="array" ref="DX61">IF($A$27=1,"",[1]!ACAELE_REACTANCIA(BB61,H61,$F$11,M61,I61,CC61,$P$5))</f>
        <v/>
      </c>
      <c r="DY61" s="935" t="str" cm="1">
        <f t="array" ref="DY61">IF($A$27=1,"",[1]!ACAELE_DIAMECAISLA(BB61,H61,I61,CC61,$P$5))</f>
        <v/>
      </c>
      <c r="DZ61" s="935" t="str" cm="1">
        <f t="array" ref="DZ61">IF($A$27=1,"",[1]!ACAELE_AREACAISLAMIENTO(BB61,H61,DY61,$P$5))</f>
        <v/>
      </c>
      <c r="EA61" s="935" t="str" cm="1">
        <f t="array" ref="EA61">[1]!ACAELE_CAIDAVOLTSFINAL2(BB61,Q61,H61,F61,$A$27,BU61,T61,DW61,DA61,DX61,DB61)</f>
        <v/>
      </c>
      <c r="EB61" s="935" t="str" cm="1">
        <f t="array" ref="EB61">IF($A$27=1,"",[1]!ACAELE_AREACONDPTE(BB61,H61,CF61,$P$5))</f>
        <v/>
      </c>
      <c r="EC61" s="936" t="str" cm="1">
        <f t="array" ref="EC61">[1]!ACAELE_AREATOTAL2(H61,$A$27,DY61,S61,G61,T61,DZ61,U61,EB61)</f>
        <v/>
      </c>
      <c r="ED61" s="937" t="str">
        <f t="shared" si="59"/>
        <v/>
      </c>
      <c r="EE61" s="938" t="str">
        <f t="shared" si="60"/>
        <v/>
      </c>
      <c r="EF61" s="939" t="str">
        <f t="shared" si="61"/>
        <v/>
      </c>
      <c r="EG61" s="940">
        <f t="shared" si="62"/>
        <v>0</v>
      </c>
      <c r="EH61" s="941" t="str">
        <f t="shared" si="63"/>
        <v/>
      </c>
      <c r="EI61" s="942">
        <f t="shared" si="64"/>
        <v>30</v>
      </c>
      <c r="EJ61" s="943" t="str">
        <f t="shared" si="11"/>
        <v/>
      </c>
      <c r="EK61" s="943" t="str">
        <f t="shared" si="12"/>
        <v/>
      </c>
      <c r="EL61" s="943" t="str">
        <f t="shared" si="13"/>
        <v/>
      </c>
      <c r="EM61" s="944" t="str">
        <f t="shared" si="14"/>
        <v/>
      </c>
      <c r="EN61" s="945" t="str" cm="1">
        <f t="array" ref="EN61">[1]!ACAELE_MOTOR(H61,X61:BA61,$X$26:$BA$26,$P$5)</f>
        <v/>
      </c>
      <c r="EO61" s="550" t="str">
        <f t="shared" si="65"/>
        <v/>
      </c>
      <c r="EP61" s="431" t="s">
        <v>1214</v>
      </c>
      <c r="EQ61" s="434" t="str">
        <f t="shared" ca="1" si="66"/>
        <v/>
      </c>
      <c r="ER61" s="32"/>
      <c r="ES61" s="32"/>
      <c r="ET61" s="3" t="str">
        <f t="shared" si="67"/>
        <v/>
      </c>
      <c r="EU61" s="3" t="str">
        <f t="shared" si="68"/>
        <v/>
      </c>
      <c r="EV61" s="3" t="str">
        <f t="shared" si="69"/>
        <v/>
      </c>
      <c r="EW61" s="3" t="str">
        <f t="shared" si="70"/>
        <v/>
      </c>
      <c r="EX61" s="3" t="str">
        <f t="shared" si="71"/>
        <v/>
      </c>
      <c r="EY61" s="3" t="str">
        <f t="shared" si="72"/>
        <v/>
      </c>
      <c r="EZ61" s="3" t="str">
        <f t="shared" si="73"/>
        <v/>
      </c>
      <c r="FA61" s="3" t="str">
        <f t="shared" si="74"/>
        <v/>
      </c>
      <c r="FB61" s="3" t="str">
        <f t="shared" si="75"/>
        <v/>
      </c>
      <c r="FC61" s="3">
        <f t="shared" si="76"/>
        <v>0</v>
      </c>
      <c r="FD61" s="32"/>
      <c r="FE61" s="32"/>
      <c r="FF61" s="103">
        <v>1</v>
      </c>
      <c r="FG61" s="32"/>
      <c r="FH61" s="103"/>
      <c r="FI61" s="32"/>
      <c r="FJ61" s="103"/>
      <c r="FK61" s="3">
        <f t="shared" si="77"/>
        <v>0</v>
      </c>
      <c r="FL61" s="3" t="str" cm="1">
        <f t="array" aca="1" ref="FL61" ca="1">[1]!acaele_DIB_UNIFILAR(BB61,H61,F61,COUNTIF(X61:BA61,1),BW61)</f>
        <v/>
      </c>
      <c r="FM61" s="3" t="str">
        <f>IF(DATOS!$T$4=0,"",IF(DATOS!$T$4=1," (QO)",IF(DATOS!$T$4=2," (QOB)",IF(DATOS!$T$4=3," (EDB)",IF(DATOS!$T$4=4,IF(BW61&lt;151," (H"&amp;FN61&amp;")",IF(BW61&lt;251," (J"&amp;FN61&amp;")", IF(BW61&lt;401," (LA)",IF(BW61&lt;801," (MG)",IF(BW61&lt;5001," (POWERPACK)",""))))))))))</f>
        <v xml:space="preserve"> (QOB)</v>
      </c>
      <c r="FN61" s="3" t="str">
        <f t="shared" si="78"/>
        <v/>
      </c>
      <c r="FO61" s="146"/>
      <c r="FP61" s="146"/>
      <c r="FQ61" s="146"/>
      <c r="FR61" s="146"/>
      <c r="FS61" s="146"/>
      <c r="FT61" s="146"/>
      <c r="FU61" s="146"/>
      <c r="FV61" s="146"/>
      <c r="FW61" s="146"/>
      <c r="FX61" s="146" t="str">
        <f t="shared" si="9"/>
        <v/>
      </c>
      <c r="FY61" s="736"/>
      <c r="FZ61" s="740"/>
      <c r="GA61" s="740"/>
      <c r="GB61" s="717"/>
      <c r="GC61" s="838"/>
      <c r="GD61" s="736"/>
      <c r="GE61" s="146"/>
      <c r="GF61" s="506"/>
      <c r="GG61" s="506"/>
      <c r="GH61" s="506"/>
      <c r="GI61" s="506"/>
      <c r="GJ61" s="506"/>
      <c r="GM61" s="3">
        <f>IF(OR(GN61&gt;TABLERO!$M$19,GO61&gt;TABLERO!$M$19,GP61&gt;TABLERO!$M$19,B61=0,C61=0,D61=0),2,CUADROACAD!A61)</f>
        <v>2</v>
      </c>
      <c r="GN61" s="3">
        <f>IF(TABLERO!B61="",0,TABLERO!B61)</f>
        <v>31</v>
      </c>
      <c r="GO61" s="3">
        <f>IF(TABLERO!C61="",GN61,TABLERO!C61)</f>
        <v>31</v>
      </c>
      <c r="GP61" s="3">
        <f>IF(TABLERO!D61="",GN61,TABLERO!D61)</f>
        <v>31</v>
      </c>
    </row>
    <row r="62" spans="1:198" s="3" customFormat="1">
      <c r="A62" s="706"/>
      <c r="B62" s="869">
        <v>32</v>
      </c>
      <c r="C62" s="870" t="str">
        <f t="shared" si="15"/>
        <v/>
      </c>
      <c r="D62" s="870" t="str">
        <f t="shared" si="16"/>
        <v/>
      </c>
      <c r="E62" s="871"/>
      <c r="F62" s="872">
        <v>1</v>
      </c>
      <c r="G62" s="716">
        <f t="shared" si="17"/>
        <v>2</v>
      </c>
      <c r="H62" s="873" t="s">
        <v>12</v>
      </c>
      <c r="I62" s="874" t="str">
        <f t="shared" si="18"/>
        <v>CU</v>
      </c>
      <c r="J62" s="875">
        <v>6</v>
      </c>
      <c r="K62" s="876">
        <v>10</v>
      </c>
      <c r="L62" s="876">
        <v>3</v>
      </c>
      <c r="M62" s="877">
        <v>1</v>
      </c>
      <c r="N62" s="877">
        <v>1</v>
      </c>
      <c r="O62" s="878">
        <v>1</v>
      </c>
      <c r="P62" s="879">
        <v>4</v>
      </c>
      <c r="Q62" s="880">
        <v>1</v>
      </c>
      <c r="R62" s="880">
        <v>1</v>
      </c>
      <c r="S62" s="881">
        <v>1</v>
      </c>
      <c r="T62" s="881">
        <v>1</v>
      </c>
      <c r="U62" s="882">
        <v>1</v>
      </c>
      <c r="V62" s="883">
        <v>1</v>
      </c>
      <c r="W62" s="874" t="str">
        <f t="shared" si="19"/>
        <v>SI</v>
      </c>
      <c r="X62" s="884"/>
      <c r="Y62" s="885"/>
      <c r="Z62" s="885"/>
      <c r="AA62" s="885"/>
      <c r="AB62" s="885"/>
      <c r="AC62" s="885"/>
      <c r="AD62" s="885"/>
      <c r="AE62" s="885"/>
      <c r="AF62" s="885"/>
      <c r="AG62" s="885"/>
      <c r="AH62" s="885"/>
      <c r="AI62" s="885"/>
      <c r="AJ62" s="885"/>
      <c r="AK62" s="885"/>
      <c r="AL62" s="885"/>
      <c r="AM62" s="885"/>
      <c r="AN62" s="885"/>
      <c r="AO62" s="885"/>
      <c r="AP62" s="885"/>
      <c r="AQ62" s="885"/>
      <c r="AR62" s="885"/>
      <c r="AS62" s="885"/>
      <c r="AT62" s="885"/>
      <c r="AU62" s="885"/>
      <c r="AV62" s="885"/>
      <c r="AW62" s="885"/>
      <c r="AX62" s="885"/>
      <c r="AY62" s="885"/>
      <c r="AZ62" s="885"/>
      <c r="BA62" s="886"/>
      <c r="BB62" s="887">
        <f t="shared" si="20"/>
        <v>0</v>
      </c>
      <c r="BC62" s="888" t="str">
        <f t="shared" si="21"/>
        <v/>
      </c>
      <c r="BD62" s="889" t="str">
        <f t="shared" si="22"/>
        <v/>
      </c>
      <c r="BE62" s="889" t="str">
        <f t="shared" si="23"/>
        <v/>
      </c>
      <c r="BF62" s="889" t="str">
        <f t="shared" si="24"/>
        <v/>
      </c>
      <c r="BG62" s="889" t="str">
        <f t="shared" si="25"/>
        <v/>
      </c>
      <c r="BH62" s="889" t="str">
        <f t="shared" si="26"/>
        <v/>
      </c>
      <c r="BI62" s="890" t="str">
        <f t="shared" si="27"/>
        <v/>
      </c>
      <c r="BJ62" s="891" t="str">
        <f t="shared" si="28"/>
        <v/>
      </c>
      <c r="BK62" s="892" t="str">
        <f t="shared" si="29"/>
        <v/>
      </c>
      <c r="BL62" s="892" t="str">
        <f t="shared" si="30"/>
        <v/>
      </c>
      <c r="BM62" s="892" t="str">
        <f t="shared" si="31"/>
        <v/>
      </c>
      <c r="BN62" s="892" t="str">
        <f t="shared" si="32"/>
        <v/>
      </c>
      <c r="BO62" s="892" t="str">
        <f t="shared" si="33"/>
        <v/>
      </c>
      <c r="BP62" s="893" t="str">
        <f t="shared" si="34"/>
        <v/>
      </c>
      <c r="BQ62" s="894" t="str">
        <f t="shared" si="35"/>
        <v/>
      </c>
      <c r="BR62" s="895" t="str">
        <f t="shared" si="10"/>
        <v/>
      </c>
      <c r="BS62" s="896" t="str">
        <f t="shared" si="36"/>
        <v/>
      </c>
      <c r="BT62" s="897" t="str">
        <f t="shared" si="37"/>
        <v/>
      </c>
      <c r="BU62" s="231" t="str">
        <f t="shared" si="38"/>
        <v/>
      </c>
      <c r="BV62" s="898">
        <f t="shared" si="39"/>
        <v>127</v>
      </c>
      <c r="BW62" s="845" t="str">
        <f t="shared" si="40"/>
        <v/>
      </c>
      <c r="BX62" s="899" t="str">
        <f t="shared" si="41"/>
        <v/>
      </c>
      <c r="BY62" s="900" t="str" cm="1">
        <f t="array" ref="BY62">[1]!ACAELE_CAPACIDADCABLE(BB62,H62,I62,M62,BX62,N62)</f>
        <v/>
      </c>
      <c r="BZ62" s="900" t="str">
        <f t="shared" si="42"/>
        <v/>
      </c>
      <c r="CA62" s="901" t="str" cm="1">
        <f t="array" ref="CA62">[1]!ACAELE_cabledetierra(BZ62,$N$9,I62,BW62,BX62,G62)</f>
        <v/>
      </c>
      <c r="CB62" s="902" t="str" cm="1">
        <f t="array" ref="CB62">[1]!ACAELE_TAMATUBERIA(BX62,DU62,$N$9,M62,I62)</f>
        <v/>
      </c>
      <c r="CC62" s="846" t="str">
        <f t="shared" si="43"/>
        <v/>
      </c>
      <c r="CD62" s="903" t="str" cm="1">
        <f t="array" ref="CD62">[1]!ACAELE_CAPACIDADCABLE(BB62,H62,I62,M62,CC62,N62)</f>
        <v/>
      </c>
      <c r="CE62" s="903" t="str">
        <f t="shared" si="44"/>
        <v/>
      </c>
      <c r="CF62" s="904" t="str" cm="1">
        <f t="array" ref="CF62">[1]!ACAELE_cabledetierra(CE62,$N$9,I62,BW62,CC62,G62)</f>
        <v/>
      </c>
      <c r="CG62" s="905" t="str" cm="1">
        <f t="array" ref="CG62">[1]!ACAELE_TAMATUBERIA(CC62,EC62,$N$9,S62,I62)</f>
        <v/>
      </c>
      <c r="CH62" s="906" t="str">
        <f t="shared" si="45"/>
        <v/>
      </c>
      <c r="CI62" s="510" t="str">
        <f t="shared" si="46"/>
        <v>-</v>
      </c>
      <c r="CJ62" s="511" t="str">
        <f t="shared" si="47"/>
        <v>-</v>
      </c>
      <c r="CK62" s="512" t="str">
        <f t="shared" si="48"/>
        <v>-</v>
      </c>
      <c r="CL62" s="907" t="str">
        <f t="shared" si="49"/>
        <v>-</v>
      </c>
      <c r="CM62" s="908" t="str">
        <f t="shared" si="50"/>
        <v>-</v>
      </c>
      <c r="CN62" s="909" t="str">
        <f t="shared" si="51"/>
        <v>-</v>
      </c>
      <c r="CO62" s="910" t="str" cm="1">
        <f t="array" ref="CO62">[1]!ACAELE_fasecorresponde(B62,$F$10,$P$5)</f>
        <v>A</v>
      </c>
      <c r="CP62" s="910" t="str" cm="1">
        <f t="array" ref="CP62">[1]!ACAELE_fasecorresponde(C62,$F$10,$P$5)</f>
        <v>-</v>
      </c>
      <c r="CQ62" s="910" t="str" cm="1">
        <f t="array" ref="CQ62">[1]!ACAELE_fasecorresponde(D62,$F$10,$P$5)</f>
        <v>-</v>
      </c>
      <c r="CR62" s="911" t="str">
        <f t="shared" si="52"/>
        <v>C</v>
      </c>
      <c r="CS62" s="912">
        <f t="shared" si="53"/>
        <v>1</v>
      </c>
      <c r="CT62" s="913">
        <f t="shared" si="54"/>
        <v>0.8</v>
      </c>
      <c r="CU62" s="914" t="str">
        <f t="shared" si="55"/>
        <v/>
      </c>
      <c r="CV62" s="915">
        <f t="shared" si="56"/>
        <v>0</v>
      </c>
      <c r="CW62" s="916" t="str" cm="1">
        <f t="array" ref="CW62">[1]!ACAELE_Inominal(BB62,F62,BT62,BV62,DA62,G62,V62,$P$5)</f>
        <v/>
      </c>
      <c r="CX62" s="917" t="str" cm="1">
        <f t="array" ref="CX62">[1]!ACAELE_Disparocalculado(BB62,H62,DL62,$N$21,$M$21,$O$21,BV62,$P$5)</f>
        <v/>
      </c>
      <c r="CY62" s="918" t="str" cm="1">
        <f t="array" ref="CY62">[1]!ACAELE_Icorregida($A$27,H62,BB62,BU62,CS62,CT62,$P$5)</f>
        <v/>
      </c>
      <c r="CZ62" s="919" t="str" cm="1">
        <f t="array" ref="CZ62">[1]!ACAELE_Icorregida2($A$27,H62,BB62,BU62,CS62,CU62,$P$5)</f>
        <v/>
      </c>
      <c r="DA62" s="920">
        <f t="shared" si="57"/>
        <v>0.9</v>
      </c>
      <c r="DB62" s="921">
        <f t="shared" si="58"/>
        <v>0.43588989435406728</v>
      </c>
      <c r="DC62" s="922" t="str" cm="1">
        <f t="array" ref="DC62">[1]!ACAELE_CONDPORTCORRIENTE(H62,BB62,I62,M62,CY62,CZ62,N62,$P$5)</f>
        <v/>
      </c>
      <c r="DD62" s="923" t="str" cm="1">
        <f t="array" ref="DD62">[1]!ACAELE_CAPACONDCORRIENTE(BB62,H62,I62,M62,CY62,CZ62,$P$5)</f>
        <v/>
      </c>
      <c r="DE62" s="923" t="str" cm="1">
        <f t="array" ref="DE62">[1]!ACAELE_CAPACIDADCABLE(BB62,H62,I62,M62,DC62,N62,$P$5)</f>
        <v/>
      </c>
      <c r="DF62" s="924" t="str" cm="1">
        <f t="array" ref="DF62">[1]!ACAELE_encontrarcaida(BB62,H62,L62,BV62,F62,BU62,N62,K62)</f>
        <v/>
      </c>
      <c r="DG62" s="925" t="str" cm="1">
        <f t="array" ref="DG62">[1]!ACAELE_Cablecaida(BB62,H62,M62,I62,DF62)</f>
        <v/>
      </c>
      <c r="DH62" s="918" t="str" cm="1">
        <f t="array" ref="DH62">[1]!ACAELE_CAPACIDADCABLE(BB62,H62,I62,M62,DG62,N62,$P$5)</f>
        <v/>
      </c>
      <c r="DI62" s="926" t="str" cm="1">
        <f t="array" ref="DI62">IF($A$27=1,"",[1]!ACAELE_encontrarcaida(BB62,H62,R62,BV62,F62,BU62,T62,Q62,$P$5))</f>
        <v/>
      </c>
      <c r="DJ62" s="914" t="str" cm="1">
        <f t="array" ref="DJ62">IF($A$27=1,"",[1]!ACAELE_Cablecaida2(BB62,Q62,H62,S62,I62,DI62,$P$5))</f>
        <v/>
      </c>
      <c r="DK62" s="919" t="str" cm="1">
        <f t="array" ref="DK62">[1]!ACAELE_CAPACIDADCABLE(BB62,H62,I62,M62,DJ62,N62,$P$5)</f>
        <v/>
      </c>
      <c r="DL62" s="927" t="str" cm="1">
        <f t="array" ref="DL62">[1]!acaele_Iproteccion(BB62,H62,BU62,$F$20,$G$20,$F$19,$G$19,$H$20,$H$19,$P$5)</f>
        <v/>
      </c>
      <c r="DM62" s="928" cm="1">
        <f t="array" ref="DM62">[1]!acaele_ProtCalculada(CX62,H62,BT62,BW62,$G$21,$F$21,$H$21,$P$5)</f>
        <v>0</v>
      </c>
      <c r="DN62" s="929" t="str" cm="1">
        <f t="array" ref="DN62">[1]!ACAELE_cablecalculo(BB62,H62,I62,M62,EF62,$P$5)</f>
        <v/>
      </c>
      <c r="DO62" s="930" t="str" cm="1">
        <f t="array" ref="DO62">[1]!ACAELE_RESISTENCIA(BB62,H62,M62,I62,BX62, CW62,$P$5)</f>
        <v/>
      </c>
      <c r="DP62" s="931" t="str" cm="1">
        <f t="array" ref="DP62">[1]!ACAELE_REACTANCIA(BB62,H62,$F$11,M62,I62,BX62,$P$5)</f>
        <v/>
      </c>
      <c r="DQ62" s="918" t="str" cm="1">
        <f t="array" ref="DQ62">[1]!ACAELE_DIAMECAISLA(BB62,H62,I62,BX62,$P$5)</f>
        <v/>
      </c>
      <c r="DR62" s="918" t="str" cm="1">
        <f t="array" ref="DR62">[1]!ACAELE_AREACAISLAMIENTO(BB62,H62,DQ62,$P$5)</f>
        <v/>
      </c>
      <c r="DS62" s="918" t="str" cm="1">
        <f t="array" ref="DS62">[1]!ACAELE_CAIDAVOLTSFINAL(BB62,H62,F62,K62,BU62,N62,DO62,DA62,DP62,DB62,$P$5)</f>
        <v/>
      </c>
      <c r="DT62" s="918" t="str" cm="1">
        <f t="array" ref="DT62">[1]!ACAELE_AREACONDPTE(BB62,H62,CA62,$P$5)</f>
        <v/>
      </c>
      <c r="DU62" s="932" t="str" cm="1">
        <f t="array" ref="DU62">[1]!ACAELE_AREATOTAL(BZ62,M62,EO62,N62,DQ62,G62,DR62,DT62,N$20,$P$5)</f>
        <v/>
      </c>
      <c r="DV62" s="933" t="str" cm="1">
        <f t="array" ref="DV62">IF($A$27=1,"",[1]!ACAELE_cablecalculo(BB62,H62,I62,M62,EG62,$P$5))</f>
        <v/>
      </c>
      <c r="DW62" s="934" t="str" cm="1">
        <f t="array" ref="DW62">IF($A$27=1,"",[1]!ACAELE_RESISTENCIA(BB62,H62,M62,I62,CC62,CW62,$P$5))</f>
        <v/>
      </c>
      <c r="DX62" s="926" t="str" cm="1">
        <f t="array" ref="DX62">IF($A$27=1,"",[1]!ACAELE_REACTANCIA(BB62,H62,$F$11,M62,I62,CC62,$P$5))</f>
        <v/>
      </c>
      <c r="DY62" s="935" t="str" cm="1">
        <f t="array" ref="DY62">IF($A$27=1,"",[1]!ACAELE_DIAMECAISLA(BB62,H62,I62,CC62,$P$5))</f>
        <v/>
      </c>
      <c r="DZ62" s="935" t="str" cm="1">
        <f t="array" ref="DZ62">IF($A$27=1,"",[1]!ACAELE_AREACAISLAMIENTO(BB62,H62,DY62,$P$5))</f>
        <v/>
      </c>
      <c r="EA62" s="935" t="str" cm="1">
        <f t="array" ref="EA62">[1]!ACAELE_CAIDAVOLTSFINAL2(BB62,Q62,H62,F62,$A$27,BU62,T62,DW62,DA62,DX62,DB62)</f>
        <v/>
      </c>
      <c r="EB62" s="935" t="str" cm="1">
        <f t="array" ref="EB62">IF($A$27=1,"",[1]!ACAELE_AREACONDPTE(BB62,H62,CF62,$P$5))</f>
        <v/>
      </c>
      <c r="EC62" s="936" t="str" cm="1">
        <f t="array" ref="EC62">[1]!ACAELE_AREATOTAL2(H62,$A$27,DY62,S62,G62,T62,DZ62,U62,EB62)</f>
        <v/>
      </c>
      <c r="ED62" s="937" t="str">
        <f t="shared" si="59"/>
        <v/>
      </c>
      <c r="EE62" s="938" t="str">
        <f t="shared" si="60"/>
        <v/>
      </c>
      <c r="EF62" s="939" t="str">
        <f t="shared" si="61"/>
        <v/>
      </c>
      <c r="EG62" s="940">
        <f t="shared" si="62"/>
        <v>0</v>
      </c>
      <c r="EH62" s="941" t="str">
        <f t="shared" si="63"/>
        <v/>
      </c>
      <c r="EI62" s="942">
        <f t="shared" si="64"/>
        <v>30</v>
      </c>
      <c r="EJ62" s="943" t="str">
        <f t="shared" si="11"/>
        <v/>
      </c>
      <c r="EK62" s="943" t="str">
        <f t="shared" si="12"/>
        <v/>
      </c>
      <c r="EL62" s="943" t="str">
        <f t="shared" si="13"/>
        <v/>
      </c>
      <c r="EM62" s="944" t="str">
        <f t="shared" si="14"/>
        <v/>
      </c>
      <c r="EN62" s="945" t="str" cm="1">
        <f t="array" ref="EN62">[1]!ACAELE_MOTOR(H62,X62:BA62,$X$26:$BA$26,$P$5)</f>
        <v/>
      </c>
      <c r="EO62" s="550" t="str">
        <f t="shared" si="65"/>
        <v/>
      </c>
      <c r="EP62" s="431" t="s">
        <v>1214</v>
      </c>
      <c r="EQ62" s="434" t="str">
        <f t="shared" ca="1" si="66"/>
        <v/>
      </c>
      <c r="ER62" s="32"/>
      <c r="ES62" s="32"/>
      <c r="ET62" s="3" t="str">
        <f t="shared" si="67"/>
        <v/>
      </c>
      <c r="EU62" s="3" t="str">
        <f t="shared" si="68"/>
        <v/>
      </c>
      <c r="EV62" s="3" t="str">
        <f t="shared" si="69"/>
        <v/>
      </c>
      <c r="EW62" s="3" t="str">
        <f t="shared" si="70"/>
        <v/>
      </c>
      <c r="EX62" s="3" t="str">
        <f t="shared" si="71"/>
        <v/>
      </c>
      <c r="EY62" s="3" t="str">
        <f t="shared" si="72"/>
        <v/>
      </c>
      <c r="EZ62" s="3" t="str">
        <f t="shared" si="73"/>
        <v/>
      </c>
      <c r="FA62" s="3" t="str">
        <f t="shared" si="74"/>
        <v/>
      </c>
      <c r="FB62" s="3" t="str">
        <f t="shared" si="75"/>
        <v/>
      </c>
      <c r="FC62" s="3">
        <f t="shared" si="76"/>
        <v>0</v>
      </c>
      <c r="FD62" s="32"/>
      <c r="FE62" s="32"/>
      <c r="FF62" s="103">
        <v>1</v>
      </c>
      <c r="FG62" s="32"/>
      <c r="FH62" s="103"/>
      <c r="FI62" s="32"/>
      <c r="FJ62" s="103"/>
      <c r="FK62" s="3">
        <f t="shared" si="77"/>
        <v>0</v>
      </c>
      <c r="FL62" s="3" t="str" cm="1">
        <f t="array" aca="1" ref="FL62" ca="1">[1]!acaele_DIB_UNIFILAR(BB62,H62,F62,COUNTIF(X62:BA62,1),BW62)</f>
        <v/>
      </c>
      <c r="FM62" s="3" t="str">
        <f>IF(DATOS!$T$4=0,"",IF(DATOS!$T$4=1," (QO)",IF(DATOS!$T$4=2," (QOB)",IF(DATOS!$T$4=3," (EDB)",IF(DATOS!$T$4=4,IF(BW62&lt;151," (H"&amp;FN62&amp;")",IF(BW62&lt;251," (J"&amp;FN62&amp;")", IF(BW62&lt;401," (LA)",IF(BW62&lt;801," (MG)",IF(BW62&lt;5001," (POWERPACK)",""))))))))))</f>
        <v xml:space="preserve"> (QOB)</v>
      </c>
      <c r="FN62" s="3" t="str">
        <f t="shared" si="78"/>
        <v/>
      </c>
      <c r="FO62" s="146"/>
      <c r="FP62" s="146"/>
      <c r="FQ62" s="146"/>
      <c r="FR62" s="146"/>
      <c r="FS62" s="146"/>
      <c r="FT62" s="146"/>
      <c r="FU62" s="146"/>
      <c r="FV62" s="146"/>
      <c r="FW62" s="146"/>
      <c r="FX62" s="146" t="str">
        <f t="shared" si="9"/>
        <v/>
      </c>
      <c r="FY62" s="736"/>
      <c r="FZ62" s="740"/>
      <c r="GA62" s="740"/>
      <c r="GB62" s="717"/>
      <c r="GC62" s="838"/>
      <c r="GD62" s="736"/>
      <c r="GE62" s="146"/>
      <c r="GF62" s="506"/>
      <c r="GG62" s="506"/>
      <c r="GH62" s="506"/>
      <c r="GI62" s="506"/>
      <c r="GJ62" s="506"/>
      <c r="GM62" s="3">
        <f>IF(OR(GN62&gt;TABLERO!$M$19,GO62&gt;TABLERO!$M$19,GP62&gt;TABLERO!$M$19,B62=0,C62=0,D62=0),2,CUADROACAD!A62)</f>
        <v>2</v>
      </c>
      <c r="GN62" s="3">
        <f>IF(TABLERO!B62="",0,TABLERO!B62)</f>
        <v>32</v>
      </c>
      <c r="GO62" s="3">
        <f>IF(TABLERO!C62="",GN62,TABLERO!C62)</f>
        <v>32</v>
      </c>
      <c r="GP62" s="3">
        <f>IF(TABLERO!D62="",GN62,TABLERO!D62)</f>
        <v>32</v>
      </c>
    </row>
    <row r="63" spans="1:198" s="3" customFormat="1">
      <c r="A63" s="706"/>
      <c r="B63" s="869">
        <v>33</v>
      </c>
      <c r="C63" s="870" t="str">
        <f t="shared" si="15"/>
        <v/>
      </c>
      <c r="D63" s="870" t="str">
        <f t="shared" si="16"/>
        <v/>
      </c>
      <c r="E63" s="871"/>
      <c r="F63" s="872">
        <v>1</v>
      </c>
      <c r="G63" s="716">
        <f t="shared" si="17"/>
        <v>2</v>
      </c>
      <c r="H63" s="873" t="s">
        <v>12</v>
      </c>
      <c r="I63" s="874" t="str">
        <f t="shared" si="18"/>
        <v>CU</v>
      </c>
      <c r="J63" s="875">
        <v>6</v>
      </c>
      <c r="K63" s="876">
        <v>10</v>
      </c>
      <c r="L63" s="876">
        <v>3</v>
      </c>
      <c r="M63" s="877">
        <v>1</v>
      </c>
      <c r="N63" s="877">
        <v>1</v>
      </c>
      <c r="O63" s="878">
        <v>1</v>
      </c>
      <c r="P63" s="879">
        <v>4</v>
      </c>
      <c r="Q63" s="880">
        <v>1</v>
      </c>
      <c r="R63" s="880">
        <v>1</v>
      </c>
      <c r="S63" s="881">
        <v>1</v>
      </c>
      <c r="T63" s="881">
        <v>1</v>
      </c>
      <c r="U63" s="882">
        <v>1</v>
      </c>
      <c r="V63" s="883">
        <v>1</v>
      </c>
      <c r="W63" s="874" t="str">
        <f t="shared" si="19"/>
        <v>SI</v>
      </c>
      <c r="X63" s="884"/>
      <c r="Y63" s="885"/>
      <c r="Z63" s="885"/>
      <c r="AA63" s="885"/>
      <c r="AB63" s="885"/>
      <c r="AC63" s="885"/>
      <c r="AD63" s="885"/>
      <c r="AE63" s="885"/>
      <c r="AF63" s="885"/>
      <c r="AG63" s="885"/>
      <c r="AH63" s="885"/>
      <c r="AI63" s="885"/>
      <c r="AJ63" s="885"/>
      <c r="AK63" s="885"/>
      <c r="AL63" s="885"/>
      <c r="AM63" s="885"/>
      <c r="AN63" s="885"/>
      <c r="AO63" s="885"/>
      <c r="AP63" s="885"/>
      <c r="AQ63" s="885"/>
      <c r="AR63" s="885"/>
      <c r="AS63" s="885"/>
      <c r="AT63" s="885"/>
      <c r="AU63" s="885"/>
      <c r="AV63" s="885"/>
      <c r="AW63" s="885"/>
      <c r="AX63" s="885"/>
      <c r="AY63" s="885"/>
      <c r="AZ63" s="885"/>
      <c r="BA63" s="886"/>
      <c r="BB63" s="887">
        <f t="shared" si="20"/>
        <v>0</v>
      </c>
      <c r="BC63" s="888" t="str">
        <f t="shared" si="21"/>
        <v/>
      </c>
      <c r="BD63" s="889" t="str">
        <f t="shared" si="22"/>
        <v/>
      </c>
      <c r="BE63" s="889" t="str">
        <f t="shared" si="23"/>
        <v/>
      </c>
      <c r="BF63" s="889" t="str">
        <f t="shared" si="24"/>
        <v/>
      </c>
      <c r="BG63" s="889" t="str">
        <f t="shared" si="25"/>
        <v/>
      </c>
      <c r="BH63" s="889" t="str">
        <f t="shared" si="26"/>
        <v/>
      </c>
      <c r="BI63" s="890" t="str">
        <f t="shared" si="27"/>
        <v/>
      </c>
      <c r="BJ63" s="891" t="str">
        <f t="shared" si="28"/>
        <v/>
      </c>
      <c r="BK63" s="892" t="str">
        <f t="shared" si="29"/>
        <v/>
      </c>
      <c r="BL63" s="892" t="str">
        <f t="shared" si="30"/>
        <v/>
      </c>
      <c r="BM63" s="892" t="str">
        <f t="shared" si="31"/>
        <v/>
      </c>
      <c r="BN63" s="892" t="str">
        <f t="shared" si="32"/>
        <v/>
      </c>
      <c r="BO63" s="892" t="str">
        <f t="shared" si="33"/>
        <v/>
      </c>
      <c r="BP63" s="893" t="str">
        <f t="shared" si="34"/>
        <v/>
      </c>
      <c r="BQ63" s="894" t="str">
        <f t="shared" si="35"/>
        <v/>
      </c>
      <c r="BR63" s="895" t="str">
        <f t="shared" si="10"/>
        <v/>
      </c>
      <c r="BS63" s="896" t="str">
        <f t="shared" si="36"/>
        <v/>
      </c>
      <c r="BT63" s="897" t="str">
        <f t="shared" si="37"/>
        <v/>
      </c>
      <c r="BU63" s="231" t="str">
        <f t="shared" si="38"/>
        <v/>
      </c>
      <c r="BV63" s="898">
        <f t="shared" si="39"/>
        <v>127</v>
      </c>
      <c r="BW63" s="845" t="str">
        <f t="shared" si="40"/>
        <v/>
      </c>
      <c r="BX63" s="899" t="str">
        <f t="shared" si="41"/>
        <v/>
      </c>
      <c r="BY63" s="900" t="str" cm="1">
        <f t="array" ref="BY63">[1]!ACAELE_CAPACIDADCABLE(BB63,H63,I63,M63,BX63,N63)</f>
        <v/>
      </c>
      <c r="BZ63" s="900" t="str">
        <f t="shared" si="42"/>
        <v/>
      </c>
      <c r="CA63" s="901" t="str" cm="1">
        <f t="array" ref="CA63">[1]!ACAELE_cabledetierra(BZ63,$N$9,I63,BW63,BX63,G63)</f>
        <v/>
      </c>
      <c r="CB63" s="902" t="str" cm="1">
        <f t="array" ref="CB63">[1]!ACAELE_TAMATUBERIA(BX63,DU63,$N$9,M63,I63)</f>
        <v/>
      </c>
      <c r="CC63" s="846" t="str">
        <f t="shared" si="43"/>
        <v/>
      </c>
      <c r="CD63" s="903" t="str" cm="1">
        <f t="array" ref="CD63">[1]!ACAELE_CAPACIDADCABLE(BB63,H63,I63,M63,CC63,N63)</f>
        <v/>
      </c>
      <c r="CE63" s="903" t="str">
        <f t="shared" si="44"/>
        <v/>
      </c>
      <c r="CF63" s="904" t="str" cm="1">
        <f t="array" ref="CF63">[1]!ACAELE_cabledetierra(CE63,$N$9,I63,BW63,CC63,G63)</f>
        <v/>
      </c>
      <c r="CG63" s="905" t="str" cm="1">
        <f t="array" ref="CG63">[1]!ACAELE_TAMATUBERIA(CC63,EC63,$N$9,S63,I63)</f>
        <v/>
      </c>
      <c r="CH63" s="906" t="str">
        <f t="shared" si="45"/>
        <v/>
      </c>
      <c r="CI63" s="510" t="str">
        <f t="shared" si="46"/>
        <v>-</v>
      </c>
      <c r="CJ63" s="511" t="str">
        <f t="shared" si="47"/>
        <v>-</v>
      </c>
      <c r="CK63" s="512" t="str">
        <f t="shared" si="48"/>
        <v>-</v>
      </c>
      <c r="CL63" s="907" t="str">
        <f t="shared" si="49"/>
        <v>-</v>
      </c>
      <c r="CM63" s="908" t="str">
        <f t="shared" si="50"/>
        <v>-</v>
      </c>
      <c r="CN63" s="909" t="str">
        <f t="shared" si="51"/>
        <v>-</v>
      </c>
      <c r="CO63" s="910" t="str" cm="1">
        <f t="array" ref="CO63">[1]!ACAELE_fasecorresponde(B63,$F$10,$P$5)</f>
        <v>B</v>
      </c>
      <c r="CP63" s="910" t="str" cm="1">
        <f t="array" ref="CP63">[1]!ACAELE_fasecorresponde(C63,$F$10,$P$5)</f>
        <v>-</v>
      </c>
      <c r="CQ63" s="910" t="str" cm="1">
        <f t="array" ref="CQ63">[1]!ACAELE_fasecorresponde(D63,$F$10,$P$5)</f>
        <v>-</v>
      </c>
      <c r="CR63" s="911" t="str">
        <f t="shared" si="52"/>
        <v>C</v>
      </c>
      <c r="CS63" s="912">
        <f t="shared" si="53"/>
        <v>1</v>
      </c>
      <c r="CT63" s="913">
        <f t="shared" si="54"/>
        <v>0.8</v>
      </c>
      <c r="CU63" s="914" t="str">
        <f t="shared" si="55"/>
        <v/>
      </c>
      <c r="CV63" s="915">
        <f t="shared" si="56"/>
        <v>0</v>
      </c>
      <c r="CW63" s="916" t="str" cm="1">
        <f t="array" ref="CW63">[1]!ACAELE_Inominal(BB63,F63,BT63,BV63,DA63,G63,V63,$P$5)</f>
        <v/>
      </c>
      <c r="CX63" s="917" t="str" cm="1">
        <f t="array" ref="CX63">[1]!ACAELE_Disparocalculado(BB63,H63,DL63,$N$21,$M$21,$O$21,BV63,$P$5)</f>
        <v/>
      </c>
      <c r="CY63" s="918" t="str" cm="1">
        <f t="array" ref="CY63">[1]!ACAELE_Icorregida($A$27,H63,BB63,BU63,CS63,CT63,$P$5)</f>
        <v/>
      </c>
      <c r="CZ63" s="919" t="str" cm="1">
        <f t="array" ref="CZ63">[1]!ACAELE_Icorregida2($A$27,H63,BB63,BU63,CS63,CU63,$P$5)</f>
        <v/>
      </c>
      <c r="DA63" s="920">
        <f t="shared" si="57"/>
        <v>0.9</v>
      </c>
      <c r="DB63" s="921">
        <f t="shared" si="58"/>
        <v>0.43588989435406728</v>
      </c>
      <c r="DC63" s="922" t="str" cm="1">
        <f t="array" ref="DC63">[1]!ACAELE_CONDPORTCORRIENTE(H63,BB63,I63,M63,CY63,CZ63,N63,$P$5)</f>
        <v/>
      </c>
      <c r="DD63" s="923" t="str" cm="1">
        <f t="array" ref="DD63">[1]!ACAELE_CAPACONDCORRIENTE(BB63,H63,I63,M63,CY63,CZ63,$P$5)</f>
        <v/>
      </c>
      <c r="DE63" s="923" t="str" cm="1">
        <f t="array" ref="DE63">[1]!ACAELE_CAPACIDADCABLE(BB63,H63,I63,M63,DC63,N63,$P$5)</f>
        <v/>
      </c>
      <c r="DF63" s="924" t="str" cm="1">
        <f t="array" ref="DF63">[1]!ACAELE_encontrarcaida(BB63,H63,L63,BV63,F63,BU63,N63,K63)</f>
        <v/>
      </c>
      <c r="DG63" s="925" t="str" cm="1">
        <f t="array" ref="DG63">[1]!ACAELE_Cablecaida(BB63,H63,M63,I63,DF63)</f>
        <v/>
      </c>
      <c r="DH63" s="918" t="str" cm="1">
        <f t="array" ref="DH63">[1]!ACAELE_CAPACIDADCABLE(BB63,H63,I63,M63,DG63,N63,$P$5)</f>
        <v/>
      </c>
      <c r="DI63" s="926" t="str" cm="1">
        <f t="array" ref="DI63">IF($A$27=1,"",[1]!ACAELE_encontrarcaida(BB63,H63,R63,BV63,F63,BU63,T63,Q63,$P$5))</f>
        <v/>
      </c>
      <c r="DJ63" s="914" t="str" cm="1">
        <f t="array" ref="DJ63">IF($A$27=1,"",[1]!ACAELE_Cablecaida2(BB63,Q63,H63,S63,I63,DI63,$P$5))</f>
        <v/>
      </c>
      <c r="DK63" s="919" t="str" cm="1">
        <f t="array" ref="DK63">[1]!ACAELE_CAPACIDADCABLE(BB63,H63,I63,M63,DJ63,N63,$P$5)</f>
        <v/>
      </c>
      <c r="DL63" s="927" t="str" cm="1">
        <f t="array" ref="DL63">[1]!acaele_Iproteccion(BB63,H63,BU63,$F$20,$G$20,$F$19,$G$19,$H$20,$H$19,$P$5)</f>
        <v/>
      </c>
      <c r="DM63" s="928" cm="1">
        <f t="array" ref="DM63">[1]!acaele_ProtCalculada(CX63,H63,BT63,BW63,$G$21,$F$21,$H$21,$P$5)</f>
        <v>0</v>
      </c>
      <c r="DN63" s="929" t="str" cm="1">
        <f t="array" ref="DN63">[1]!ACAELE_cablecalculo(BB63,H63,I63,M63,EF63,$P$5)</f>
        <v/>
      </c>
      <c r="DO63" s="930" t="str" cm="1">
        <f t="array" ref="DO63">[1]!ACAELE_RESISTENCIA(BB63,H63,M63,I63,BX63, CW63,$P$5)</f>
        <v/>
      </c>
      <c r="DP63" s="931" t="str" cm="1">
        <f t="array" ref="DP63">[1]!ACAELE_REACTANCIA(BB63,H63,$F$11,M63,I63,BX63,$P$5)</f>
        <v/>
      </c>
      <c r="DQ63" s="918" t="str" cm="1">
        <f t="array" ref="DQ63">[1]!ACAELE_DIAMECAISLA(BB63,H63,I63,BX63,$P$5)</f>
        <v/>
      </c>
      <c r="DR63" s="918" t="str" cm="1">
        <f t="array" ref="DR63">[1]!ACAELE_AREACAISLAMIENTO(BB63,H63,DQ63,$P$5)</f>
        <v/>
      </c>
      <c r="DS63" s="918" t="str" cm="1">
        <f t="array" ref="DS63">[1]!ACAELE_CAIDAVOLTSFINAL(BB63,H63,F63,K63,BU63,N63,DO63,DA63,DP63,DB63,$P$5)</f>
        <v/>
      </c>
      <c r="DT63" s="918" t="str" cm="1">
        <f t="array" ref="DT63">[1]!ACAELE_AREACONDPTE(BB63,H63,CA63,$P$5)</f>
        <v/>
      </c>
      <c r="DU63" s="932" t="str" cm="1">
        <f t="array" ref="DU63">[1]!ACAELE_AREATOTAL(BZ63,M63,EO63,N63,DQ63,G63,DR63,DT63,N$20,$P$5)</f>
        <v/>
      </c>
      <c r="DV63" s="933" t="str" cm="1">
        <f t="array" ref="DV63">IF($A$27=1,"",[1]!ACAELE_cablecalculo(BB63,H63,I63,M63,EG63,$P$5))</f>
        <v/>
      </c>
      <c r="DW63" s="934" t="str" cm="1">
        <f t="array" ref="DW63">IF($A$27=1,"",[1]!ACAELE_RESISTENCIA(BB63,H63,M63,I63,CC63,CW63,$P$5))</f>
        <v/>
      </c>
      <c r="DX63" s="926" t="str" cm="1">
        <f t="array" ref="DX63">IF($A$27=1,"",[1]!ACAELE_REACTANCIA(BB63,H63,$F$11,M63,I63,CC63,$P$5))</f>
        <v/>
      </c>
      <c r="DY63" s="935" t="str" cm="1">
        <f t="array" ref="DY63">IF($A$27=1,"",[1]!ACAELE_DIAMECAISLA(BB63,H63,I63,CC63,$P$5))</f>
        <v/>
      </c>
      <c r="DZ63" s="935" t="str" cm="1">
        <f t="array" ref="DZ63">IF($A$27=1,"",[1]!ACAELE_AREACAISLAMIENTO(BB63,H63,DY63,$P$5))</f>
        <v/>
      </c>
      <c r="EA63" s="935" t="str" cm="1">
        <f t="array" ref="EA63">[1]!ACAELE_CAIDAVOLTSFINAL2(BB63,Q63,H63,F63,$A$27,BU63,T63,DW63,DA63,DX63,DB63)</f>
        <v/>
      </c>
      <c r="EB63" s="935" t="str" cm="1">
        <f t="array" ref="EB63">IF($A$27=1,"",[1]!ACAELE_AREACONDPTE(BB63,H63,CF63,$P$5))</f>
        <v/>
      </c>
      <c r="EC63" s="936" t="str" cm="1">
        <f t="array" ref="EC63">[1]!ACAELE_AREATOTAL2(H63,$A$27,DY63,S63,G63,T63,DZ63,U63,EB63)</f>
        <v/>
      </c>
      <c r="ED63" s="937" t="str">
        <f t="shared" si="59"/>
        <v/>
      </c>
      <c r="EE63" s="938" t="str">
        <f t="shared" si="60"/>
        <v/>
      </c>
      <c r="EF63" s="939" t="str">
        <f t="shared" si="61"/>
        <v/>
      </c>
      <c r="EG63" s="940">
        <f t="shared" si="62"/>
        <v>0</v>
      </c>
      <c r="EH63" s="941" t="str">
        <f t="shared" si="63"/>
        <v/>
      </c>
      <c r="EI63" s="942">
        <f t="shared" si="64"/>
        <v>30</v>
      </c>
      <c r="EJ63" s="943" t="str">
        <f t="shared" si="11"/>
        <v/>
      </c>
      <c r="EK63" s="943" t="str">
        <f t="shared" si="12"/>
        <v/>
      </c>
      <c r="EL63" s="943" t="str">
        <f t="shared" si="13"/>
        <v/>
      </c>
      <c r="EM63" s="944" t="str">
        <f t="shared" si="14"/>
        <v/>
      </c>
      <c r="EN63" s="945" t="str" cm="1">
        <f t="array" ref="EN63">[1]!ACAELE_MOTOR(H63,X63:BA63,$X$26:$BA$26,$P$5)</f>
        <v/>
      </c>
      <c r="EO63" s="550" t="str">
        <f t="shared" si="65"/>
        <v/>
      </c>
      <c r="EP63" s="431" t="s">
        <v>1214</v>
      </c>
      <c r="EQ63" s="434" t="str">
        <f t="shared" ca="1" si="66"/>
        <v/>
      </c>
      <c r="ER63" s="32"/>
      <c r="ES63" s="32"/>
      <c r="ET63" s="3" t="str">
        <f t="shared" si="67"/>
        <v/>
      </c>
      <c r="EU63" s="3" t="str">
        <f t="shared" si="68"/>
        <v/>
      </c>
      <c r="EV63" s="3" t="str">
        <f t="shared" si="69"/>
        <v/>
      </c>
      <c r="EW63" s="3" t="str">
        <f t="shared" si="70"/>
        <v/>
      </c>
      <c r="EX63" s="3" t="str">
        <f t="shared" si="71"/>
        <v/>
      </c>
      <c r="EY63" s="3" t="str">
        <f t="shared" si="72"/>
        <v/>
      </c>
      <c r="EZ63" s="3" t="str">
        <f t="shared" si="73"/>
        <v/>
      </c>
      <c r="FA63" s="3" t="str">
        <f t="shared" si="74"/>
        <v/>
      </c>
      <c r="FB63" s="3" t="str">
        <f t="shared" si="75"/>
        <v/>
      </c>
      <c r="FC63" s="3">
        <f t="shared" si="76"/>
        <v>0</v>
      </c>
      <c r="FD63" s="32"/>
      <c r="FE63" s="32"/>
      <c r="FF63" s="103">
        <v>1</v>
      </c>
      <c r="FG63" s="32"/>
      <c r="FH63" s="103"/>
      <c r="FI63" s="32"/>
      <c r="FJ63" s="103"/>
      <c r="FK63" s="3">
        <f t="shared" si="77"/>
        <v>0</v>
      </c>
      <c r="FL63" s="3" t="str" cm="1">
        <f t="array" aca="1" ref="FL63" ca="1">[1]!acaele_DIB_UNIFILAR(BB63,H63,F63,COUNTIF(X63:BA63,1),BW63)</f>
        <v/>
      </c>
      <c r="FM63" s="3" t="str">
        <f>IF(DATOS!$T$4=0,"",IF(DATOS!$T$4=1," (QO)",IF(DATOS!$T$4=2," (QOB)",IF(DATOS!$T$4=3," (EDB)",IF(DATOS!$T$4=4,IF(BW63&lt;151," (H"&amp;FN63&amp;")",IF(BW63&lt;251," (J"&amp;FN63&amp;")", IF(BW63&lt;401," (LA)",IF(BW63&lt;801," (MG)",IF(BW63&lt;5001," (POWERPACK)",""))))))))))</f>
        <v xml:space="preserve"> (QOB)</v>
      </c>
      <c r="FN63" s="3" t="str">
        <f t="shared" si="78"/>
        <v/>
      </c>
      <c r="FO63" s="146"/>
      <c r="FP63" s="146"/>
      <c r="FQ63" s="146"/>
      <c r="FR63" s="146"/>
      <c r="FS63" s="146"/>
      <c r="FT63" s="146"/>
      <c r="FU63" s="146"/>
      <c r="FV63" s="146"/>
      <c r="FW63" s="146"/>
      <c r="FX63" s="146" t="str">
        <f t="shared" si="9"/>
        <v/>
      </c>
      <c r="FY63" s="736"/>
      <c r="FZ63" s="740"/>
      <c r="GA63" s="740"/>
      <c r="GB63" s="717"/>
      <c r="GC63" s="838"/>
      <c r="GD63" s="736"/>
      <c r="GE63" s="146"/>
      <c r="GF63" s="506"/>
      <c r="GG63" s="506"/>
      <c r="GH63" s="506"/>
      <c r="GI63" s="506"/>
      <c r="GJ63" s="506"/>
      <c r="GM63" s="3">
        <f>IF(OR(GN63&gt;TABLERO!$M$19,GO63&gt;TABLERO!$M$19,GP63&gt;TABLERO!$M$19,B63=0,C63=0,D63=0),2,CUADROACAD!A63)</f>
        <v>2</v>
      </c>
      <c r="GN63" s="3">
        <f>IF(TABLERO!B63="",0,TABLERO!B63)</f>
        <v>33</v>
      </c>
      <c r="GO63" s="3">
        <f>IF(TABLERO!C63="",GN63,TABLERO!C63)</f>
        <v>33</v>
      </c>
      <c r="GP63" s="3">
        <f>IF(TABLERO!D63="",GN63,TABLERO!D63)</f>
        <v>33</v>
      </c>
    </row>
    <row r="64" spans="1:198" s="3" customFormat="1">
      <c r="A64" s="706"/>
      <c r="B64" s="869">
        <v>34</v>
      </c>
      <c r="C64" s="870" t="str">
        <f t="shared" si="15"/>
        <v/>
      </c>
      <c r="D64" s="870" t="str">
        <f t="shared" si="16"/>
        <v/>
      </c>
      <c r="E64" s="871"/>
      <c r="F64" s="872">
        <v>1</v>
      </c>
      <c r="G64" s="716">
        <f t="shared" si="17"/>
        <v>2</v>
      </c>
      <c r="H64" s="873" t="s">
        <v>12</v>
      </c>
      <c r="I64" s="874" t="str">
        <f t="shared" si="18"/>
        <v>CU</v>
      </c>
      <c r="J64" s="875">
        <v>6</v>
      </c>
      <c r="K64" s="876">
        <v>10</v>
      </c>
      <c r="L64" s="876">
        <v>3</v>
      </c>
      <c r="M64" s="877">
        <v>1</v>
      </c>
      <c r="N64" s="877">
        <v>1</v>
      </c>
      <c r="O64" s="878">
        <v>1</v>
      </c>
      <c r="P64" s="879">
        <v>4</v>
      </c>
      <c r="Q64" s="880">
        <v>1</v>
      </c>
      <c r="R64" s="880">
        <v>1</v>
      </c>
      <c r="S64" s="881">
        <v>1</v>
      </c>
      <c r="T64" s="881">
        <v>1</v>
      </c>
      <c r="U64" s="882">
        <v>1</v>
      </c>
      <c r="V64" s="883">
        <v>1</v>
      </c>
      <c r="W64" s="874" t="str">
        <f t="shared" si="19"/>
        <v>SI</v>
      </c>
      <c r="X64" s="884"/>
      <c r="Y64" s="885"/>
      <c r="Z64" s="885"/>
      <c r="AA64" s="885"/>
      <c r="AB64" s="885"/>
      <c r="AC64" s="885"/>
      <c r="AD64" s="885"/>
      <c r="AE64" s="885"/>
      <c r="AF64" s="885"/>
      <c r="AG64" s="885"/>
      <c r="AH64" s="885"/>
      <c r="AI64" s="885"/>
      <c r="AJ64" s="885"/>
      <c r="AK64" s="885"/>
      <c r="AL64" s="885"/>
      <c r="AM64" s="885"/>
      <c r="AN64" s="885"/>
      <c r="AO64" s="885"/>
      <c r="AP64" s="885"/>
      <c r="AQ64" s="885"/>
      <c r="AR64" s="885"/>
      <c r="AS64" s="885"/>
      <c r="AT64" s="885"/>
      <c r="AU64" s="885"/>
      <c r="AV64" s="885"/>
      <c r="AW64" s="885"/>
      <c r="AX64" s="885"/>
      <c r="AY64" s="885"/>
      <c r="AZ64" s="885"/>
      <c r="BA64" s="886"/>
      <c r="BB64" s="887">
        <f t="shared" si="20"/>
        <v>0</v>
      </c>
      <c r="BC64" s="888" t="str">
        <f t="shared" si="21"/>
        <v/>
      </c>
      <c r="BD64" s="889" t="str">
        <f t="shared" si="22"/>
        <v/>
      </c>
      <c r="BE64" s="889" t="str">
        <f t="shared" si="23"/>
        <v/>
      </c>
      <c r="BF64" s="889" t="str">
        <f t="shared" si="24"/>
        <v/>
      </c>
      <c r="BG64" s="889" t="str">
        <f t="shared" si="25"/>
        <v/>
      </c>
      <c r="BH64" s="889" t="str">
        <f t="shared" si="26"/>
        <v/>
      </c>
      <c r="BI64" s="890" t="str">
        <f t="shared" si="27"/>
        <v/>
      </c>
      <c r="BJ64" s="891" t="str">
        <f t="shared" si="28"/>
        <v/>
      </c>
      <c r="BK64" s="892" t="str">
        <f t="shared" si="29"/>
        <v/>
      </c>
      <c r="BL64" s="892" t="str">
        <f t="shared" si="30"/>
        <v/>
      </c>
      <c r="BM64" s="892" t="str">
        <f t="shared" si="31"/>
        <v/>
      </c>
      <c r="BN64" s="892" t="str">
        <f t="shared" si="32"/>
        <v/>
      </c>
      <c r="BO64" s="892" t="str">
        <f t="shared" si="33"/>
        <v/>
      </c>
      <c r="BP64" s="893" t="str">
        <f t="shared" si="34"/>
        <v/>
      </c>
      <c r="BQ64" s="894" t="str">
        <f t="shared" si="35"/>
        <v/>
      </c>
      <c r="BR64" s="895" t="str">
        <f t="shared" si="10"/>
        <v/>
      </c>
      <c r="BS64" s="896" t="str">
        <f t="shared" si="36"/>
        <v/>
      </c>
      <c r="BT64" s="897" t="str">
        <f t="shared" si="37"/>
        <v/>
      </c>
      <c r="BU64" s="231" t="str">
        <f t="shared" si="38"/>
        <v/>
      </c>
      <c r="BV64" s="898">
        <f t="shared" si="39"/>
        <v>127</v>
      </c>
      <c r="BW64" s="845" t="str">
        <f t="shared" si="40"/>
        <v/>
      </c>
      <c r="BX64" s="899" t="str">
        <f t="shared" si="41"/>
        <v/>
      </c>
      <c r="BY64" s="900" t="str" cm="1">
        <f t="array" ref="BY64">[1]!ACAELE_CAPACIDADCABLE(BB64,H64,I64,M64,BX64,N64)</f>
        <v/>
      </c>
      <c r="BZ64" s="900" t="str">
        <f t="shared" si="42"/>
        <v/>
      </c>
      <c r="CA64" s="901" t="str" cm="1">
        <f t="array" ref="CA64">[1]!ACAELE_cabledetierra(BZ64,$N$9,I64,BW64,BX64,G64)</f>
        <v/>
      </c>
      <c r="CB64" s="902" t="str" cm="1">
        <f t="array" ref="CB64">[1]!ACAELE_TAMATUBERIA(BX64,DU64,$N$9,M64,I64)</f>
        <v/>
      </c>
      <c r="CC64" s="846" t="str">
        <f t="shared" si="43"/>
        <v/>
      </c>
      <c r="CD64" s="903" t="str" cm="1">
        <f t="array" ref="CD64">[1]!ACAELE_CAPACIDADCABLE(BB64,H64,I64,M64,CC64,N64)</f>
        <v/>
      </c>
      <c r="CE64" s="903" t="str">
        <f t="shared" si="44"/>
        <v/>
      </c>
      <c r="CF64" s="904" t="str" cm="1">
        <f t="array" ref="CF64">[1]!ACAELE_cabledetierra(CE64,$N$9,I64,BW64,CC64,G64)</f>
        <v/>
      </c>
      <c r="CG64" s="905" t="str" cm="1">
        <f t="array" ref="CG64">[1]!ACAELE_TAMATUBERIA(CC64,EC64,$N$9,S64,I64)</f>
        <v/>
      </c>
      <c r="CH64" s="906" t="str">
        <f t="shared" si="45"/>
        <v/>
      </c>
      <c r="CI64" s="510" t="str">
        <f t="shared" si="46"/>
        <v>-</v>
      </c>
      <c r="CJ64" s="511" t="str">
        <f t="shared" si="47"/>
        <v>-</v>
      </c>
      <c r="CK64" s="512" t="str">
        <f t="shared" si="48"/>
        <v>-</v>
      </c>
      <c r="CL64" s="907" t="str">
        <f t="shared" si="49"/>
        <v>-</v>
      </c>
      <c r="CM64" s="908" t="str">
        <f t="shared" si="50"/>
        <v>-</v>
      </c>
      <c r="CN64" s="909" t="str">
        <f t="shared" si="51"/>
        <v>-</v>
      </c>
      <c r="CO64" s="910" t="str" cm="1">
        <f t="array" ref="CO64">[1]!ACAELE_fasecorresponde(B64,$F$10,$P$5)</f>
        <v>B</v>
      </c>
      <c r="CP64" s="910" t="str" cm="1">
        <f t="array" ref="CP64">[1]!ACAELE_fasecorresponde(C64,$F$10,$P$5)</f>
        <v>-</v>
      </c>
      <c r="CQ64" s="910" t="str" cm="1">
        <f t="array" ref="CQ64">[1]!ACAELE_fasecorresponde(D64,$F$10,$P$5)</f>
        <v>-</v>
      </c>
      <c r="CR64" s="911" t="str">
        <f t="shared" si="52"/>
        <v>C</v>
      </c>
      <c r="CS64" s="912">
        <f t="shared" si="53"/>
        <v>1</v>
      </c>
      <c r="CT64" s="913">
        <f t="shared" si="54"/>
        <v>0.8</v>
      </c>
      <c r="CU64" s="914" t="str">
        <f t="shared" si="55"/>
        <v/>
      </c>
      <c r="CV64" s="915">
        <f t="shared" si="56"/>
        <v>0</v>
      </c>
      <c r="CW64" s="916" t="str" cm="1">
        <f t="array" ref="CW64">[1]!ACAELE_Inominal(BB64,F64,BT64,BV64,DA64,G64,V64,$P$5)</f>
        <v/>
      </c>
      <c r="CX64" s="917" t="str" cm="1">
        <f t="array" ref="CX64">[1]!ACAELE_Disparocalculado(BB64,H64,DL64,$N$21,$M$21,$O$21,BV64,$P$5)</f>
        <v/>
      </c>
      <c r="CY64" s="918" t="str" cm="1">
        <f t="array" ref="CY64">[1]!ACAELE_Icorregida($A$27,H64,BB64,BU64,CS64,CT64,$P$5)</f>
        <v/>
      </c>
      <c r="CZ64" s="919" t="str" cm="1">
        <f t="array" ref="CZ64">[1]!ACAELE_Icorregida2($A$27,H64,BB64,BU64,CS64,CU64,$P$5)</f>
        <v/>
      </c>
      <c r="DA64" s="920">
        <f t="shared" si="57"/>
        <v>0.9</v>
      </c>
      <c r="DB64" s="921">
        <f t="shared" si="58"/>
        <v>0.43588989435406728</v>
      </c>
      <c r="DC64" s="922" t="str" cm="1">
        <f t="array" ref="DC64">[1]!ACAELE_CONDPORTCORRIENTE(H64,BB64,I64,M64,CY64,CZ64,N64,$P$5)</f>
        <v/>
      </c>
      <c r="DD64" s="923" t="str" cm="1">
        <f t="array" ref="DD64">[1]!ACAELE_CAPACONDCORRIENTE(BB64,H64,I64,M64,CY64,CZ64,$P$5)</f>
        <v/>
      </c>
      <c r="DE64" s="923" t="str" cm="1">
        <f t="array" ref="DE64">[1]!ACAELE_CAPACIDADCABLE(BB64,H64,I64,M64,DC64,N64,$P$5)</f>
        <v/>
      </c>
      <c r="DF64" s="924" t="str" cm="1">
        <f t="array" ref="DF64">[1]!ACAELE_encontrarcaida(BB64,H64,L64,BV64,F64,BU64,N64,K64)</f>
        <v/>
      </c>
      <c r="DG64" s="925" t="str" cm="1">
        <f t="array" ref="DG64">[1]!ACAELE_Cablecaida(BB64,H64,M64,I64,DF64)</f>
        <v/>
      </c>
      <c r="DH64" s="918" t="str" cm="1">
        <f t="array" ref="DH64">[1]!ACAELE_CAPACIDADCABLE(BB64,H64,I64,M64,DG64,N64,$P$5)</f>
        <v/>
      </c>
      <c r="DI64" s="926" t="str" cm="1">
        <f t="array" ref="DI64">IF($A$27=1,"",[1]!ACAELE_encontrarcaida(BB64,H64,R64,BV64,F64,BU64,T64,Q64,$P$5))</f>
        <v/>
      </c>
      <c r="DJ64" s="914" t="str" cm="1">
        <f t="array" ref="DJ64">IF($A$27=1,"",[1]!ACAELE_Cablecaida2(BB64,Q64,H64,S64,I64,DI64,$P$5))</f>
        <v/>
      </c>
      <c r="DK64" s="919" t="str" cm="1">
        <f t="array" ref="DK64">[1]!ACAELE_CAPACIDADCABLE(BB64,H64,I64,M64,DJ64,N64,$P$5)</f>
        <v/>
      </c>
      <c r="DL64" s="927" t="str" cm="1">
        <f t="array" ref="DL64">[1]!acaele_Iproteccion(BB64,H64,BU64,$F$20,$G$20,$F$19,$G$19,$H$20,$H$19,$P$5)</f>
        <v/>
      </c>
      <c r="DM64" s="928" cm="1">
        <f t="array" ref="DM64">[1]!acaele_ProtCalculada(CX64,H64,BT64,BW64,$G$21,$F$21,$H$21,$P$5)</f>
        <v>0</v>
      </c>
      <c r="DN64" s="929" t="str" cm="1">
        <f t="array" ref="DN64">[1]!ACAELE_cablecalculo(BB64,H64,I64,M64,EF64,$P$5)</f>
        <v/>
      </c>
      <c r="DO64" s="930" t="str" cm="1">
        <f t="array" ref="DO64">[1]!ACAELE_RESISTENCIA(BB64,H64,M64,I64,BX64, CW64,$P$5)</f>
        <v/>
      </c>
      <c r="DP64" s="931" t="str" cm="1">
        <f t="array" ref="DP64">[1]!ACAELE_REACTANCIA(BB64,H64,$F$11,M64,I64,BX64,$P$5)</f>
        <v/>
      </c>
      <c r="DQ64" s="918" t="str" cm="1">
        <f t="array" ref="DQ64">[1]!ACAELE_DIAMECAISLA(BB64,H64,I64,BX64,$P$5)</f>
        <v/>
      </c>
      <c r="DR64" s="918" t="str" cm="1">
        <f t="array" ref="DR64">[1]!ACAELE_AREACAISLAMIENTO(BB64,H64,DQ64,$P$5)</f>
        <v/>
      </c>
      <c r="DS64" s="918" t="str" cm="1">
        <f t="array" ref="DS64">[1]!ACAELE_CAIDAVOLTSFINAL(BB64,H64,F64,K64,BU64,N64,DO64,DA64,DP64,DB64,$P$5)</f>
        <v/>
      </c>
      <c r="DT64" s="918" t="str" cm="1">
        <f t="array" ref="DT64">[1]!ACAELE_AREACONDPTE(BB64,H64,CA64,$P$5)</f>
        <v/>
      </c>
      <c r="DU64" s="932" t="str" cm="1">
        <f t="array" ref="DU64">[1]!ACAELE_AREATOTAL(BZ64,M64,EO64,N64,DQ64,G64,DR64,DT64,N$20,$P$5)</f>
        <v/>
      </c>
      <c r="DV64" s="933" t="str" cm="1">
        <f t="array" ref="DV64">IF($A$27=1,"",[1]!ACAELE_cablecalculo(BB64,H64,I64,M64,EG64,$P$5))</f>
        <v/>
      </c>
      <c r="DW64" s="934" t="str" cm="1">
        <f t="array" ref="DW64">IF($A$27=1,"",[1]!ACAELE_RESISTENCIA(BB64,H64,M64,I64,CC64,CW64,$P$5))</f>
        <v/>
      </c>
      <c r="DX64" s="926" t="str" cm="1">
        <f t="array" ref="DX64">IF($A$27=1,"",[1]!ACAELE_REACTANCIA(BB64,H64,$F$11,M64,I64,CC64,$P$5))</f>
        <v/>
      </c>
      <c r="DY64" s="935" t="str" cm="1">
        <f t="array" ref="DY64">IF($A$27=1,"",[1]!ACAELE_DIAMECAISLA(BB64,H64,I64,CC64,$P$5))</f>
        <v/>
      </c>
      <c r="DZ64" s="935" t="str" cm="1">
        <f t="array" ref="DZ64">IF($A$27=1,"",[1]!ACAELE_AREACAISLAMIENTO(BB64,H64,DY64,$P$5))</f>
        <v/>
      </c>
      <c r="EA64" s="935" t="str" cm="1">
        <f t="array" ref="EA64">[1]!ACAELE_CAIDAVOLTSFINAL2(BB64,Q64,H64,F64,$A$27,BU64,T64,DW64,DA64,DX64,DB64)</f>
        <v/>
      </c>
      <c r="EB64" s="935" t="str" cm="1">
        <f t="array" ref="EB64">IF($A$27=1,"",[1]!ACAELE_AREACONDPTE(BB64,H64,CF64,$P$5))</f>
        <v/>
      </c>
      <c r="EC64" s="936" t="str" cm="1">
        <f t="array" ref="EC64">[1]!ACAELE_AREATOTAL2(H64,$A$27,DY64,S64,G64,T64,DZ64,U64,EB64)</f>
        <v/>
      </c>
      <c r="ED64" s="937" t="str">
        <f t="shared" si="59"/>
        <v/>
      </c>
      <c r="EE64" s="938" t="str">
        <f t="shared" si="60"/>
        <v/>
      </c>
      <c r="EF64" s="939" t="str">
        <f t="shared" si="61"/>
        <v/>
      </c>
      <c r="EG64" s="940">
        <f t="shared" si="62"/>
        <v>0</v>
      </c>
      <c r="EH64" s="941" t="str">
        <f t="shared" si="63"/>
        <v/>
      </c>
      <c r="EI64" s="942">
        <f t="shared" si="64"/>
        <v>30</v>
      </c>
      <c r="EJ64" s="943" t="str">
        <f t="shared" si="11"/>
        <v/>
      </c>
      <c r="EK64" s="943" t="str">
        <f t="shared" si="12"/>
        <v/>
      </c>
      <c r="EL64" s="943" t="str">
        <f t="shared" si="13"/>
        <v/>
      </c>
      <c r="EM64" s="944" t="str">
        <f t="shared" si="14"/>
        <v/>
      </c>
      <c r="EN64" s="945" t="str" cm="1">
        <f t="array" ref="EN64">[1]!ACAELE_MOTOR(H64,X64:BA64,$X$26:$BA$26,$P$5)</f>
        <v/>
      </c>
      <c r="EO64" s="550" t="str">
        <f t="shared" si="65"/>
        <v/>
      </c>
      <c r="EP64" s="431" t="s">
        <v>1214</v>
      </c>
      <c r="EQ64" s="434" t="str">
        <f t="shared" ca="1" si="66"/>
        <v/>
      </c>
      <c r="ER64" s="32"/>
      <c r="ES64" s="32"/>
      <c r="ET64" s="3" t="str">
        <f t="shared" si="67"/>
        <v/>
      </c>
      <c r="EU64" s="3" t="str">
        <f t="shared" si="68"/>
        <v/>
      </c>
      <c r="EV64" s="3" t="str">
        <f t="shared" si="69"/>
        <v/>
      </c>
      <c r="EW64" s="3" t="str">
        <f t="shared" si="70"/>
        <v/>
      </c>
      <c r="EX64" s="3" t="str">
        <f t="shared" si="71"/>
        <v/>
      </c>
      <c r="EY64" s="3" t="str">
        <f t="shared" si="72"/>
        <v/>
      </c>
      <c r="EZ64" s="3" t="str">
        <f t="shared" si="73"/>
        <v/>
      </c>
      <c r="FA64" s="3" t="str">
        <f t="shared" si="74"/>
        <v/>
      </c>
      <c r="FB64" s="3" t="str">
        <f t="shared" si="75"/>
        <v/>
      </c>
      <c r="FC64" s="3">
        <f t="shared" si="76"/>
        <v>0</v>
      </c>
      <c r="FD64" s="32"/>
      <c r="FE64" s="32"/>
      <c r="FF64" s="103">
        <v>1</v>
      </c>
      <c r="FG64" s="32"/>
      <c r="FH64" s="103"/>
      <c r="FI64" s="32"/>
      <c r="FJ64" s="103"/>
      <c r="FK64" s="3">
        <f t="shared" si="77"/>
        <v>0</v>
      </c>
      <c r="FL64" s="3" t="str" cm="1">
        <f t="array" aca="1" ref="FL64" ca="1">[1]!acaele_DIB_UNIFILAR(BB64,H64,F64,COUNTIF(X64:BA64,1),BW64)</f>
        <v/>
      </c>
      <c r="FM64" s="3" t="str">
        <f>IF(DATOS!$T$4=0,"",IF(DATOS!$T$4=1," (QO)",IF(DATOS!$T$4=2," (QOB)",IF(DATOS!$T$4=3," (EDB)",IF(DATOS!$T$4=4,IF(BW64&lt;151," (H"&amp;FN64&amp;")",IF(BW64&lt;251," (J"&amp;FN64&amp;")", IF(BW64&lt;401," (LA)",IF(BW64&lt;801," (MG)",IF(BW64&lt;5001," (POWERPACK)",""))))))))))</f>
        <v xml:space="preserve"> (QOB)</v>
      </c>
      <c r="FN64" s="3" t="str">
        <f t="shared" si="78"/>
        <v/>
      </c>
      <c r="FO64" s="146"/>
      <c r="FP64" s="146"/>
      <c r="FQ64" s="146"/>
      <c r="FR64" s="146"/>
      <c r="FS64" s="146"/>
      <c r="FT64" s="146"/>
      <c r="FU64" s="146"/>
      <c r="FV64" s="146"/>
      <c r="FW64" s="146"/>
      <c r="FX64" s="146" t="str">
        <f t="shared" si="9"/>
        <v/>
      </c>
      <c r="FY64" s="736"/>
      <c r="FZ64" s="740"/>
      <c r="GA64" s="740"/>
      <c r="GB64" s="717"/>
      <c r="GC64" s="838"/>
      <c r="GD64" s="736"/>
      <c r="GE64" s="146"/>
      <c r="GF64" s="506"/>
      <c r="GG64" s="506"/>
      <c r="GH64" s="506"/>
      <c r="GI64" s="506"/>
      <c r="GJ64" s="506"/>
      <c r="GM64" s="3">
        <f>IF(OR(GN64&gt;TABLERO!$M$19,GO64&gt;TABLERO!$M$19,GP64&gt;TABLERO!$M$19,B64=0,C64=0,D64=0),2,CUADROACAD!A64)</f>
        <v>2</v>
      </c>
      <c r="GN64" s="3">
        <f>IF(TABLERO!B64="",0,TABLERO!B64)</f>
        <v>34</v>
      </c>
      <c r="GO64" s="3">
        <f>IF(TABLERO!C64="",GN64,TABLERO!C64)</f>
        <v>34</v>
      </c>
      <c r="GP64" s="3">
        <f>IF(TABLERO!D64="",GN64,TABLERO!D64)</f>
        <v>34</v>
      </c>
    </row>
    <row r="65" spans="1:198" s="3" customFormat="1">
      <c r="A65" s="706"/>
      <c r="B65" s="869">
        <v>35</v>
      </c>
      <c r="C65" s="870" t="str">
        <f t="shared" si="15"/>
        <v/>
      </c>
      <c r="D65" s="870" t="str">
        <f t="shared" si="16"/>
        <v/>
      </c>
      <c r="E65" s="871"/>
      <c r="F65" s="872">
        <v>1</v>
      </c>
      <c r="G65" s="716">
        <f t="shared" si="17"/>
        <v>2</v>
      </c>
      <c r="H65" s="873" t="s">
        <v>12</v>
      </c>
      <c r="I65" s="874" t="str">
        <f t="shared" si="18"/>
        <v>CU</v>
      </c>
      <c r="J65" s="875">
        <v>6</v>
      </c>
      <c r="K65" s="876">
        <v>10</v>
      </c>
      <c r="L65" s="876">
        <v>3</v>
      </c>
      <c r="M65" s="877">
        <v>1</v>
      </c>
      <c r="N65" s="877">
        <v>1</v>
      </c>
      <c r="O65" s="878">
        <v>1</v>
      </c>
      <c r="P65" s="879">
        <v>4</v>
      </c>
      <c r="Q65" s="880">
        <v>1</v>
      </c>
      <c r="R65" s="880">
        <v>1</v>
      </c>
      <c r="S65" s="881">
        <v>1</v>
      </c>
      <c r="T65" s="881">
        <v>1</v>
      </c>
      <c r="U65" s="882">
        <v>1</v>
      </c>
      <c r="V65" s="883">
        <v>1</v>
      </c>
      <c r="W65" s="874" t="str">
        <f t="shared" si="19"/>
        <v>SI</v>
      </c>
      <c r="X65" s="884"/>
      <c r="Y65" s="885"/>
      <c r="Z65" s="885"/>
      <c r="AA65" s="885"/>
      <c r="AB65" s="885"/>
      <c r="AC65" s="885"/>
      <c r="AD65" s="885"/>
      <c r="AE65" s="885"/>
      <c r="AF65" s="885"/>
      <c r="AG65" s="885"/>
      <c r="AH65" s="885"/>
      <c r="AI65" s="885"/>
      <c r="AJ65" s="885"/>
      <c r="AK65" s="885"/>
      <c r="AL65" s="885"/>
      <c r="AM65" s="885"/>
      <c r="AN65" s="885"/>
      <c r="AO65" s="885"/>
      <c r="AP65" s="885"/>
      <c r="AQ65" s="885"/>
      <c r="AR65" s="885"/>
      <c r="AS65" s="885"/>
      <c r="AT65" s="885"/>
      <c r="AU65" s="885"/>
      <c r="AV65" s="885"/>
      <c r="AW65" s="885"/>
      <c r="AX65" s="885"/>
      <c r="AY65" s="885"/>
      <c r="AZ65" s="885"/>
      <c r="BA65" s="886"/>
      <c r="BB65" s="887">
        <f t="shared" si="20"/>
        <v>0</v>
      </c>
      <c r="BC65" s="888" t="str">
        <f t="shared" si="21"/>
        <v/>
      </c>
      <c r="BD65" s="889" t="str">
        <f t="shared" si="22"/>
        <v/>
      </c>
      <c r="BE65" s="889" t="str">
        <f t="shared" si="23"/>
        <v/>
      </c>
      <c r="BF65" s="889" t="str">
        <f t="shared" si="24"/>
        <v/>
      </c>
      <c r="BG65" s="889" t="str">
        <f t="shared" si="25"/>
        <v/>
      </c>
      <c r="BH65" s="889" t="str">
        <f t="shared" si="26"/>
        <v/>
      </c>
      <c r="BI65" s="890" t="str">
        <f t="shared" si="27"/>
        <v/>
      </c>
      <c r="BJ65" s="891" t="str">
        <f t="shared" si="28"/>
        <v/>
      </c>
      <c r="BK65" s="892" t="str">
        <f t="shared" si="29"/>
        <v/>
      </c>
      <c r="BL65" s="892" t="str">
        <f t="shared" si="30"/>
        <v/>
      </c>
      <c r="BM65" s="892" t="str">
        <f t="shared" si="31"/>
        <v/>
      </c>
      <c r="BN65" s="892" t="str">
        <f t="shared" si="32"/>
        <v/>
      </c>
      <c r="BO65" s="892" t="str">
        <f t="shared" si="33"/>
        <v/>
      </c>
      <c r="BP65" s="893" t="str">
        <f t="shared" si="34"/>
        <v/>
      </c>
      <c r="BQ65" s="894" t="str">
        <f t="shared" si="35"/>
        <v/>
      </c>
      <c r="BR65" s="895" t="str">
        <f t="shared" si="10"/>
        <v/>
      </c>
      <c r="BS65" s="896" t="str">
        <f t="shared" si="36"/>
        <v/>
      </c>
      <c r="BT65" s="897" t="str">
        <f t="shared" si="37"/>
        <v/>
      </c>
      <c r="BU65" s="231" t="str">
        <f t="shared" si="38"/>
        <v/>
      </c>
      <c r="BV65" s="898">
        <f t="shared" si="39"/>
        <v>127</v>
      </c>
      <c r="BW65" s="845" t="str">
        <f t="shared" si="40"/>
        <v/>
      </c>
      <c r="BX65" s="899" t="str">
        <f t="shared" si="41"/>
        <v/>
      </c>
      <c r="BY65" s="900" t="str" cm="1">
        <f t="array" ref="BY65">[1]!ACAELE_CAPACIDADCABLE(BB65,H65,I65,M65,BX65,N65)</f>
        <v/>
      </c>
      <c r="BZ65" s="900" t="str">
        <f t="shared" si="42"/>
        <v/>
      </c>
      <c r="CA65" s="901" t="str" cm="1">
        <f t="array" ref="CA65">[1]!ACAELE_cabledetierra(BZ65,$N$9,I65,BW65,BX65,G65)</f>
        <v/>
      </c>
      <c r="CB65" s="902" t="str" cm="1">
        <f t="array" ref="CB65">[1]!ACAELE_TAMATUBERIA(BX65,DU65,$N$9,M65,I65)</f>
        <v/>
      </c>
      <c r="CC65" s="846" t="str">
        <f t="shared" si="43"/>
        <v/>
      </c>
      <c r="CD65" s="903" t="str" cm="1">
        <f t="array" ref="CD65">[1]!ACAELE_CAPACIDADCABLE(BB65,H65,I65,M65,CC65,N65)</f>
        <v/>
      </c>
      <c r="CE65" s="903" t="str">
        <f t="shared" si="44"/>
        <v/>
      </c>
      <c r="CF65" s="904" t="str" cm="1">
        <f t="array" ref="CF65">[1]!ACAELE_cabledetierra(CE65,$N$9,I65,BW65,CC65,G65)</f>
        <v/>
      </c>
      <c r="CG65" s="905" t="str" cm="1">
        <f t="array" ref="CG65">[1]!ACAELE_TAMATUBERIA(CC65,EC65,$N$9,S65,I65)</f>
        <v/>
      </c>
      <c r="CH65" s="906" t="str">
        <f t="shared" si="45"/>
        <v/>
      </c>
      <c r="CI65" s="510" t="str">
        <f t="shared" si="46"/>
        <v>-</v>
      </c>
      <c r="CJ65" s="511" t="str">
        <f t="shared" si="47"/>
        <v>-</v>
      </c>
      <c r="CK65" s="512" t="str">
        <f t="shared" si="48"/>
        <v>-</v>
      </c>
      <c r="CL65" s="907" t="str">
        <f t="shared" si="49"/>
        <v>-</v>
      </c>
      <c r="CM65" s="908" t="str">
        <f t="shared" si="50"/>
        <v>-</v>
      </c>
      <c r="CN65" s="909" t="str">
        <f t="shared" si="51"/>
        <v>-</v>
      </c>
      <c r="CO65" s="910" t="str" cm="1">
        <f t="array" ref="CO65">[1]!ACAELE_fasecorresponde(B65,$F$10,$P$5)</f>
        <v>C</v>
      </c>
      <c r="CP65" s="910" t="str" cm="1">
        <f t="array" ref="CP65">[1]!ACAELE_fasecorresponde(C65,$F$10,$P$5)</f>
        <v>-</v>
      </c>
      <c r="CQ65" s="910" t="str" cm="1">
        <f t="array" ref="CQ65">[1]!ACAELE_fasecorresponde(D65,$F$10,$P$5)</f>
        <v>-</v>
      </c>
      <c r="CR65" s="911" t="str">
        <f t="shared" si="52"/>
        <v>C</v>
      </c>
      <c r="CS65" s="912">
        <f t="shared" si="53"/>
        <v>1</v>
      </c>
      <c r="CT65" s="913">
        <f t="shared" si="54"/>
        <v>0.8</v>
      </c>
      <c r="CU65" s="914" t="str">
        <f t="shared" si="55"/>
        <v/>
      </c>
      <c r="CV65" s="915">
        <f t="shared" si="56"/>
        <v>0</v>
      </c>
      <c r="CW65" s="916" t="str" cm="1">
        <f t="array" ref="CW65">[1]!ACAELE_Inominal(BB65,F65,BT65,BV65,DA65,G65,V65,$P$5)</f>
        <v/>
      </c>
      <c r="CX65" s="917" t="str" cm="1">
        <f t="array" ref="CX65">[1]!ACAELE_Disparocalculado(BB65,H65,DL65,$N$21,$M$21,$O$21,BV65,$P$5)</f>
        <v/>
      </c>
      <c r="CY65" s="918" t="str" cm="1">
        <f t="array" ref="CY65">[1]!ACAELE_Icorregida($A$27,H65,BB65,BU65,CS65,CT65,$P$5)</f>
        <v/>
      </c>
      <c r="CZ65" s="919" t="str" cm="1">
        <f t="array" ref="CZ65">[1]!ACAELE_Icorregida2($A$27,H65,BB65,BU65,CS65,CU65,$P$5)</f>
        <v/>
      </c>
      <c r="DA65" s="920">
        <f t="shared" si="57"/>
        <v>0.9</v>
      </c>
      <c r="DB65" s="921">
        <f t="shared" si="58"/>
        <v>0.43588989435406728</v>
      </c>
      <c r="DC65" s="922" t="str" cm="1">
        <f t="array" ref="DC65">[1]!ACAELE_CONDPORTCORRIENTE(H65,BB65,I65,M65,CY65,CZ65,N65,$P$5)</f>
        <v/>
      </c>
      <c r="DD65" s="923" t="str" cm="1">
        <f t="array" ref="DD65">[1]!ACAELE_CAPACONDCORRIENTE(BB65,H65,I65,M65,CY65,CZ65,$P$5)</f>
        <v/>
      </c>
      <c r="DE65" s="923" t="str" cm="1">
        <f t="array" ref="DE65">[1]!ACAELE_CAPACIDADCABLE(BB65,H65,I65,M65,DC65,N65,$P$5)</f>
        <v/>
      </c>
      <c r="DF65" s="924" t="str" cm="1">
        <f t="array" ref="DF65">[1]!ACAELE_encontrarcaida(BB65,H65,L65,BV65,F65,BU65,N65,K65)</f>
        <v/>
      </c>
      <c r="DG65" s="925" t="str" cm="1">
        <f t="array" ref="DG65">[1]!ACAELE_Cablecaida(BB65,H65,M65,I65,DF65)</f>
        <v/>
      </c>
      <c r="DH65" s="918" t="str" cm="1">
        <f t="array" ref="DH65">[1]!ACAELE_CAPACIDADCABLE(BB65,H65,I65,M65,DG65,N65,$P$5)</f>
        <v/>
      </c>
      <c r="DI65" s="926" t="str" cm="1">
        <f t="array" ref="DI65">IF($A$27=1,"",[1]!ACAELE_encontrarcaida(BB65,H65,R65,BV65,F65,BU65,T65,Q65,$P$5))</f>
        <v/>
      </c>
      <c r="DJ65" s="914" t="str" cm="1">
        <f t="array" ref="DJ65">IF($A$27=1,"",[1]!ACAELE_Cablecaida2(BB65,Q65,H65,S65,I65,DI65,$P$5))</f>
        <v/>
      </c>
      <c r="DK65" s="919" t="str" cm="1">
        <f t="array" ref="DK65">[1]!ACAELE_CAPACIDADCABLE(BB65,H65,I65,M65,DJ65,N65,$P$5)</f>
        <v/>
      </c>
      <c r="DL65" s="927" t="str" cm="1">
        <f t="array" ref="DL65">[1]!acaele_Iproteccion(BB65,H65,BU65,$F$20,$G$20,$F$19,$G$19,$H$20,$H$19,$P$5)</f>
        <v/>
      </c>
      <c r="DM65" s="928" cm="1">
        <f t="array" ref="DM65">[1]!acaele_ProtCalculada(CX65,H65,BT65,BW65,$G$21,$F$21,$H$21,$P$5)</f>
        <v>0</v>
      </c>
      <c r="DN65" s="929" t="str" cm="1">
        <f t="array" ref="DN65">[1]!ACAELE_cablecalculo(BB65,H65,I65,M65,EF65,$P$5)</f>
        <v/>
      </c>
      <c r="DO65" s="930" t="str" cm="1">
        <f t="array" ref="DO65">[1]!ACAELE_RESISTENCIA(BB65,H65,M65,I65,BX65, CW65,$P$5)</f>
        <v/>
      </c>
      <c r="DP65" s="931" t="str" cm="1">
        <f t="array" ref="DP65">[1]!ACAELE_REACTANCIA(BB65,H65,$F$11,M65,I65,BX65,$P$5)</f>
        <v/>
      </c>
      <c r="DQ65" s="918" t="str" cm="1">
        <f t="array" ref="DQ65">[1]!ACAELE_DIAMECAISLA(BB65,H65,I65,BX65,$P$5)</f>
        <v/>
      </c>
      <c r="DR65" s="918" t="str" cm="1">
        <f t="array" ref="DR65">[1]!ACAELE_AREACAISLAMIENTO(BB65,H65,DQ65,$P$5)</f>
        <v/>
      </c>
      <c r="DS65" s="918" t="str" cm="1">
        <f t="array" ref="DS65">[1]!ACAELE_CAIDAVOLTSFINAL(BB65,H65,F65,K65,BU65,N65,DO65,DA65,DP65,DB65,$P$5)</f>
        <v/>
      </c>
      <c r="DT65" s="918" t="str" cm="1">
        <f t="array" ref="DT65">[1]!ACAELE_AREACONDPTE(BB65,H65,CA65,$P$5)</f>
        <v/>
      </c>
      <c r="DU65" s="932" t="str" cm="1">
        <f t="array" ref="DU65">[1]!ACAELE_AREATOTAL(BZ65,M65,EO65,N65,DQ65,G65,DR65,DT65,N$20,$P$5)</f>
        <v/>
      </c>
      <c r="DV65" s="933" t="str" cm="1">
        <f t="array" ref="DV65">IF($A$27=1,"",[1]!ACAELE_cablecalculo(BB65,H65,I65,M65,EG65,$P$5))</f>
        <v/>
      </c>
      <c r="DW65" s="934" t="str" cm="1">
        <f t="array" ref="DW65">IF($A$27=1,"",[1]!ACAELE_RESISTENCIA(BB65,H65,M65,I65,CC65,CW65,$P$5))</f>
        <v/>
      </c>
      <c r="DX65" s="926" t="str" cm="1">
        <f t="array" ref="DX65">IF($A$27=1,"",[1]!ACAELE_REACTANCIA(BB65,H65,$F$11,M65,I65,CC65,$P$5))</f>
        <v/>
      </c>
      <c r="DY65" s="935" t="str" cm="1">
        <f t="array" ref="DY65">IF($A$27=1,"",[1]!ACAELE_DIAMECAISLA(BB65,H65,I65,CC65,$P$5))</f>
        <v/>
      </c>
      <c r="DZ65" s="935" t="str" cm="1">
        <f t="array" ref="DZ65">IF($A$27=1,"",[1]!ACAELE_AREACAISLAMIENTO(BB65,H65,DY65,$P$5))</f>
        <v/>
      </c>
      <c r="EA65" s="935" t="str" cm="1">
        <f t="array" ref="EA65">[1]!ACAELE_CAIDAVOLTSFINAL2(BB65,Q65,H65,F65,$A$27,BU65,T65,DW65,DA65,DX65,DB65)</f>
        <v/>
      </c>
      <c r="EB65" s="935" t="str" cm="1">
        <f t="array" ref="EB65">IF($A$27=1,"",[1]!ACAELE_AREACONDPTE(BB65,H65,CF65,$P$5))</f>
        <v/>
      </c>
      <c r="EC65" s="936" t="str" cm="1">
        <f t="array" ref="EC65">[1]!ACAELE_AREATOTAL2(H65,$A$27,DY65,S65,G65,T65,DZ65,U65,EB65)</f>
        <v/>
      </c>
      <c r="ED65" s="937" t="str">
        <f t="shared" si="59"/>
        <v/>
      </c>
      <c r="EE65" s="938" t="str">
        <f t="shared" si="60"/>
        <v/>
      </c>
      <c r="EF65" s="939" t="str">
        <f t="shared" si="61"/>
        <v/>
      </c>
      <c r="EG65" s="940">
        <f t="shared" si="62"/>
        <v>0</v>
      </c>
      <c r="EH65" s="941" t="str">
        <f t="shared" si="63"/>
        <v/>
      </c>
      <c r="EI65" s="942">
        <f t="shared" si="64"/>
        <v>30</v>
      </c>
      <c r="EJ65" s="943" t="str">
        <f t="shared" si="11"/>
        <v/>
      </c>
      <c r="EK65" s="943" t="str">
        <f t="shared" si="12"/>
        <v/>
      </c>
      <c r="EL65" s="943" t="str">
        <f t="shared" si="13"/>
        <v/>
      </c>
      <c r="EM65" s="944" t="str">
        <f t="shared" si="14"/>
        <v/>
      </c>
      <c r="EN65" s="945" t="str" cm="1">
        <f t="array" ref="EN65">[1]!ACAELE_MOTOR(H65,X65:BA65,$X$26:$BA$26,$P$5)</f>
        <v/>
      </c>
      <c r="EO65" s="550" t="str">
        <f t="shared" si="65"/>
        <v/>
      </c>
      <c r="EP65" s="431" t="s">
        <v>1214</v>
      </c>
      <c r="EQ65" s="434" t="str">
        <f t="shared" ca="1" si="66"/>
        <v/>
      </c>
      <c r="ER65" s="32"/>
      <c r="ES65" s="32"/>
      <c r="ET65" s="3" t="str">
        <f t="shared" si="67"/>
        <v/>
      </c>
      <c r="EU65" s="3" t="str">
        <f t="shared" si="68"/>
        <v/>
      </c>
      <c r="EV65" s="3" t="str">
        <f t="shared" si="69"/>
        <v/>
      </c>
      <c r="EW65" s="3" t="str">
        <f t="shared" si="70"/>
        <v/>
      </c>
      <c r="EX65" s="3" t="str">
        <f t="shared" si="71"/>
        <v/>
      </c>
      <c r="EY65" s="3" t="str">
        <f t="shared" si="72"/>
        <v/>
      </c>
      <c r="EZ65" s="3" t="str">
        <f t="shared" si="73"/>
        <v/>
      </c>
      <c r="FA65" s="3" t="str">
        <f t="shared" si="74"/>
        <v/>
      </c>
      <c r="FB65" s="3" t="str">
        <f t="shared" si="75"/>
        <v/>
      </c>
      <c r="FC65" s="3">
        <f t="shared" si="76"/>
        <v>0</v>
      </c>
      <c r="FD65" s="32"/>
      <c r="FE65" s="32"/>
      <c r="FF65" s="103">
        <v>1</v>
      </c>
      <c r="FG65" s="32"/>
      <c r="FH65" s="103"/>
      <c r="FI65" s="32"/>
      <c r="FJ65" s="103"/>
      <c r="FK65" s="3">
        <f t="shared" si="77"/>
        <v>0</v>
      </c>
      <c r="FL65" s="3" t="str" cm="1">
        <f t="array" aca="1" ref="FL65" ca="1">[1]!acaele_DIB_UNIFILAR(BB65,H65,F65,COUNTIF(X65:BA65,1),BW65)</f>
        <v/>
      </c>
      <c r="FM65" s="3" t="str">
        <f>IF(DATOS!$T$4=0,"",IF(DATOS!$T$4=1," (QO)",IF(DATOS!$T$4=2," (QOB)",IF(DATOS!$T$4=3," (EDB)",IF(DATOS!$T$4=4,IF(BW65&lt;151," (H"&amp;FN65&amp;")",IF(BW65&lt;251," (J"&amp;FN65&amp;")", IF(BW65&lt;401," (LA)",IF(BW65&lt;801," (MG)",IF(BW65&lt;5001," (POWERPACK)",""))))))))))</f>
        <v xml:space="preserve"> (QOB)</v>
      </c>
      <c r="FN65" s="3" t="str">
        <f t="shared" si="78"/>
        <v/>
      </c>
      <c r="FO65" s="146"/>
      <c r="FP65" s="146"/>
      <c r="FQ65" s="146"/>
      <c r="FR65" s="146"/>
      <c r="FS65" s="146"/>
      <c r="FT65" s="146"/>
      <c r="FU65" s="146"/>
      <c r="FV65" s="146"/>
      <c r="FW65" s="146"/>
      <c r="FX65" s="146" t="str">
        <f t="shared" si="9"/>
        <v/>
      </c>
      <c r="FY65" s="736"/>
      <c r="FZ65" s="740"/>
      <c r="GA65" s="740"/>
      <c r="GB65" s="717"/>
      <c r="GC65" s="838"/>
      <c r="GD65" s="736"/>
      <c r="GE65" s="146"/>
      <c r="GF65" s="506"/>
      <c r="GG65" s="506"/>
      <c r="GH65" s="506"/>
      <c r="GI65" s="506"/>
      <c r="GJ65" s="506"/>
      <c r="GM65" s="3">
        <f>IF(OR(GN65&gt;TABLERO!$M$19,GO65&gt;TABLERO!$M$19,GP65&gt;TABLERO!$M$19,B65=0,C65=0,D65=0),2,CUADROACAD!A65)</f>
        <v>2</v>
      </c>
      <c r="GN65" s="3">
        <f>IF(TABLERO!B65="",0,TABLERO!B65)</f>
        <v>35</v>
      </c>
      <c r="GO65" s="3">
        <f>IF(TABLERO!C65="",GN65,TABLERO!C65)</f>
        <v>35</v>
      </c>
      <c r="GP65" s="3">
        <f>IF(TABLERO!D65="",GN65,TABLERO!D65)</f>
        <v>35</v>
      </c>
    </row>
    <row r="66" spans="1:198" s="3" customFormat="1">
      <c r="A66" s="706"/>
      <c r="B66" s="869">
        <v>36</v>
      </c>
      <c r="C66" s="870" t="str">
        <f t="shared" si="15"/>
        <v/>
      </c>
      <c r="D66" s="870" t="str">
        <f t="shared" si="16"/>
        <v/>
      </c>
      <c r="E66" s="871"/>
      <c r="F66" s="872">
        <v>1</v>
      </c>
      <c r="G66" s="716">
        <f t="shared" si="17"/>
        <v>2</v>
      </c>
      <c r="H66" s="873" t="s">
        <v>12</v>
      </c>
      <c r="I66" s="874" t="str">
        <f t="shared" si="18"/>
        <v>CU</v>
      </c>
      <c r="J66" s="875">
        <v>6</v>
      </c>
      <c r="K66" s="876">
        <v>10</v>
      </c>
      <c r="L66" s="876">
        <v>3</v>
      </c>
      <c r="M66" s="877">
        <v>1</v>
      </c>
      <c r="N66" s="877">
        <v>1</v>
      </c>
      <c r="O66" s="878">
        <v>1</v>
      </c>
      <c r="P66" s="879">
        <v>4</v>
      </c>
      <c r="Q66" s="880">
        <v>1</v>
      </c>
      <c r="R66" s="880">
        <v>1</v>
      </c>
      <c r="S66" s="881">
        <v>1</v>
      </c>
      <c r="T66" s="881">
        <v>1</v>
      </c>
      <c r="U66" s="882">
        <v>1</v>
      </c>
      <c r="V66" s="883">
        <v>1</v>
      </c>
      <c r="W66" s="874" t="str">
        <f t="shared" si="19"/>
        <v>SI</v>
      </c>
      <c r="X66" s="884"/>
      <c r="Y66" s="885"/>
      <c r="Z66" s="885"/>
      <c r="AA66" s="885"/>
      <c r="AB66" s="885"/>
      <c r="AC66" s="885"/>
      <c r="AD66" s="885"/>
      <c r="AE66" s="885"/>
      <c r="AF66" s="885"/>
      <c r="AG66" s="885"/>
      <c r="AH66" s="885"/>
      <c r="AI66" s="885"/>
      <c r="AJ66" s="885"/>
      <c r="AK66" s="885"/>
      <c r="AL66" s="885"/>
      <c r="AM66" s="885"/>
      <c r="AN66" s="885"/>
      <c r="AO66" s="885"/>
      <c r="AP66" s="885"/>
      <c r="AQ66" s="885"/>
      <c r="AR66" s="885"/>
      <c r="AS66" s="885"/>
      <c r="AT66" s="885"/>
      <c r="AU66" s="885"/>
      <c r="AV66" s="885"/>
      <c r="AW66" s="885"/>
      <c r="AX66" s="885"/>
      <c r="AY66" s="885"/>
      <c r="AZ66" s="885"/>
      <c r="BA66" s="886"/>
      <c r="BB66" s="887">
        <f t="shared" si="20"/>
        <v>0</v>
      </c>
      <c r="BC66" s="888" t="str">
        <f t="shared" si="21"/>
        <v/>
      </c>
      <c r="BD66" s="889" t="str">
        <f t="shared" si="22"/>
        <v/>
      </c>
      <c r="BE66" s="889" t="str">
        <f t="shared" si="23"/>
        <v/>
      </c>
      <c r="BF66" s="889" t="str">
        <f t="shared" si="24"/>
        <v/>
      </c>
      <c r="BG66" s="889" t="str">
        <f t="shared" si="25"/>
        <v/>
      </c>
      <c r="BH66" s="889" t="str">
        <f t="shared" si="26"/>
        <v/>
      </c>
      <c r="BI66" s="890" t="str">
        <f t="shared" si="27"/>
        <v/>
      </c>
      <c r="BJ66" s="891" t="str">
        <f t="shared" si="28"/>
        <v/>
      </c>
      <c r="BK66" s="892" t="str">
        <f t="shared" si="29"/>
        <v/>
      </c>
      <c r="BL66" s="892" t="str">
        <f t="shared" si="30"/>
        <v/>
      </c>
      <c r="BM66" s="892" t="str">
        <f t="shared" si="31"/>
        <v/>
      </c>
      <c r="BN66" s="892" t="str">
        <f t="shared" si="32"/>
        <v/>
      </c>
      <c r="BO66" s="892" t="str">
        <f t="shared" si="33"/>
        <v/>
      </c>
      <c r="BP66" s="893" t="str">
        <f t="shared" si="34"/>
        <v/>
      </c>
      <c r="BQ66" s="894" t="str">
        <f t="shared" si="35"/>
        <v/>
      </c>
      <c r="BR66" s="895" t="str">
        <f t="shared" si="10"/>
        <v/>
      </c>
      <c r="BS66" s="896" t="str">
        <f t="shared" si="36"/>
        <v/>
      </c>
      <c r="BT66" s="897" t="str">
        <f t="shared" si="37"/>
        <v/>
      </c>
      <c r="BU66" s="231" t="str">
        <f t="shared" si="38"/>
        <v/>
      </c>
      <c r="BV66" s="898">
        <f t="shared" si="39"/>
        <v>127</v>
      </c>
      <c r="BW66" s="845" t="str">
        <f t="shared" si="40"/>
        <v/>
      </c>
      <c r="BX66" s="899" t="str">
        <f t="shared" si="41"/>
        <v/>
      </c>
      <c r="BY66" s="900" t="str" cm="1">
        <f t="array" ref="BY66">[1]!ACAELE_CAPACIDADCABLE(BB66,H66,I66,M66,BX66,N66)</f>
        <v/>
      </c>
      <c r="BZ66" s="900" t="str">
        <f t="shared" si="42"/>
        <v/>
      </c>
      <c r="CA66" s="901" t="str" cm="1">
        <f t="array" ref="CA66">[1]!ACAELE_cabledetierra(BZ66,$N$9,I66,BW66,BX66,G66)</f>
        <v/>
      </c>
      <c r="CB66" s="902" t="str" cm="1">
        <f t="array" ref="CB66">[1]!ACAELE_TAMATUBERIA(BX66,DU66,$N$9,M66,I66)</f>
        <v/>
      </c>
      <c r="CC66" s="846" t="str">
        <f t="shared" si="43"/>
        <v/>
      </c>
      <c r="CD66" s="903" t="str" cm="1">
        <f t="array" ref="CD66">[1]!ACAELE_CAPACIDADCABLE(BB66,H66,I66,M66,CC66,N66)</f>
        <v/>
      </c>
      <c r="CE66" s="903" t="str">
        <f t="shared" si="44"/>
        <v/>
      </c>
      <c r="CF66" s="904" t="str" cm="1">
        <f t="array" ref="CF66">[1]!ACAELE_cabledetierra(CE66,$N$9,I66,BW66,CC66,G66)</f>
        <v/>
      </c>
      <c r="CG66" s="905" t="str" cm="1">
        <f t="array" ref="CG66">[1]!ACAELE_TAMATUBERIA(CC66,EC66,$N$9,S66,I66)</f>
        <v/>
      </c>
      <c r="CH66" s="906" t="str">
        <f t="shared" si="45"/>
        <v/>
      </c>
      <c r="CI66" s="510" t="str">
        <f t="shared" si="46"/>
        <v>-</v>
      </c>
      <c r="CJ66" s="511" t="str">
        <f t="shared" si="47"/>
        <v>-</v>
      </c>
      <c r="CK66" s="512" t="str">
        <f t="shared" si="48"/>
        <v>-</v>
      </c>
      <c r="CL66" s="907" t="str">
        <f t="shared" si="49"/>
        <v>-</v>
      </c>
      <c r="CM66" s="908" t="str">
        <f t="shared" si="50"/>
        <v>-</v>
      </c>
      <c r="CN66" s="909" t="str">
        <f t="shared" si="51"/>
        <v>-</v>
      </c>
      <c r="CO66" s="910" t="str" cm="1">
        <f t="array" ref="CO66">[1]!ACAELE_fasecorresponde(B66,$F$10,$P$5)</f>
        <v>C</v>
      </c>
      <c r="CP66" s="910" t="str" cm="1">
        <f t="array" ref="CP66">[1]!ACAELE_fasecorresponde(C66,$F$10,$P$5)</f>
        <v>-</v>
      </c>
      <c r="CQ66" s="910" t="str" cm="1">
        <f t="array" ref="CQ66">[1]!ACAELE_fasecorresponde(D66,$F$10,$P$5)</f>
        <v>-</v>
      </c>
      <c r="CR66" s="911" t="str">
        <f t="shared" si="52"/>
        <v>C</v>
      </c>
      <c r="CS66" s="912">
        <f t="shared" si="53"/>
        <v>1</v>
      </c>
      <c r="CT66" s="913">
        <f t="shared" si="54"/>
        <v>0.8</v>
      </c>
      <c r="CU66" s="914" t="str">
        <f t="shared" si="55"/>
        <v/>
      </c>
      <c r="CV66" s="915">
        <f t="shared" si="56"/>
        <v>0</v>
      </c>
      <c r="CW66" s="916" t="str" cm="1">
        <f t="array" ref="CW66">[1]!ACAELE_Inominal(BB66,F66,BT66,BV66,DA66,G66,V66,$P$5)</f>
        <v/>
      </c>
      <c r="CX66" s="917" t="str" cm="1">
        <f t="array" ref="CX66">[1]!ACAELE_Disparocalculado(BB66,H66,DL66,$N$21,$M$21,$O$21,BV66,$P$5)</f>
        <v/>
      </c>
      <c r="CY66" s="918" t="str" cm="1">
        <f t="array" ref="CY66">[1]!ACAELE_Icorregida($A$27,H66,BB66,BU66,CS66,CT66,$P$5)</f>
        <v/>
      </c>
      <c r="CZ66" s="919" t="str" cm="1">
        <f t="array" ref="CZ66">[1]!ACAELE_Icorregida2($A$27,H66,BB66,BU66,CS66,CU66,$P$5)</f>
        <v/>
      </c>
      <c r="DA66" s="920">
        <f t="shared" si="57"/>
        <v>0.9</v>
      </c>
      <c r="DB66" s="921">
        <f t="shared" si="58"/>
        <v>0.43588989435406728</v>
      </c>
      <c r="DC66" s="922" t="str" cm="1">
        <f t="array" ref="DC66">[1]!ACAELE_CONDPORTCORRIENTE(H66,BB66,I66,M66,CY66,CZ66,N66,$P$5)</f>
        <v/>
      </c>
      <c r="DD66" s="923" t="str" cm="1">
        <f t="array" ref="DD66">[1]!ACAELE_CAPACONDCORRIENTE(BB66,H66,I66,M66,CY66,CZ66,$P$5)</f>
        <v/>
      </c>
      <c r="DE66" s="923" t="str" cm="1">
        <f t="array" ref="DE66">[1]!ACAELE_CAPACIDADCABLE(BB66,H66,I66,M66,DC66,N66,$P$5)</f>
        <v/>
      </c>
      <c r="DF66" s="924" t="str" cm="1">
        <f t="array" ref="DF66">[1]!ACAELE_encontrarcaida(BB66,H66,L66,BV66,F66,BU66,N66,K66)</f>
        <v/>
      </c>
      <c r="DG66" s="925" t="str" cm="1">
        <f t="array" ref="DG66">[1]!ACAELE_Cablecaida(BB66,H66,M66,I66,DF66)</f>
        <v/>
      </c>
      <c r="DH66" s="918" t="str" cm="1">
        <f t="array" ref="DH66">[1]!ACAELE_CAPACIDADCABLE(BB66,H66,I66,M66,DG66,N66,$P$5)</f>
        <v/>
      </c>
      <c r="DI66" s="926" t="str" cm="1">
        <f t="array" ref="DI66">IF($A$27=1,"",[1]!ACAELE_encontrarcaida(BB66,H66,R66,BV66,F66,BU66,T66,Q66,$P$5))</f>
        <v/>
      </c>
      <c r="DJ66" s="914" t="str" cm="1">
        <f t="array" ref="DJ66">IF($A$27=1,"",[1]!ACAELE_Cablecaida2(BB66,Q66,H66,S66,I66,DI66,$P$5))</f>
        <v/>
      </c>
      <c r="DK66" s="919" t="str" cm="1">
        <f t="array" ref="DK66">[1]!ACAELE_CAPACIDADCABLE(BB66,H66,I66,M66,DJ66,N66,$P$5)</f>
        <v/>
      </c>
      <c r="DL66" s="927" t="str" cm="1">
        <f t="array" ref="DL66">[1]!acaele_Iproteccion(BB66,H66,BU66,$F$20,$G$20,$F$19,$G$19,$H$20,$H$19,$P$5)</f>
        <v/>
      </c>
      <c r="DM66" s="928" cm="1">
        <f t="array" ref="DM66">[1]!acaele_ProtCalculada(CX66,H66,BT66,BW66,$G$21,$F$21,$H$21,$P$5)</f>
        <v>0</v>
      </c>
      <c r="DN66" s="929" t="str" cm="1">
        <f t="array" ref="DN66">[1]!ACAELE_cablecalculo(BB66,H66,I66,M66,EF66,$P$5)</f>
        <v/>
      </c>
      <c r="DO66" s="930" t="str" cm="1">
        <f t="array" ref="DO66">[1]!ACAELE_RESISTENCIA(BB66,H66,M66,I66,BX66, CW66,$P$5)</f>
        <v/>
      </c>
      <c r="DP66" s="931" t="str" cm="1">
        <f t="array" ref="DP66">[1]!ACAELE_REACTANCIA(BB66,H66,$F$11,M66,I66,BX66,$P$5)</f>
        <v/>
      </c>
      <c r="DQ66" s="918" t="str" cm="1">
        <f t="array" ref="DQ66">[1]!ACAELE_DIAMECAISLA(BB66,H66,I66,BX66,$P$5)</f>
        <v/>
      </c>
      <c r="DR66" s="918" t="str" cm="1">
        <f t="array" ref="DR66">[1]!ACAELE_AREACAISLAMIENTO(BB66,H66,DQ66,$P$5)</f>
        <v/>
      </c>
      <c r="DS66" s="918" t="str" cm="1">
        <f t="array" ref="DS66">[1]!ACAELE_CAIDAVOLTSFINAL(BB66,H66,F66,K66,BU66,N66,DO66,DA66,DP66,DB66,$P$5)</f>
        <v/>
      </c>
      <c r="DT66" s="918" t="str" cm="1">
        <f t="array" ref="DT66">[1]!ACAELE_AREACONDPTE(BB66,H66,CA66,$P$5)</f>
        <v/>
      </c>
      <c r="DU66" s="932" t="str" cm="1">
        <f t="array" ref="DU66">[1]!ACAELE_AREATOTAL(BZ66,M66,EO66,N66,DQ66,G66,DR66,DT66,N$20,$P$5)</f>
        <v/>
      </c>
      <c r="DV66" s="933" t="str" cm="1">
        <f t="array" ref="DV66">IF($A$27=1,"",[1]!ACAELE_cablecalculo(BB66,H66,I66,M66,EG66,$P$5))</f>
        <v/>
      </c>
      <c r="DW66" s="934" t="str" cm="1">
        <f t="array" ref="DW66">IF($A$27=1,"",[1]!ACAELE_RESISTENCIA(BB66,H66,M66,I66,CC66,CW66,$P$5))</f>
        <v/>
      </c>
      <c r="DX66" s="926" t="str" cm="1">
        <f t="array" ref="DX66">IF($A$27=1,"",[1]!ACAELE_REACTANCIA(BB66,H66,$F$11,M66,I66,CC66,$P$5))</f>
        <v/>
      </c>
      <c r="DY66" s="935" t="str" cm="1">
        <f t="array" ref="DY66">IF($A$27=1,"",[1]!ACAELE_DIAMECAISLA(BB66,H66,I66,CC66,$P$5))</f>
        <v/>
      </c>
      <c r="DZ66" s="935" t="str" cm="1">
        <f t="array" ref="DZ66">IF($A$27=1,"",[1]!ACAELE_AREACAISLAMIENTO(BB66,H66,DY66,$P$5))</f>
        <v/>
      </c>
      <c r="EA66" s="935" t="str" cm="1">
        <f t="array" ref="EA66">[1]!ACAELE_CAIDAVOLTSFINAL2(BB66,Q66,H66,F66,$A$27,BU66,T66,DW66,DA66,DX66,DB66)</f>
        <v/>
      </c>
      <c r="EB66" s="935" t="str" cm="1">
        <f t="array" ref="EB66">IF($A$27=1,"",[1]!ACAELE_AREACONDPTE(BB66,H66,CF66,$P$5))</f>
        <v/>
      </c>
      <c r="EC66" s="936" t="str" cm="1">
        <f t="array" ref="EC66">[1]!ACAELE_AREATOTAL2(H66,$A$27,DY66,S66,G66,T66,DZ66,U66,EB66)</f>
        <v/>
      </c>
      <c r="ED66" s="937" t="str">
        <f t="shared" si="59"/>
        <v/>
      </c>
      <c r="EE66" s="938" t="str">
        <f t="shared" si="60"/>
        <v/>
      </c>
      <c r="EF66" s="939" t="str">
        <f t="shared" si="61"/>
        <v/>
      </c>
      <c r="EG66" s="940">
        <f t="shared" si="62"/>
        <v>0</v>
      </c>
      <c r="EH66" s="941" t="str">
        <f t="shared" si="63"/>
        <v/>
      </c>
      <c r="EI66" s="942">
        <f t="shared" si="64"/>
        <v>30</v>
      </c>
      <c r="EJ66" s="943" t="str">
        <f t="shared" si="11"/>
        <v/>
      </c>
      <c r="EK66" s="943" t="str">
        <f t="shared" si="12"/>
        <v/>
      </c>
      <c r="EL66" s="943" t="str">
        <f t="shared" si="13"/>
        <v/>
      </c>
      <c r="EM66" s="944" t="str">
        <f t="shared" si="14"/>
        <v/>
      </c>
      <c r="EN66" s="945" t="str" cm="1">
        <f t="array" ref="EN66">[1]!ACAELE_MOTOR(H66,X66:BA66,$X$26:$BA$26,$P$5)</f>
        <v/>
      </c>
      <c r="EO66" s="550" t="str">
        <f t="shared" si="65"/>
        <v/>
      </c>
      <c r="EP66" s="431" t="s">
        <v>1214</v>
      </c>
      <c r="EQ66" s="434" t="str">
        <f t="shared" ca="1" si="66"/>
        <v/>
      </c>
      <c r="ER66" s="32"/>
      <c r="ES66" s="32"/>
      <c r="ET66" s="3" t="str">
        <f t="shared" si="67"/>
        <v/>
      </c>
      <c r="EU66" s="3" t="str">
        <f t="shared" si="68"/>
        <v/>
      </c>
      <c r="EV66" s="3" t="str">
        <f t="shared" si="69"/>
        <v/>
      </c>
      <c r="EW66" s="3" t="str">
        <f t="shared" si="70"/>
        <v/>
      </c>
      <c r="EX66" s="3" t="str">
        <f t="shared" si="71"/>
        <v/>
      </c>
      <c r="EY66" s="3" t="str">
        <f t="shared" si="72"/>
        <v/>
      </c>
      <c r="EZ66" s="3" t="str">
        <f t="shared" si="73"/>
        <v/>
      </c>
      <c r="FA66" s="3" t="str">
        <f t="shared" si="74"/>
        <v/>
      </c>
      <c r="FB66" s="3" t="str">
        <f t="shared" si="75"/>
        <v/>
      </c>
      <c r="FC66" s="3">
        <f t="shared" si="76"/>
        <v>0</v>
      </c>
      <c r="FD66" s="32"/>
      <c r="FE66" s="32"/>
      <c r="FF66" s="103">
        <v>1</v>
      </c>
      <c r="FG66" s="32"/>
      <c r="FH66" s="103"/>
      <c r="FI66" s="32"/>
      <c r="FJ66" s="103"/>
      <c r="FK66" s="3">
        <f t="shared" si="77"/>
        <v>0</v>
      </c>
      <c r="FL66" s="3" t="str" cm="1">
        <f t="array" aca="1" ref="FL66" ca="1">[1]!acaele_DIB_UNIFILAR(BB66,H66,F66,COUNTIF(X66:BA66,1),BW66)</f>
        <v/>
      </c>
      <c r="FM66" s="3" t="str">
        <f>IF(DATOS!$T$4=0,"",IF(DATOS!$T$4=1," (QO)",IF(DATOS!$T$4=2," (QOB)",IF(DATOS!$T$4=3," (EDB)",IF(DATOS!$T$4=4,IF(BW66&lt;151," (H"&amp;FN66&amp;")",IF(BW66&lt;251," (J"&amp;FN66&amp;")", IF(BW66&lt;401," (LA)",IF(BW66&lt;801," (MG)",IF(BW66&lt;5001," (POWERPACK)",""))))))))))</f>
        <v xml:space="preserve"> (QOB)</v>
      </c>
      <c r="FN66" s="3" t="str">
        <f t="shared" si="78"/>
        <v/>
      </c>
      <c r="FO66" s="146"/>
      <c r="FP66" s="146"/>
      <c r="FQ66" s="146"/>
      <c r="FR66" s="146"/>
      <c r="FS66" s="146"/>
      <c r="FT66" s="146"/>
      <c r="FU66" s="146"/>
      <c r="FV66" s="146"/>
      <c r="FW66" s="146"/>
      <c r="FX66" s="146" t="str">
        <f t="shared" si="9"/>
        <v/>
      </c>
      <c r="FY66" s="736"/>
      <c r="FZ66" s="740"/>
      <c r="GA66" s="740"/>
      <c r="GB66" s="717"/>
      <c r="GC66" s="838"/>
      <c r="GD66" s="736"/>
      <c r="GE66" s="146"/>
      <c r="GF66" s="506"/>
      <c r="GG66" s="506"/>
      <c r="GH66" s="506"/>
      <c r="GI66" s="506"/>
      <c r="GJ66" s="506"/>
      <c r="GM66" s="3">
        <f>IF(OR(GN66&gt;TABLERO!$M$19,GO66&gt;TABLERO!$M$19,GP66&gt;TABLERO!$M$19,B66=0,C66=0,D66=0),2,CUADROACAD!A66)</f>
        <v>2</v>
      </c>
      <c r="GN66" s="3">
        <f>IF(TABLERO!B66="",0,TABLERO!B66)</f>
        <v>36</v>
      </c>
      <c r="GO66" s="3">
        <f>IF(TABLERO!C66="",GN66,TABLERO!C66)</f>
        <v>36</v>
      </c>
      <c r="GP66" s="3">
        <f>IF(TABLERO!D66="",GN66,TABLERO!D66)</f>
        <v>36</v>
      </c>
    </row>
    <row r="67" spans="1:198" s="3" customFormat="1">
      <c r="A67" s="706"/>
      <c r="B67" s="869">
        <v>37</v>
      </c>
      <c r="C67" s="870" t="str">
        <f t="shared" si="15"/>
        <v/>
      </c>
      <c r="D67" s="870" t="str">
        <f t="shared" si="16"/>
        <v/>
      </c>
      <c r="E67" s="871"/>
      <c r="F67" s="872">
        <v>1</v>
      </c>
      <c r="G67" s="716">
        <f t="shared" si="17"/>
        <v>2</v>
      </c>
      <c r="H67" s="873" t="s">
        <v>12</v>
      </c>
      <c r="I67" s="874" t="str">
        <f t="shared" si="18"/>
        <v>CU</v>
      </c>
      <c r="J67" s="875">
        <v>6</v>
      </c>
      <c r="K67" s="876">
        <v>10</v>
      </c>
      <c r="L67" s="876">
        <v>3</v>
      </c>
      <c r="M67" s="877">
        <v>1</v>
      </c>
      <c r="N67" s="877">
        <v>1</v>
      </c>
      <c r="O67" s="878">
        <v>1</v>
      </c>
      <c r="P67" s="879">
        <v>4</v>
      </c>
      <c r="Q67" s="880">
        <v>1</v>
      </c>
      <c r="R67" s="880">
        <v>1</v>
      </c>
      <c r="S67" s="881">
        <v>1</v>
      </c>
      <c r="T67" s="881">
        <v>1</v>
      </c>
      <c r="U67" s="882">
        <v>1</v>
      </c>
      <c r="V67" s="883">
        <v>1</v>
      </c>
      <c r="W67" s="874" t="str">
        <f t="shared" si="19"/>
        <v>SI</v>
      </c>
      <c r="X67" s="884"/>
      <c r="Y67" s="885"/>
      <c r="Z67" s="885"/>
      <c r="AA67" s="885"/>
      <c r="AB67" s="885"/>
      <c r="AC67" s="885"/>
      <c r="AD67" s="885"/>
      <c r="AE67" s="885"/>
      <c r="AF67" s="885"/>
      <c r="AG67" s="885"/>
      <c r="AH67" s="885"/>
      <c r="AI67" s="885"/>
      <c r="AJ67" s="885"/>
      <c r="AK67" s="885"/>
      <c r="AL67" s="885"/>
      <c r="AM67" s="885"/>
      <c r="AN67" s="885"/>
      <c r="AO67" s="885"/>
      <c r="AP67" s="885"/>
      <c r="AQ67" s="885"/>
      <c r="AR67" s="885"/>
      <c r="AS67" s="885"/>
      <c r="AT67" s="885"/>
      <c r="AU67" s="885"/>
      <c r="AV67" s="885"/>
      <c r="AW67" s="885"/>
      <c r="AX67" s="885"/>
      <c r="AY67" s="885"/>
      <c r="AZ67" s="885"/>
      <c r="BA67" s="886"/>
      <c r="BB67" s="887">
        <f t="shared" si="20"/>
        <v>0</v>
      </c>
      <c r="BC67" s="888" t="str">
        <f t="shared" si="21"/>
        <v/>
      </c>
      <c r="BD67" s="889" t="str">
        <f t="shared" si="22"/>
        <v/>
      </c>
      <c r="BE67" s="889" t="str">
        <f t="shared" si="23"/>
        <v/>
      </c>
      <c r="BF67" s="889" t="str">
        <f t="shared" si="24"/>
        <v/>
      </c>
      <c r="BG67" s="889" t="str">
        <f t="shared" si="25"/>
        <v/>
      </c>
      <c r="BH67" s="889" t="str">
        <f t="shared" si="26"/>
        <v/>
      </c>
      <c r="BI67" s="890" t="str">
        <f t="shared" si="27"/>
        <v/>
      </c>
      <c r="BJ67" s="891" t="str">
        <f t="shared" si="28"/>
        <v/>
      </c>
      <c r="BK67" s="892" t="str">
        <f t="shared" si="29"/>
        <v/>
      </c>
      <c r="BL67" s="892" t="str">
        <f t="shared" si="30"/>
        <v/>
      </c>
      <c r="BM67" s="892" t="str">
        <f t="shared" si="31"/>
        <v/>
      </c>
      <c r="BN67" s="892" t="str">
        <f t="shared" si="32"/>
        <v/>
      </c>
      <c r="BO67" s="892" t="str">
        <f t="shared" si="33"/>
        <v/>
      </c>
      <c r="BP67" s="893" t="str">
        <f t="shared" si="34"/>
        <v/>
      </c>
      <c r="BQ67" s="894" t="str">
        <f t="shared" si="35"/>
        <v/>
      </c>
      <c r="BR67" s="895" t="str">
        <f t="shared" si="10"/>
        <v/>
      </c>
      <c r="BS67" s="896" t="str">
        <f t="shared" si="36"/>
        <v/>
      </c>
      <c r="BT67" s="897" t="str">
        <f t="shared" si="37"/>
        <v/>
      </c>
      <c r="BU67" s="231" t="str">
        <f t="shared" si="38"/>
        <v/>
      </c>
      <c r="BV67" s="898">
        <f t="shared" si="39"/>
        <v>127</v>
      </c>
      <c r="BW67" s="845" t="str">
        <f t="shared" si="40"/>
        <v/>
      </c>
      <c r="BX67" s="899" t="str">
        <f t="shared" si="41"/>
        <v/>
      </c>
      <c r="BY67" s="900" t="str" cm="1">
        <f t="array" ref="BY67">[1]!ACAELE_CAPACIDADCABLE(BB67,H67,I67,M67,BX67,N67)</f>
        <v/>
      </c>
      <c r="BZ67" s="900" t="str">
        <f t="shared" si="42"/>
        <v/>
      </c>
      <c r="CA67" s="901" t="str" cm="1">
        <f t="array" ref="CA67">[1]!ACAELE_cabledetierra(BZ67,$N$9,I67,BW67,BX67,G67)</f>
        <v/>
      </c>
      <c r="CB67" s="902" t="str" cm="1">
        <f t="array" ref="CB67">[1]!ACAELE_TAMATUBERIA(BX67,DU67,$N$9,M67,I67)</f>
        <v/>
      </c>
      <c r="CC67" s="846" t="str">
        <f t="shared" si="43"/>
        <v/>
      </c>
      <c r="CD67" s="903" t="str" cm="1">
        <f t="array" ref="CD67">[1]!ACAELE_CAPACIDADCABLE(BB67,H67,I67,M67,CC67,N67)</f>
        <v/>
      </c>
      <c r="CE67" s="903" t="str">
        <f t="shared" si="44"/>
        <v/>
      </c>
      <c r="CF67" s="904" t="str" cm="1">
        <f t="array" ref="CF67">[1]!ACAELE_cabledetierra(CE67,$N$9,I67,BW67,CC67,G67)</f>
        <v/>
      </c>
      <c r="CG67" s="905" t="str" cm="1">
        <f t="array" ref="CG67">[1]!ACAELE_TAMATUBERIA(CC67,EC67,$N$9,S67,I67)</f>
        <v/>
      </c>
      <c r="CH67" s="906" t="str">
        <f t="shared" si="45"/>
        <v/>
      </c>
      <c r="CI67" s="510" t="str">
        <f t="shared" si="46"/>
        <v>-</v>
      </c>
      <c r="CJ67" s="511" t="str">
        <f t="shared" si="47"/>
        <v>-</v>
      </c>
      <c r="CK67" s="512" t="str">
        <f t="shared" si="48"/>
        <v>-</v>
      </c>
      <c r="CL67" s="907" t="str">
        <f t="shared" si="49"/>
        <v>-</v>
      </c>
      <c r="CM67" s="908" t="str">
        <f t="shared" si="50"/>
        <v>-</v>
      </c>
      <c r="CN67" s="909" t="str">
        <f t="shared" si="51"/>
        <v>-</v>
      </c>
      <c r="CO67" s="910" t="str" cm="1">
        <f t="array" ref="CO67">[1]!ACAELE_fasecorresponde(B67,$F$10,$P$5)</f>
        <v>A</v>
      </c>
      <c r="CP67" s="910" t="str" cm="1">
        <f t="array" ref="CP67">[1]!ACAELE_fasecorresponde(C67,$F$10,$P$5)</f>
        <v>-</v>
      </c>
      <c r="CQ67" s="910" t="str" cm="1">
        <f t="array" ref="CQ67">[1]!ACAELE_fasecorresponde(D67,$F$10,$P$5)</f>
        <v>-</v>
      </c>
      <c r="CR67" s="911" t="str">
        <f t="shared" si="52"/>
        <v>C</v>
      </c>
      <c r="CS67" s="912">
        <f t="shared" si="53"/>
        <v>1</v>
      </c>
      <c r="CT67" s="913">
        <f t="shared" si="54"/>
        <v>0.8</v>
      </c>
      <c r="CU67" s="914" t="str">
        <f t="shared" si="55"/>
        <v/>
      </c>
      <c r="CV67" s="915">
        <f t="shared" si="56"/>
        <v>0</v>
      </c>
      <c r="CW67" s="916" t="str" cm="1">
        <f t="array" ref="CW67">[1]!ACAELE_Inominal(BB67,F67,BT67,BV67,DA67,G67,V67,$P$5)</f>
        <v/>
      </c>
      <c r="CX67" s="917" t="str" cm="1">
        <f t="array" ref="CX67">[1]!ACAELE_Disparocalculado(BB67,H67,DL67,$N$21,$M$21,$O$21,BV67,$P$5)</f>
        <v/>
      </c>
      <c r="CY67" s="918" t="str" cm="1">
        <f t="array" ref="CY67">[1]!ACAELE_Icorregida($A$27,H67,BB67,BU67,CS67,CT67,$P$5)</f>
        <v/>
      </c>
      <c r="CZ67" s="919" t="str" cm="1">
        <f t="array" ref="CZ67">[1]!ACAELE_Icorregida2($A$27,H67,BB67,BU67,CS67,CU67,$P$5)</f>
        <v/>
      </c>
      <c r="DA67" s="920">
        <f t="shared" si="57"/>
        <v>0.9</v>
      </c>
      <c r="DB67" s="921">
        <f t="shared" si="58"/>
        <v>0.43588989435406728</v>
      </c>
      <c r="DC67" s="922" t="str" cm="1">
        <f t="array" ref="DC67">[1]!ACAELE_CONDPORTCORRIENTE(H67,BB67,I67,M67,CY67,CZ67,N67,$P$5)</f>
        <v/>
      </c>
      <c r="DD67" s="923" t="str" cm="1">
        <f t="array" ref="DD67">[1]!ACAELE_CAPACONDCORRIENTE(BB67,H67,I67,M67,CY67,CZ67,$P$5)</f>
        <v/>
      </c>
      <c r="DE67" s="923" t="str" cm="1">
        <f t="array" ref="DE67">[1]!ACAELE_CAPACIDADCABLE(BB67,H67,I67,M67,DC67,N67,$P$5)</f>
        <v/>
      </c>
      <c r="DF67" s="924" t="str" cm="1">
        <f t="array" ref="DF67">[1]!ACAELE_encontrarcaida(BB67,H67,L67,BV67,F67,BU67,N67,K67)</f>
        <v/>
      </c>
      <c r="DG67" s="925" t="str" cm="1">
        <f t="array" ref="DG67">[1]!ACAELE_Cablecaida(BB67,H67,M67,I67,DF67)</f>
        <v/>
      </c>
      <c r="DH67" s="918" t="str" cm="1">
        <f t="array" ref="DH67">[1]!ACAELE_CAPACIDADCABLE(BB67,H67,I67,M67,DG67,N67,$P$5)</f>
        <v/>
      </c>
      <c r="DI67" s="926" t="str" cm="1">
        <f t="array" ref="DI67">IF($A$27=1,"",[1]!ACAELE_encontrarcaida(BB67,H67,R67,BV67,F67,BU67,T67,Q67,$P$5))</f>
        <v/>
      </c>
      <c r="DJ67" s="914" t="str" cm="1">
        <f t="array" ref="DJ67">IF($A$27=1,"",[1]!ACAELE_Cablecaida2(BB67,Q67,H67,S67,I67,DI67,$P$5))</f>
        <v/>
      </c>
      <c r="DK67" s="919" t="str" cm="1">
        <f t="array" ref="DK67">[1]!ACAELE_CAPACIDADCABLE(BB67,H67,I67,M67,DJ67,N67,$P$5)</f>
        <v/>
      </c>
      <c r="DL67" s="927" t="str" cm="1">
        <f t="array" ref="DL67">[1]!acaele_Iproteccion(BB67,H67,BU67,$F$20,$G$20,$F$19,$G$19,$H$20,$H$19,$P$5)</f>
        <v/>
      </c>
      <c r="DM67" s="928" cm="1">
        <f t="array" ref="DM67">[1]!acaele_ProtCalculada(CX67,H67,BT67,BW67,$G$21,$F$21,$H$21,$P$5)</f>
        <v>0</v>
      </c>
      <c r="DN67" s="929" t="str" cm="1">
        <f t="array" ref="DN67">[1]!ACAELE_cablecalculo(BB67,H67,I67,M67,EF67,$P$5)</f>
        <v/>
      </c>
      <c r="DO67" s="930" t="str" cm="1">
        <f t="array" ref="DO67">[1]!ACAELE_RESISTENCIA(BB67,H67,M67,I67,BX67, CW67,$P$5)</f>
        <v/>
      </c>
      <c r="DP67" s="931" t="str" cm="1">
        <f t="array" ref="DP67">[1]!ACAELE_REACTANCIA(BB67,H67,$F$11,M67,I67,BX67,$P$5)</f>
        <v/>
      </c>
      <c r="DQ67" s="918" t="str" cm="1">
        <f t="array" ref="DQ67">[1]!ACAELE_DIAMECAISLA(BB67,H67,I67,BX67,$P$5)</f>
        <v/>
      </c>
      <c r="DR67" s="918" t="str" cm="1">
        <f t="array" ref="DR67">[1]!ACAELE_AREACAISLAMIENTO(BB67,H67,DQ67,$P$5)</f>
        <v/>
      </c>
      <c r="DS67" s="918" t="str" cm="1">
        <f t="array" ref="DS67">[1]!ACAELE_CAIDAVOLTSFINAL(BB67,H67,F67,K67,BU67,N67,DO67,DA67,DP67,DB67,$P$5)</f>
        <v/>
      </c>
      <c r="DT67" s="918" t="str" cm="1">
        <f t="array" ref="DT67">[1]!ACAELE_AREACONDPTE(BB67,H67,CA67,$P$5)</f>
        <v/>
      </c>
      <c r="DU67" s="932" t="str" cm="1">
        <f t="array" ref="DU67">[1]!ACAELE_AREATOTAL(BZ67,M67,EO67,N67,DQ67,G67,DR67,DT67,N$20,$P$5)</f>
        <v/>
      </c>
      <c r="DV67" s="933" t="str" cm="1">
        <f t="array" ref="DV67">IF($A$27=1,"",[1]!ACAELE_cablecalculo(BB67,H67,I67,M67,EG67,$P$5))</f>
        <v/>
      </c>
      <c r="DW67" s="934" t="str" cm="1">
        <f t="array" ref="DW67">IF($A$27=1,"",[1]!ACAELE_RESISTENCIA(BB67,H67,M67,I67,CC67,CW67,$P$5))</f>
        <v/>
      </c>
      <c r="DX67" s="926" t="str" cm="1">
        <f t="array" ref="DX67">IF($A$27=1,"",[1]!ACAELE_REACTANCIA(BB67,H67,$F$11,M67,I67,CC67,$P$5))</f>
        <v/>
      </c>
      <c r="DY67" s="935" t="str" cm="1">
        <f t="array" ref="DY67">IF($A$27=1,"",[1]!ACAELE_DIAMECAISLA(BB67,H67,I67,CC67,$P$5))</f>
        <v/>
      </c>
      <c r="DZ67" s="935" t="str" cm="1">
        <f t="array" ref="DZ67">IF($A$27=1,"",[1]!ACAELE_AREACAISLAMIENTO(BB67,H67,DY67,$P$5))</f>
        <v/>
      </c>
      <c r="EA67" s="935" t="str" cm="1">
        <f t="array" ref="EA67">[1]!ACAELE_CAIDAVOLTSFINAL2(BB67,Q67,H67,F67,$A$27,BU67,T67,DW67,DA67,DX67,DB67)</f>
        <v/>
      </c>
      <c r="EB67" s="935" t="str" cm="1">
        <f t="array" ref="EB67">IF($A$27=1,"",[1]!ACAELE_AREACONDPTE(BB67,H67,CF67,$P$5))</f>
        <v/>
      </c>
      <c r="EC67" s="936" t="str" cm="1">
        <f t="array" ref="EC67">[1]!ACAELE_AREATOTAL2(H67,$A$27,DY67,S67,G67,T67,DZ67,U67,EB67)</f>
        <v/>
      </c>
      <c r="ED67" s="937" t="str">
        <f t="shared" si="59"/>
        <v/>
      </c>
      <c r="EE67" s="938" t="str">
        <f t="shared" si="60"/>
        <v/>
      </c>
      <c r="EF67" s="939" t="str">
        <f t="shared" si="61"/>
        <v/>
      </c>
      <c r="EG67" s="940">
        <f t="shared" si="62"/>
        <v>0</v>
      </c>
      <c r="EH67" s="941" t="str">
        <f t="shared" si="63"/>
        <v/>
      </c>
      <c r="EI67" s="942">
        <f t="shared" si="64"/>
        <v>30</v>
      </c>
      <c r="EJ67" s="943" t="str">
        <f t="shared" si="11"/>
        <v/>
      </c>
      <c r="EK67" s="943" t="str">
        <f t="shared" si="12"/>
        <v/>
      </c>
      <c r="EL67" s="943" t="str">
        <f t="shared" si="13"/>
        <v/>
      </c>
      <c r="EM67" s="944" t="str">
        <f t="shared" si="14"/>
        <v/>
      </c>
      <c r="EN67" s="945" t="str" cm="1">
        <f t="array" ref="EN67">[1]!ACAELE_MOTOR(H67,X67:BA67,$X$26:$BA$26,$P$5)</f>
        <v/>
      </c>
      <c r="EO67" s="550" t="str">
        <f t="shared" si="65"/>
        <v/>
      </c>
      <c r="EP67" s="431" t="s">
        <v>1214</v>
      </c>
      <c r="EQ67" s="434" t="str">
        <f t="shared" ca="1" si="66"/>
        <v/>
      </c>
      <c r="ER67" s="32"/>
      <c r="ES67" s="32"/>
      <c r="ET67" s="3" t="str">
        <f t="shared" si="67"/>
        <v/>
      </c>
      <c r="EU67" s="3" t="str">
        <f t="shared" si="68"/>
        <v/>
      </c>
      <c r="EV67" s="3" t="str">
        <f t="shared" si="69"/>
        <v/>
      </c>
      <c r="EW67" s="3" t="str">
        <f t="shared" si="70"/>
        <v/>
      </c>
      <c r="EX67" s="3" t="str">
        <f t="shared" si="71"/>
        <v/>
      </c>
      <c r="EY67" s="3" t="str">
        <f t="shared" si="72"/>
        <v/>
      </c>
      <c r="EZ67" s="3" t="str">
        <f t="shared" si="73"/>
        <v/>
      </c>
      <c r="FA67" s="3" t="str">
        <f t="shared" si="74"/>
        <v/>
      </c>
      <c r="FB67" s="3" t="str">
        <f t="shared" si="75"/>
        <v/>
      </c>
      <c r="FC67" s="3">
        <f t="shared" si="76"/>
        <v>0</v>
      </c>
      <c r="FD67" s="32"/>
      <c r="FE67" s="32"/>
      <c r="FF67" s="103">
        <v>1</v>
      </c>
      <c r="FG67" s="32"/>
      <c r="FH67" s="103"/>
      <c r="FI67" s="32"/>
      <c r="FJ67" s="103"/>
      <c r="FK67" s="3">
        <f t="shared" si="77"/>
        <v>0</v>
      </c>
      <c r="FL67" s="3" t="str" cm="1">
        <f t="array" aca="1" ref="FL67" ca="1">[1]!acaele_DIB_UNIFILAR(BB67,H67,F67,COUNTIF(X67:BA67,1),BW67)</f>
        <v/>
      </c>
      <c r="FM67" s="3" t="str">
        <f>IF(DATOS!$T$4=0,"",IF(DATOS!$T$4=1," (QO)",IF(DATOS!$T$4=2," (QOB)",IF(DATOS!$T$4=3," (EDB)",IF(DATOS!$T$4=4,IF(BW67&lt;151," (H"&amp;FN67&amp;")",IF(BW67&lt;251," (J"&amp;FN67&amp;")", IF(BW67&lt;401," (LA)",IF(BW67&lt;801," (MG)",IF(BW67&lt;5001," (POWERPACK)",""))))))))))</f>
        <v xml:space="preserve"> (QOB)</v>
      </c>
      <c r="FN67" s="3" t="str">
        <f t="shared" si="78"/>
        <v/>
      </c>
      <c r="FO67" s="146"/>
      <c r="FP67" s="146"/>
      <c r="FQ67" s="146"/>
      <c r="FR67" s="146"/>
      <c r="FS67" s="146"/>
      <c r="FT67" s="146"/>
      <c r="FU67" s="146"/>
      <c r="FV67" s="146"/>
      <c r="FW67" s="146"/>
      <c r="FX67" s="146" t="str">
        <f t="shared" si="9"/>
        <v/>
      </c>
      <c r="FY67" s="736"/>
      <c r="FZ67" s="740"/>
      <c r="GA67" s="740"/>
      <c r="GB67" s="717"/>
      <c r="GC67" s="838"/>
      <c r="GD67" s="736"/>
      <c r="GE67" s="146"/>
      <c r="GF67" s="506"/>
      <c r="GG67" s="506"/>
      <c r="GH67" s="506"/>
      <c r="GI67" s="506"/>
      <c r="GJ67" s="506"/>
      <c r="GM67" s="3">
        <f>IF(OR(GN67&gt;TABLERO!$M$19,GO67&gt;TABLERO!$M$19,GP67&gt;TABLERO!$M$19,B67=0,C67=0,D67=0),2,CUADROACAD!A67)</f>
        <v>2</v>
      </c>
      <c r="GN67" s="3">
        <f>IF(TABLERO!B67="",0,TABLERO!B67)</f>
        <v>37</v>
      </c>
      <c r="GO67" s="3">
        <f>IF(TABLERO!C67="",GN67,TABLERO!C67)</f>
        <v>37</v>
      </c>
      <c r="GP67" s="3">
        <f>IF(TABLERO!D67="",GN67,TABLERO!D67)</f>
        <v>37</v>
      </c>
    </row>
    <row r="68" spans="1:198" s="3" customFormat="1">
      <c r="A68" s="706"/>
      <c r="B68" s="869">
        <v>38</v>
      </c>
      <c r="C68" s="870" t="str">
        <f t="shared" si="15"/>
        <v/>
      </c>
      <c r="D68" s="870" t="str">
        <f t="shared" si="16"/>
        <v/>
      </c>
      <c r="E68" s="871"/>
      <c r="F68" s="872">
        <v>1</v>
      </c>
      <c r="G68" s="716">
        <f t="shared" si="17"/>
        <v>2</v>
      </c>
      <c r="H68" s="873" t="s">
        <v>12</v>
      </c>
      <c r="I68" s="874" t="str">
        <f t="shared" si="18"/>
        <v>CU</v>
      </c>
      <c r="J68" s="875">
        <v>6</v>
      </c>
      <c r="K68" s="876">
        <v>10</v>
      </c>
      <c r="L68" s="876">
        <v>3</v>
      </c>
      <c r="M68" s="877">
        <v>1</v>
      </c>
      <c r="N68" s="877">
        <v>1</v>
      </c>
      <c r="O68" s="878">
        <v>1</v>
      </c>
      <c r="P68" s="879">
        <v>4</v>
      </c>
      <c r="Q68" s="880">
        <v>1</v>
      </c>
      <c r="R68" s="880">
        <v>1</v>
      </c>
      <c r="S68" s="881">
        <v>1</v>
      </c>
      <c r="T68" s="881">
        <v>1</v>
      </c>
      <c r="U68" s="882">
        <v>1</v>
      </c>
      <c r="V68" s="883">
        <v>1</v>
      </c>
      <c r="W68" s="874" t="str">
        <f t="shared" si="19"/>
        <v>SI</v>
      </c>
      <c r="X68" s="884"/>
      <c r="Y68" s="885"/>
      <c r="Z68" s="885"/>
      <c r="AA68" s="885"/>
      <c r="AB68" s="885"/>
      <c r="AC68" s="885"/>
      <c r="AD68" s="885"/>
      <c r="AE68" s="885"/>
      <c r="AF68" s="885"/>
      <c r="AG68" s="885"/>
      <c r="AH68" s="885"/>
      <c r="AI68" s="885"/>
      <c r="AJ68" s="885"/>
      <c r="AK68" s="885"/>
      <c r="AL68" s="885"/>
      <c r="AM68" s="885"/>
      <c r="AN68" s="885"/>
      <c r="AO68" s="885"/>
      <c r="AP68" s="885"/>
      <c r="AQ68" s="885"/>
      <c r="AR68" s="885"/>
      <c r="AS68" s="885"/>
      <c r="AT68" s="885"/>
      <c r="AU68" s="885"/>
      <c r="AV68" s="885"/>
      <c r="AW68" s="885"/>
      <c r="AX68" s="885"/>
      <c r="AY68" s="885"/>
      <c r="AZ68" s="885"/>
      <c r="BA68" s="886"/>
      <c r="BB68" s="887">
        <f t="shared" si="20"/>
        <v>0</v>
      </c>
      <c r="BC68" s="888" t="str">
        <f t="shared" si="21"/>
        <v/>
      </c>
      <c r="BD68" s="889" t="str">
        <f t="shared" si="22"/>
        <v/>
      </c>
      <c r="BE68" s="889" t="str">
        <f t="shared" si="23"/>
        <v/>
      </c>
      <c r="BF68" s="889" t="str">
        <f t="shared" si="24"/>
        <v/>
      </c>
      <c r="BG68" s="889" t="str">
        <f t="shared" si="25"/>
        <v/>
      </c>
      <c r="BH68" s="889" t="str">
        <f t="shared" si="26"/>
        <v/>
      </c>
      <c r="BI68" s="890" t="str">
        <f t="shared" si="27"/>
        <v/>
      </c>
      <c r="BJ68" s="891" t="str">
        <f t="shared" si="28"/>
        <v/>
      </c>
      <c r="BK68" s="892" t="str">
        <f t="shared" si="29"/>
        <v/>
      </c>
      <c r="BL68" s="892" t="str">
        <f t="shared" si="30"/>
        <v/>
      </c>
      <c r="BM68" s="892" t="str">
        <f t="shared" si="31"/>
        <v/>
      </c>
      <c r="BN68" s="892" t="str">
        <f t="shared" si="32"/>
        <v/>
      </c>
      <c r="BO68" s="892" t="str">
        <f t="shared" si="33"/>
        <v/>
      </c>
      <c r="BP68" s="893" t="str">
        <f t="shared" si="34"/>
        <v/>
      </c>
      <c r="BQ68" s="894" t="str">
        <f t="shared" si="35"/>
        <v/>
      </c>
      <c r="BR68" s="895" t="str">
        <f t="shared" si="10"/>
        <v/>
      </c>
      <c r="BS68" s="896" t="str">
        <f t="shared" si="36"/>
        <v/>
      </c>
      <c r="BT68" s="897" t="str">
        <f t="shared" si="37"/>
        <v/>
      </c>
      <c r="BU68" s="231" t="str">
        <f t="shared" si="38"/>
        <v/>
      </c>
      <c r="BV68" s="898">
        <f t="shared" si="39"/>
        <v>127</v>
      </c>
      <c r="BW68" s="845" t="str">
        <f t="shared" si="40"/>
        <v/>
      </c>
      <c r="BX68" s="899" t="str">
        <f t="shared" si="41"/>
        <v/>
      </c>
      <c r="BY68" s="900" t="str" cm="1">
        <f t="array" ref="BY68">[1]!ACAELE_CAPACIDADCABLE(BB68,H68,I68,M68,BX68,N68)</f>
        <v/>
      </c>
      <c r="BZ68" s="900" t="str">
        <f t="shared" si="42"/>
        <v/>
      </c>
      <c r="CA68" s="901" t="str" cm="1">
        <f t="array" ref="CA68">[1]!ACAELE_cabledetierra(BZ68,$N$9,I68,BW68,BX68,G68)</f>
        <v/>
      </c>
      <c r="CB68" s="902" t="str" cm="1">
        <f t="array" ref="CB68">[1]!ACAELE_TAMATUBERIA(BX68,DU68,$N$9,M68,I68)</f>
        <v/>
      </c>
      <c r="CC68" s="846" t="str">
        <f t="shared" si="43"/>
        <v/>
      </c>
      <c r="CD68" s="903" t="str" cm="1">
        <f t="array" ref="CD68">[1]!ACAELE_CAPACIDADCABLE(BB68,H68,I68,M68,CC68,N68)</f>
        <v/>
      </c>
      <c r="CE68" s="903" t="str">
        <f t="shared" si="44"/>
        <v/>
      </c>
      <c r="CF68" s="904" t="str" cm="1">
        <f t="array" ref="CF68">[1]!ACAELE_cabledetierra(CE68,$N$9,I68,BW68,CC68,G68)</f>
        <v/>
      </c>
      <c r="CG68" s="905" t="str" cm="1">
        <f t="array" ref="CG68">[1]!ACAELE_TAMATUBERIA(CC68,EC68,$N$9,S68,I68)</f>
        <v/>
      </c>
      <c r="CH68" s="906" t="str">
        <f t="shared" si="45"/>
        <v/>
      </c>
      <c r="CI68" s="510" t="str">
        <f t="shared" si="46"/>
        <v>-</v>
      </c>
      <c r="CJ68" s="511" t="str">
        <f t="shared" si="47"/>
        <v>-</v>
      </c>
      <c r="CK68" s="512" t="str">
        <f t="shared" si="48"/>
        <v>-</v>
      </c>
      <c r="CL68" s="907" t="str">
        <f t="shared" si="49"/>
        <v>-</v>
      </c>
      <c r="CM68" s="908" t="str">
        <f t="shared" si="50"/>
        <v>-</v>
      </c>
      <c r="CN68" s="909" t="str">
        <f t="shared" si="51"/>
        <v>-</v>
      </c>
      <c r="CO68" s="910" t="str" cm="1">
        <f t="array" ref="CO68">[1]!ACAELE_fasecorresponde(B68,$F$10,$P$5)</f>
        <v>A</v>
      </c>
      <c r="CP68" s="910" t="str" cm="1">
        <f t="array" ref="CP68">[1]!ACAELE_fasecorresponde(C68,$F$10,$P$5)</f>
        <v>-</v>
      </c>
      <c r="CQ68" s="910" t="str" cm="1">
        <f t="array" ref="CQ68">[1]!ACAELE_fasecorresponde(D68,$F$10,$P$5)</f>
        <v>-</v>
      </c>
      <c r="CR68" s="911" t="str">
        <f t="shared" si="52"/>
        <v>C</v>
      </c>
      <c r="CS68" s="912">
        <f t="shared" si="53"/>
        <v>1</v>
      </c>
      <c r="CT68" s="913">
        <f t="shared" si="54"/>
        <v>0.8</v>
      </c>
      <c r="CU68" s="914" t="str">
        <f t="shared" si="55"/>
        <v/>
      </c>
      <c r="CV68" s="915">
        <f t="shared" si="56"/>
        <v>0</v>
      </c>
      <c r="CW68" s="916" t="str" cm="1">
        <f t="array" ref="CW68">[1]!ACAELE_Inominal(BB68,F68,BT68,BV68,DA68,G68,V68,$P$5)</f>
        <v/>
      </c>
      <c r="CX68" s="917" t="str" cm="1">
        <f t="array" ref="CX68">[1]!ACAELE_Disparocalculado(BB68,H68,DL68,$N$21,$M$21,$O$21,BV68,$P$5)</f>
        <v/>
      </c>
      <c r="CY68" s="918" t="str" cm="1">
        <f t="array" ref="CY68">[1]!ACAELE_Icorregida($A$27,H68,BB68,BU68,CS68,CT68,$P$5)</f>
        <v/>
      </c>
      <c r="CZ68" s="919" t="str" cm="1">
        <f t="array" ref="CZ68">[1]!ACAELE_Icorregida2($A$27,H68,BB68,BU68,CS68,CU68,$P$5)</f>
        <v/>
      </c>
      <c r="DA68" s="920">
        <f t="shared" si="57"/>
        <v>0.9</v>
      </c>
      <c r="DB68" s="921">
        <f t="shared" si="58"/>
        <v>0.43588989435406728</v>
      </c>
      <c r="DC68" s="922" t="str" cm="1">
        <f t="array" ref="DC68">[1]!ACAELE_CONDPORTCORRIENTE(H68,BB68,I68,M68,CY68,CZ68,N68,$P$5)</f>
        <v/>
      </c>
      <c r="DD68" s="923" t="str" cm="1">
        <f t="array" ref="DD68">[1]!ACAELE_CAPACONDCORRIENTE(BB68,H68,I68,M68,CY68,CZ68,$P$5)</f>
        <v/>
      </c>
      <c r="DE68" s="923" t="str" cm="1">
        <f t="array" ref="DE68">[1]!ACAELE_CAPACIDADCABLE(BB68,H68,I68,M68,DC68,N68,$P$5)</f>
        <v/>
      </c>
      <c r="DF68" s="924" t="str" cm="1">
        <f t="array" ref="DF68">[1]!ACAELE_encontrarcaida(BB68,H68,L68,BV68,F68,BU68,N68,K68)</f>
        <v/>
      </c>
      <c r="DG68" s="925" t="str" cm="1">
        <f t="array" ref="DG68">[1]!ACAELE_Cablecaida(BB68,H68,M68,I68,DF68)</f>
        <v/>
      </c>
      <c r="DH68" s="918" t="str" cm="1">
        <f t="array" ref="DH68">[1]!ACAELE_CAPACIDADCABLE(BB68,H68,I68,M68,DG68,N68,$P$5)</f>
        <v/>
      </c>
      <c r="DI68" s="926" t="str" cm="1">
        <f t="array" ref="DI68">IF($A$27=1,"",[1]!ACAELE_encontrarcaida(BB68,H68,R68,BV68,F68,BU68,T68,Q68,$P$5))</f>
        <v/>
      </c>
      <c r="DJ68" s="914" t="str" cm="1">
        <f t="array" ref="DJ68">IF($A$27=1,"",[1]!ACAELE_Cablecaida2(BB68,Q68,H68,S68,I68,DI68,$P$5))</f>
        <v/>
      </c>
      <c r="DK68" s="919" t="str" cm="1">
        <f t="array" ref="DK68">[1]!ACAELE_CAPACIDADCABLE(BB68,H68,I68,M68,DJ68,N68,$P$5)</f>
        <v/>
      </c>
      <c r="DL68" s="927" t="str" cm="1">
        <f t="array" ref="DL68">[1]!acaele_Iproteccion(BB68,H68,BU68,$F$20,$G$20,$F$19,$G$19,$H$20,$H$19,$P$5)</f>
        <v/>
      </c>
      <c r="DM68" s="928" cm="1">
        <f t="array" ref="DM68">[1]!acaele_ProtCalculada(CX68,H68,BT68,BW68,$G$21,$F$21,$H$21,$P$5)</f>
        <v>0</v>
      </c>
      <c r="DN68" s="929" t="str" cm="1">
        <f t="array" ref="DN68">[1]!ACAELE_cablecalculo(BB68,H68,I68,M68,EF68,$P$5)</f>
        <v/>
      </c>
      <c r="DO68" s="930" t="str" cm="1">
        <f t="array" ref="DO68">[1]!ACAELE_RESISTENCIA(BB68,H68,M68,I68,BX68, CW68,$P$5)</f>
        <v/>
      </c>
      <c r="DP68" s="931" t="str" cm="1">
        <f t="array" ref="DP68">[1]!ACAELE_REACTANCIA(BB68,H68,$F$11,M68,I68,BX68,$P$5)</f>
        <v/>
      </c>
      <c r="DQ68" s="918" t="str" cm="1">
        <f t="array" ref="DQ68">[1]!ACAELE_DIAMECAISLA(BB68,H68,I68,BX68,$P$5)</f>
        <v/>
      </c>
      <c r="DR68" s="918" t="str" cm="1">
        <f t="array" ref="DR68">[1]!ACAELE_AREACAISLAMIENTO(BB68,H68,DQ68,$P$5)</f>
        <v/>
      </c>
      <c r="DS68" s="918" t="str" cm="1">
        <f t="array" ref="DS68">[1]!ACAELE_CAIDAVOLTSFINAL(BB68,H68,F68,K68,BU68,N68,DO68,DA68,DP68,DB68,$P$5)</f>
        <v/>
      </c>
      <c r="DT68" s="918" t="str" cm="1">
        <f t="array" ref="DT68">[1]!ACAELE_AREACONDPTE(BB68,H68,CA68,$P$5)</f>
        <v/>
      </c>
      <c r="DU68" s="932" t="str" cm="1">
        <f t="array" ref="DU68">[1]!ACAELE_AREATOTAL(BZ68,M68,EO68,N68,DQ68,G68,DR68,DT68,N$20,$P$5)</f>
        <v/>
      </c>
      <c r="DV68" s="933" t="str" cm="1">
        <f t="array" ref="DV68">IF($A$27=1,"",[1]!ACAELE_cablecalculo(BB68,H68,I68,M68,EG68,$P$5))</f>
        <v/>
      </c>
      <c r="DW68" s="934" t="str" cm="1">
        <f t="array" ref="DW68">IF($A$27=1,"",[1]!ACAELE_RESISTENCIA(BB68,H68,M68,I68,CC68,CW68,$P$5))</f>
        <v/>
      </c>
      <c r="DX68" s="926" t="str" cm="1">
        <f t="array" ref="DX68">IF($A$27=1,"",[1]!ACAELE_REACTANCIA(BB68,H68,$F$11,M68,I68,CC68,$P$5))</f>
        <v/>
      </c>
      <c r="DY68" s="935" t="str" cm="1">
        <f t="array" ref="DY68">IF($A$27=1,"",[1]!ACAELE_DIAMECAISLA(BB68,H68,I68,CC68,$P$5))</f>
        <v/>
      </c>
      <c r="DZ68" s="935" t="str" cm="1">
        <f t="array" ref="DZ68">IF($A$27=1,"",[1]!ACAELE_AREACAISLAMIENTO(BB68,H68,DY68,$P$5))</f>
        <v/>
      </c>
      <c r="EA68" s="935" t="str" cm="1">
        <f t="array" ref="EA68">[1]!ACAELE_CAIDAVOLTSFINAL2(BB68,Q68,H68,F68,$A$27,BU68,T68,DW68,DA68,DX68,DB68)</f>
        <v/>
      </c>
      <c r="EB68" s="935" t="str" cm="1">
        <f t="array" ref="EB68">IF($A$27=1,"",[1]!ACAELE_AREACONDPTE(BB68,H68,CF68,$P$5))</f>
        <v/>
      </c>
      <c r="EC68" s="936" t="str" cm="1">
        <f t="array" ref="EC68">[1]!ACAELE_AREATOTAL2(H68,$A$27,DY68,S68,G68,T68,DZ68,U68,EB68)</f>
        <v/>
      </c>
      <c r="ED68" s="937" t="str">
        <f t="shared" si="59"/>
        <v/>
      </c>
      <c r="EE68" s="938" t="str">
        <f t="shared" si="60"/>
        <v/>
      </c>
      <c r="EF68" s="939" t="str">
        <f t="shared" si="61"/>
        <v/>
      </c>
      <c r="EG68" s="940">
        <f t="shared" si="62"/>
        <v>0</v>
      </c>
      <c r="EH68" s="941" t="str">
        <f t="shared" si="63"/>
        <v/>
      </c>
      <c r="EI68" s="942">
        <f t="shared" si="64"/>
        <v>30</v>
      </c>
      <c r="EJ68" s="943" t="str">
        <f t="shared" si="11"/>
        <v/>
      </c>
      <c r="EK68" s="943" t="str">
        <f t="shared" si="12"/>
        <v/>
      </c>
      <c r="EL68" s="943" t="str">
        <f t="shared" si="13"/>
        <v/>
      </c>
      <c r="EM68" s="944" t="str">
        <f t="shared" si="14"/>
        <v/>
      </c>
      <c r="EN68" s="945" t="str" cm="1">
        <f t="array" ref="EN68">[1]!ACAELE_MOTOR(H68,X68:BA68,$X$26:$BA$26,$P$5)</f>
        <v/>
      </c>
      <c r="EO68" s="550" t="str">
        <f t="shared" si="65"/>
        <v/>
      </c>
      <c r="EP68" s="431" t="s">
        <v>1214</v>
      </c>
      <c r="EQ68" s="434" t="str">
        <f t="shared" ca="1" si="66"/>
        <v/>
      </c>
      <c r="ER68" s="32"/>
      <c r="ES68" s="32"/>
      <c r="ET68" s="3" t="str">
        <f t="shared" si="67"/>
        <v/>
      </c>
      <c r="EU68" s="3" t="str">
        <f t="shared" si="68"/>
        <v/>
      </c>
      <c r="EV68" s="3" t="str">
        <f t="shared" si="69"/>
        <v/>
      </c>
      <c r="EW68" s="3" t="str">
        <f t="shared" si="70"/>
        <v/>
      </c>
      <c r="EX68" s="3" t="str">
        <f t="shared" si="71"/>
        <v/>
      </c>
      <c r="EY68" s="3" t="str">
        <f t="shared" si="72"/>
        <v/>
      </c>
      <c r="EZ68" s="3" t="str">
        <f t="shared" si="73"/>
        <v/>
      </c>
      <c r="FA68" s="3" t="str">
        <f t="shared" si="74"/>
        <v/>
      </c>
      <c r="FB68" s="3" t="str">
        <f t="shared" si="75"/>
        <v/>
      </c>
      <c r="FC68" s="3">
        <f t="shared" si="76"/>
        <v>0</v>
      </c>
      <c r="FD68" s="32"/>
      <c r="FE68" s="32"/>
      <c r="FF68" s="103">
        <v>1</v>
      </c>
      <c r="FG68" s="32"/>
      <c r="FH68" s="103"/>
      <c r="FI68" s="32"/>
      <c r="FJ68" s="103"/>
      <c r="FK68" s="3">
        <f t="shared" si="77"/>
        <v>0</v>
      </c>
      <c r="FL68" s="3" t="str" cm="1">
        <f t="array" aca="1" ref="FL68" ca="1">[1]!acaele_DIB_UNIFILAR(BB68,H68,F68,COUNTIF(X68:BA68,1),BW68)</f>
        <v/>
      </c>
      <c r="FM68" s="3" t="str">
        <f>IF(DATOS!$T$4=0,"",IF(DATOS!$T$4=1," (QO)",IF(DATOS!$T$4=2," (QOB)",IF(DATOS!$T$4=3," (EDB)",IF(DATOS!$T$4=4,IF(BW68&lt;151," (H"&amp;FN68&amp;")",IF(BW68&lt;251," (J"&amp;FN68&amp;")", IF(BW68&lt;401," (LA)",IF(BW68&lt;801," (MG)",IF(BW68&lt;5001," (POWERPACK)",""))))))))))</f>
        <v xml:space="preserve"> (QOB)</v>
      </c>
      <c r="FN68" s="3" t="str">
        <f t="shared" si="78"/>
        <v/>
      </c>
      <c r="FO68" s="146"/>
      <c r="FP68" s="146"/>
      <c r="FQ68" s="146"/>
      <c r="FR68" s="146"/>
      <c r="FS68" s="146"/>
      <c r="FT68" s="146"/>
      <c r="FU68" s="146"/>
      <c r="FV68" s="146"/>
      <c r="FW68" s="146"/>
      <c r="FX68" s="146" t="str">
        <f t="shared" si="9"/>
        <v/>
      </c>
      <c r="FY68" s="736"/>
      <c r="FZ68" s="740"/>
      <c r="GA68" s="740"/>
      <c r="GB68" s="717"/>
      <c r="GC68" s="838"/>
      <c r="GD68" s="736"/>
      <c r="GE68" s="146"/>
      <c r="GF68" s="506"/>
      <c r="GG68" s="506"/>
      <c r="GH68" s="506"/>
      <c r="GI68" s="506"/>
      <c r="GJ68" s="506"/>
      <c r="GM68" s="3">
        <f>IF(OR(GN68&gt;TABLERO!$M$19,GO68&gt;TABLERO!$M$19,GP68&gt;TABLERO!$M$19,B68=0,C68=0,D68=0),2,CUADROACAD!A68)</f>
        <v>2</v>
      </c>
      <c r="GN68" s="3">
        <f>IF(TABLERO!B68="",0,TABLERO!B68)</f>
        <v>38</v>
      </c>
      <c r="GO68" s="3">
        <f>IF(TABLERO!C68="",GN68,TABLERO!C68)</f>
        <v>38</v>
      </c>
      <c r="GP68" s="3">
        <f>IF(TABLERO!D68="",GN68,TABLERO!D68)</f>
        <v>38</v>
      </c>
    </row>
    <row r="69" spans="1:198" s="3" customFormat="1" ht="13.8" customHeight="1">
      <c r="A69" s="706"/>
      <c r="B69" s="869">
        <v>39</v>
      </c>
      <c r="C69" s="870" t="str">
        <f t="shared" si="15"/>
        <v/>
      </c>
      <c r="D69" s="870" t="str">
        <f t="shared" si="16"/>
        <v/>
      </c>
      <c r="E69" s="871"/>
      <c r="F69" s="872">
        <v>1</v>
      </c>
      <c r="G69" s="716">
        <f t="shared" si="17"/>
        <v>2</v>
      </c>
      <c r="H69" s="873" t="s">
        <v>12</v>
      </c>
      <c r="I69" s="874" t="str">
        <f t="shared" si="18"/>
        <v>CU</v>
      </c>
      <c r="J69" s="875">
        <v>6</v>
      </c>
      <c r="K69" s="876">
        <v>10</v>
      </c>
      <c r="L69" s="876">
        <v>3</v>
      </c>
      <c r="M69" s="877">
        <v>1</v>
      </c>
      <c r="N69" s="877">
        <v>1</v>
      </c>
      <c r="O69" s="878">
        <v>1</v>
      </c>
      <c r="P69" s="879">
        <v>4</v>
      </c>
      <c r="Q69" s="880">
        <v>1</v>
      </c>
      <c r="R69" s="880">
        <v>1</v>
      </c>
      <c r="S69" s="881">
        <v>1</v>
      </c>
      <c r="T69" s="881">
        <v>1</v>
      </c>
      <c r="U69" s="882">
        <v>1</v>
      </c>
      <c r="V69" s="883">
        <v>1</v>
      </c>
      <c r="W69" s="874" t="str">
        <f t="shared" si="19"/>
        <v>SI</v>
      </c>
      <c r="X69" s="884"/>
      <c r="Y69" s="885"/>
      <c r="Z69" s="885"/>
      <c r="AA69" s="885"/>
      <c r="AB69" s="885"/>
      <c r="AC69" s="885"/>
      <c r="AD69" s="885"/>
      <c r="AE69" s="885"/>
      <c r="AF69" s="885"/>
      <c r="AG69" s="885"/>
      <c r="AH69" s="885"/>
      <c r="AI69" s="885"/>
      <c r="AJ69" s="885"/>
      <c r="AK69" s="885"/>
      <c r="AL69" s="885"/>
      <c r="AM69" s="885"/>
      <c r="AN69" s="885"/>
      <c r="AO69" s="885"/>
      <c r="AP69" s="885"/>
      <c r="AQ69" s="885"/>
      <c r="AR69" s="885"/>
      <c r="AS69" s="885"/>
      <c r="AT69" s="885"/>
      <c r="AU69" s="885"/>
      <c r="AV69" s="885"/>
      <c r="AW69" s="885"/>
      <c r="AX69" s="885"/>
      <c r="AY69" s="885"/>
      <c r="AZ69" s="885"/>
      <c r="BA69" s="886"/>
      <c r="BB69" s="887">
        <f t="shared" si="20"/>
        <v>0</v>
      </c>
      <c r="BC69" s="888" t="str">
        <f t="shared" si="21"/>
        <v/>
      </c>
      <c r="BD69" s="889" t="str">
        <f t="shared" si="22"/>
        <v/>
      </c>
      <c r="BE69" s="889" t="str">
        <f t="shared" si="23"/>
        <v/>
      </c>
      <c r="BF69" s="889" t="str">
        <f t="shared" si="24"/>
        <v/>
      </c>
      <c r="BG69" s="889" t="str">
        <f t="shared" si="25"/>
        <v/>
      </c>
      <c r="BH69" s="889" t="str">
        <f t="shared" si="26"/>
        <v/>
      </c>
      <c r="BI69" s="890" t="str">
        <f t="shared" si="27"/>
        <v/>
      </c>
      <c r="BJ69" s="891" t="str">
        <f t="shared" si="28"/>
        <v/>
      </c>
      <c r="BK69" s="892" t="str">
        <f t="shared" si="29"/>
        <v/>
      </c>
      <c r="BL69" s="892" t="str">
        <f t="shared" si="30"/>
        <v/>
      </c>
      <c r="BM69" s="892" t="str">
        <f t="shared" si="31"/>
        <v/>
      </c>
      <c r="BN69" s="892" t="str">
        <f t="shared" si="32"/>
        <v/>
      </c>
      <c r="BO69" s="892" t="str">
        <f t="shared" si="33"/>
        <v/>
      </c>
      <c r="BP69" s="893" t="str">
        <f t="shared" si="34"/>
        <v/>
      </c>
      <c r="BQ69" s="894" t="str">
        <f t="shared" si="35"/>
        <v/>
      </c>
      <c r="BR69" s="895" t="str">
        <f t="shared" si="10"/>
        <v/>
      </c>
      <c r="BS69" s="896" t="str">
        <f t="shared" si="36"/>
        <v/>
      </c>
      <c r="BT69" s="897" t="str">
        <f t="shared" si="37"/>
        <v/>
      </c>
      <c r="BU69" s="231" t="str">
        <f t="shared" si="38"/>
        <v/>
      </c>
      <c r="BV69" s="898">
        <f t="shared" si="39"/>
        <v>127</v>
      </c>
      <c r="BW69" s="845" t="str">
        <f t="shared" si="40"/>
        <v/>
      </c>
      <c r="BX69" s="899" t="str">
        <f t="shared" si="41"/>
        <v/>
      </c>
      <c r="BY69" s="900" t="str" cm="1">
        <f t="array" ref="BY69">[1]!ACAELE_CAPACIDADCABLE(BB69,H69,I69,M69,BX69,N69)</f>
        <v/>
      </c>
      <c r="BZ69" s="900" t="str">
        <f t="shared" si="42"/>
        <v/>
      </c>
      <c r="CA69" s="901" t="str" cm="1">
        <f t="array" ref="CA69">[1]!ACAELE_cabledetierra(BZ69,$N$9,I69,BW69,BX69,G69)</f>
        <v/>
      </c>
      <c r="CB69" s="902" t="str" cm="1">
        <f t="array" ref="CB69">[1]!ACAELE_TAMATUBERIA(BX69,DU69,$N$9,M69,I69)</f>
        <v/>
      </c>
      <c r="CC69" s="846" t="str">
        <f t="shared" si="43"/>
        <v/>
      </c>
      <c r="CD69" s="903" t="str" cm="1">
        <f t="array" ref="CD69">[1]!ACAELE_CAPACIDADCABLE(BB69,H69,I69,M69,CC69,N69)</f>
        <v/>
      </c>
      <c r="CE69" s="903" t="str">
        <f t="shared" si="44"/>
        <v/>
      </c>
      <c r="CF69" s="904" t="str" cm="1">
        <f t="array" ref="CF69">[1]!ACAELE_cabledetierra(CE69,$N$9,I69,BW69,CC69,G69)</f>
        <v/>
      </c>
      <c r="CG69" s="905" t="str" cm="1">
        <f t="array" ref="CG69">[1]!ACAELE_TAMATUBERIA(CC69,EC69,$N$9,S69,I69)</f>
        <v/>
      </c>
      <c r="CH69" s="906" t="str">
        <f t="shared" si="45"/>
        <v/>
      </c>
      <c r="CI69" s="510" t="str">
        <f t="shared" si="46"/>
        <v>-</v>
      </c>
      <c r="CJ69" s="511" t="str">
        <f t="shared" si="47"/>
        <v>-</v>
      </c>
      <c r="CK69" s="512" t="str">
        <f t="shared" si="48"/>
        <v>-</v>
      </c>
      <c r="CL69" s="907" t="str">
        <f t="shared" si="49"/>
        <v>-</v>
      </c>
      <c r="CM69" s="908" t="str">
        <f t="shared" si="50"/>
        <v>-</v>
      </c>
      <c r="CN69" s="909" t="str">
        <f t="shared" si="51"/>
        <v>-</v>
      </c>
      <c r="CO69" s="910" t="str" cm="1">
        <f t="array" ref="CO69">[1]!ACAELE_fasecorresponde(B69,$F$10,$P$5)</f>
        <v>B</v>
      </c>
      <c r="CP69" s="910" t="str" cm="1">
        <f t="array" ref="CP69">[1]!ACAELE_fasecorresponde(C69,$F$10,$P$5)</f>
        <v>-</v>
      </c>
      <c r="CQ69" s="910" t="str" cm="1">
        <f t="array" ref="CQ69">[1]!ACAELE_fasecorresponde(D69,$F$10,$P$5)</f>
        <v>-</v>
      </c>
      <c r="CR69" s="911" t="str">
        <f t="shared" si="52"/>
        <v>C</v>
      </c>
      <c r="CS69" s="912">
        <f t="shared" si="53"/>
        <v>1</v>
      </c>
      <c r="CT69" s="913">
        <f t="shared" si="54"/>
        <v>0.8</v>
      </c>
      <c r="CU69" s="914" t="str">
        <f t="shared" si="55"/>
        <v/>
      </c>
      <c r="CV69" s="915">
        <f t="shared" si="56"/>
        <v>0</v>
      </c>
      <c r="CW69" s="916" t="str" cm="1">
        <f t="array" ref="CW69">[1]!ACAELE_Inominal(BB69,F69,BT69,BV69,DA69,G69,V69,$P$5)</f>
        <v/>
      </c>
      <c r="CX69" s="917" t="str" cm="1">
        <f t="array" ref="CX69">[1]!ACAELE_Disparocalculado(BB69,H69,DL69,$N$21,$M$21,$O$21,BV69,$P$5)</f>
        <v/>
      </c>
      <c r="CY69" s="918" t="str" cm="1">
        <f t="array" ref="CY69">[1]!ACAELE_Icorregida($A$27,H69,BB69,BU69,CS69,CT69,$P$5)</f>
        <v/>
      </c>
      <c r="CZ69" s="919" t="str" cm="1">
        <f t="array" ref="CZ69">[1]!ACAELE_Icorregida2($A$27,H69,BB69,BU69,CS69,CU69,$P$5)</f>
        <v/>
      </c>
      <c r="DA69" s="920">
        <f t="shared" si="57"/>
        <v>0.9</v>
      </c>
      <c r="DB69" s="921">
        <f t="shared" si="58"/>
        <v>0.43588989435406728</v>
      </c>
      <c r="DC69" s="922" t="str" cm="1">
        <f t="array" ref="DC69">[1]!ACAELE_CONDPORTCORRIENTE(H69,BB69,I69,M69,CY69,CZ69,N69,$P$5)</f>
        <v/>
      </c>
      <c r="DD69" s="923" t="str" cm="1">
        <f t="array" ref="DD69">[1]!ACAELE_CAPACONDCORRIENTE(BB69,H69,I69,M69,CY69,CZ69,$P$5)</f>
        <v/>
      </c>
      <c r="DE69" s="923" t="str" cm="1">
        <f t="array" ref="DE69">[1]!ACAELE_CAPACIDADCABLE(BB69,H69,I69,M69,DC69,N69,$P$5)</f>
        <v/>
      </c>
      <c r="DF69" s="924" t="str" cm="1">
        <f t="array" ref="DF69">[1]!ACAELE_encontrarcaida(BB69,H69,L69,BV69,F69,BU69,N69,K69)</f>
        <v/>
      </c>
      <c r="DG69" s="925" t="str" cm="1">
        <f t="array" ref="DG69">[1]!ACAELE_Cablecaida(BB69,H69,M69,I69,DF69)</f>
        <v/>
      </c>
      <c r="DH69" s="918" t="str" cm="1">
        <f t="array" ref="DH69">[1]!ACAELE_CAPACIDADCABLE(BB69,H69,I69,M69,DG69,N69,$P$5)</f>
        <v/>
      </c>
      <c r="DI69" s="926" t="str" cm="1">
        <f t="array" ref="DI69">IF($A$27=1,"",[1]!ACAELE_encontrarcaida(BB69,H69,R69,BV69,F69,BU69,T69,Q69,$P$5))</f>
        <v/>
      </c>
      <c r="DJ69" s="914" t="str" cm="1">
        <f t="array" ref="DJ69">IF($A$27=1,"",[1]!ACAELE_Cablecaida2(BB69,Q69,H69,S69,I69,DI69,$P$5))</f>
        <v/>
      </c>
      <c r="DK69" s="919" t="str" cm="1">
        <f t="array" ref="DK69">[1]!ACAELE_CAPACIDADCABLE(BB69,H69,I69,M69,DJ69,N69,$P$5)</f>
        <v/>
      </c>
      <c r="DL69" s="927" t="str" cm="1">
        <f t="array" ref="DL69">[1]!acaele_Iproteccion(BB69,H69,BU69,$F$20,$G$20,$F$19,$G$19,$H$20,$H$19,$P$5)</f>
        <v/>
      </c>
      <c r="DM69" s="928" cm="1">
        <f t="array" ref="DM69">[1]!acaele_ProtCalculada(CX69,H69,BT69,BW69,$G$21,$F$21,$H$21,$P$5)</f>
        <v>0</v>
      </c>
      <c r="DN69" s="929" t="str" cm="1">
        <f t="array" ref="DN69">[1]!ACAELE_cablecalculo(BB69,H69,I69,M69,EF69,$P$5)</f>
        <v/>
      </c>
      <c r="DO69" s="930" t="str" cm="1">
        <f t="array" ref="DO69">[1]!ACAELE_RESISTENCIA(BB69,H69,M69,I69,BX69, CW69,$P$5)</f>
        <v/>
      </c>
      <c r="DP69" s="931" t="str" cm="1">
        <f t="array" ref="DP69">[1]!ACAELE_REACTANCIA(BB69,H69,$F$11,M69,I69,BX69,$P$5)</f>
        <v/>
      </c>
      <c r="DQ69" s="918" t="str" cm="1">
        <f t="array" ref="DQ69">[1]!ACAELE_DIAMECAISLA(BB69,H69,I69,BX69,$P$5)</f>
        <v/>
      </c>
      <c r="DR69" s="918" t="str" cm="1">
        <f t="array" ref="DR69">[1]!ACAELE_AREACAISLAMIENTO(BB69,H69,DQ69,$P$5)</f>
        <v/>
      </c>
      <c r="DS69" s="918" t="str" cm="1">
        <f t="array" ref="DS69">[1]!ACAELE_CAIDAVOLTSFINAL(BB69,H69,F69,K69,BU69,N69,DO69,DA69,DP69,DB69,$P$5)</f>
        <v/>
      </c>
      <c r="DT69" s="918" t="str" cm="1">
        <f t="array" ref="DT69">[1]!ACAELE_AREACONDPTE(BB69,H69,CA69,$P$5)</f>
        <v/>
      </c>
      <c r="DU69" s="932" t="str" cm="1">
        <f t="array" ref="DU69">[1]!ACAELE_AREATOTAL(BZ69,M69,EO69,N69,DQ69,G69,DR69,DT69,N$20,$P$5)</f>
        <v/>
      </c>
      <c r="DV69" s="933" t="str" cm="1">
        <f t="array" ref="DV69">IF($A$27=1,"",[1]!ACAELE_cablecalculo(BB69,H69,I69,M69,EG69,$P$5))</f>
        <v/>
      </c>
      <c r="DW69" s="934" t="str" cm="1">
        <f t="array" ref="DW69">IF($A$27=1,"",[1]!ACAELE_RESISTENCIA(BB69,H69,M69,I69,CC69,CW69,$P$5))</f>
        <v/>
      </c>
      <c r="DX69" s="926" t="str" cm="1">
        <f t="array" ref="DX69">IF($A$27=1,"",[1]!ACAELE_REACTANCIA(BB69,H69,$F$11,M69,I69,CC69,$P$5))</f>
        <v/>
      </c>
      <c r="DY69" s="935" t="str" cm="1">
        <f t="array" ref="DY69">IF($A$27=1,"",[1]!ACAELE_DIAMECAISLA(BB69,H69,I69,CC69,$P$5))</f>
        <v/>
      </c>
      <c r="DZ69" s="935" t="str" cm="1">
        <f t="array" ref="DZ69">IF($A$27=1,"",[1]!ACAELE_AREACAISLAMIENTO(BB69,H69,DY69,$P$5))</f>
        <v/>
      </c>
      <c r="EA69" s="935" t="str" cm="1">
        <f t="array" ref="EA69">[1]!ACAELE_CAIDAVOLTSFINAL2(BB69,Q69,H69,F69,$A$27,BU69,T69,DW69,DA69,DX69,DB69)</f>
        <v/>
      </c>
      <c r="EB69" s="935" t="str" cm="1">
        <f t="array" ref="EB69">IF($A$27=1,"",[1]!ACAELE_AREACONDPTE(BB69,H69,CF69,$P$5))</f>
        <v/>
      </c>
      <c r="EC69" s="936" t="str" cm="1">
        <f t="array" ref="EC69">[1]!ACAELE_AREATOTAL2(H69,$A$27,DY69,S69,G69,T69,DZ69,U69,EB69)</f>
        <v/>
      </c>
      <c r="ED69" s="937" t="str">
        <f t="shared" si="59"/>
        <v/>
      </c>
      <c r="EE69" s="938" t="str">
        <f t="shared" si="60"/>
        <v/>
      </c>
      <c r="EF69" s="939" t="str">
        <f t="shared" si="61"/>
        <v/>
      </c>
      <c r="EG69" s="940">
        <f t="shared" si="62"/>
        <v>0</v>
      </c>
      <c r="EH69" s="941" t="str">
        <f t="shared" si="63"/>
        <v/>
      </c>
      <c r="EI69" s="942">
        <f t="shared" si="64"/>
        <v>30</v>
      </c>
      <c r="EJ69" s="943" t="str">
        <f t="shared" si="11"/>
        <v/>
      </c>
      <c r="EK69" s="943" t="str">
        <f t="shared" si="12"/>
        <v/>
      </c>
      <c r="EL69" s="943" t="str">
        <f t="shared" si="13"/>
        <v/>
      </c>
      <c r="EM69" s="944" t="str">
        <f t="shared" si="14"/>
        <v/>
      </c>
      <c r="EN69" s="945" t="str" cm="1">
        <f t="array" ref="EN69">[1]!ACAELE_MOTOR(H69,X69:BA69,$X$26:$BA$26,$P$5)</f>
        <v/>
      </c>
      <c r="EO69" s="550" t="str">
        <f t="shared" si="65"/>
        <v/>
      </c>
      <c r="EP69" s="431" t="s">
        <v>1214</v>
      </c>
      <c r="EQ69" s="434" t="str">
        <f t="shared" ca="1" si="66"/>
        <v/>
      </c>
      <c r="ER69" s="32"/>
      <c r="ES69" s="32"/>
      <c r="ET69" s="3" t="str">
        <f t="shared" si="67"/>
        <v/>
      </c>
      <c r="EU69" s="3" t="str">
        <f t="shared" si="68"/>
        <v/>
      </c>
      <c r="EV69" s="3" t="str">
        <f t="shared" si="69"/>
        <v/>
      </c>
      <c r="EW69" s="3" t="str">
        <f t="shared" si="70"/>
        <v/>
      </c>
      <c r="EX69" s="3" t="str">
        <f t="shared" si="71"/>
        <v/>
      </c>
      <c r="EY69" s="3" t="str">
        <f t="shared" si="72"/>
        <v/>
      </c>
      <c r="EZ69" s="3" t="str">
        <f t="shared" si="73"/>
        <v/>
      </c>
      <c r="FA69" s="3" t="str">
        <f t="shared" si="74"/>
        <v/>
      </c>
      <c r="FB69" s="3" t="str">
        <f t="shared" si="75"/>
        <v/>
      </c>
      <c r="FC69" s="3">
        <f t="shared" si="76"/>
        <v>0</v>
      </c>
      <c r="FD69" s="32"/>
      <c r="FE69" s="32"/>
      <c r="FF69" s="103">
        <v>1</v>
      </c>
      <c r="FG69" s="32"/>
      <c r="FH69" s="103"/>
      <c r="FI69" s="32"/>
      <c r="FJ69" s="103"/>
      <c r="FK69" s="3">
        <f t="shared" si="77"/>
        <v>0</v>
      </c>
      <c r="FL69" s="3" t="str" cm="1">
        <f t="array" aca="1" ref="FL69" ca="1">[1]!acaele_DIB_UNIFILAR(BB69,H69,F69,COUNTIF(X69:BA69,1),BW69)</f>
        <v/>
      </c>
      <c r="FM69" s="3" t="str">
        <f>IF(DATOS!$T$4=0,"",IF(DATOS!$T$4=1," (QO)",IF(DATOS!$T$4=2," (QOB)",IF(DATOS!$T$4=3," (EDB)",IF(DATOS!$T$4=4,IF(BW69&lt;151," (H"&amp;FN69&amp;")",IF(BW69&lt;251," (J"&amp;FN69&amp;")", IF(BW69&lt;401," (LA)",IF(BW69&lt;801," (MG)",IF(BW69&lt;5001," (POWERPACK)",""))))))))))</f>
        <v xml:space="preserve"> (QOB)</v>
      </c>
      <c r="FN69" s="3" t="str">
        <f t="shared" si="78"/>
        <v/>
      </c>
      <c r="FO69" s="146"/>
      <c r="FP69" s="146"/>
      <c r="FQ69" s="146"/>
      <c r="FR69" s="146"/>
      <c r="FS69" s="146"/>
      <c r="FT69" s="146"/>
      <c r="FU69" s="146"/>
      <c r="FV69" s="146"/>
      <c r="FW69" s="146"/>
      <c r="FX69" s="146" t="str">
        <f t="shared" si="9"/>
        <v/>
      </c>
      <c r="FY69" s="736"/>
      <c r="FZ69" s="740"/>
      <c r="GA69" s="740"/>
      <c r="GB69" s="717"/>
      <c r="GC69" s="838"/>
      <c r="GD69" s="736"/>
      <c r="GE69" s="146"/>
      <c r="GF69" s="506"/>
      <c r="GG69" s="506"/>
      <c r="GH69" s="506"/>
      <c r="GI69" s="506"/>
      <c r="GJ69" s="506"/>
      <c r="GM69" s="3">
        <f>IF(OR(GN69&gt;TABLERO!$M$19,GO69&gt;TABLERO!$M$19,GP69&gt;TABLERO!$M$19,B69=0,C69=0,D69=0),2,CUADROACAD!A69)</f>
        <v>2</v>
      </c>
      <c r="GN69" s="3">
        <f>IF(TABLERO!B69="",0,TABLERO!B69)</f>
        <v>39</v>
      </c>
      <c r="GO69" s="3">
        <f>IF(TABLERO!C69="",GN69,TABLERO!C69)</f>
        <v>39</v>
      </c>
      <c r="GP69" s="3">
        <f>IF(TABLERO!D69="",GN69,TABLERO!D69)</f>
        <v>39</v>
      </c>
    </row>
    <row r="70" spans="1:198" s="3" customFormat="1">
      <c r="A70" s="706"/>
      <c r="B70" s="869">
        <v>40</v>
      </c>
      <c r="C70" s="870" t="str">
        <f t="shared" si="15"/>
        <v/>
      </c>
      <c r="D70" s="870" t="str">
        <f t="shared" si="16"/>
        <v/>
      </c>
      <c r="E70" s="871"/>
      <c r="F70" s="872">
        <v>1</v>
      </c>
      <c r="G70" s="716">
        <f t="shared" si="17"/>
        <v>2</v>
      </c>
      <c r="H70" s="873" t="s">
        <v>12</v>
      </c>
      <c r="I70" s="874" t="str">
        <f t="shared" si="18"/>
        <v>CU</v>
      </c>
      <c r="J70" s="875">
        <v>6</v>
      </c>
      <c r="K70" s="876">
        <v>10</v>
      </c>
      <c r="L70" s="876">
        <v>3</v>
      </c>
      <c r="M70" s="877">
        <v>1</v>
      </c>
      <c r="N70" s="877">
        <v>1</v>
      </c>
      <c r="O70" s="878">
        <v>1</v>
      </c>
      <c r="P70" s="879">
        <v>4</v>
      </c>
      <c r="Q70" s="880">
        <v>1</v>
      </c>
      <c r="R70" s="880">
        <v>1</v>
      </c>
      <c r="S70" s="881">
        <v>1</v>
      </c>
      <c r="T70" s="881">
        <v>1</v>
      </c>
      <c r="U70" s="882">
        <v>1</v>
      </c>
      <c r="V70" s="883">
        <v>1</v>
      </c>
      <c r="W70" s="874" t="str">
        <f t="shared" si="19"/>
        <v>SI</v>
      </c>
      <c r="X70" s="884"/>
      <c r="Y70" s="885"/>
      <c r="Z70" s="885"/>
      <c r="AA70" s="885"/>
      <c r="AB70" s="885"/>
      <c r="AC70" s="885"/>
      <c r="AD70" s="885"/>
      <c r="AE70" s="885"/>
      <c r="AF70" s="885"/>
      <c r="AG70" s="885"/>
      <c r="AH70" s="885"/>
      <c r="AI70" s="885"/>
      <c r="AJ70" s="885"/>
      <c r="AK70" s="885"/>
      <c r="AL70" s="885"/>
      <c r="AM70" s="885"/>
      <c r="AN70" s="885"/>
      <c r="AO70" s="885"/>
      <c r="AP70" s="885"/>
      <c r="AQ70" s="885"/>
      <c r="AR70" s="885"/>
      <c r="AS70" s="885"/>
      <c r="AT70" s="885"/>
      <c r="AU70" s="885"/>
      <c r="AV70" s="885"/>
      <c r="AW70" s="885"/>
      <c r="AX70" s="885"/>
      <c r="AY70" s="885"/>
      <c r="AZ70" s="885"/>
      <c r="BA70" s="886"/>
      <c r="BB70" s="887">
        <f t="shared" si="20"/>
        <v>0</v>
      </c>
      <c r="BC70" s="888" t="str">
        <f t="shared" si="21"/>
        <v/>
      </c>
      <c r="BD70" s="889" t="str">
        <f t="shared" si="22"/>
        <v/>
      </c>
      <c r="BE70" s="889" t="str">
        <f t="shared" si="23"/>
        <v/>
      </c>
      <c r="BF70" s="889" t="str">
        <f t="shared" si="24"/>
        <v/>
      </c>
      <c r="BG70" s="889" t="str">
        <f t="shared" si="25"/>
        <v/>
      </c>
      <c r="BH70" s="889" t="str">
        <f t="shared" si="26"/>
        <v/>
      </c>
      <c r="BI70" s="890" t="str">
        <f t="shared" si="27"/>
        <v/>
      </c>
      <c r="BJ70" s="891" t="str">
        <f t="shared" si="28"/>
        <v/>
      </c>
      <c r="BK70" s="892" t="str">
        <f t="shared" si="29"/>
        <v/>
      </c>
      <c r="BL70" s="892" t="str">
        <f t="shared" si="30"/>
        <v/>
      </c>
      <c r="BM70" s="892" t="str">
        <f t="shared" si="31"/>
        <v/>
      </c>
      <c r="BN70" s="892" t="str">
        <f t="shared" si="32"/>
        <v/>
      </c>
      <c r="BO70" s="892" t="str">
        <f t="shared" si="33"/>
        <v/>
      </c>
      <c r="BP70" s="893" t="str">
        <f t="shared" si="34"/>
        <v/>
      </c>
      <c r="BQ70" s="894" t="str">
        <f t="shared" si="35"/>
        <v/>
      </c>
      <c r="BR70" s="895" t="str">
        <f t="shared" si="10"/>
        <v/>
      </c>
      <c r="BS70" s="896" t="str">
        <f t="shared" si="36"/>
        <v/>
      </c>
      <c r="BT70" s="897" t="str">
        <f t="shared" si="37"/>
        <v/>
      </c>
      <c r="BU70" s="231" t="str">
        <f t="shared" si="38"/>
        <v/>
      </c>
      <c r="BV70" s="898">
        <f t="shared" si="39"/>
        <v>127</v>
      </c>
      <c r="BW70" s="845" t="str">
        <f t="shared" si="40"/>
        <v/>
      </c>
      <c r="BX70" s="899" t="str">
        <f t="shared" si="41"/>
        <v/>
      </c>
      <c r="BY70" s="900" t="str" cm="1">
        <f t="array" ref="BY70">[1]!ACAELE_CAPACIDADCABLE(BB70,H70,I70,M70,BX70,N70)</f>
        <v/>
      </c>
      <c r="BZ70" s="900" t="str">
        <f t="shared" si="42"/>
        <v/>
      </c>
      <c r="CA70" s="901" t="str" cm="1">
        <f t="array" ref="CA70">[1]!ACAELE_cabledetierra(BZ70,$N$9,I70,BW70,BX70,G70)</f>
        <v/>
      </c>
      <c r="CB70" s="902" t="str" cm="1">
        <f t="array" ref="CB70">[1]!ACAELE_TAMATUBERIA(BX70,DU70,$N$9,M70,I70)</f>
        <v/>
      </c>
      <c r="CC70" s="846" t="str">
        <f t="shared" si="43"/>
        <v/>
      </c>
      <c r="CD70" s="903" t="str" cm="1">
        <f t="array" ref="CD70">[1]!ACAELE_CAPACIDADCABLE(BB70,H70,I70,M70,CC70,N70)</f>
        <v/>
      </c>
      <c r="CE70" s="903" t="str">
        <f t="shared" si="44"/>
        <v/>
      </c>
      <c r="CF70" s="904" t="str" cm="1">
        <f t="array" ref="CF70">[1]!ACAELE_cabledetierra(CE70,$N$9,I70,BW70,CC70,G70)</f>
        <v/>
      </c>
      <c r="CG70" s="905" t="str" cm="1">
        <f t="array" ref="CG70">[1]!ACAELE_TAMATUBERIA(CC70,EC70,$N$9,S70,I70)</f>
        <v/>
      </c>
      <c r="CH70" s="906" t="str">
        <f t="shared" si="45"/>
        <v/>
      </c>
      <c r="CI70" s="510" t="str">
        <f t="shared" si="46"/>
        <v>-</v>
      </c>
      <c r="CJ70" s="511" t="str">
        <f t="shared" si="47"/>
        <v>-</v>
      </c>
      <c r="CK70" s="512" t="str">
        <f t="shared" si="48"/>
        <v>-</v>
      </c>
      <c r="CL70" s="907" t="str">
        <f t="shared" si="49"/>
        <v>-</v>
      </c>
      <c r="CM70" s="908" t="str">
        <f t="shared" si="50"/>
        <v>-</v>
      </c>
      <c r="CN70" s="909" t="str">
        <f t="shared" si="51"/>
        <v>-</v>
      </c>
      <c r="CO70" s="910" t="str" cm="1">
        <f t="array" ref="CO70">[1]!ACAELE_fasecorresponde(B70,$F$10,$P$5)</f>
        <v>B</v>
      </c>
      <c r="CP70" s="910" t="str" cm="1">
        <f t="array" ref="CP70">[1]!ACAELE_fasecorresponde(C70,$F$10,$P$5)</f>
        <v>-</v>
      </c>
      <c r="CQ70" s="910" t="str" cm="1">
        <f t="array" ref="CQ70">[1]!ACAELE_fasecorresponde(D70,$F$10,$P$5)</f>
        <v>-</v>
      </c>
      <c r="CR70" s="911" t="str">
        <f t="shared" si="52"/>
        <v>C</v>
      </c>
      <c r="CS70" s="912">
        <f t="shared" si="53"/>
        <v>1</v>
      </c>
      <c r="CT70" s="913">
        <f t="shared" si="54"/>
        <v>0.8</v>
      </c>
      <c r="CU70" s="914" t="str">
        <f t="shared" si="55"/>
        <v/>
      </c>
      <c r="CV70" s="915">
        <f t="shared" si="56"/>
        <v>0</v>
      </c>
      <c r="CW70" s="916" t="str" cm="1">
        <f t="array" ref="CW70">[1]!ACAELE_Inominal(BB70,F70,BT70,BV70,DA70,G70,V70,$P$5)</f>
        <v/>
      </c>
      <c r="CX70" s="917" t="str" cm="1">
        <f t="array" ref="CX70">[1]!ACAELE_Disparocalculado(BB70,H70,DL70,$N$21,$M$21,$O$21,BV70,$P$5)</f>
        <v/>
      </c>
      <c r="CY70" s="918" t="str" cm="1">
        <f t="array" ref="CY70">[1]!ACAELE_Icorregida($A$27,H70,BB70,BU70,CS70,CT70,$P$5)</f>
        <v/>
      </c>
      <c r="CZ70" s="919" t="str" cm="1">
        <f t="array" ref="CZ70">[1]!ACAELE_Icorregida2($A$27,H70,BB70,BU70,CS70,CU70,$P$5)</f>
        <v/>
      </c>
      <c r="DA70" s="920">
        <f t="shared" si="57"/>
        <v>0.9</v>
      </c>
      <c r="DB70" s="921">
        <f t="shared" si="58"/>
        <v>0.43588989435406728</v>
      </c>
      <c r="DC70" s="922" t="str" cm="1">
        <f t="array" ref="DC70">[1]!ACAELE_CONDPORTCORRIENTE(H70,BB70,I70,M70,CY70,CZ70,N70,$P$5)</f>
        <v/>
      </c>
      <c r="DD70" s="923" t="str" cm="1">
        <f t="array" ref="DD70">[1]!ACAELE_CAPACONDCORRIENTE(BB70,H70,I70,M70,CY70,CZ70,$P$5)</f>
        <v/>
      </c>
      <c r="DE70" s="923" t="str" cm="1">
        <f t="array" ref="DE70">[1]!ACAELE_CAPACIDADCABLE(BB70,H70,I70,M70,DC70,N70,$P$5)</f>
        <v/>
      </c>
      <c r="DF70" s="924" t="str" cm="1">
        <f t="array" ref="DF70">[1]!ACAELE_encontrarcaida(BB70,H70,L70,BV70,F70,BU70,N70,K70)</f>
        <v/>
      </c>
      <c r="DG70" s="925" t="str" cm="1">
        <f t="array" ref="DG70">[1]!ACAELE_Cablecaida(BB70,H70,M70,I70,DF70)</f>
        <v/>
      </c>
      <c r="DH70" s="918" t="str" cm="1">
        <f t="array" ref="DH70">[1]!ACAELE_CAPACIDADCABLE(BB70,H70,I70,M70,DG70,N70,$P$5)</f>
        <v/>
      </c>
      <c r="DI70" s="926" t="str" cm="1">
        <f t="array" ref="DI70">IF($A$27=1,"",[1]!ACAELE_encontrarcaida(BB70,H70,R70,BV70,F70,BU70,T70,Q70,$P$5))</f>
        <v/>
      </c>
      <c r="DJ70" s="914" t="str" cm="1">
        <f t="array" ref="DJ70">IF($A$27=1,"",[1]!ACAELE_Cablecaida2(BB70,Q70,H70,S70,I70,DI70,$P$5))</f>
        <v/>
      </c>
      <c r="DK70" s="919" t="str" cm="1">
        <f t="array" ref="DK70">[1]!ACAELE_CAPACIDADCABLE(BB70,H70,I70,M70,DJ70,N70,$P$5)</f>
        <v/>
      </c>
      <c r="DL70" s="927" t="str" cm="1">
        <f t="array" ref="DL70">[1]!acaele_Iproteccion(BB70,H70,BU70,$F$20,$G$20,$F$19,$G$19,$H$20,$H$19,$P$5)</f>
        <v/>
      </c>
      <c r="DM70" s="928" cm="1">
        <f t="array" ref="DM70">[1]!acaele_ProtCalculada(CX70,H70,BT70,BW70,$G$21,$F$21,$H$21,$P$5)</f>
        <v>0</v>
      </c>
      <c r="DN70" s="929" t="str" cm="1">
        <f t="array" ref="DN70">[1]!ACAELE_cablecalculo(BB70,H70,I70,M70,EF70,$P$5)</f>
        <v/>
      </c>
      <c r="DO70" s="930" t="str" cm="1">
        <f t="array" ref="DO70">[1]!ACAELE_RESISTENCIA(BB70,H70,M70,I70,BX70, CW70,$P$5)</f>
        <v/>
      </c>
      <c r="DP70" s="931" t="str" cm="1">
        <f t="array" ref="DP70">[1]!ACAELE_REACTANCIA(BB70,H70,$F$11,M70,I70,BX70,$P$5)</f>
        <v/>
      </c>
      <c r="DQ70" s="918" t="str" cm="1">
        <f t="array" ref="DQ70">[1]!ACAELE_DIAMECAISLA(BB70,H70,I70,BX70,$P$5)</f>
        <v/>
      </c>
      <c r="DR70" s="918" t="str" cm="1">
        <f t="array" ref="DR70">[1]!ACAELE_AREACAISLAMIENTO(BB70,H70,DQ70,$P$5)</f>
        <v/>
      </c>
      <c r="DS70" s="918" t="str" cm="1">
        <f t="array" ref="DS70">[1]!ACAELE_CAIDAVOLTSFINAL(BB70,H70,F70,K70,BU70,N70,DO70,DA70,DP70,DB70,$P$5)</f>
        <v/>
      </c>
      <c r="DT70" s="918" t="str" cm="1">
        <f t="array" ref="DT70">[1]!ACAELE_AREACONDPTE(BB70,H70,CA70,$P$5)</f>
        <v/>
      </c>
      <c r="DU70" s="932" t="str" cm="1">
        <f t="array" ref="DU70">[1]!ACAELE_AREATOTAL(BZ70,M70,EO70,N70,DQ70,G70,DR70,DT70,N$20,$P$5)</f>
        <v/>
      </c>
      <c r="DV70" s="933" t="str" cm="1">
        <f t="array" ref="DV70">IF($A$27=1,"",[1]!ACAELE_cablecalculo(BB70,H70,I70,M70,EG70,$P$5))</f>
        <v/>
      </c>
      <c r="DW70" s="934" t="str" cm="1">
        <f t="array" ref="DW70">IF($A$27=1,"",[1]!ACAELE_RESISTENCIA(BB70,H70,M70,I70,CC70,CW70,$P$5))</f>
        <v/>
      </c>
      <c r="DX70" s="926" t="str" cm="1">
        <f t="array" ref="DX70">IF($A$27=1,"",[1]!ACAELE_REACTANCIA(BB70,H70,$F$11,M70,I70,CC70,$P$5))</f>
        <v/>
      </c>
      <c r="DY70" s="935" t="str" cm="1">
        <f t="array" ref="DY70">IF($A$27=1,"",[1]!ACAELE_DIAMECAISLA(BB70,H70,I70,CC70,$P$5))</f>
        <v/>
      </c>
      <c r="DZ70" s="935" t="str" cm="1">
        <f t="array" ref="DZ70">IF($A$27=1,"",[1]!ACAELE_AREACAISLAMIENTO(BB70,H70,DY70,$P$5))</f>
        <v/>
      </c>
      <c r="EA70" s="935" t="str" cm="1">
        <f t="array" ref="EA70">[1]!ACAELE_CAIDAVOLTSFINAL2(BB70,Q70,H70,F70,$A$27,BU70,T70,DW70,DA70,DX70,DB70)</f>
        <v/>
      </c>
      <c r="EB70" s="935" t="str" cm="1">
        <f t="array" ref="EB70">IF($A$27=1,"",[1]!ACAELE_AREACONDPTE(BB70,H70,CF70,$P$5))</f>
        <v/>
      </c>
      <c r="EC70" s="936" t="str" cm="1">
        <f t="array" ref="EC70">[1]!ACAELE_AREATOTAL2(H70,$A$27,DY70,S70,G70,T70,DZ70,U70,EB70)</f>
        <v/>
      </c>
      <c r="ED70" s="937" t="str">
        <f t="shared" si="59"/>
        <v/>
      </c>
      <c r="EE70" s="938" t="str">
        <f t="shared" si="60"/>
        <v/>
      </c>
      <c r="EF70" s="939" t="str">
        <f t="shared" si="61"/>
        <v/>
      </c>
      <c r="EG70" s="940">
        <f t="shared" si="62"/>
        <v>0</v>
      </c>
      <c r="EH70" s="941" t="str">
        <f t="shared" si="63"/>
        <v/>
      </c>
      <c r="EI70" s="942">
        <f t="shared" si="64"/>
        <v>30</v>
      </c>
      <c r="EJ70" s="943" t="str">
        <f t="shared" si="11"/>
        <v/>
      </c>
      <c r="EK70" s="943" t="str">
        <f t="shared" si="12"/>
        <v/>
      </c>
      <c r="EL70" s="943" t="str">
        <f t="shared" si="13"/>
        <v/>
      </c>
      <c r="EM70" s="944" t="str">
        <f t="shared" si="14"/>
        <v/>
      </c>
      <c r="EN70" s="945" t="str" cm="1">
        <f t="array" ref="EN70">[1]!ACAELE_MOTOR(H70,X70:BA70,$X$26:$BA$26,$P$5)</f>
        <v/>
      </c>
      <c r="EO70" s="550" t="str">
        <f t="shared" si="65"/>
        <v/>
      </c>
      <c r="EP70" s="431" t="s">
        <v>1214</v>
      </c>
      <c r="EQ70" s="434" t="str">
        <f t="shared" ca="1" si="66"/>
        <v/>
      </c>
      <c r="ER70" s="32"/>
      <c r="ES70" s="32"/>
      <c r="ET70" s="3" t="str">
        <f t="shared" si="67"/>
        <v/>
      </c>
      <c r="EU70" s="3" t="str">
        <f t="shared" si="68"/>
        <v/>
      </c>
      <c r="EV70" s="3" t="str">
        <f t="shared" si="69"/>
        <v/>
      </c>
      <c r="EW70" s="3" t="str">
        <f t="shared" si="70"/>
        <v/>
      </c>
      <c r="EX70" s="3" t="str">
        <f t="shared" si="71"/>
        <v/>
      </c>
      <c r="EY70" s="3" t="str">
        <f t="shared" si="72"/>
        <v/>
      </c>
      <c r="EZ70" s="3" t="str">
        <f t="shared" si="73"/>
        <v/>
      </c>
      <c r="FA70" s="3" t="str">
        <f t="shared" si="74"/>
        <v/>
      </c>
      <c r="FB70" s="3" t="str">
        <f t="shared" si="75"/>
        <v/>
      </c>
      <c r="FC70" s="3">
        <f t="shared" si="76"/>
        <v>0</v>
      </c>
      <c r="FD70" s="32"/>
      <c r="FE70" s="32"/>
      <c r="FF70" s="103">
        <v>1</v>
      </c>
      <c r="FG70" s="32"/>
      <c r="FH70" s="103"/>
      <c r="FI70" s="32"/>
      <c r="FJ70" s="103"/>
      <c r="FK70" s="3">
        <f t="shared" si="77"/>
        <v>0</v>
      </c>
      <c r="FL70" s="3" t="str" cm="1">
        <f t="array" aca="1" ref="FL70" ca="1">[1]!acaele_DIB_UNIFILAR(BB70,H70,F70,COUNTIF(X70:BA70,1),BW70)</f>
        <v/>
      </c>
      <c r="FM70" s="3" t="str">
        <f>IF(DATOS!$T$4=0,"",IF(DATOS!$T$4=1," (QO)",IF(DATOS!$T$4=2," (QOB)",IF(DATOS!$T$4=3," (EDB)",IF(DATOS!$T$4=4,IF(BW70&lt;151," (H"&amp;FN70&amp;")",IF(BW70&lt;251," (J"&amp;FN70&amp;")", IF(BW70&lt;401," (LA)",IF(BW70&lt;801," (MG)",IF(BW70&lt;5001," (POWERPACK)",""))))))))))</f>
        <v xml:space="preserve"> (QOB)</v>
      </c>
      <c r="FN70" s="3" t="str">
        <f t="shared" si="78"/>
        <v/>
      </c>
      <c r="FO70" s="146"/>
      <c r="FP70" s="146"/>
      <c r="FQ70" s="146"/>
      <c r="FR70" s="146"/>
      <c r="FS70" s="146"/>
      <c r="FT70" s="146"/>
      <c r="FU70" s="146"/>
      <c r="FV70" s="146"/>
      <c r="FW70" s="146"/>
      <c r="FX70" s="146" t="str">
        <f t="shared" si="9"/>
        <v/>
      </c>
      <c r="FY70" s="736"/>
      <c r="FZ70" s="740"/>
      <c r="GA70" s="740"/>
      <c r="GB70" s="717"/>
      <c r="GC70" s="838"/>
      <c r="GD70" s="736"/>
      <c r="GE70" s="146"/>
      <c r="GF70" s="506"/>
      <c r="GG70" s="506"/>
      <c r="GH70" s="506"/>
      <c r="GI70" s="506"/>
      <c r="GJ70" s="506"/>
      <c r="GM70" s="3">
        <f>IF(OR(GN70&gt;TABLERO!$M$19,GO70&gt;TABLERO!$M$19,GP70&gt;TABLERO!$M$19,B70=0,C70=0,D70=0),2,CUADROACAD!A70)</f>
        <v>2</v>
      </c>
      <c r="GN70" s="3">
        <f>IF(TABLERO!B70="",0,TABLERO!B70)</f>
        <v>40</v>
      </c>
      <c r="GO70" s="3">
        <f>IF(TABLERO!C70="",GN70,TABLERO!C70)</f>
        <v>40</v>
      </c>
      <c r="GP70" s="3">
        <f>IF(TABLERO!D70="",GN70,TABLERO!D70)</f>
        <v>40</v>
      </c>
    </row>
    <row r="71" spans="1:198" s="3" customFormat="1">
      <c r="A71" s="706"/>
      <c r="B71" s="869">
        <v>41</v>
      </c>
      <c r="C71" s="870" t="str">
        <f t="shared" si="15"/>
        <v/>
      </c>
      <c r="D71" s="870" t="str">
        <f t="shared" si="16"/>
        <v/>
      </c>
      <c r="E71" s="871"/>
      <c r="F71" s="872">
        <v>1</v>
      </c>
      <c r="G71" s="716">
        <f t="shared" si="17"/>
        <v>2</v>
      </c>
      <c r="H71" s="873" t="s">
        <v>12</v>
      </c>
      <c r="I71" s="874" t="str">
        <f t="shared" si="18"/>
        <v>CU</v>
      </c>
      <c r="J71" s="875">
        <v>6</v>
      </c>
      <c r="K71" s="876">
        <v>10</v>
      </c>
      <c r="L71" s="876">
        <v>3</v>
      </c>
      <c r="M71" s="877">
        <v>1</v>
      </c>
      <c r="N71" s="877">
        <v>1</v>
      </c>
      <c r="O71" s="878">
        <v>1</v>
      </c>
      <c r="P71" s="879">
        <v>4</v>
      </c>
      <c r="Q71" s="880">
        <v>1</v>
      </c>
      <c r="R71" s="880">
        <v>1</v>
      </c>
      <c r="S71" s="881">
        <v>1</v>
      </c>
      <c r="T71" s="881">
        <v>1</v>
      </c>
      <c r="U71" s="882">
        <v>1</v>
      </c>
      <c r="V71" s="883">
        <v>1</v>
      </c>
      <c r="W71" s="874" t="str">
        <f t="shared" si="19"/>
        <v>SI</v>
      </c>
      <c r="X71" s="884"/>
      <c r="Y71" s="885"/>
      <c r="Z71" s="885"/>
      <c r="AA71" s="885"/>
      <c r="AB71" s="885"/>
      <c r="AC71" s="885"/>
      <c r="AD71" s="885"/>
      <c r="AE71" s="885"/>
      <c r="AF71" s="885"/>
      <c r="AG71" s="885"/>
      <c r="AH71" s="885"/>
      <c r="AI71" s="885"/>
      <c r="AJ71" s="885"/>
      <c r="AK71" s="885"/>
      <c r="AL71" s="885"/>
      <c r="AM71" s="885"/>
      <c r="AN71" s="885"/>
      <c r="AO71" s="885"/>
      <c r="AP71" s="885"/>
      <c r="AQ71" s="885"/>
      <c r="AR71" s="885"/>
      <c r="AS71" s="885"/>
      <c r="AT71" s="885"/>
      <c r="AU71" s="885"/>
      <c r="AV71" s="885"/>
      <c r="AW71" s="885"/>
      <c r="AX71" s="885"/>
      <c r="AY71" s="885"/>
      <c r="AZ71" s="885"/>
      <c r="BA71" s="886"/>
      <c r="BB71" s="887">
        <f t="shared" si="20"/>
        <v>0</v>
      </c>
      <c r="BC71" s="888" t="str">
        <f t="shared" si="21"/>
        <v/>
      </c>
      <c r="BD71" s="889" t="str">
        <f t="shared" si="22"/>
        <v/>
      </c>
      <c r="BE71" s="889" t="str">
        <f t="shared" si="23"/>
        <v/>
      </c>
      <c r="BF71" s="889" t="str">
        <f t="shared" si="24"/>
        <v/>
      </c>
      <c r="BG71" s="889" t="str">
        <f t="shared" si="25"/>
        <v/>
      </c>
      <c r="BH71" s="889" t="str">
        <f t="shared" si="26"/>
        <v/>
      </c>
      <c r="BI71" s="890" t="str">
        <f t="shared" si="27"/>
        <v/>
      </c>
      <c r="BJ71" s="891" t="str">
        <f t="shared" si="28"/>
        <v/>
      </c>
      <c r="BK71" s="892" t="str">
        <f t="shared" si="29"/>
        <v/>
      </c>
      <c r="BL71" s="892" t="str">
        <f t="shared" si="30"/>
        <v/>
      </c>
      <c r="BM71" s="892" t="str">
        <f t="shared" si="31"/>
        <v/>
      </c>
      <c r="BN71" s="892" t="str">
        <f t="shared" si="32"/>
        <v/>
      </c>
      <c r="BO71" s="892" t="str">
        <f t="shared" si="33"/>
        <v/>
      </c>
      <c r="BP71" s="893" t="str">
        <f t="shared" si="34"/>
        <v/>
      </c>
      <c r="BQ71" s="894" t="str">
        <f t="shared" si="35"/>
        <v/>
      </c>
      <c r="BR71" s="895" t="str">
        <f t="shared" si="10"/>
        <v/>
      </c>
      <c r="BS71" s="896" t="str">
        <f t="shared" si="36"/>
        <v/>
      </c>
      <c r="BT71" s="897" t="str">
        <f t="shared" si="37"/>
        <v/>
      </c>
      <c r="BU71" s="231" t="str">
        <f t="shared" si="38"/>
        <v/>
      </c>
      <c r="BV71" s="898">
        <f t="shared" si="39"/>
        <v>127</v>
      </c>
      <c r="BW71" s="845" t="str">
        <f t="shared" si="40"/>
        <v/>
      </c>
      <c r="BX71" s="899" t="str">
        <f t="shared" si="41"/>
        <v/>
      </c>
      <c r="BY71" s="900" t="str" cm="1">
        <f t="array" ref="BY71">[1]!ACAELE_CAPACIDADCABLE(BB71,H71,I71,M71,BX71,N71)</f>
        <v/>
      </c>
      <c r="BZ71" s="900" t="str">
        <f t="shared" si="42"/>
        <v/>
      </c>
      <c r="CA71" s="901" t="str" cm="1">
        <f t="array" ref="CA71">[1]!ACAELE_cabledetierra(BZ71,$N$9,I71,BW71,BX71,G71)</f>
        <v/>
      </c>
      <c r="CB71" s="902" t="str" cm="1">
        <f t="array" ref="CB71">[1]!ACAELE_TAMATUBERIA(BX71,DU71,$N$9,M71,I71)</f>
        <v/>
      </c>
      <c r="CC71" s="846" t="str">
        <f t="shared" si="43"/>
        <v/>
      </c>
      <c r="CD71" s="903" t="str" cm="1">
        <f t="array" ref="CD71">[1]!ACAELE_CAPACIDADCABLE(BB71,H71,I71,M71,CC71,N71)</f>
        <v/>
      </c>
      <c r="CE71" s="903" t="str">
        <f t="shared" si="44"/>
        <v/>
      </c>
      <c r="CF71" s="904" t="str" cm="1">
        <f t="array" ref="CF71">[1]!ACAELE_cabledetierra(CE71,$N$9,I71,BW71,CC71,G71)</f>
        <v/>
      </c>
      <c r="CG71" s="905" t="str" cm="1">
        <f t="array" ref="CG71">[1]!ACAELE_TAMATUBERIA(CC71,EC71,$N$9,S71,I71)</f>
        <v/>
      </c>
      <c r="CH71" s="906" t="str">
        <f t="shared" si="45"/>
        <v/>
      </c>
      <c r="CI71" s="510" t="str">
        <f t="shared" si="46"/>
        <v>-</v>
      </c>
      <c r="CJ71" s="511" t="str">
        <f t="shared" si="47"/>
        <v>-</v>
      </c>
      <c r="CK71" s="512" t="str">
        <f t="shared" si="48"/>
        <v>-</v>
      </c>
      <c r="CL71" s="907" t="str">
        <f t="shared" si="49"/>
        <v>-</v>
      </c>
      <c r="CM71" s="908" t="str">
        <f t="shared" si="50"/>
        <v>-</v>
      </c>
      <c r="CN71" s="909" t="str">
        <f t="shared" si="51"/>
        <v>-</v>
      </c>
      <c r="CO71" s="910" t="str" cm="1">
        <f t="array" ref="CO71">[1]!ACAELE_fasecorresponde(B71,$F$10,$P$5)</f>
        <v>C</v>
      </c>
      <c r="CP71" s="910" t="str" cm="1">
        <f t="array" ref="CP71">[1]!ACAELE_fasecorresponde(C71,$F$10,$P$5)</f>
        <v>-</v>
      </c>
      <c r="CQ71" s="910" t="str" cm="1">
        <f t="array" ref="CQ71">[1]!ACAELE_fasecorresponde(D71,$F$10,$P$5)</f>
        <v>-</v>
      </c>
      <c r="CR71" s="911" t="str">
        <f t="shared" si="52"/>
        <v>C</v>
      </c>
      <c r="CS71" s="912">
        <f t="shared" si="53"/>
        <v>1</v>
      </c>
      <c r="CT71" s="913">
        <f t="shared" si="54"/>
        <v>0.8</v>
      </c>
      <c r="CU71" s="914" t="str">
        <f t="shared" si="55"/>
        <v/>
      </c>
      <c r="CV71" s="915">
        <f t="shared" si="56"/>
        <v>0</v>
      </c>
      <c r="CW71" s="916" t="str" cm="1">
        <f t="array" ref="CW71">[1]!ACAELE_Inominal(BB71,F71,BT71,BV71,DA71,G71,V71,$P$5)</f>
        <v/>
      </c>
      <c r="CX71" s="917" t="str" cm="1">
        <f t="array" ref="CX71">[1]!ACAELE_Disparocalculado(BB71,H71,DL71,$N$21,$M$21,$O$21,BV71,$P$5)</f>
        <v/>
      </c>
      <c r="CY71" s="918" t="str" cm="1">
        <f t="array" ref="CY71">[1]!ACAELE_Icorregida($A$27,H71,BB71,BU71,CS71,CT71,$P$5)</f>
        <v/>
      </c>
      <c r="CZ71" s="919" t="str" cm="1">
        <f t="array" ref="CZ71">[1]!ACAELE_Icorregida2($A$27,H71,BB71,BU71,CS71,CU71,$P$5)</f>
        <v/>
      </c>
      <c r="DA71" s="920">
        <f t="shared" si="57"/>
        <v>0.9</v>
      </c>
      <c r="DB71" s="921">
        <f t="shared" si="58"/>
        <v>0.43588989435406728</v>
      </c>
      <c r="DC71" s="922" t="str" cm="1">
        <f t="array" ref="DC71">[1]!ACAELE_CONDPORTCORRIENTE(H71,BB71,I71,M71,CY71,CZ71,N71,$P$5)</f>
        <v/>
      </c>
      <c r="DD71" s="923" t="str" cm="1">
        <f t="array" ref="DD71">[1]!ACAELE_CAPACONDCORRIENTE(BB71,H71,I71,M71,CY71,CZ71,$P$5)</f>
        <v/>
      </c>
      <c r="DE71" s="923" t="str" cm="1">
        <f t="array" ref="DE71">[1]!ACAELE_CAPACIDADCABLE(BB71,H71,I71,M71,DC71,N71,$P$5)</f>
        <v/>
      </c>
      <c r="DF71" s="924" t="str" cm="1">
        <f t="array" ref="DF71">[1]!ACAELE_encontrarcaida(BB71,H71,L71,BV71,F71,BU71,N71,K71)</f>
        <v/>
      </c>
      <c r="DG71" s="925" t="str" cm="1">
        <f t="array" ref="DG71">[1]!ACAELE_Cablecaida(BB71,H71,M71,I71,DF71)</f>
        <v/>
      </c>
      <c r="DH71" s="918" t="str" cm="1">
        <f t="array" ref="DH71">[1]!ACAELE_CAPACIDADCABLE(BB71,H71,I71,M71,DG71,N71,$P$5)</f>
        <v/>
      </c>
      <c r="DI71" s="926" t="str" cm="1">
        <f t="array" ref="DI71">IF($A$27=1,"",[1]!ACAELE_encontrarcaida(BB71,H71,R71,BV71,F71,BU71,T71,Q71,$P$5))</f>
        <v/>
      </c>
      <c r="DJ71" s="914" t="str" cm="1">
        <f t="array" ref="DJ71">IF($A$27=1,"",[1]!ACAELE_Cablecaida2(BB71,Q71,H71,S71,I71,DI71,$P$5))</f>
        <v/>
      </c>
      <c r="DK71" s="919" t="str" cm="1">
        <f t="array" ref="DK71">[1]!ACAELE_CAPACIDADCABLE(BB71,H71,I71,M71,DJ71,N71,$P$5)</f>
        <v/>
      </c>
      <c r="DL71" s="927" t="str" cm="1">
        <f t="array" ref="DL71">[1]!acaele_Iproteccion(BB71,H71,BU71,$F$20,$G$20,$F$19,$G$19,$H$20,$H$19,$P$5)</f>
        <v/>
      </c>
      <c r="DM71" s="928" cm="1">
        <f t="array" ref="DM71">[1]!acaele_ProtCalculada(CX71,H71,BT71,BW71,$G$21,$F$21,$H$21,$P$5)</f>
        <v>0</v>
      </c>
      <c r="DN71" s="929" t="str" cm="1">
        <f t="array" ref="DN71">[1]!ACAELE_cablecalculo(BB71,H71,I71,M71,EF71,$P$5)</f>
        <v/>
      </c>
      <c r="DO71" s="930" t="str" cm="1">
        <f t="array" ref="DO71">[1]!ACAELE_RESISTENCIA(BB71,H71,M71,I71,BX71, CW71,$P$5)</f>
        <v/>
      </c>
      <c r="DP71" s="931" t="str" cm="1">
        <f t="array" ref="DP71">[1]!ACAELE_REACTANCIA(BB71,H71,$F$11,M71,I71,BX71,$P$5)</f>
        <v/>
      </c>
      <c r="DQ71" s="918" t="str" cm="1">
        <f t="array" ref="DQ71">[1]!ACAELE_DIAMECAISLA(BB71,H71,I71,BX71,$P$5)</f>
        <v/>
      </c>
      <c r="DR71" s="918" t="str" cm="1">
        <f t="array" ref="DR71">[1]!ACAELE_AREACAISLAMIENTO(BB71,H71,DQ71,$P$5)</f>
        <v/>
      </c>
      <c r="DS71" s="918" t="str" cm="1">
        <f t="array" ref="DS71">[1]!ACAELE_CAIDAVOLTSFINAL(BB71,H71,F71,K71,BU71,N71,DO71,DA71,DP71,DB71,$P$5)</f>
        <v/>
      </c>
      <c r="DT71" s="918" t="str" cm="1">
        <f t="array" ref="DT71">[1]!ACAELE_AREACONDPTE(BB71,H71,CA71,$P$5)</f>
        <v/>
      </c>
      <c r="DU71" s="932" t="str" cm="1">
        <f t="array" ref="DU71">[1]!ACAELE_AREATOTAL(BZ71,M71,EO71,N71,DQ71,G71,DR71,DT71,N$20,$P$5)</f>
        <v/>
      </c>
      <c r="DV71" s="933" t="str" cm="1">
        <f t="array" ref="DV71">IF($A$27=1,"",[1]!ACAELE_cablecalculo(BB71,H71,I71,M71,EG71,$P$5))</f>
        <v/>
      </c>
      <c r="DW71" s="934" t="str" cm="1">
        <f t="array" ref="DW71">IF($A$27=1,"",[1]!ACAELE_RESISTENCIA(BB71,H71,M71,I71,CC71,CW71,$P$5))</f>
        <v/>
      </c>
      <c r="DX71" s="926" t="str" cm="1">
        <f t="array" ref="DX71">IF($A$27=1,"",[1]!ACAELE_REACTANCIA(BB71,H71,$F$11,M71,I71,CC71,$P$5))</f>
        <v/>
      </c>
      <c r="DY71" s="935" t="str" cm="1">
        <f t="array" ref="DY71">IF($A$27=1,"",[1]!ACAELE_DIAMECAISLA(BB71,H71,I71,CC71,$P$5))</f>
        <v/>
      </c>
      <c r="DZ71" s="935" t="str" cm="1">
        <f t="array" ref="DZ71">IF($A$27=1,"",[1]!ACAELE_AREACAISLAMIENTO(BB71,H71,DY71,$P$5))</f>
        <v/>
      </c>
      <c r="EA71" s="935" t="str" cm="1">
        <f t="array" ref="EA71">[1]!ACAELE_CAIDAVOLTSFINAL2(BB71,Q71,H71,F71,$A$27,BU71,T71,DW71,DA71,DX71,DB71)</f>
        <v/>
      </c>
      <c r="EB71" s="935" t="str" cm="1">
        <f t="array" ref="EB71">IF($A$27=1,"",[1]!ACAELE_AREACONDPTE(BB71,H71,CF71,$P$5))</f>
        <v/>
      </c>
      <c r="EC71" s="936" t="str" cm="1">
        <f t="array" ref="EC71">[1]!ACAELE_AREATOTAL2(H71,$A$27,DY71,S71,G71,T71,DZ71,U71,EB71)</f>
        <v/>
      </c>
      <c r="ED71" s="937" t="str">
        <f t="shared" si="59"/>
        <v/>
      </c>
      <c r="EE71" s="938" t="str">
        <f t="shared" si="60"/>
        <v/>
      </c>
      <c r="EF71" s="939" t="str">
        <f t="shared" si="61"/>
        <v/>
      </c>
      <c r="EG71" s="940">
        <f t="shared" si="62"/>
        <v>0</v>
      </c>
      <c r="EH71" s="941" t="str">
        <f t="shared" si="63"/>
        <v/>
      </c>
      <c r="EI71" s="942">
        <f t="shared" si="64"/>
        <v>30</v>
      </c>
      <c r="EJ71" s="943" t="str">
        <f t="shared" si="11"/>
        <v/>
      </c>
      <c r="EK71" s="943" t="str">
        <f t="shared" si="12"/>
        <v/>
      </c>
      <c r="EL71" s="943" t="str">
        <f t="shared" si="13"/>
        <v/>
      </c>
      <c r="EM71" s="944" t="str">
        <f t="shared" si="14"/>
        <v/>
      </c>
      <c r="EN71" s="945" t="str" cm="1">
        <f t="array" ref="EN71">[1]!ACAELE_MOTOR(H71,X71:BA71,$X$26:$BA$26,$P$5)</f>
        <v/>
      </c>
      <c r="EO71" s="550" t="str">
        <f t="shared" si="65"/>
        <v/>
      </c>
      <c r="EP71" s="431" t="s">
        <v>1214</v>
      </c>
      <c r="EQ71" s="434" t="str">
        <f t="shared" ca="1" si="66"/>
        <v/>
      </c>
      <c r="ER71" s="32"/>
      <c r="ES71" s="32"/>
      <c r="ET71" s="3" t="str">
        <f t="shared" si="67"/>
        <v/>
      </c>
      <c r="EU71" s="3" t="str">
        <f t="shared" si="68"/>
        <v/>
      </c>
      <c r="EV71" s="3" t="str">
        <f t="shared" si="69"/>
        <v/>
      </c>
      <c r="EW71" s="3" t="str">
        <f t="shared" si="70"/>
        <v/>
      </c>
      <c r="EX71" s="3" t="str">
        <f t="shared" si="71"/>
        <v/>
      </c>
      <c r="EY71" s="3" t="str">
        <f t="shared" si="72"/>
        <v/>
      </c>
      <c r="EZ71" s="3" t="str">
        <f t="shared" si="73"/>
        <v/>
      </c>
      <c r="FA71" s="3" t="str">
        <f t="shared" si="74"/>
        <v/>
      </c>
      <c r="FB71" s="3" t="str">
        <f t="shared" si="75"/>
        <v/>
      </c>
      <c r="FC71" s="3">
        <f t="shared" si="76"/>
        <v>0</v>
      </c>
      <c r="FD71" s="32"/>
      <c r="FE71" s="32"/>
      <c r="FF71" s="103">
        <v>1</v>
      </c>
      <c r="FG71" s="32"/>
      <c r="FH71" s="103"/>
      <c r="FI71" s="32"/>
      <c r="FJ71" s="103"/>
      <c r="FK71" s="3">
        <f t="shared" si="77"/>
        <v>0</v>
      </c>
      <c r="FL71" s="3" t="str" cm="1">
        <f t="array" aca="1" ref="FL71" ca="1">[1]!acaele_DIB_UNIFILAR(BB71,H71,F71,COUNTIF(X71:BA71,1),BW71)</f>
        <v/>
      </c>
      <c r="FM71" s="3" t="str">
        <f>IF(DATOS!$T$4=0,"",IF(DATOS!$T$4=1," (QO)",IF(DATOS!$T$4=2," (QOB)",IF(DATOS!$T$4=3," (EDB)",IF(DATOS!$T$4=4,IF(BW71&lt;151," (H"&amp;FN71&amp;")",IF(BW71&lt;251," (J"&amp;FN71&amp;")", IF(BW71&lt;401," (LA)",IF(BW71&lt;801," (MG)",IF(BW71&lt;5001," (POWERPACK)",""))))))))))</f>
        <v xml:space="preserve"> (QOB)</v>
      </c>
      <c r="FN71" s="3" t="str">
        <f t="shared" si="78"/>
        <v/>
      </c>
      <c r="FO71" s="146"/>
      <c r="FP71" s="146"/>
      <c r="FQ71" s="146"/>
      <c r="FR71" s="146"/>
      <c r="FS71" s="146"/>
      <c r="FT71" s="146"/>
      <c r="FU71" s="146"/>
      <c r="FV71" s="146"/>
      <c r="FW71" s="146"/>
      <c r="FX71" s="146" t="str">
        <f t="shared" si="9"/>
        <v/>
      </c>
      <c r="FY71" s="736"/>
      <c r="FZ71" s="740"/>
      <c r="GA71" s="740"/>
      <c r="GB71" s="717"/>
      <c r="GC71" s="838"/>
      <c r="GD71" s="736"/>
      <c r="GE71" s="146"/>
      <c r="GF71" s="506"/>
      <c r="GG71" s="506"/>
      <c r="GH71" s="506"/>
      <c r="GI71" s="506"/>
      <c r="GJ71" s="506"/>
      <c r="GM71" s="3">
        <f>IF(OR(GN71&gt;TABLERO!$M$19,GO71&gt;TABLERO!$M$19,GP71&gt;TABLERO!$M$19,B71=0,C71=0,D71=0),2,CUADROACAD!A71)</f>
        <v>2</v>
      </c>
      <c r="GN71" s="3">
        <f>IF(TABLERO!B71="",0,TABLERO!B71)</f>
        <v>41</v>
      </c>
      <c r="GO71" s="3">
        <f>IF(TABLERO!C71="",GN71,TABLERO!C71)</f>
        <v>41</v>
      </c>
      <c r="GP71" s="3">
        <f>IF(TABLERO!D71="",GN71,TABLERO!D71)</f>
        <v>41</v>
      </c>
    </row>
    <row r="72" spans="1:198" s="3" customFormat="1">
      <c r="A72" s="706"/>
      <c r="B72" s="869">
        <v>42</v>
      </c>
      <c r="C72" s="870" t="str">
        <f t="shared" si="15"/>
        <v/>
      </c>
      <c r="D72" s="870" t="str">
        <f t="shared" si="16"/>
        <v/>
      </c>
      <c r="E72" s="871"/>
      <c r="F72" s="872">
        <v>1</v>
      </c>
      <c r="G72" s="716">
        <f t="shared" si="17"/>
        <v>2</v>
      </c>
      <c r="H72" s="873" t="s">
        <v>12</v>
      </c>
      <c r="I72" s="874" t="str">
        <f t="shared" si="18"/>
        <v>CU</v>
      </c>
      <c r="J72" s="875">
        <v>6</v>
      </c>
      <c r="K72" s="876">
        <v>10</v>
      </c>
      <c r="L72" s="876">
        <v>3</v>
      </c>
      <c r="M72" s="877">
        <v>1</v>
      </c>
      <c r="N72" s="877">
        <v>1</v>
      </c>
      <c r="O72" s="878">
        <v>1</v>
      </c>
      <c r="P72" s="879">
        <v>4</v>
      </c>
      <c r="Q72" s="880">
        <v>1</v>
      </c>
      <c r="R72" s="880">
        <v>1</v>
      </c>
      <c r="S72" s="881">
        <v>1</v>
      </c>
      <c r="T72" s="881">
        <v>1</v>
      </c>
      <c r="U72" s="882">
        <v>1</v>
      </c>
      <c r="V72" s="883">
        <v>1</v>
      </c>
      <c r="W72" s="874" t="str">
        <f t="shared" si="19"/>
        <v>SI</v>
      </c>
      <c r="X72" s="884"/>
      <c r="Y72" s="885"/>
      <c r="Z72" s="885"/>
      <c r="AA72" s="885"/>
      <c r="AB72" s="885"/>
      <c r="AC72" s="885"/>
      <c r="AD72" s="885"/>
      <c r="AE72" s="885"/>
      <c r="AF72" s="885"/>
      <c r="AG72" s="885"/>
      <c r="AH72" s="885"/>
      <c r="AI72" s="885"/>
      <c r="AJ72" s="885"/>
      <c r="AK72" s="885"/>
      <c r="AL72" s="885"/>
      <c r="AM72" s="885"/>
      <c r="AN72" s="885"/>
      <c r="AO72" s="885"/>
      <c r="AP72" s="885"/>
      <c r="AQ72" s="885"/>
      <c r="AR72" s="885"/>
      <c r="AS72" s="885"/>
      <c r="AT72" s="885"/>
      <c r="AU72" s="885"/>
      <c r="AV72" s="885"/>
      <c r="AW72" s="885"/>
      <c r="AX72" s="885"/>
      <c r="AY72" s="885"/>
      <c r="AZ72" s="885"/>
      <c r="BA72" s="886"/>
      <c r="BB72" s="887">
        <f t="shared" si="20"/>
        <v>0</v>
      </c>
      <c r="BC72" s="888" t="str">
        <f t="shared" si="21"/>
        <v/>
      </c>
      <c r="BD72" s="889" t="str">
        <f t="shared" si="22"/>
        <v/>
      </c>
      <c r="BE72" s="889" t="str">
        <f t="shared" si="23"/>
        <v/>
      </c>
      <c r="BF72" s="889" t="str">
        <f t="shared" si="24"/>
        <v/>
      </c>
      <c r="BG72" s="889" t="str">
        <f t="shared" si="25"/>
        <v/>
      </c>
      <c r="BH72" s="889" t="str">
        <f t="shared" si="26"/>
        <v/>
      </c>
      <c r="BI72" s="890" t="str">
        <f t="shared" si="27"/>
        <v/>
      </c>
      <c r="BJ72" s="891" t="str">
        <f t="shared" si="28"/>
        <v/>
      </c>
      <c r="BK72" s="892" t="str">
        <f t="shared" si="29"/>
        <v/>
      </c>
      <c r="BL72" s="892" t="str">
        <f t="shared" si="30"/>
        <v/>
      </c>
      <c r="BM72" s="892" t="str">
        <f t="shared" si="31"/>
        <v/>
      </c>
      <c r="BN72" s="892" t="str">
        <f t="shared" si="32"/>
        <v/>
      </c>
      <c r="BO72" s="892" t="str">
        <f t="shared" si="33"/>
        <v/>
      </c>
      <c r="BP72" s="893" t="str">
        <f t="shared" si="34"/>
        <v/>
      </c>
      <c r="BQ72" s="894" t="str">
        <f t="shared" si="35"/>
        <v/>
      </c>
      <c r="BR72" s="895" t="str">
        <f t="shared" si="10"/>
        <v/>
      </c>
      <c r="BS72" s="896" t="str">
        <f t="shared" si="36"/>
        <v/>
      </c>
      <c r="BT72" s="897" t="str">
        <f t="shared" si="37"/>
        <v/>
      </c>
      <c r="BU72" s="231" t="str">
        <f t="shared" si="38"/>
        <v/>
      </c>
      <c r="BV72" s="898">
        <f t="shared" si="39"/>
        <v>127</v>
      </c>
      <c r="BW72" s="845" t="str">
        <f t="shared" si="40"/>
        <v/>
      </c>
      <c r="BX72" s="899" t="str">
        <f t="shared" si="41"/>
        <v/>
      </c>
      <c r="BY72" s="900" t="str" cm="1">
        <f t="array" ref="BY72">[1]!ACAELE_CAPACIDADCABLE(BB72,H72,I72,M72,BX72,N72)</f>
        <v/>
      </c>
      <c r="BZ72" s="900" t="str">
        <f t="shared" si="42"/>
        <v/>
      </c>
      <c r="CA72" s="901" t="str" cm="1">
        <f t="array" ref="CA72">[1]!ACAELE_cabledetierra(BZ72,$N$9,I72,BW72,BX72,G72)</f>
        <v/>
      </c>
      <c r="CB72" s="902" t="str" cm="1">
        <f t="array" ref="CB72">[1]!ACAELE_TAMATUBERIA(BX72,DU72,$N$9,M72,I72)</f>
        <v/>
      </c>
      <c r="CC72" s="846" t="str">
        <f t="shared" si="43"/>
        <v/>
      </c>
      <c r="CD72" s="903" t="str" cm="1">
        <f t="array" ref="CD72">[1]!ACAELE_CAPACIDADCABLE(BB72,H72,I72,M72,CC72,N72)</f>
        <v/>
      </c>
      <c r="CE72" s="903" t="str">
        <f t="shared" si="44"/>
        <v/>
      </c>
      <c r="CF72" s="904" t="str" cm="1">
        <f t="array" ref="CF72">[1]!ACAELE_cabledetierra(CE72,$N$9,I72,BW72,CC72,G72)</f>
        <v/>
      </c>
      <c r="CG72" s="905" t="str" cm="1">
        <f t="array" ref="CG72">[1]!ACAELE_TAMATUBERIA(CC72,EC72,$N$9,S72,I72)</f>
        <v/>
      </c>
      <c r="CH72" s="906" t="str">
        <f t="shared" si="45"/>
        <v/>
      </c>
      <c r="CI72" s="510" t="str">
        <f t="shared" si="46"/>
        <v>-</v>
      </c>
      <c r="CJ72" s="511" t="str">
        <f t="shared" si="47"/>
        <v>-</v>
      </c>
      <c r="CK72" s="512" t="str">
        <f t="shared" si="48"/>
        <v>-</v>
      </c>
      <c r="CL72" s="907" t="str">
        <f t="shared" si="49"/>
        <v>-</v>
      </c>
      <c r="CM72" s="908" t="str">
        <f t="shared" si="50"/>
        <v>-</v>
      </c>
      <c r="CN72" s="909" t="str">
        <f t="shared" si="51"/>
        <v>-</v>
      </c>
      <c r="CO72" s="910" t="str" cm="1">
        <f t="array" ref="CO72">[1]!ACAELE_fasecorresponde(B72,$F$10,$P$5)</f>
        <v>C</v>
      </c>
      <c r="CP72" s="910" t="str" cm="1">
        <f t="array" ref="CP72">[1]!ACAELE_fasecorresponde(C72,$F$10,$P$5)</f>
        <v>-</v>
      </c>
      <c r="CQ72" s="910" t="str" cm="1">
        <f t="array" ref="CQ72">[1]!ACAELE_fasecorresponde(D72,$F$10,$P$5)</f>
        <v>-</v>
      </c>
      <c r="CR72" s="911" t="str">
        <f t="shared" si="52"/>
        <v>C</v>
      </c>
      <c r="CS72" s="912">
        <f t="shared" si="53"/>
        <v>1</v>
      </c>
      <c r="CT72" s="913">
        <f t="shared" si="54"/>
        <v>0.8</v>
      </c>
      <c r="CU72" s="914" t="str">
        <f t="shared" si="55"/>
        <v/>
      </c>
      <c r="CV72" s="915">
        <f t="shared" si="56"/>
        <v>0</v>
      </c>
      <c r="CW72" s="916" t="str" cm="1">
        <f t="array" ref="CW72">[1]!ACAELE_Inominal(BB72,F72,BT72,BV72,DA72,G72,V72,$P$5)</f>
        <v/>
      </c>
      <c r="CX72" s="917" t="str" cm="1">
        <f t="array" ref="CX72">[1]!ACAELE_Disparocalculado(BB72,H72,DL72,$N$21,$M$21,$O$21,BV72,$P$5)</f>
        <v/>
      </c>
      <c r="CY72" s="918" t="str" cm="1">
        <f t="array" ref="CY72">[1]!ACAELE_Icorregida($A$27,H72,BB72,BU72,CS72,CT72,$P$5)</f>
        <v/>
      </c>
      <c r="CZ72" s="919" t="str" cm="1">
        <f t="array" ref="CZ72">[1]!ACAELE_Icorregida2($A$27,H72,BB72,BU72,CS72,CU72,$P$5)</f>
        <v/>
      </c>
      <c r="DA72" s="920">
        <f t="shared" si="57"/>
        <v>0.9</v>
      </c>
      <c r="DB72" s="921">
        <f t="shared" si="58"/>
        <v>0.43588989435406728</v>
      </c>
      <c r="DC72" s="922" t="str" cm="1">
        <f t="array" ref="DC72">[1]!ACAELE_CONDPORTCORRIENTE(H72,BB72,I72,M72,CY72,CZ72,N72,$P$5)</f>
        <v/>
      </c>
      <c r="DD72" s="923" t="str" cm="1">
        <f t="array" ref="DD72">[1]!ACAELE_CAPACONDCORRIENTE(BB72,H72,I72,M72,CY72,CZ72,$P$5)</f>
        <v/>
      </c>
      <c r="DE72" s="923" t="str" cm="1">
        <f t="array" ref="DE72">[1]!ACAELE_CAPACIDADCABLE(BB72,H72,I72,M72,DC72,N72,$P$5)</f>
        <v/>
      </c>
      <c r="DF72" s="924" t="str" cm="1">
        <f t="array" ref="DF72">[1]!ACAELE_encontrarcaida(BB72,H72,L72,BV72,F72,BU72,N72,K72)</f>
        <v/>
      </c>
      <c r="DG72" s="925" t="str" cm="1">
        <f t="array" ref="DG72">[1]!ACAELE_Cablecaida(BB72,H72,M72,I72,DF72)</f>
        <v/>
      </c>
      <c r="DH72" s="918" t="str" cm="1">
        <f t="array" ref="DH72">[1]!ACAELE_CAPACIDADCABLE(BB72,H72,I72,M72,DG72,N72,$P$5)</f>
        <v/>
      </c>
      <c r="DI72" s="926" t="str" cm="1">
        <f t="array" ref="DI72">IF($A$27=1,"",[1]!ACAELE_encontrarcaida(BB72,H72,R72,BV72,F72,BU72,T72,Q72,$P$5))</f>
        <v/>
      </c>
      <c r="DJ72" s="914" t="str" cm="1">
        <f t="array" ref="DJ72">IF($A$27=1,"",[1]!ACAELE_Cablecaida2(BB72,Q72,H72,S72,I72,DI72,$P$5))</f>
        <v/>
      </c>
      <c r="DK72" s="919" t="str" cm="1">
        <f t="array" ref="DK72">[1]!ACAELE_CAPACIDADCABLE(BB72,H72,I72,M72,DJ72,N72,$P$5)</f>
        <v/>
      </c>
      <c r="DL72" s="927" t="str" cm="1">
        <f t="array" ref="DL72">[1]!acaele_Iproteccion(BB72,H72,BU72,$F$20,$G$20,$F$19,$G$19,$H$20,$H$19,$P$5)</f>
        <v/>
      </c>
      <c r="DM72" s="928" cm="1">
        <f t="array" ref="DM72">[1]!acaele_ProtCalculada(CX72,H72,BT72,BW72,$G$21,$F$21,$H$21,$P$5)</f>
        <v>0</v>
      </c>
      <c r="DN72" s="929" t="str" cm="1">
        <f t="array" ref="DN72">[1]!ACAELE_cablecalculo(BB72,H72,I72,M72,EF72,$P$5)</f>
        <v/>
      </c>
      <c r="DO72" s="930" t="str" cm="1">
        <f t="array" ref="DO72">[1]!ACAELE_RESISTENCIA(BB72,H72,M72,I72,BX72, CW72,$P$5)</f>
        <v/>
      </c>
      <c r="DP72" s="931" t="str" cm="1">
        <f t="array" ref="DP72">[1]!ACAELE_REACTANCIA(BB72,H72,$F$11,M72,I72,BX72,$P$5)</f>
        <v/>
      </c>
      <c r="DQ72" s="918" t="str" cm="1">
        <f t="array" ref="DQ72">[1]!ACAELE_DIAMECAISLA(BB72,H72,I72,BX72,$P$5)</f>
        <v/>
      </c>
      <c r="DR72" s="918" t="str" cm="1">
        <f t="array" ref="DR72">[1]!ACAELE_AREACAISLAMIENTO(BB72,H72,DQ72,$P$5)</f>
        <v/>
      </c>
      <c r="DS72" s="918" t="str" cm="1">
        <f t="array" ref="DS72">[1]!ACAELE_CAIDAVOLTSFINAL(BB72,H72,F72,K72,BU72,N72,DO72,DA72,DP72,DB72,$P$5)</f>
        <v/>
      </c>
      <c r="DT72" s="918" t="str" cm="1">
        <f t="array" ref="DT72">[1]!ACAELE_AREACONDPTE(BB72,H72,CA72,$P$5)</f>
        <v/>
      </c>
      <c r="DU72" s="932" t="str" cm="1">
        <f t="array" ref="DU72">[1]!ACAELE_AREATOTAL(BZ72,M72,EO72,N72,DQ72,G72,DR72,DT72,N$20,$P$5)</f>
        <v/>
      </c>
      <c r="DV72" s="933" t="str" cm="1">
        <f t="array" ref="DV72">IF($A$27=1,"",[1]!ACAELE_cablecalculo(BB72,H72,I72,M72,EG72,$P$5))</f>
        <v/>
      </c>
      <c r="DW72" s="934" t="str" cm="1">
        <f t="array" ref="DW72">IF($A$27=1,"",[1]!ACAELE_RESISTENCIA(BB72,H72,M72,I72,CC72,CW72,$P$5))</f>
        <v/>
      </c>
      <c r="DX72" s="926" t="str" cm="1">
        <f t="array" ref="DX72">IF($A$27=1,"",[1]!ACAELE_REACTANCIA(BB72,H72,$F$11,M72,I72,CC72,$P$5))</f>
        <v/>
      </c>
      <c r="DY72" s="935" t="str" cm="1">
        <f t="array" ref="DY72">IF($A$27=1,"",[1]!ACAELE_DIAMECAISLA(BB72,H72,I72,CC72,$P$5))</f>
        <v/>
      </c>
      <c r="DZ72" s="935" t="str" cm="1">
        <f t="array" ref="DZ72">IF($A$27=1,"",[1]!ACAELE_AREACAISLAMIENTO(BB72,H72,DY72,$P$5))</f>
        <v/>
      </c>
      <c r="EA72" s="935" t="str" cm="1">
        <f t="array" ref="EA72">[1]!ACAELE_CAIDAVOLTSFINAL2(BB72,Q72,H72,F72,$A$27,BU72,T72,DW72,DA72,DX72,DB72)</f>
        <v/>
      </c>
      <c r="EB72" s="935" t="str" cm="1">
        <f t="array" ref="EB72">IF($A$27=1,"",[1]!ACAELE_AREACONDPTE(BB72,H72,CF72,$P$5))</f>
        <v/>
      </c>
      <c r="EC72" s="936" t="str" cm="1">
        <f t="array" ref="EC72">[1]!ACAELE_AREATOTAL2(H72,$A$27,DY72,S72,G72,T72,DZ72,U72,EB72)</f>
        <v/>
      </c>
      <c r="ED72" s="937" t="str">
        <f t="shared" si="59"/>
        <v/>
      </c>
      <c r="EE72" s="938" t="str">
        <f t="shared" si="60"/>
        <v/>
      </c>
      <c r="EF72" s="939" t="str">
        <f t="shared" si="61"/>
        <v/>
      </c>
      <c r="EG72" s="940">
        <f t="shared" si="62"/>
        <v>0</v>
      </c>
      <c r="EH72" s="941" t="str">
        <f t="shared" si="63"/>
        <v/>
      </c>
      <c r="EI72" s="942">
        <f t="shared" si="64"/>
        <v>30</v>
      </c>
      <c r="EJ72" s="943" t="str">
        <f t="shared" si="11"/>
        <v/>
      </c>
      <c r="EK72" s="943" t="str">
        <f t="shared" si="12"/>
        <v/>
      </c>
      <c r="EL72" s="943" t="str">
        <f t="shared" si="13"/>
        <v/>
      </c>
      <c r="EM72" s="944" t="str">
        <f t="shared" si="14"/>
        <v/>
      </c>
      <c r="EN72" s="945" t="str" cm="1">
        <f t="array" ref="EN72">[1]!ACAELE_MOTOR(H72,X72:BA72,$X$26:$BA$26,$P$5)</f>
        <v/>
      </c>
      <c r="EO72" s="550" t="str">
        <f t="shared" si="65"/>
        <v/>
      </c>
      <c r="EP72" s="431" t="s">
        <v>1214</v>
      </c>
      <c r="EQ72" s="434" t="str">
        <f t="shared" ca="1" si="66"/>
        <v/>
      </c>
      <c r="ER72" s="32"/>
      <c r="ES72" s="32"/>
      <c r="ET72" s="3" t="str">
        <f t="shared" si="67"/>
        <v/>
      </c>
      <c r="EU72" s="3" t="str">
        <f t="shared" si="68"/>
        <v/>
      </c>
      <c r="EV72" s="3" t="str">
        <f t="shared" si="69"/>
        <v/>
      </c>
      <c r="EW72" s="3" t="str">
        <f t="shared" si="70"/>
        <v/>
      </c>
      <c r="EX72" s="3" t="str">
        <f t="shared" si="71"/>
        <v/>
      </c>
      <c r="EY72" s="3" t="str">
        <f t="shared" si="72"/>
        <v/>
      </c>
      <c r="EZ72" s="3" t="str">
        <f t="shared" si="73"/>
        <v/>
      </c>
      <c r="FA72" s="3" t="str">
        <f t="shared" si="74"/>
        <v/>
      </c>
      <c r="FB72" s="3" t="str">
        <f t="shared" si="75"/>
        <v/>
      </c>
      <c r="FC72" s="3">
        <f t="shared" si="76"/>
        <v>0</v>
      </c>
      <c r="FD72" s="32"/>
      <c r="FE72" s="32"/>
      <c r="FF72" s="103">
        <v>1</v>
      </c>
      <c r="FG72" s="32"/>
      <c r="FH72" s="103"/>
      <c r="FI72" s="32"/>
      <c r="FJ72" s="103"/>
      <c r="FK72" s="3">
        <f t="shared" si="77"/>
        <v>0</v>
      </c>
      <c r="FL72" s="3" t="str" cm="1">
        <f t="array" aca="1" ref="FL72" ca="1">[1]!acaele_DIB_UNIFILAR(BB72,H72,F72,COUNTIF(X72:BA72,1),BW72)</f>
        <v/>
      </c>
      <c r="FM72" s="3" t="str">
        <f>IF(DATOS!$T$4=0,"",IF(DATOS!$T$4=1," (QO)",IF(DATOS!$T$4=2," (QOB)",IF(DATOS!$T$4=3," (EDB)",IF(DATOS!$T$4=4,IF(BW72&lt;151," (H"&amp;FN72&amp;")",IF(BW72&lt;251," (J"&amp;FN72&amp;")", IF(BW72&lt;401," (LA)",IF(BW72&lt;801," (MG)",IF(BW72&lt;5001," (POWERPACK)",""))))))))))</f>
        <v xml:space="preserve"> (QOB)</v>
      </c>
      <c r="FN72" s="3" t="str">
        <f t="shared" si="78"/>
        <v/>
      </c>
      <c r="FO72" s="146"/>
      <c r="FP72" s="146"/>
      <c r="FQ72" s="146"/>
      <c r="FR72" s="146"/>
      <c r="FS72" s="146"/>
      <c r="FT72" s="146"/>
      <c r="FU72" s="146"/>
      <c r="FV72" s="146"/>
      <c r="FW72" s="146"/>
      <c r="FX72" s="146" t="str">
        <f t="shared" si="9"/>
        <v/>
      </c>
      <c r="FY72" s="736"/>
      <c r="FZ72" s="740"/>
      <c r="GA72" s="740"/>
      <c r="GB72" s="717"/>
      <c r="GC72" s="838"/>
      <c r="GD72" s="736"/>
      <c r="GE72" s="146"/>
      <c r="GF72" s="506"/>
      <c r="GG72" s="506"/>
      <c r="GH72" s="506"/>
      <c r="GI72" s="506"/>
      <c r="GJ72" s="506"/>
      <c r="GM72" s="3">
        <f>IF(OR(GN72&gt;TABLERO!$M$19,GO72&gt;TABLERO!$M$19,GP72&gt;TABLERO!$M$19,B72=0,C72=0,D72=0),2,CUADROACAD!A72)</f>
        <v>2</v>
      </c>
      <c r="GN72" s="3">
        <f>IF(TABLERO!B72="",0,TABLERO!B72)</f>
        <v>42</v>
      </c>
      <c r="GO72" s="3">
        <f>IF(TABLERO!C72="",GN72,TABLERO!C72)</f>
        <v>42</v>
      </c>
      <c r="GP72" s="3">
        <f>IF(TABLERO!D72="",GN72,TABLERO!D72)</f>
        <v>42</v>
      </c>
    </row>
    <row r="73" spans="1:198" s="3" customFormat="1">
      <c r="A73" s="706"/>
      <c r="B73" s="869">
        <v>43</v>
      </c>
      <c r="C73" s="870" t="str">
        <f t="shared" si="15"/>
        <v/>
      </c>
      <c r="D73" s="870" t="str">
        <f t="shared" si="16"/>
        <v/>
      </c>
      <c r="E73" s="871"/>
      <c r="F73" s="872">
        <v>1</v>
      </c>
      <c r="G73" s="716">
        <f t="shared" si="17"/>
        <v>2</v>
      </c>
      <c r="H73" s="873" t="s">
        <v>12</v>
      </c>
      <c r="I73" s="874" t="str">
        <f t="shared" si="18"/>
        <v>CU</v>
      </c>
      <c r="J73" s="875">
        <v>6</v>
      </c>
      <c r="K73" s="876">
        <v>10</v>
      </c>
      <c r="L73" s="876">
        <v>3</v>
      </c>
      <c r="M73" s="877">
        <v>1</v>
      </c>
      <c r="N73" s="877">
        <v>1</v>
      </c>
      <c r="O73" s="878">
        <v>1</v>
      </c>
      <c r="P73" s="879">
        <v>4</v>
      </c>
      <c r="Q73" s="880">
        <v>1</v>
      </c>
      <c r="R73" s="880">
        <v>1</v>
      </c>
      <c r="S73" s="881">
        <v>1</v>
      </c>
      <c r="T73" s="881">
        <v>1</v>
      </c>
      <c r="U73" s="882">
        <v>1</v>
      </c>
      <c r="V73" s="883">
        <v>1</v>
      </c>
      <c r="W73" s="874" t="str">
        <f t="shared" si="19"/>
        <v>SI</v>
      </c>
      <c r="X73" s="884"/>
      <c r="Y73" s="885"/>
      <c r="Z73" s="885"/>
      <c r="AA73" s="885"/>
      <c r="AB73" s="885"/>
      <c r="AC73" s="885"/>
      <c r="AD73" s="885"/>
      <c r="AE73" s="885"/>
      <c r="AF73" s="885"/>
      <c r="AG73" s="885"/>
      <c r="AH73" s="885"/>
      <c r="AI73" s="885"/>
      <c r="AJ73" s="885"/>
      <c r="AK73" s="885"/>
      <c r="AL73" s="885"/>
      <c r="AM73" s="885"/>
      <c r="AN73" s="885"/>
      <c r="AO73" s="885"/>
      <c r="AP73" s="885"/>
      <c r="AQ73" s="885"/>
      <c r="AR73" s="885"/>
      <c r="AS73" s="885"/>
      <c r="AT73" s="885"/>
      <c r="AU73" s="885"/>
      <c r="AV73" s="885"/>
      <c r="AW73" s="885"/>
      <c r="AX73" s="885"/>
      <c r="AY73" s="885"/>
      <c r="AZ73" s="885"/>
      <c r="BA73" s="886"/>
      <c r="BB73" s="887">
        <f t="shared" si="20"/>
        <v>0</v>
      </c>
      <c r="BC73" s="888" t="str">
        <f t="shared" si="21"/>
        <v/>
      </c>
      <c r="BD73" s="889" t="str">
        <f t="shared" si="22"/>
        <v/>
      </c>
      <c r="BE73" s="889" t="str">
        <f t="shared" si="23"/>
        <v/>
      </c>
      <c r="BF73" s="889" t="str">
        <f t="shared" si="24"/>
        <v/>
      </c>
      <c r="BG73" s="889" t="str">
        <f t="shared" si="25"/>
        <v/>
      </c>
      <c r="BH73" s="889" t="str">
        <f t="shared" si="26"/>
        <v/>
      </c>
      <c r="BI73" s="890" t="str">
        <f t="shared" si="27"/>
        <v/>
      </c>
      <c r="BJ73" s="891" t="str">
        <f t="shared" si="28"/>
        <v/>
      </c>
      <c r="BK73" s="892" t="str">
        <f t="shared" si="29"/>
        <v/>
      </c>
      <c r="BL73" s="892" t="str">
        <f t="shared" si="30"/>
        <v/>
      </c>
      <c r="BM73" s="892" t="str">
        <f t="shared" si="31"/>
        <v/>
      </c>
      <c r="BN73" s="892" t="str">
        <f t="shared" si="32"/>
        <v/>
      </c>
      <c r="BO73" s="892" t="str">
        <f t="shared" si="33"/>
        <v/>
      </c>
      <c r="BP73" s="893" t="str">
        <f t="shared" si="34"/>
        <v/>
      </c>
      <c r="BQ73" s="894" t="str">
        <f t="shared" si="35"/>
        <v/>
      </c>
      <c r="BR73" s="895" t="str">
        <f t="shared" si="10"/>
        <v/>
      </c>
      <c r="BS73" s="896" t="str">
        <f t="shared" si="36"/>
        <v/>
      </c>
      <c r="BT73" s="897" t="str">
        <f t="shared" si="37"/>
        <v/>
      </c>
      <c r="BU73" s="231" t="str">
        <f t="shared" si="38"/>
        <v/>
      </c>
      <c r="BV73" s="898">
        <f t="shared" si="39"/>
        <v>127</v>
      </c>
      <c r="BW73" s="845" t="str">
        <f t="shared" si="40"/>
        <v/>
      </c>
      <c r="BX73" s="899" t="str">
        <f t="shared" si="41"/>
        <v/>
      </c>
      <c r="BY73" s="900" t="str" cm="1">
        <f t="array" ref="BY73">[1]!ACAELE_CAPACIDADCABLE(BB73,H73,I73,M73,BX73,N73)</f>
        <v/>
      </c>
      <c r="BZ73" s="900" t="str">
        <f t="shared" si="42"/>
        <v/>
      </c>
      <c r="CA73" s="901" t="str" cm="1">
        <f t="array" ref="CA73">[1]!ACAELE_cabledetierra(BZ73,$N$9,I73,BW73,BX73,G73)</f>
        <v/>
      </c>
      <c r="CB73" s="902" t="str" cm="1">
        <f t="array" ref="CB73">[1]!ACAELE_TAMATUBERIA(BX73,DU73,$N$9,M73,I73)</f>
        <v/>
      </c>
      <c r="CC73" s="846" t="str">
        <f t="shared" si="43"/>
        <v/>
      </c>
      <c r="CD73" s="903" t="str" cm="1">
        <f t="array" ref="CD73">[1]!ACAELE_CAPACIDADCABLE(BB73,H73,I73,M73,CC73,N73)</f>
        <v/>
      </c>
      <c r="CE73" s="903" t="str">
        <f t="shared" si="44"/>
        <v/>
      </c>
      <c r="CF73" s="904" t="str" cm="1">
        <f t="array" ref="CF73">[1]!ACAELE_cabledetierra(CE73,$N$9,I73,BW73,CC73,G73)</f>
        <v/>
      </c>
      <c r="CG73" s="905" t="str" cm="1">
        <f t="array" ref="CG73">[1]!ACAELE_TAMATUBERIA(CC73,EC73,$N$9,S73,I73)</f>
        <v/>
      </c>
      <c r="CH73" s="906" t="str">
        <f t="shared" si="45"/>
        <v/>
      </c>
      <c r="CI73" s="510" t="str">
        <f t="shared" si="46"/>
        <v>-</v>
      </c>
      <c r="CJ73" s="511" t="str">
        <f t="shared" si="47"/>
        <v>-</v>
      </c>
      <c r="CK73" s="512" t="str">
        <f t="shared" si="48"/>
        <v>-</v>
      </c>
      <c r="CL73" s="907" t="str">
        <f t="shared" si="49"/>
        <v>-</v>
      </c>
      <c r="CM73" s="908" t="str">
        <f t="shared" si="50"/>
        <v>-</v>
      </c>
      <c r="CN73" s="909" t="str">
        <f t="shared" si="51"/>
        <v>-</v>
      </c>
      <c r="CO73" s="910" t="str" cm="1">
        <f t="array" ref="CO73">[1]!ACAELE_fasecorresponde(B73,$F$10,$P$5)</f>
        <v>A</v>
      </c>
      <c r="CP73" s="910" t="str" cm="1">
        <f t="array" ref="CP73">[1]!ACAELE_fasecorresponde(C73,$F$10,$P$5)</f>
        <v>-</v>
      </c>
      <c r="CQ73" s="910" t="str" cm="1">
        <f t="array" ref="CQ73">[1]!ACAELE_fasecorresponde(D73,$F$10,$P$5)</f>
        <v>-</v>
      </c>
      <c r="CR73" s="911" t="str">
        <f t="shared" si="52"/>
        <v>C</v>
      </c>
      <c r="CS73" s="912">
        <f t="shared" si="53"/>
        <v>1</v>
      </c>
      <c r="CT73" s="913">
        <f t="shared" si="54"/>
        <v>0.8</v>
      </c>
      <c r="CU73" s="914" t="str">
        <f t="shared" si="55"/>
        <v/>
      </c>
      <c r="CV73" s="915">
        <f t="shared" si="56"/>
        <v>0</v>
      </c>
      <c r="CW73" s="916" t="str" cm="1">
        <f t="array" ref="CW73">[1]!ACAELE_Inominal(BB73,F73,BT73,BV73,DA73,G73,V73,$P$5)</f>
        <v/>
      </c>
      <c r="CX73" s="917" t="str" cm="1">
        <f t="array" ref="CX73">[1]!ACAELE_Disparocalculado(BB73,H73,DL73,$N$21,$M$21,$O$21,BV73,$P$5)</f>
        <v/>
      </c>
      <c r="CY73" s="918" t="str" cm="1">
        <f t="array" ref="CY73">[1]!ACAELE_Icorregida($A$27,H73,BB73,BU73,CS73,CT73,$P$5)</f>
        <v/>
      </c>
      <c r="CZ73" s="919" t="str" cm="1">
        <f t="array" ref="CZ73">[1]!ACAELE_Icorregida2($A$27,H73,BB73,BU73,CS73,CU73,$P$5)</f>
        <v/>
      </c>
      <c r="DA73" s="920">
        <f t="shared" si="57"/>
        <v>0.9</v>
      </c>
      <c r="DB73" s="921">
        <f t="shared" si="58"/>
        <v>0.43588989435406728</v>
      </c>
      <c r="DC73" s="922" t="str" cm="1">
        <f t="array" ref="DC73">[1]!ACAELE_CONDPORTCORRIENTE(H73,BB73,I73,M73,CY73,CZ73,N73,$P$5)</f>
        <v/>
      </c>
      <c r="DD73" s="923" t="str" cm="1">
        <f t="array" ref="DD73">[1]!ACAELE_CAPACONDCORRIENTE(BB73,H73,I73,M73,CY73,CZ73,$P$5)</f>
        <v/>
      </c>
      <c r="DE73" s="923" t="str" cm="1">
        <f t="array" ref="DE73">[1]!ACAELE_CAPACIDADCABLE(BB73,H73,I73,M73,DC73,N73,$P$5)</f>
        <v/>
      </c>
      <c r="DF73" s="924" t="str" cm="1">
        <f t="array" ref="DF73">[1]!ACAELE_encontrarcaida(BB73,H73,L73,BV73,F73,BU73,N73,K73)</f>
        <v/>
      </c>
      <c r="DG73" s="925" t="str" cm="1">
        <f t="array" ref="DG73">[1]!ACAELE_Cablecaida(BB73,H73,M73,I73,DF73)</f>
        <v/>
      </c>
      <c r="DH73" s="918" t="str" cm="1">
        <f t="array" ref="DH73">[1]!ACAELE_CAPACIDADCABLE(BB73,H73,I73,M73,DG73,N73,$P$5)</f>
        <v/>
      </c>
      <c r="DI73" s="926" t="str" cm="1">
        <f t="array" ref="DI73">IF($A$27=1,"",[1]!ACAELE_encontrarcaida(BB73,H73,R73,BV73,F73,BU73,T73,Q73,$P$5))</f>
        <v/>
      </c>
      <c r="DJ73" s="914" t="str" cm="1">
        <f t="array" ref="DJ73">IF($A$27=1,"",[1]!ACAELE_Cablecaida2(BB73,Q73,H73,S73,I73,DI73,$P$5))</f>
        <v/>
      </c>
      <c r="DK73" s="919" t="str" cm="1">
        <f t="array" ref="DK73">[1]!ACAELE_CAPACIDADCABLE(BB73,H73,I73,M73,DJ73,N73,$P$5)</f>
        <v/>
      </c>
      <c r="DL73" s="927" t="str" cm="1">
        <f t="array" ref="DL73">[1]!acaele_Iproteccion(BB73,H73,BU73,$F$20,$G$20,$F$19,$G$19,$H$20,$H$19,$P$5)</f>
        <v/>
      </c>
      <c r="DM73" s="928" cm="1">
        <f t="array" ref="DM73">[1]!acaele_ProtCalculada(CX73,H73,BT73,BW73,$G$21,$F$21,$H$21,$P$5)</f>
        <v>0</v>
      </c>
      <c r="DN73" s="929" t="str" cm="1">
        <f t="array" ref="DN73">[1]!ACAELE_cablecalculo(BB73,H73,I73,M73,EF73,$P$5)</f>
        <v/>
      </c>
      <c r="DO73" s="930" t="str" cm="1">
        <f t="array" ref="DO73">[1]!ACAELE_RESISTENCIA(BB73,H73,M73,I73,BX73, CW73,$P$5)</f>
        <v/>
      </c>
      <c r="DP73" s="931" t="str" cm="1">
        <f t="array" ref="DP73">[1]!ACAELE_REACTANCIA(BB73,H73,$F$11,M73,I73,BX73,$P$5)</f>
        <v/>
      </c>
      <c r="DQ73" s="918" t="str" cm="1">
        <f t="array" ref="DQ73">[1]!ACAELE_DIAMECAISLA(BB73,H73,I73,BX73,$P$5)</f>
        <v/>
      </c>
      <c r="DR73" s="918" t="str" cm="1">
        <f t="array" ref="DR73">[1]!ACAELE_AREACAISLAMIENTO(BB73,H73,DQ73,$P$5)</f>
        <v/>
      </c>
      <c r="DS73" s="918" t="str" cm="1">
        <f t="array" ref="DS73">[1]!ACAELE_CAIDAVOLTSFINAL(BB73,H73,F73,K73,BU73,N73,DO73,DA73,DP73,DB73,$P$5)</f>
        <v/>
      </c>
      <c r="DT73" s="918" t="str" cm="1">
        <f t="array" ref="DT73">[1]!ACAELE_AREACONDPTE(BB73,H73,CA73,$P$5)</f>
        <v/>
      </c>
      <c r="DU73" s="932" t="str" cm="1">
        <f t="array" ref="DU73">[1]!ACAELE_AREATOTAL(BZ73,M73,EO73,N73,DQ73,G73,DR73,DT73,N$20,$P$5)</f>
        <v/>
      </c>
      <c r="DV73" s="933" t="str" cm="1">
        <f t="array" ref="DV73">IF($A$27=1,"",[1]!ACAELE_cablecalculo(BB73,H73,I73,M73,EG73,$P$5))</f>
        <v/>
      </c>
      <c r="DW73" s="934" t="str" cm="1">
        <f t="array" ref="DW73">IF($A$27=1,"",[1]!ACAELE_RESISTENCIA(BB73,H73,M73,I73,CC73,CW73,$P$5))</f>
        <v/>
      </c>
      <c r="DX73" s="926" t="str" cm="1">
        <f t="array" ref="DX73">IF($A$27=1,"",[1]!ACAELE_REACTANCIA(BB73,H73,$F$11,M73,I73,CC73,$P$5))</f>
        <v/>
      </c>
      <c r="DY73" s="935" t="str" cm="1">
        <f t="array" ref="DY73">IF($A$27=1,"",[1]!ACAELE_DIAMECAISLA(BB73,H73,I73,CC73,$P$5))</f>
        <v/>
      </c>
      <c r="DZ73" s="935" t="str" cm="1">
        <f t="array" ref="DZ73">IF($A$27=1,"",[1]!ACAELE_AREACAISLAMIENTO(BB73,H73,DY73,$P$5))</f>
        <v/>
      </c>
      <c r="EA73" s="935" t="str" cm="1">
        <f t="array" ref="EA73">[1]!ACAELE_CAIDAVOLTSFINAL2(BB73,Q73,H73,F73,$A$27,BU73,T73,DW73,DA73,DX73,DB73)</f>
        <v/>
      </c>
      <c r="EB73" s="935" t="str" cm="1">
        <f t="array" ref="EB73">IF($A$27=1,"",[1]!ACAELE_AREACONDPTE(BB73,H73,CF73,$P$5))</f>
        <v/>
      </c>
      <c r="EC73" s="936" t="str" cm="1">
        <f t="array" ref="EC73">[1]!ACAELE_AREATOTAL2(H73,$A$27,DY73,S73,G73,T73,DZ73,U73,EB73)</f>
        <v/>
      </c>
      <c r="ED73" s="937" t="str">
        <f t="shared" si="59"/>
        <v/>
      </c>
      <c r="EE73" s="938" t="str">
        <f t="shared" si="60"/>
        <v/>
      </c>
      <c r="EF73" s="939" t="str">
        <f t="shared" si="61"/>
        <v/>
      </c>
      <c r="EG73" s="940">
        <f t="shared" si="62"/>
        <v>0</v>
      </c>
      <c r="EH73" s="941" t="str">
        <f t="shared" si="63"/>
        <v/>
      </c>
      <c r="EI73" s="942">
        <f t="shared" si="64"/>
        <v>30</v>
      </c>
      <c r="EJ73" s="943" t="str">
        <f t="shared" si="11"/>
        <v/>
      </c>
      <c r="EK73" s="943" t="str">
        <f t="shared" si="12"/>
        <v/>
      </c>
      <c r="EL73" s="943" t="str">
        <f t="shared" si="13"/>
        <v/>
      </c>
      <c r="EM73" s="944" t="str">
        <f t="shared" si="14"/>
        <v/>
      </c>
      <c r="EN73" s="945" t="str" cm="1">
        <f t="array" ref="EN73">[1]!ACAELE_MOTOR(H73,X73:BA73,$X$26:$BA$26,$P$5)</f>
        <v/>
      </c>
      <c r="EO73" s="550" t="str">
        <f t="shared" si="65"/>
        <v/>
      </c>
      <c r="EP73" s="431" t="s">
        <v>1214</v>
      </c>
      <c r="EQ73" s="434" t="str">
        <f t="shared" ca="1" si="66"/>
        <v/>
      </c>
      <c r="ER73" s="32"/>
      <c r="ES73" s="32"/>
      <c r="ET73" s="3" t="str">
        <f t="shared" si="67"/>
        <v/>
      </c>
      <c r="EU73" s="3" t="str">
        <f t="shared" si="68"/>
        <v/>
      </c>
      <c r="EV73" s="3" t="str">
        <f t="shared" si="69"/>
        <v/>
      </c>
      <c r="EW73" s="3" t="str">
        <f t="shared" si="70"/>
        <v/>
      </c>
      <c r="EX73" s="3" t="str">
        <f t="shared" si="71"/>
        <v/>
      </c>
      <c r="EY73" s="3" t="str">
        <f t="shared" si="72"/>
        <v/>
      </c>
      <c r="EZ73" s="3" t="str">
        <f t="shared" si="73"/>
        <v/>
      </c>
      <c r="FA73" s="3" t="str">
        <f t="shared" si="74"/>
        <v/>
      </c>
      <c r="FB73" s="3" t="str">
        <f t="shared" si="75"/>
        <v/>
      </c>
      <c r="FC73" s="3">
        <f t="shared" si="76"/>
        <v>0</v>
      </c>
      <c r="FD73" s="32"/>
      <c r="FE73" s="32"/>
      <c r="FF73" s="103">
        <v>1</v>
      </c>
      <c r="FG73" s="32"/>
      <c r="FH73" s="103"/>
      <c r="FI73" s="32"/>
      <c r="FJ73" s="103"/>
      <c r="FK73" s="3">
        <f t="shared" si="77"/>
        <v>0</v>
      </c>
      <c r="FL73" s="3" t="str" cm="1">
        <f t="array" aca="1" ref="FL73" ca="1">[1]!acaele_DIB_UNIFILAR(BB73,H73,F73,COUNTIF(X73:BA73,1),BW73)</f>
        <v/>
      </c>
      <c r="FM73" s="3" t="str">
        <f>IF(DATOS!$T$4=0,"",IF(DATOS!$T$4=1," (QO)",IF(DATOS!$T$4=2," (QOB)",IF(DATOS!$T$4=3," (EDB)",IF(DATOS!$T$4=4,IF(BW73&lt;151," (H"&amp;FN73&amp;")",IF(BW73&lt;251," (J"&amp;FN73&amp;")", IF(BW73&lt;401," (LA)",IF(BW73&lt;801," (MG)",IF(BW73&lt;5001," (POWERPACK)",""))))))))))</f>
        <v xml:space="preserve"> (QOB)</v>
      </c>
      <c r="FN73" s="3" t="str">
        <f t="shared" si="78"/>
        <v/>
      </c>
      <c r="FO73" s="146"/>
      <c r="FP73" s="146"/>
      <c r="FQ73" s="146"/>
      <c r="FR73" s="146"/>
      <c r="FS73" s="146"/>
      <c r="FT73" s="146"/>
      <c r="FU73" s="146"/>
      <c r="FV73" s="146"/>
      <c r="FW73" s="146"/>
      <c r="FX73" s="146" t="str">
        <f t="shared" si="9"/>
        <v/>
      </c>
      <c r="FY73" s="736"/>
      <c r="FZ73" s="740"/>
      <c r="GA73" s="740"/>
      <c r="GB73" s="717"/>
      <c r="GC73" s="838"/>
      <c r="GD73" s="736"/>
      <c r="GE73" s="146"/>
      <c r="GF73" s="506"/>
      <c r="GG73" s="506"/>
      <c r="GH73" s="506"/>
      <c r="GI73" s="506"/>
      <c r="GJ73" s="506"/>
      <c r="GM73" s="3">
        <f>IF(OR(GN73&gt;TABLERO!$M$19,GO73&gt;TABLERO!$M$19,GP73&gt;TABLERO!$M$19,B73=0,C73=0,D73=0),2,CUADROACAD!A73)</f>
        <v>2</v>
      </c>
      <c r="GN73" s="3">
        <f>IF(TABLERO!B73="",0,TABLERO!B73)</f>
        <v>43</v>
      </c>
      <c r="GO73" s="3">
        <f>IF(TABLERO!C73="",GN73,TABLERO!C73)</f>
        <v>43</v>
      </c>
      <c r="GP73" s="3">
        <f>IF(TABLERO!D73="",GN73,TABLERO!D73)</f>
        <v>43</v>
      </c>
    </row>
    <row r="74" spans="1:198" s="3" customFormat="1">
      <c r="A74" s="706"/>
      <c r="B74" s="869">
        <v>44</v>
      </c>
      <c r="C74" s="870" t="str">
        <f t="shared" si="15"/>
        <v/>
      </c>
      <c r="D74" s="870" t="str">
        <f t="shared" si="16"/>
        <v/>
      </c>
      <c r="E74" s="871"/>
      <c r="F74" s="872">
        <v>1</v>
      </c>
      <c r="G74" s="716">
        <f t="shared" si="17"/>
        <v>2</v>
      </c>
      <c r="H74" s="873" t="s">
        <v>12</v>
      </c>
      <c r="I74" s="874" t="str">
        <f t="shared" si="18"/>
        <v>CU</v>
      </c>
      <c r="J74" s="875">
        <v>6</v>
      </c>
      <c r="K74" s="876">
        <v>10</v>
      </c>
      <c r="L74" s="876">
        <v>3</v>
      </c>
      <c r="M74" s="877">
        <v>1</v>
      </c>
      <c r="N74" s="877">
        <v>1</v>
      </c>
      <c r="O74" s="878">
        <v>1</v>
      </c>
      <c r="P74" s="879">
        <v>4</v>
      </c>
      <c r="Q74" s="880">
        <v>1</v>
      </c>
      <c r="R74" s="880">
        <v>1</v>
      </c>
      <c r="S74" s="881">
        <v>1</v>
      </c>
      <c r="T74" s="881">
        <v>1</v>
      </c>
      <c r="U74" s="882">
        <v>1</v>
      </c>
      <c r="V74" s="883">
        <v>1</v>
      </c>
      <c r="W74" s="874" t="str">
        <f t="shared" si="19"/>
        <v>SI</v>
      </c>
      <c r="X74" s="884"/>
      <c r="Y74" s="885"/>
      <c r="Z74" s="885"/>
      <c r="AA74" s="885"/>
      <c r="AB74" s="885"/>
      <c r="AC74" s="885"/>
      <c r="AD74" s="885"/>
      <c r="AE74" s="885"/>
      <c r="AF74" s="885"/>
      <c r="AG74" s="885"/>
      <c r="AH74" s="885"/>
      <c r="AI74" s="885"/>
      <c r="AJ74" s="885"/>
      <c r="AK74" s="885"/>
      <c r="AL74" s="885"/>
      <c r="AM74" s="885"/>
      <c r="AN74" s="885"/>
      <c r="AO74" s="885"/>
      <c r="AP74" s="885"/>
      <c r="AQ74" s="885"/>
      <c r="AR74" s="885"/>
      <c r="AS74" s="885"/>
      <c r="AT74" s="885"/>
      <c r="AU74" s="885"/>
      <c r="AV74" s="885"/>
      <c r="AW74" s="885"/>
      <c r="AX74" s="885"/>
      <c r="AY74" s="885"/>
      <c r="AZ74" s="885"/>
      <c r="BA74" s="886"/>
      <c r="BB74" s="887">
        <f t="shared" si="20"/>
        <v>0</v>
      </c>
      <c r="BC74" s="888" t="str">
        <f t="shared" si="21"/>
        <v/>
      </c>
      <c r="BD74" s="889" t="str">
        <f t="shared" si="22"/>
        <v/>
      </c>
      <c r="BE74" s="889" t="str">
        <f t="shared" si="23"/>
        <v/>
      </c>
      <c r="BF74" s="889" t="str">
        <f t="shared" si="24"/>
        <v/>
      </c>
      <c r="BG74" s="889" t="str">
        <f t="shared" si="25"/>
        <v/>
      </c>
      <c r="BH74" s="889" t="str">
        <f t="shared" si="26"/>
        <v/>
      </c>
      <c r="BI74" s="890" t="str">
        <f t="shared" si="27"/>
        <v/>
      </c>
      <c r="BJ74" s="891" t="str">
        <f t="shared" si="28"/>
        <v/>
      </c>
      <c r="BK74" s="892" t="str">
        <f t="shared" si="29"/>
        <v/>
      </c>
      <c r="BL74" s="892" t="str">
        <f t="shared" si="30"/>
        <v/>
      </c>
      <c r="BM74" s="892" t="str">
        <f t="shared" si="31"/>
        <v/>
      </c>
      <c r="BN74" s="892" t="str">
        <f t="shared" si="32"/>
        <v/>
      </c>
      <c r="BO74" s="892" t="str">
        <f t="shared" si="33"/>
        <v/>
      </c>
      <c r="BP74" s="893" t="str">
        <f t="shared" si="34"/>
        <v/>
      </c>
      <c r="BQ74" s="894" t="str">
        <f t="shared" si="35"/>
        <v/>
      </c>
      <c r="BR74" s="895" t="str">
        <f t="shared" si="10"/>
        <v/>
      </c>
      <c r="BS74" s="896" t="str">
        <f t="shared" si="36"/>
        <v/>
      </c>
      <c r="BT74" s="897" t="str">
        <f t="shared" si="37"/>
        <v/>
      </c>
      <c r="BU74" s="231" t="str">
        <f t="shared" si="38"/>
        <v/>
      </c>
      <c r="BV74" s="898">
        <f t="shared" si="39"/>
        <v>127</v>
      </c>
      <c r="BW74" s="845" t="str">
        <f t="shared" si="40"/>
        <v/>
      </c>
      <c r="BX74" s="899" t="str">
        <f t="shared" si="41"/>
        <v/>
      </c>
      <c r="BY74" s="900" t="str" cm="1">
        <f t="array" ref="BY74">[1]!ACAELE_CAPACIDADCABLE(BB74,H74,I74,M74,BX74,N74)</f>
        <v/>
      </c>
      <c r="BZ74" s="900" t="str">
        <f t="shared" si="42"/>
        <v/>
      </c>
      <c r="CA74" s="901" t="str" cm="1">
        <f t="array" ref="CA74">[1]!ACAELE_cabledetierra(BZ74,$N$9,I74,BW74,BX74,G74)</f>
        <v/>
      </c>
      <c r="CB74" s="902" t="str" cm="1">
        <f t="array" ref="CB74">[1]!ACAELE_TAMATUBERIA(BX74,DU74,$N$9,M74,I74)</f>
        <v/>
      </c>
      <c r="CC74" s="846" t="str">
        <f t="shared" si="43"/>
        <v/>
      </c>
      <c r="CD74" s="903" t="str" cm="1">
        <f t="array" ref="CD74">[1]!ACAELE_CAPACIDADCABLE(BB74,H74,I74,M74,CC74,N74)</f>
        <v/>
      </c>
      <c r="CE74" s="903" t="str">
        <f t="shared" si="44"/>
        <v/>
      </c>
      <c r="CF74" s="904" t="str" cm="1">
        <f t="array" ref="CF74">[1]!ACAELE_cabledetierra(CE74,$N$9,I74,BW74,CC74,G74)</f>
        <v/>
      </c>
      <c r="CG74" s="905" t="str" cm="1">
        <f t="array" ref="CG74">[1]!ACAELE_TAMATUBERIA(CC74,EC74,$N$9,S74,I74)</f>
        <v/>
      </c>
      <c r="CH74" s="906" t="str">
        <f t="shared" si="45"/>
        <v/>
      </c>
      <c r="CI74" s="510" t="str">
        <f t="shared" si="46"/>
        <v>-</v>
      </c>
      <c r="CJ74" s="511" t="str">
        <f t="shared" si="47"/>
        <v>-</v>
      </c>
      <c r="CK74" s="512" t="str">
        <f t="shared" si="48"/>
        <v>-</v>
      </c>
      <c r="CL74" s="907" t="str">
        <f t="shared" si="49"/>
        <v>-</v>
      </c>
      <c r="CM74" s="908" t="str">
        <f t="shared" si="50"/>
        <v>-</v>
      </c>
      <c r="CN74" s="909" t="str">
        <f t="shared" si="51"/>
        <v>-</v>
      </c>
      <c r="CO74" s="910" t="str" cm="1">
        <f t="array" ref="CO74">[1]!ACAELE_fasecorresponde(B74,$F$10,$P$5)</f>
        <v>A</v>
      </c>
      <c r="CP74" s="910" t="str" cm="1">
        <f t="array" ref="CP74">[1]!ACAELE_fasecorresponde(C74,$F$10,$P$5)</f>
        <v>-</v>
      </c>
      <c r="CQ74" s="910" t="str" cm="1">
        <f t="array" ref="CQ74">[1]!ACAELE_fasecorresponde(D74,$F$10,$P$5)</f>
        <v>-</v>
      </c>
      <c r="CR74" s="911" t="str">
        <f t="shared" si="52"/>
        <v>C</v>
      </c>
      <c r="CS74" s="912">
        <f t="shared" si="53"/>
        <v>1</v>
      </c>
      <c r="CT74" s="913">
        <f t="shared" si="54"/>
        <v>0.8</v>
      </c>
      <c r="CU74" s="914" t="str">
        <f t="shared" si="55"/>
        <v/>
      </c>
      <c r="CV74" s="915">
        <f t="shared" si="56"/>
        <v>0</v>
      </c>
      <c r="CW74" s="916" t="str" cm="1">
        <f t="array" ref="CW74">[1]!ACAELE_Inominal(BB74,F74,BT74,BV74,DA74,G74,V74,$P$5)</f>
        <v/>
      </c>
      <c r="CX74" s="917" t="str" cm="1">
        <f t="array" ref="CX74">[1]!ACAELE_Disparocalculado(BB74,H74,DL74,$N$21,$M$21,$O$21,BV74,$P$5)</f>
        <v/>
      </c>
      <c r="CY74" s="918" t="str" cm="1">
        <f t="array" ref="CY74">[1]!ACAELE_Icorregida($A$27,H74,BB74,BU74,CS74,CT74,$P$5)</f>
        <v/>
      </c>
      <c r="CZ74" s="919" t="str" cm="1">
        <f t="array" ref="CZ74">[1]!ACAELE_Icorregida2($A$27,H74,BB74,BU74,CS74,CU74,$P$5)</f>
        <v/>
      </c>
      <c r="DA74" s="920">
        <f t="shared" si="57"/>
        <v>0.9</v>
      </c>
      <c r="DB74" s="921">
        <f t="shared" si="58"/>
        <v>0.43588989435406728</v>
      </c>
      <c r="DC74" s="922" t="str" cm="1">
        <f t="array" ref="DC74">[1]!ACAELE_CONDPORTCORRIENTE(H74,BB74,I74,M74,CY74,CZ74,N74,$P$5)</f>
        <v/>
      </c>
      <c r="DD74" s="923" t="str" cm="1">
        <f t="array" ref="DD74">[1]!ACAELE_CAPACONDCORRIENTE(BB74,H74,I74,M74,CY74,CZ74,$P$5)</f>
        <v/>
      </c>
      <c r="DE74" s="923" t="str" cm="1">
        <f t="array" ref="DE74">[1]!ACAELE_CAPACIDADCABLE(BB74,H74,I74,M74,DC74,N74,$P$5)</f>
        <v/>
      </c>
      <c r="DF74" s="924" t="str" cm="1">
        <f t="array" ref="DF74">[1]!ACAELE_encontrarcaida(BB74,H74,L74,BV74,F74,BU74,N74,K74)</f>
        <v/>
      </c>
      <c r="DG74" s="925" t="str" cm="1">
        <f t="array" ref="DG74">[1]!ACAELE_Cablecaida(BB74,H74,M74,I74,DF74)</f>
        <v/>
      </c>
      <c r="DH74" s="918" t="str" cm="1">
        <f t="array" ref="DH74">[1]!ACAELE_CAPACIDADCABLE(BB74,H74,I74,M74,DG74,N74,$P$5)</f>
        <v/>
      </c>
      <c r="DI74" s="926" t="str" cm="1">
        <f t="array" ref="DI74">IF($A$27=1,"",[1]!ACAELE_encontrarcaida(BB74,H74,R74,BV74,F74,BU74,T74,Q74,$P$5))</f>
        <v/>
      </c>
      <c r="DJ74" s="914" t="str" cm="1">
        <f t="array" ref="DJ74">IF($A$27=1,"",[1]!ACAELE_Cablecaida2(BB74,Q74,H74,S74,I74,DI74,$P$5))</f>
        <v/>
      </c>
      <c r="DK74" s="919" t="str" cm="1">
        <f t="array" ref="DK74">[1]!ACAELE_CAPACIDADCABLE(BB74,H74,I74,M74,DJ74,N74,$P$5)</f>
        <v/>
      </c>
      <c r="DL74" s="927" t="str" cm="1">
        <f t="array" ref="DL74">[1]!acaele_Iproteccion(BB74,H74,BU74,$F$20,$G$20,$F$19,$G$19,$H$20,$H$19,$P$5)</f>
        <v/>
      </c>
      <c r="DM74" s="928" cm="1">
        <f t="array" ref="DM74">[1]!acaele_ProtCalculada(CX74,H74,BT74,BW74,$G$21,$F$21,$H$21,$P$5)</f>
        <v>0</v>
      </c>
      <c r="DN74" s="929" t="str" cm="1">
        <f t="array" ref="DN74">[1]!ACAELE_cablecalculo(BB74,H74,I74,M74,EF74,$P$5)</f>
        <v/>
      </c>
      <c r="DO74" s="930" t="str" cm="1">
        <f t="array" ref="DO74">[1]!ACAELE_RESISTENCIA(BB74,H74,M74,I74,BX74, CW74,$P$5)</f>
        <v/>
      </c>
      <c r="DP74" s="931" t="str" cm="1">
        <f t="array" ref="DP74">[1]!ACAELE_REACTANCIA(BB74,H74,$F$11,M74,I74,BX74,$P$5)</f>
        <v/>
      </c>
      <c r="DQ74" s="918" t="str" cm="1">
        <f t="array" ref="DQ74">[1]!ACAELE_DIAMECAISLA(BB74,H74,I74,BX74,$P$5)</f>
        <v/>
      </c>
      <c r="DR74" s="918" t="str" cm="1">
        <f t="array" ref="DR74">[1]!ACAELE_AREACAISLAMIENTO(BB74,H74,DQ74,$P$5)</f>
        <v/>
      </c>
      <c r="DS74" s="918" t="str" cm="1">
        <f t="array" ref="DS74">[1]!ACAELE_CAIDAVOLTSFINAL(BB74,H74,F74,K74,BU74,N74,DO74,DA74,DP74,DB74,$P$5)</f>
        <v/>
      </c>
      <c r="DT74" s="918" t="str" cm="1">
        <f t="array" ref="DT74">[1]!ACAELE_AREACONDPTE(BB74,H74,CA74,$P$5)</f>
        <v/>
      </c>
      <c r="DU74" s="932" t="str" cm="1">
        <f t="array" ref="DU74">[1]!ACAELE_AREATOTAL(BZ74,M74,EO74,N74,DQ74,G74,DR74,DT74,N$20,$P$5)</f>
        <v/>
      </c>
      <c r="DV74" s="933" t="str" cm="1">
        <f t="array" ref="DV74">IF($A$27=1,"",[1]!ACAELE_cablecalculo(BB74,H74,I74,M74,EG74,$P$5))</f>
        <v/>
      </c>
      <c r="DW74" s="934" t="str" cm="1">
        <f t="array" ref="DW74">IF($A$27=1,"",[1]!ACAELE_RESISTENCIA(BB74,H74,M74,I74,CC74,CW74,$P$5))</f>
        <v/>
      </c>
      <c r="DX74" s="926" t="str" cm="1">
        <f t="array" ref="DX74">IF($A$27=1,"",[1]!ACAELE_REACTANCIA(BB74,H74,$F$11,M74,I74,CC74,$P$5))</f>
        <v/>
      </c>
      <c r="DY74" s="935" t="str" cm="1">
        <f t="array" ref="DY74">IF($A$27=1,"",[1]!ACAELE_DIAMECAISLA(BB74,H74,I74,CC74,$P$5))</f>
        <v/>
      </c>
      <c r="DZ74" s="935" t="str" cm="1">
        <f t="array" ref="DZ74">IF($A$27=1,"",[1]!ACAELE_AREACAISLAMIENTO(BB74,H74,DY74,$P$5))</f>
        <v/>
      </c>
      <c r="EA74" s="935" t="str" cm="1">
        <f t="array" ref="EA74">[1]!ACAELE_CAIDAVOLTSFINAL2(BB74,Q74,H74,F74,$A$27,BU74,T74,DW74,DA74,DX74,DB74)</f>
        <v/>
      </c>
      <c r="EB74" s="935" t="str" cm="1">
        <f t="array" ref="EB74">IF($A$27=1,"",[1]!ACAELE_AREACONDPTE(BB74,H74,CF74,$P$5))</f>
        <v/>
      </c>
      <c r="EC74" s="936" t="str" cm="1">
        <f t="array" ref="EC74">[1]!ACAELE_AREATOTAL2(H74,$A$27,DY74,S74,G74,T74,DZ74,U74,EB74)</f>
        <v/>
      </c>
      <c r="ED74" s="937" t="str">
        <f t="shared" si="59"/>
        <v/>
      </c>
      <c r="EE74" s="938" t="str">
        <f t="shared" si="60"/>
        <v/>
      </c>
      <c r="EF74" s="939" t="str">
        <f t="shared" si="61"/>
        <v/>
      </c>
      <c r="EG74" s="940">
        <f t="shared" si="62"/>
        <v>0</v>
      </c>
      <c r="EH74" s="941" t="str">
        <f t="shared" si="63"/>
        <v/>
      </c>
      <c r="EI74" s="942">
        <f t="shared" si="64"/>
        <v>30</v>
      </c>
      <c r="EJ74" s="943" t="str">
        <f t="shared" si="11"/>
        <v/>
      </c>
      <c r="EK74" s="943" t="str">
        <f t="shared" si="12"/>
        <v/>
      </c>
      <c r="EL74" s="943" t="str">
        <f t="shared" si="13"/>
        <v/>
      </c>
      <c r="EM74" s="944" t="str">
        <f t="shared" si="14"/>
        <v/>
      </c>
      <c r="EN74" s="945" t="str" cm="1">
        <f t="array" ref="EN74">[1]!ACAELE_MOTOR(H74,X74:BA74,$X$26:$BA$26,$P$5)</f>
        <v/>
      </c>
      <c r="EO74" s="550" t="str">
        <f t="shared" si="65"/>
        <v/>
      </c>
      <c r="EP74" s="431" t="s">
        <v>1214</v>
      </c>
      <c r="EQ74" s="434" t="str">
        <f t="shared" ca="1" si="66"/>
        <v/>
      </c>
      <c r="ER74" s="32"/>
      <c r="ES74" s="32"/>
      <c r="ET74" s="3" t="str">
        <f t="shared" si="67"/>
        <v/>
      </c>
      <c r="EU74" s="3" t="str">
        <f t="shared" si="68"/>
        <v/>
      </c>
      <c r="EV74" s="3" t="str">
        <f t="shared" si="69"/>
        <v/>
      </c>
      <c r="EW74" s="3" t="str">
        <f t="shared" si="70"/>
        <v/>
      </c>
      <c r="EX74" s="3" t="str">
        <f t="shared" si="71"/>
        <v/>
      </c>
      <c r="EY74" s="3" t="str">
        <f t="shared" si="72"/>
        <v/>
      </c>
      <c r="EZ74" s="3" t="str">
        <f t="shared" si="73"/>
        <v/>
      </c>
      <c r="FA74" s="3" t="str">
        <f t="shared" si="74"/>
        <v/>
      </c>
      <c r="FB74" s="3" t="str">
        <f t="shared" si="75"/>
        <v/>
      </c>
      <c r="FC74" s="3">
        <f t="shared" si="76"/>
        <v>0</v>
      </c>
      <c r="FD74" s="32"/>
      <c r="FE74" s="32"/>
      <c r="FF74" s="103">
        <v>1</v>
      </c>
      <c r="FG74" s="32"/>
      <c r="FH74" s="103"/>
      <c r="FI74" s="32"/>
      <c r="FJ74" s="103"/>
      <c r="FK74" s="3">
        <f t="shared" si="77"/>
        <v>0</v>
      </c>
      <c r="FL74" s="3" t="str" cm="1">
        <f t="array" aca="1" ref="FL74" ca="1">[1]!acaele_DIB_UNIFILAR(BB74,H74,F74,COUNTIF(X74:BA74,1),BW74)</f>
        <v/>
      </c>
      <c r="FM74" s="3" t="str">
        <f>IF(DATOS!$T$4=0,"",IF(DATOS!$T$4=1," (QO)",IF(DATOS!$T$4=2," (QOB)",IF(DATOS!$T$4=3," (EDB)",IF(DATOS!$T$4=4,IF(BW74&lt;151," (H"&amp;FN74&amp;")",IF(BW74&lt;251," (J"&amp;FN74&amp;")", IF(BW74&lt;401," (LA)",IF(BW74&lt;801," (MG)",IF(BW74&lt;5001," (POWERPACK)",""))))))))))</f>
        <v xml:space="preserve"> (QOB)</v>
      </c>
      <c r="FN74" s="3" t="str">
        <f t="shared" si="78"/>
        <v/>
      </c>
      <c r="FO74" s="146"/>
      <c r="FP74" s="146"/>
      <c r="FQ74" s="146"/>
      <c r="FR74" s="146"/>
      <c r="FS74" s="146"/>
      <c r="FT74" s="146"/>
      <c r="FU74" s="146"/>
      <c r="FV74" s="146"/>
      <c r="FW74" s="146"/>
      <c r="FX74" s="146" t="str">
        <f t="shared" si="9"/>
        <v/>
      </c>
      <c r="FY74" s="736"/>
      <c r="FZ74" s="740"/>
      <c r="GA74" s="740"/>
      <c r="GB74" s="717"/>
      <c r="GC74" s="838"/>
      <c r="GD74" s="736"/>
      <c r="GE74" s="146"/>
      <c r="GF74" s="506"/>
      <c r="GG74" s="506"/>
      <c r="GH74" s="506"/>
      <c r="GI74" s="506"/>
      <c r="GJ74" s="506"/>
      <c r="GM74" s="3">
        <f>IF(OR(GN74&gt;TABLERO!$M$19,GO74&gt;TABLERO!$M$19,GP74&gt;TABLERO!$M$19,B74=0,C74=0,D74=0),2,CUADROACAD!A74)</f>
        <v>2</v>
      </c>
      <c r="GN74" s="3">
        <f>IF(TABLERO!B74="",0,TABLERO!B74)</f>
        <v>44</v>
      </c>
      <c r="GO74" s="3">
        <f>IF(TABLERO!C74="",GN74,TABLERO!C74)</f>
        <v>44</v>
      </c>
      <c r="GP74" s="3">
        <f>IF(TABLERO!D74="",GN74,TABLERO!D74)</f>
        <v>44</v>
      </c>
    </row>
    <row r="75" spans="1:198" s="3" customFormat="1">
      <c r="A75" s="706"/>
      <c r="B75" s="869">
        <v>45</v>
      </c>
      <c r="C75" s="870" t="str">
        <f t="shared" si="15"/>
        <v/>
      </c>
      <c r="D75" s="870" t="str">
        <f t="shared" si="16"/>
        <v/>
      </c>
      <c r="E75" s="871"/>
      <c r="F75" s="872">
        <v>1</v>
      </c>
      <c r="G75" s="716">
        <f t="shared" si="17"/>
        <v>2</v>
      </c>
      <c r="H75" s="873" t="s">
        <v>12</v>
      </c>
      <c r="I75" s="874" t="str">
        <f t="shared" si="18"/>
        <v>CU</v>
      </c>
      <c r="J75" s="875">
        <v>6</v>
      </c>
      <c r="K75" s="876">
        <v>10</v>
      </c>
      <c r="L75" s="876">
        <v>3</v>
      </c>
      <c r="M75" s="877">
        <v>1</v>
      </c>
      <c r="N75" s="877">
        <v>1</v>
      </c>
      <c r="O75" s="878">
        <v>1</v>
      </c>
      <c r="P75" s="879">
        <v>4</v>
      </c>
      <c r="Q75" s="880">
        <v>1</v>
      </c>
      <c r="R75" s="880">
        <v>1</v>
      </c>
      <c r="S75" s="881">
        <v>1</v>
      </c>
      <c r="T75" s="881">
        <v>1</v>
      </c>
      <c r="U75" s="882">
        <v>1</v>
      </c>
      <c r="V75" s="883">
        <v>1</v>
      </c>
      <c r="W75" s="874" t="str">
        <f t="shared" si="19"/>
        <v>SI</v>
      </c>
      <c r="X75" s="884"/>
      <c r="Y75" s="885"/>
      <c r="Z75" s="885"/>
      <c r="AA75" s="885"/>
      <c r="AB75" s="885"/>
      <c r="AC75" s="885"/>
      <c r="AD75" s="885"/>
      <c r="AE75" s="885"/>
      <c r="AF75" s="885"/>
      <c r="AG75" s="885"/>
      <c r="AH75" s="885"/>
      <c r="AI75" s="885"/>
      <c r="AJ75" s="885"/>
      <c r="AK75" s="885"/>
      <c r="AL75" s="885"/>
      <c r="AM75" s="885"/>
      <c r="AN75" s="885"/>
      <c r="AO75" s="885"/>
      <c r="AP75" s="885"/>
      <c r="AQ75" s="885"/>
      <c r="AR75" s="885"/>
      <c r="AS75" s="885"/>
      <c r="AT75" s="885"/>
      <c r="AU75" s="885"/>
      <c r="AV75" s="885"/>
      <c r="AW75" s="885"/>
      <c r="AX75" s="885"/>
      <c r="AY75" s="885"/>
      <c r="AZ75" s="885"/>
      <c r="BA75" s="886"/>
      <c r="BB75" s="887">
        <f t="shared" si="20"/>
        <v>0</v>
      </c>
      <c r="BC75" s="888" t="str">
        <f t="shared" si="21"/>
        <v/>
      </c>
      <c r="BD75" s="889" t="str">
        <f t="shared" si="22"/>
        <v/>
      </c>
      <c r="BE75" s="889" t="str">
        <f t="shared" si="23"/>
        <v/>
      </c>
      <c r="BF75" s="889" t="str">
        <f t="shared" si="24"/>
        <v/>
      </c>
      <c r="BG75" s="889" t="str">
        <f t="shared" si="25"/>
        <v/>
      </c>
      <c r="BH75" s="889" t="str">
        <f t="shared" si="26"/>
        <v/>
      </c>
      <c r="BI75" s="890" t="str">
        <f t="shared" si="27"/>
        <v/>
      </c>
      <c r="BJ75" s="891" t="str">
        <f t="shared" si="28"/>
        <v/>
      </c>
      <c r="BK75" s="892" t="str">
        <f t="shared" si="29"/>
        <v/>
      </c>
      <c r="BL75" s="892" t="str">
        <f t="shared" si="30"/>
        <v/>
      </c>
      <c r="BM75" s="892" t="str">
        <f t="shared" si="31"/>
        <v/>
      </c>
      <c r="BN75" s="892" t="str">
        <f t="shared" si="32"/>
        <v/>
      </c>
      <c r="BO75" s="892" t="str">
        <f t="shared" si="33"/>
        <v/>
      </c>
      <c r="BP75" s="893" t="str">
        <f t="shared" si="34"/>
        <v/>
      </c>
      <c r="BQ75" s="894" t="str">
        <f t="shared" si="35"/>
        <v/>
      </c>
      <c r="BR75" s="895" t="str">
        <f t="shared" si="10"/>
        <v/>
      </c>
      <c r="BS75" s="896" t="str">
        <f t="shared" si="36"/>
        <v/>
      </c>
      <c r="BT75" s="897" t="str">
        <f t="shared" si="37"/>
        <v/>
      </c>
      <c r="BU75" s="231" t="str">
        <f t="shared" si="38"/>
        <v/>
      </c>
      <c r="BV75" s="898">
        <f t="shared" si="39"/>
        <v>127</v>
      </c>
      <c r="BW75" s="845" t="str">
        <f t="shared" si="40"/>
        <v/>
      </c>
      <c r="BX75" s="899" t="str">
        <f t="shared" si="41"/>
        <v/>
      </c>
      <c r="BY75" s="900" t="str" cm="1">
        <f t="array" ref="BY75">[1]!ACAELE_CAPACIDADCABLE(BB75,H75,I75,M75,BX75,N75)</f>
        <v/>
      </c>
      <c r="BZ75" s="900" t="str">
        <f t="shared" si="42"/>
        <v/>
      </c>
      <c r="CA75" s="901" t="str" cm="1">
        <f t="array" ref="CA75">[1]!ACAELE_cabledetierra(BZ75,$N$9,I75,BW75,BX75,G75)</f>
        <v/>
      </c>
      <c r="CB75" s="902" t="str" cm="1">
        <f t="array" ref="CB75">[1]!ACAELE_TAMATUBERIA(BX75,DU75,$N$9,M75,I75)</f>
        <v/>
      </c>
      <c r="CC75" s="846" t="str">
        <f t="shared" si="43"/>
        <v/>
      </c>
      <c r="CD75" s="903" t="str" cm="1">
        <f t="array" ref="CD75">[1]!ACAELE_CAPACIDADCABLE(BB75,H75,I75,M75,CC75,N75)</f>
        <v/>
      </c>
      <c r="CE75" s="903" t="str">
        <f t="shared" si="44"/>
        <v/>
      </c>
      <c r="CF75" s="904" t="str" cm="1">
        <f t="array" ref="CF75">[1]!ACAELE_cabledetierra(CE75,$N$9,I75,BW75,CC75,G75)</f>
        <v/>
      </c>
      <c r="CG75" s="905" t="str" cm="1">
        <f t="array" ref="CG75">[1]!ACAELE_TAMATUBERIA(CC75,EC75,$N$9,S75,I75)</f>
        <v/>
      </c>
      <c r="CH75" s="906" t="str">
        <f t="shared" si="45"/>
        <v/>
      </c>
      <c r="CI75" s="510" t="str">
        <f t="shared" si="46"/>
        <v>-</v>
      </c>
      <c r="CJ75" s="511" t="str">
        <f t="shared" si="47"/>
        <v>-</v>
      </c>
      <c r="CK75" s="512" t="str">
        <f t="shared" si="48"/>
        <v>-</v>
      </c>
      <c r="CL75" s="907" t="str">
        <f t="shared" si="49"/>
        <v>-</v>
      </c>
      <c r="CM75" s="908" t="str">
        <f t="shared" si="50"/>
        <v>-</v>
      </c>
      <c r="CN75" s="909" t="str">
        <f t="shared" si="51"/>
        <v>-</v>
      </c>
      <c r="CO75" s="910" t="str" cm="1">
        <f t="array" ref="CO75">[1]!ACAELE_fasecorresponde(B75,$F$10,$P$5)</f>
        <v>B</v>
      </c>
      <c r="CP75" s="910" t="str" cm="1">
        <f t="array" ref="CP75">[1]!ACAELE_fasecorresponde(C75,$F$10,$P$5)</f>
        <v>-</v>
      </c>
      <c r="CQ75" s="910" t="str" cm="1">
        <f t="array" ref="CQ75">[1]!ACAELE_fasecorresponde(D75,$F$10,$P$5)</f>
        <v>-</v>
      </c>
      <c r="CR75" s="911" t="str">
        <f t="shared" si="52"/>
        <v>C</v>
      </c>
      <c r="CS75" s="912">
        <f t="shared" si="53"/>
        <v>1</v>
      </c>
      <c r="CT75" s="913">
        <f t="shared" si="54"/>
        <v>0.8</v>
      </c>
      <c r="CU75" s="914" t="str">
        <f t="shared" si="55"/>
        <v/>
      </c>
      <c r="CV75" s="915">
        <f t="shared" si="56"/>
        <v>0</v>
      </c>
      <c r="CW75" s="916" t="str" cm="1">
        <f t="array" ref="CW75">[1]!ACAELE_Inominal(BB75,F75,BT75,BV75,DA75,G75,V75,$P$5)</f>
        <v/>
      </c>
      <c r="CX75" s="917" t="str" cm="1">
        <f t="array" ref="CX75">[1]!ACAELE_Disparocalculado(BB75,H75,DL75,$N$21,$M$21,$O$21,BV75,$P$5)</f>
        <v/>
      </c>
      <c r="CY75" s="918" t="str" cm="1">
        <f t="array" ref="CY75">[1]!ACAELE_Icorregida($A$27,H75,BB75,BU75,CS75,CT75,$P$5)</f>
        <v/>
      </c>
      <c r="CZ75" s="919" t="str" cm="1">
        <f t="array" ref="CZ75">[1]!ACAELE_Icorregida2($A$27,H75,BB75,BU75,CS75,CU75,$P$5)</f>
        <v/>
      </c>
      <c r="DA75" s="920">
        <f t="shared" si="57"/>
        <v>0.9</v>
      </c>
      <c r="DB75" s="921">
        <f t="shared" si="58"/>
        <v>0.43588989435406728</v>
      </c>
      <c r="DC75" s="922" t="str" cm="1">
        <f t="array" ref="DC75">[1]!ACAELE_CONDPORTCORRIENTE(H75,BB75,I75,M75,CY75,CZ75,N75,$P$5)</f>
        <v/>
      </c>
      <c r="DD75" s="923" t="str" cm="1">
        <f t="array" ref="DD75">[1]!ACAELE_CAPACONDCORRIENTE(BB75,H75,I75,M75,CY75,CZ75,$P$5)</f>
        <v/>
      </c>
      <c r="DE75" s="923" t="str" cm="1">
        <f t="array" ref="DE75">[1]!ACAELE_CAPACIDADCABLE(BB75,H75,I75,M75,DC75,N75,$P$5)</f>
        <v/>
      </c>
      <c r="DF75" s="924" t="str" cm="1">
        <f t="array" ref="DF75">[1]!ACAELE_encontrarcaida(BB75,H75,L75,BV75,F75,BU75,N75,K75)</f>
        <v/>
      </c>
      <c r="DG75" s="925" t="str" cm="1">
        <f t="array" ref="DG75">[1]!ACAELE_Cablecaida(BB75,H75,M75,I75,DF75)</f>
        <v/>
      </c>
      <c r="DH75" s="918" t="str" cm="1">
        <f t="array" ref="DH75">[1]!ACAELE_CAPACIDADCABLE(BB75,H75,I75,M75,DG75,N75,$P$5)</f>
        <v/>
      </c>
      <c r="DI75" s="926" t="str" cm="1">
        <f t="array" ref="DI75">IF($A$27=1,"",[1]!ACAELE_encontrarcaida(BB75,H75,R75,BV75,F75,BU75,T75,Q75,$P$5))</f>
        <v/>
      </c>
      <c r="DJ75" s="914" t="str" cm="1">
        <f t="array" ref="DJ75">IF($A$27=1,"",[1]!ACAELE_Cablecaida2(BB75,Q75,H75,S75,I75,DI75,$P$5))</f>
        <v/>
      </c>
      <c r="DK75" s="919" t="str" cm="1">
        <f t="array" ref="DK75">[1]!ACAELE_CAPACIDADCABLE(BB75,H75,I75,M75,DJ75,N75,$P$5)</f>
        <v/>
      </c>
      <c r="DL75" s="927" t="str" cm="1">
        <f t="array" ref="DL75">[1]!acaele_Iproteccion(BB75,H75,BU75,$F$20,$G$20,$F$19,$G$19,$H$20,$H$19,$P$5)</f>
        <v/>
      </c>
      <c r="DM75" s="928" cm="1">
        <f t="array" ref="DM75">[1]!acaele_ProtCalculada(CX75,H75,BT75,BW75,$G$21,$F$21,$H$21,$P$5)</f>
        <v>0</v>
      </c>
      <c r="DN75" s="929" t="str" cm="1">
        <f t="array" ref="DN75">[1]!ACAELE_cablecalculo(BB75,H75,I75,M75,EF75,$P$5)</f>
        <v/>
      </c>
      <c r="DO75" s="930" t="str" cm="1">
        <f t="array" ref="DO75">[1]!ACAELE_RESISTENCIA(BB75,H75,M75,I75,BX75, CW75,$P$5)</f>
        <v/>
      </c>
      <c r="DP75" s="931" t="str" cm="1">
        <f t="array" ref="DP75">[1]!ACAELE_REACTANCIA(BB75,H75,$F$11,M75,I75,BX75,$P$5)</f>
        <v/>
      </c>
      <c r="DQ75" s="918" t="str" cm="1">
        <f t="array" ref="DQ75">[1]!ACAELE_DIAMECAISLA(BB75,H75,I75,BX75,$P$5)</f>
        <v/>
      </c>
      <c r="DR75" s="918" t="str" cm="1">
        <f t="array" ref="DR75">[1]!ACAELE_AREACAISLAMIENTO(BB75,H75,DQ75,$P$5)</f>
        <v/>
      </c>
      <c r="DS75" s="918" t="str" cm="1">
        <f t="array" ref="DS75">[1]!ACAELE_CAIDAVOLTSFINAL(BB75,H75,F75,K75,BU75,N75,DO75,DA75,DP75,DB75,$P$5)</f>
        <v/>
      </c>
      <c r="DT75" s="918" t="str" cm="1">
        <f t="array" ref="DT75">[1]!ACAELE_AREACONDPTE(BB75,H75,CA75,$P$5)</f>
        <v/>
      </c>
      <c r="DU75" s="932" t="str" cm="1">
        <f t="array" ref="DU75">[1]!ACAELE_AREATOTAL(BZ75,M75,EO75,N75,DQ75,G75,DR75,DT75,N$20,$P$5)</f>
        <v/>
      </c>
      <c r="DV75" s="933" t="str" cm="1">
        <f t="array" ref="DV75">IF($A$27=1,"",[1]!ACAELE_cablecalculo(BB75,H75,I75,M75,EG75,$P$5))</f>
        <v/>
      </c>
      <c r="DW75" s="934" t="str" cm="1">
        <f t="array" ref="DW75">IF($A$27=1,"",[1]!ACAELE_RESISTENCIA(BB75,H75,M75,I75,CC75,CW75,$P$5))</f>
        <v/>
      </c>
      <c r="DX75" s="926" t="str" cm="1">
        <f t="array" ref="DX75">IF($A$27=1,"",[1]!ACAELE_REACTANCIA(BB75,H75,$F$11,M75,I75,CC75,$P$5))</f>
        <v/>
      </c>
      <c r="DY75" s="935" t="str" cm="1">
        <f t="array" ref="DY75">IF($A$27=1,"",[1]!ACAELE_DIAMECAISLA(BB75,H75,I75,CC75,$P$5))</f>
        <v/>
      </c>
      <c r="DZ75" s="935" t="str" cm="1">
        <f t="array" ref="DZ75">IF($A$27=1,"",[1]!ACAELE_AREACAISLAMIENTO(BB75,H75,DY75,$P$5))</f>
        <v/>
      </c>
      <c r="EA75" s="935" t="str" cm="1">
        <f t="array" ref="EA75">[1]!ACAELE_CAIDAVOLTSFINAL2(BB75,Q75,H75,F75,$A$27,BU75,T75,DW75,DA75,DX75,DB75)</f>
        <v/>
      </c>
      <c r="EB75" s="935" t="str" cm="1">
        <f t="array" ref="EB75">IF($A$27=1,"",[1]!ACAELE_AREACONDPTE(BB75,H75,CF75,$P$5))</f>
        <v/>
      </c>
      <c r="EC75" s="936" t="str" cm="1">
        <f t="array" ref="EC75">[1]!ACAELE_AREATOTAL2(H75,$A$27,DY75,S75,G75,T75,DZ75,U75,EB75)</f>
        <v/>
      </c>
      <c r="ED75" s="937" t="str">
        <f t="shared" si="59"/>
        <v/>
      </c>
      <c r="EE75" s="938" t="str">
        <f t="shared" si="60"/>
        <v/>
      </c>
      <c r="EF75" s="939" t="str">
        <f t="shared" si="61"/>
        <v/>
      </c>
      <c r="EG75" s="940">
        <f t="shared" si="62"/>
        <v>0</v>
      </c>
      <c r="EH75" s="941" t="str">
        <f t="shared" si="63"/>
        <v/>
      </c>
      <c r="EI75" s="942">
        <f t="shared" si="64"/>
        <v>30</v>
      </c>
      <c r="EJ75" s="943" t="str">
        <f t="shared" si="11"/>
        <v/>
      </c>
      <c r="EK75" s="943" t="str">
        <f t="shared" si="12"/>
        <v/>
      </c>
      <c r="EL75" s="943" t="str">
        <f t="shared" si="13"/>
        <v/>
      </c>
      <c r="EM75" s="944" t="str">
        <f t="shared" si="14"/>
        <v/>
      </c>
      <c r="EN75" s="945" t="str" cm="1">
        <f t="array" ref="EN75">[1]!ACAELE_MOTOR(H75,X75:BA75,$X$26:$BA$26,$P$5)</f>
        <v/>
      </c>
      <c r="EO75" s="550" t="str">
        <f t="shared" si="65"/>
        <v/>
      </c>
      <c r="EP75" s="431" t="s">
        <v>1214</v>
      </c>
      <c r="EQ75" s="434" t="str">
        <f t="shared" ca="1" si="66"/>
        <v/>
      </c>
      <c r="ER75" s="32"/>
      <c r="ES75" s="32"/>
      <c r="ET75" s="3" t="str">
        <f t="shared" si="67"/>
        <v/>
      </c>
      <c r="EU75" s="3" t="str">
        <f t="shared" si="68"/>
        <v/>
      </c>
      <c r="EV75" s="3" t="str">
        <f t="shared" si="69"/>
        <v/>
      </c>
      <c r="EW75" s="3" t="str">
        <f t="shared" si="70"/>
        <v/>
      </c>
      <c r="EX75" s="3" t="str">
        <f t="shared" si="71"/>
        <v/>
      </c>
      <c r="EY75" s="3" t="str">
        <f t="shared" si="72"/>
        <v/>
      </c>
      <c r="EZ75" s="3" t="str">
        <f t="shared" si="73"/>
        <v/>
      </c>
      <c r="FA75" s="3" t="str">
        <f t="shared" si="74"/>
        <v/>
      </c>
      <c r="FB75" s="3" t="str">
        <f t="shared" si="75"/>
        <v/>
      </c>
      <c r="FC75" s="3">
        <f t="shared" si="76"/>
        <v>0</v>
      </c>
      <c r="FD75" s="32"/>
      <c r="FE75" s="32"/>
      <c r="FF75" s="103">
        <v>1</v>
      </c>
      <c r="FG75" s="32"/>
      <c r="FH75" s="103"/>
      <c r="FI75" s="32"/>
      <c r="FJ75" s="103"/>
      <c r="FK75" s="3">
        <f t="shared" si="77"/>
        <v>0</v>
      </c>
      <c r="FL75" s="3" t="str" cm="1">
        <f t="array" aca="1" ref="FL75" ca="1">[1]!acaele_DIB_UNIFILAR(BB75,H75,F75,COUNTIF(X75:BA75,1),BW75)</f>
        <v/>
      </c>
      <c r="FM75" s="3" t="str">
        <f>IF(DATOS!$T$4=0,"",IF(DATOS!$T$4=1," (QO)",IF(DATOS!$T$4=2," (QOB)",IF(DATOS!$T$4=3," (EDB)",IF(DATOS!$T$4=4,IF(BW75&lt;151," (H"&amp;FN75&amp;")",IF(BW75&lt;251," (J"&amp;FN75&amp;")", IF(BW75&lt;401," (LA)",IF(BW75&lt;801," (MG)",IF(BW75&lt;5001," (POWERPACK)",""))))))))))</f>
        <v xml:space="preserve"> (QOB)</v>
      </c>
      <c r="FN75" s="3" t="str">
        <f t="shared" si="78"/>
        <v/>
      </c>
      <c r="FO75" s="146"/>
      <c r="FP75" s="146"/>
      <c r="FQ75" s="146"/>
      <c r="FR75" s="146"/>
      <c r="FS75" s="146"/>
      <c r="FT75" s="146"/>
      <c r="FU75" s="146"/>
      <c r="FV75" s="146"/>
      <c r="FW75" s="146"/>
      <c r="FX75" s="146" t="str">
        <f t="shared" si="9"/>
        <v/>
      </c>
      <c r="FY75" s="736"/>
      <c r="FZ75" s="740"/>
      <c r="GA75" s="740"/>
      <c r="GB75" s="717"/>
      <c r="GC75" s="838"/>
      <c r="GD75" s="736"/>
      <c r="GE75" s="146"/>
      <c r="GF75" s="506"/>
      <c r="GG75" s="506"/>
      <c r="GH75" s="506"/>
      <c r="GI75" s="506"/>
      <c r="GJ75" s="506"/>
      <c r="GM75" s="3">
        <f>IF(OR(GN75&gt;TABLERO!$M$19,GO75&gt;TABLERO!$M$19,GP75&gt;TABLERO!$M$19,B75=0,C75=0,D75=0),2,CUADROACAD!A75)</f>
        <v>2</v>
      </c>
      <c r="GN75" s="3">
        <f>IF(TABLERO!B75="",0,TABLERO!B75)</f>
        <v>45</v>
      </c>
      <c r="GO75" s="3">
        <f>IF(TABLERO!C75="",GN75,TABLERO!C75)</f>
        <v>45</v>
      </c>
      <c r="GP75" s="3">
        <f>IF(TABLERO!D75="",GN75,TABLERO!D75)</f>
        <v>45</v>
      </c>
    </row>
    <row r="76" spans="1:198" s="3" customFormat="1">
      <c r="A76" s="706"/>
      <c r="B76" s="869">
        <v>46</v>
      </c>
      <c r="C76" s="870" t="str">
        <f t="shared" si="15"/>
        <v/>
      </c>
      <c r="D76" s="870" t="str">
        <f t="shared" si="16"/>
        <v/>
      </c>
      <c r="E76" s="871"/>
      <c r="F76" s="872">
        <v>1</v>
      </c>
      <c r="G76" s="716">
        <f t="shared" si="17"/>
        <v>2</v>
      </c>
      <c r="H76" s="873" t="s">
        <v>12</v>
      </c>
      <c r="I76" s="874" t="str">
        <f t="shared" si="18"/>
        <v>CU</v>
      </c>
      <c r="J76" s="875">
        <v>6</v>
      </c>
      <c r="K76" s="876">
        <v>10</v>
      </c>
      <c r="L76" s="876">
        <v>3</v>
      </c>
      <c r="M76" s="877">
        <v>1</v>
      </c>
      <c r="N76" s="877">
        <v>1</v>
      </c>
      <c r="O76" s="878">
        <v>1</v>
      </c>
      <c r="P76" s="879">
        <v>4</v>
      </c>
      <c r="Q76" s="880">
        <v>1</v>
      </c>
      <c r="R76" s="880">
        <v>1</v>
      </c>
      <c r="S76" s="881">
        <v>1</v>
      </c>
      <c r="T76" s="881">
        <v>1</v>
      </c>
      <c r="U76" s="882">
        <v>1</v>
      </c>
      <c r="V76" s="883">
        <v>1</v>
      </c>
      <c r="W76" s="874" t="str">
        <f t="shared" si="19"/>
        <v>SI</v>
      </c>
      <c r="X76" s="884"/>
      <c r="Y76" s="885"/>
      <c r="Z76" s="885"/>
      <c r="AA76" s="885"/>
      <c r="AB76" s="885"/>
      <c r="AC76" s="885"/>
      <c r="AD76" s="885"/>
      <c r="AE76" s="885"/>
      <c r="AF76" s="885"/>
      <c r="AG76" s="885"/>
      <c r="AH76" s="885"/>
      <c r="AI76" s="885"/>
      <c r="AJ76" s="885"/>
      <c r="AK76" s="885"/>
      <c r="AL76" s="885"/>
      <c r="AM76" s="885"/>
      <c r="AN76" s="885"/>
      <c r="AO76" s="885"/>
      <c r="AP76" s="885"/>
      <c r="AQ76" s="885"/>
      <c r="AR76" s="885"/>
      <c r="AS76" s="885"/>
      <c r="AT76" s="885"/>
      <c r="AU76" s="885"/>
      <c r="AV76" s="885"/>
      <c r="AW76" s="885"/>
      <c r="AX76" s="885"/>
      <c r="AY76" s="885"/>
      <c r="AZ76" s="885"/>
      <c r="BA76" s="886"/>
      <c r="BB76" s="887">
        <f t="shared" si="20"/>
        <v>0</v>
      </c>
      <c r="BC76" s="888" t="str">
        <f t="shared" si="21"/>
        <v/>
      </c>
      <c r="BD76" s="889" t="str">
        <f t="shared" si="22"/>
        <v/>
      </c>
      <c r="BE76" s="889" t="str">
        <f t="shared" si="23"/>
        <v/>
      </c>
      <c r="BF76" s="889" t="str">
        <f t="shared" si="24"/>
        <v/>
      </c>
      <c r="BG76" s="889" t="str">
        <f t="shared" si="25"/>
        <v/>
      </c>
      <c r="BH76" s="889" t="str">
        <f t="shared" si="26"/>
        <v/>
      </c>
      <c r="BI76" s="890" t="str">
        <f t="shared" si="27"/>
        <v/>
      </c>
      <c r="BJ76" s="891" t="str">
        <f t="shared" si="28"/>
        <v/>
      </c>
      <c r="BK76" s="892" t="str">
        <f t="shared" si="29"/>
        <v/>
      </c>
      <c r="BL76" s="892" t="str">
        <f t="shared" si="30"/>
        <v/>
      </c>
      <c r="BM76" s="892" t="str">
        <f t="shared" si="31"/>
        <v/>
      </c>
      <c r="BN76" s="892" t="str">
        <f t="shared" si="32"/>
        <v/>
      </c>
      <c r="BO76" s="892" t="str">
        <f t="shared" si="33"/>
        <v/>
      </c>
      <c r="BP76" s="893" t="str">
        <f t="shared" si="34"/>
        <v/>
      </c>
      <c r="BQ76" s="894" t="str">
        <f t="shared" si="35"/>
        <v/>
      </c>
      <c r="BR76" s="895" t="str">
        <f t="shared" si="10"/>
        <v/>
      </c>
      <c r="BS76" s="896" t="str">
        <f t="shared" si="36"/>
        <v/>
      </c>
      <c r="BT76" s="897" t="str">
        <f t="shared" si="37"/>
        <v/>
      </c>
      <c r="BU76" s="231" t="str">
        <f t="shared" si="38"/>
        <v/>
      </c>
      <c r="BV76" s="898">
        <f t="shared" si="39"/>
        <v>127</v>
      </c>
      <c r="BW76" s="845" t="str">
        <f t="shared" si="40"/>
        <v/>
      </c>
      <c r="BX76" s="899" t="str">
        <f t="shared" si="41"/>
        <v/>
      </c>
      <c r="BY76" s="900" t="str" cm="1">
        <f t="array" ref="BY76">[1]!ACAELE_CAPACIDADCABLE(BB76,H76,I76,M76,BX76,N76)</f>
        <v/>
      </c>
      <c r="BZ76" s="900" t="str">
        <f t="shared" si="42"/>
        <v/>
      </c>
      <c r="CA76" s="901" t="str" cm="1">
        <f t="array" ref="CA76">[1]!ACAELE_cabledetierra(BZ76,$N$9,I76,BW76,BX76,G76)</f>
        <v/>
      </c>
      <c r="CB76" s="902" t="str" cm="1">
        <f t="array" ref="CB76">[1]!ACAELE_TAMATUBERIA(BX76,DU76,$N$9,M76,I76)</f>
        <v/>
      </c>
      <c r="CC76" s="846" t="str">
        <f t="shared" si="43"/>
        <v/>
      </c>
      <c r="CD76" s="903" t="str" cm="1">
        <f t="array" ref="CD76">[1]!ACAELE_CAPACIDADCABLE(BB76,H76,I76,M76,CC76,N76)</f>
        <v/>
      </c>
      <c r="CE76" s="903" t="str">
        <f t="shared" si="44"/>
        <v/>
      </c>
      <c r="CF76" s="904" t="str" cm="1">
        <f t="array" ref="CF76">[1]!ACAELE_cabledetierra(CE76,$N$9,I76,BW76,CC76,G76)</f>
        <v/>
      </c>
      <c r="CG76" s="905" t="str" cm="1">
        <f t="array" ref="CG76">[1]!ACAELE_TAMATUBERIA(CC76,EC76,$N$9,S76,I76)</f>
        <v/>
      </c>
      <c r="CH76" s="906" t="str">
        <f t="shared" si="45"/>
        <v/>
      </c>
      <c r="CI76" s="510" t="str">
        <f t="shared" si="46"/>
        <v>-</v>
      </c>
      <c r="CJ76" s="511" t="str">
        <f t="shared" si="47"/>
        <v>-</v>
      </c>
      <c r="CK76" s="512" t="str">
        <f t="shared" si="48"/>
        <v>-</v>
      </c>
      <c r="CL76" s="907" t="str">
        <f t="shared" si="49"/>
        <v>-</v>
      </c>
      <c r="CM76" s="908" t="str">
        <f t="shared" si="50"/>
        <v>-</v>
      </c>
      <c r="CN76" s="909" t="str">
        <f t="shared" si="51"/>
        <v>-</v>
      </c>
      <c r="CO76" s="910" t="str" cm="1">
        <f t="array" ref="CO76">[1]!ACAELE_fasecorresponde(B76,$F$10,$P$5)</f>
        <v>B</v>
      </c>
      <c r="CP76" s="910" t="str" cm="1">
        <f t="array" ref="CP76">[1]!ACAELE_fasecorresponde(C76,$F$10,$P$5)</f>
        <v>-</v>
      </c>
      <c r="CQ76" s="910" t="str" cm="1">
        <f t="array" ref="CQ76">[1]!ACAELE_fasecorresponde(D76,$F$10,$P$5)</f>
        <v>-</v>
      </c>
      <c r="CR76" s="911" t="str">
        <f t="shared" si="52"/>
        <v>C</v>
      </c>
      <c r="CS76" s="912">
        <f t="shared" si="53"/>
        <v>1</v>
      </c>
      <c r="CT76" s="913">
        <f t="shared" si="54"/>
        <v>0.8</v>
      </c>
      <c r="CU76" s="914" t="str">
        <f t="shared" si="55"/>
        <v/>
      </c>
      <c r="CV76" s="915">
        <f t="shared" si="56"/>
        <v>0</v>
      </c>
      <c r="CW76" s="916" t="str" cm="1">
        <f t="array" ref="CW76">[1]!ACAELE_Inominal(BB76,F76,BT76,BV76,DA76,G76,V76,$P$5)</f>
        <v/>
      </c>
      <c r="CX76" s="917" t="str" cm="1">
        <f t="array" ref="CX76">[1]!ACAELE_Disparocalculado(BB76,H76,DL76,$N$21,$M$21,$O$21,BV76,$P$5)</f>
        <v/>
      </c>
      <c r="CY76" s="918" t="str" cm="1">
        <f t="array" ref="CY76">[1]!ACAELE_Icorregida($A$27,H76,BB76,BU76,CS76,CT76,$P$5)</f>
        <v/>
      </c>
      <c r="CZ76" s="919" t="str" cm="1">
        <f t="array" ref="CZ76">[1]!ACAELE_Icorregida2($A$27,H76,BB76,BU76,CS76,CU76,$P$5)</f>
        <v/>
      </c>
      <c r="DA76" s="920">
        <f t="shared" si="57"/>
        <v>0.9</v>
      </c>
      <c r="DB76" s="921">
        <f t="shared" si="58"/>
        <v>0.43588989435406728</v>
      </c>
      <c r="DC76" s="922" t="str" cm="1">
        <f t="array" ref="DC76">[1]!ACAELE_CONDPORTCORRIENTE(H76,BB76,I76,M76,CY76,CZ76,N76,$P$5)</f>
        <v/>
      </c>
      <c r="DD76" s="923" t="str" cm="1">
        <f t="array" ref="DD76">[1]!ACAELE_CAPACONDCORRIENTE(BB76,H76,I76,M76,CY76,CZ76,$P$5)</f>
        <v/>
      </c>
      <c r="DE76" s="923" t="str" cm="1">
        <f t="array" ref="DE76">[1]!ACAELE_CAPACIDADCABLE(BB76,H76,I76,M76,DC76,N76,$P$5)</f>
        <v/>
      </c>
      <c r="DF76" s="924" t="str" cm="1">
        <f t="array" ref="DF76">[1]!ACAELE_encontrarcaida(BB76,H76,L76,BV76,F76,BU76,N76,K76)</f>
        <v/>
      </c>
      <c r="DG76" s="925" t="str" cm="1">
        <f t="array" ref="DG76">[1]!ACAELE_Cablecaida(BB76,H76,M76,I76,DF76)</f>
        <v/>
      </c>
      <c r="DH76" s="918" t="str" cm="1">
        <f t="array" ref="DH76">[1]!ACAELE_CAPACIDADCABLE(BB76,H76,I76,M76,DG76,N76,$P$5)</f>
        <v/>
      </c>
      <c r="DI76" s="926" t="str" cm="1">
        <f t="array" ref="DI76">IF($A$27=1,"",[1]!ACAELE_encontrarcaida(BB76,H76,R76,BV76,F76,BU76,T76,Q76,$P$5))</f>
        <v/>
      </c>
      <c r="DJ76" s="914" t="str" cm="1">
        <f t="array" ref="DJ76">IF($A$27=1,"",[1]!ACAELE_Cablecaida2(BB76,Q76,H76,S76,I76,DI76,$P$5))</f>
        <v/>
      </c>
      <c r="DK76" s="919" t="str" cm="1">
        <f t="array" ref="DK76">[1]!ACAELE_CAPACIDADCABLE(BB76,H76,I76,M76,DJ76,N76,$P$5)</f>
        <v/>
      </c>
      <c r="DL76" s="927" t="str" cm="1">
        <f t="array" ref="DL76">[1]!acaele_Iproteccion(BB76,H76,BU76,$F$20,$G$20,$F$19,$G$19,$H$20,$H$19,$P$5)</f>
        <v/>
      </c>
      <c r="DM76" s="928" cm="1">
        <f t="array" ref="DM76">[1]!acaele_ProtCalculada(CX76,H76,BT76,BW76,$G$21,$F$21,$H$21,$P$5)</f>
        <v>0</v>
      </c>
      <c r="DN76" s="929" t="str" cm="1">
        <f t="array" ref="DN76">[1]!ACAELE_cablecalculo(BB76,H76,I76,M76,EF76,$P$5)</f>
        <v/>
      </c>
      <c r="DO76" s="930" t="str" cm="1">
        <f t="array" ref="DO76">[1]!ACAELE_RESISTENCIA(BB76,H76,M76,I76,BX76, CW76,$P$5)</f>
        <v/>
      </c>
      <c r="DP76" s="931" t="str" cm="1">
        <f t="array" ref="DP76">[1]!ACAELE_REACTANCIA(BB76,H76,$F$11,M76,I76,BX76,$P$5)</f>
        <v/>
      </c>
      <c r="DQ76" s="918" t="str" cm="1">
        <f t="array" ref="DQ76">[1]!ACAELE_DIAMECAISLA(BB76,H76,I76,BX76,$P$5)</f>
        <v/>
      </c>
      <c r="DR76" s="918" t="str" cm="1">
        <f t="array" ref="DR76">[1]!ACAELE_AREACAISLAMIENTO(BB76,H76,DQ76,$P$5)</f>
        <v/>
      </c>
      <c r="DS76" s="918" t="str" cm="1">
        <f t="array" ref="DS76">[1]!ACAELE_CAIDAVOLTSFINAL(BB76,H76,F76,K76,BU76,N76,DO76,DA76,DP76,DB76,$P$5)</f>
        <v/>
      </c>
      <c r="DT76" s="918" t="str" cm="1">
        <f t="array" ref="DT76">[1]!ACAELE_AREACONDPTE(BB76,H76,CA76,$P$5)</f>
        <v/>
      </c>
      <c r="DU76" s="932" t="str" cm="1">
        <f t="array" ref="DU76">[1]!ACAELE_AREATOTAL(BZ76,M76,EO76,N76,DQ76,G76,DR76,DT76,N$20,$P$5)</f>
        <v/>
      </c>
      <c r="DV76" s="933" t="str" cm="1">
        <f t="array" ref="DV76">IF($A$27=1,"",[1]!ACAELE_cablecalculo(BB76,H76,I76,M76,EG76,$P$5))</f>
        <v/>
      </c>
      <c r="DW76" s="934" t="str" cm="1">
        <f t="array" ref="DW76">IF($A$27=1,"",[1]!ACAELE_RESISTENCIA(BB76,H76,M76,I76,CC76,CW76,$P$5))</f>
        <v/>
      </c>
      <c r="DX76" s="926" t="str" cm="1">
        <f t="array" ref="DX76">IF($A$27=1,"",[1]!ACAELE_REACTANCIA(BB76,H76,$F$11,M76,I76,CC76,$P$5))</f>
        <v/>
      </c>
      <c r="DY76" s="935" t="str" cm="1">
        <f t="array" ref="DY76">IF($A$27=1,"",[1]!ACAELE_DIAMECAISLA(BB76,H76,I76,CC76,$P$5))</f>
        <v/>
      </c>
      <c r="DZ76" s="935" t="str" cm="1">
        <f t="array" ref="DZ76">IF($A$27=1,"",[1]!ACAELE_AREACAISLAMIENTO(BB76,H76,DY76,$P$5))</f>
        <v/>
      </c>
      <c r="EA76" s="935" t="str" cm="1">
        <f t="array" ref="EA76">[1]!ACAELE_CAIDAVOLTSFINAL2(BB76,Q76,H76,F76,$A$27,BU76,T76,DW76,DA76,DX76,DB76)</f>
        <v/>
      </c>
      <c r="EB76" s="935" t="str" cm="1">
        <f t="array" ref="EB76">IF($A$27=1,"",[1]!ACAELE_AREACONDPTE(BB76,H76,CF76,$P$5))</f>
        <v/>
      </c>
      <c r="EC76" s="936" t="str" cm="1">
        <f t="array" ref="EC76">[1]!ACAELE_AREATOTAL2(H76,$A$27,DY76,S76,G76,T76,DZ76,U76,EB76)</f>
        <v/>
      </c>
      <c r="ED76" s="937" t="str">
        <f t="shared" si="59"/>
        <v/>
      </c>
      <c r="EE76" s="938" t="str">
        <f t="shared" si="60"/>
        <v/>
      </c>
      <c r="EF76" s="939" t="str">
        <f t="shared" si="61"/>
        <v/>
      </c>
      <c r="EG76" s="940">
        <f t="shared" si="62"/>
        <v>0</v>
      </c>
      <c r="EH76" s="941" t="str">
        <f t="shared" si="63"/>
        <v/>
      </c>
      <c r="EI76" s="942">
        <f t="shared" si="64"/>
        <v>30</v>
      </c>
      <c r="EJ76" s="943" t="str">
        <f t="shared" si="11"/>
        <v/>
      </c>
      <c r="EK76" s="943" t="str">
        <f t="shared" si="12"/>
        <v/>
      </c>
      <c r="EL76" s="943" t="str">
        <f t="shared" si="13"/>
        <v/>
      </c>
      <c r="EM76" s="944" t="str">
        <f t="shared" si="14"/>
        <v/>
      </c>
      <c r="EN76" s="945" t="str" cm="1">
        <f t="array" ref="EN76">[1]!ACAELE_MOTOR(H76,X76:BA76,$X$26:$BA$26,$P$5)</f>
        <v/>
      </c>
      <c r="EO76" s="550" t="str">
        <f t="shared" si="65"/>
        <v/>
      </c>
      <c r="EP76" s="431" t="s">
        <v>1214</v>
      </c>
      <c r="EQ76" s="434" t="str">
        <f t="shared" ca="1" si="66"/>
        <v/>
      </c>
      <c r="ER76" s="32"/>
      <c r="ES76" s="32"/>
      <c r="ET76" s="3" t="str">
        <f t="shared" si="67"/>
        <v/>
      </c>
      <c r="EU76" s="3" t="str">
        <f t="shared" si="68"/>
        <v/>
      </c>
      <c r="EV76" s="3" t="str">
        <f t="shared" si="69"/>
        <v/>
      </c>
      <c r="EW76" s="3" t="str">
        <f t="shared" si="70"/>
        <v/>
      </c>
      <c r="EX76" s="3" t="str">
        <f t="shared" si="71"/>
        <v/>
      </c>
      <c r="EY76" s="3" t="str">
        <f t="shared" si="72"/>
        <v/>
      </c>
      <c r="EZ76" s="3" t="str">
        <f t="shared" si="73"/>
        <v/>
      </c>
      <c r="FA76" s="3" t="str">
        <f t="shared" si="74"/>
        <v/>
      </c>
      <c r="FB76" s="3" t="str">
        <f t="shared" si="75"/>
        <v/>
      </c>
      <c r="FC76" s="3">
        <f t="shared" si="76"/>
        <v>0</v>
      </c>
      <c r="FD76" s="32"/>
      <c r="FE76" s="32"/>
      <c r="FF76" s="103">
        <v>1</v>
      </c>
      <c r="FG76" s="32"/>
      <c r="FH76" s="103"/>
      <c r="FI76" s="32"/>
      <c r="FJ76" s="103"/>
      <c r="FK76" s="3">
        <f t="shared" si="77"/>
        <v>0</v>
      </c>
      <c r="FL76" s="3" t="str" cm="1">
        <f t="array" aca="1" ref="FL76" ca="1">[1]!acaele_DIB_UNIFILAR(BB76,H76,F76,COUNTIF(X76:BA76,1),BW76)</f>
        <v/>
      </c>
      <c r="FM76" s="3" t="str">
        <f>IF(DATOS!$T$4=0,"",IF(DATOS!$T$4=1," (QO)",IF(DATOS!$T$4=2," (QOB)",IF(DATOS!$T$4=3," (EDB)",IF(DATOS!$T$4=4,IF(BW76&lt;151," (H"&amp;FN76&amp;")",IF(BW76&lt;251," (J"&amp;FN76&amp;")", IF(BW76&lt;401," (LA)",IF(BW76&lt;801," (MG)",IF(BW76&lt;5001," (POWERPACK)",""))))))))))</f>
        <v xml:space="preserve"> (QOB)</v>
      </c>
      <c r="FN76" s="3" t="str">
        <f t="shared" si="78"/>
        <v/>
      </c>
      <c r="FO76" s="146"/>
      <c r="FP76" s="146"/>
      <c r="FQ76" s="146"/>
      <c r="FR76" s="146"/>
      <c r="FS76" s="146"/>
      <c r="FT76" s="146"/>
      <c r="FU76" s="146"/>
      <c r="FV76" s="146"/>
      <c r="FW76" s="146"/>
      <c r="FX76" s="146" t="str">
        <f t="shared" si="9"/>
        <v/>
      </c>
      <c r="FY76" s="736"/>
      <c r="FZ76" s="740"/>
      <c r="GA76" s="740"/>
      <c r="GB76" s="717"/>
      <c r="GC76" s="838"/>
      <c r="GD76" s="736"/>
      <c r="GE76" s="146"/>
      <c r="GF76" s="506"/>
      <c r="GG76" s="506"/>
      <c r="GH76" s="506"/>
      <c r="GI76" s="506"/>
      <c r="GJ76" s="506"/>
      <c r="GM76" s="3">
        <f>IF(OR(GN76&gt;TABLERO!$M$19,GO76&gt;TABLERO!$M$19,GP76&gt;TABLERO!$M$19,B76=0,C76=0,D76=0),2,CUADROACAD!A76)</f>
        <v>2</v>
      </c>
      <c r="GN76" s="3">
        <f>IF(TABLERO!B76="",0,TABLERO!B76)</f>
        <v>46</v>
      </c>
      <c r="GO76" s="3">
        <f>IF(TABLERO!C76="",GN76,TABLERO!C76)</f>
        <v>46</v>
      </c>
      <c r="GP76" s="3">
        <f>IF(TABLERO!D76="",GN76,TABLERO!D76)</f>
        <v>46</v>
      </c>
    </row>
    <row r="77" spans="1:198" s="3" customFormat="1">
      <c r="A77" s="706"/>
      <c r="B77" s="869">
        <v>47</v>
      </c>
      <c r="C77" s="870" t="str">
        <f t="shared" si="15"/>
        <v/>
      </c>
      <c r="D77" s="870" t="str">
        <f t="shared" si="16"/>
        <v/>
      </c>
      <c r="E77" s="871"/>
      <c r="F77" s="872">
        <v>1</v>
      </c>
      <c r="G77" s="716">
        <f t="shared" si="17"/>
        <v>2</v>
      </c>
      <c r="H77" s="873" t="s">
        <v>12</v>
      </c>
      <c r="I77" s="874" t="str">
        <f t="shared" si="18"/>
        <v>CU</v>
      </c>
      <c r="J77" s="875">
        <v>6</v>
      </c>
      <c r="K77" s="876">
        <v>10</v>
      </c>
      <c r="L77" s="876">
        <v>3</v>
      </c>
      <c r="M77" s="877">
        <v>1</v>
      </c>
      <c r="N77" s="877">
        <v>1</v>
      </c>
      <c r="O77" s="878">
        <v>1</v>
      </c>
      <c r="P77" s="879">
        <v>4</v>
      </c>
      <c r="Q77" s="880">
        <v>1</v>
      </c>
      <c r="R77" s="880">
        <v>1</v>
      </c>
      <c r="S77" s="881">
        <v>1</v>
      </c>
      <c r="T77" s="881">
        <v>1</v>
      </c>
      <c r="U77" s="882">
        <v>1</v>
      </c>
      <c r="V77" s="883">
        <v>1</v>
      </c>
      <c r="W77" s="874" t="str">
        <f t="shared" si="19"/>
        <v>SI</v>
      </c>
      <c r="X77" s="884"/>
      <c r="Y77" s="885"/>
      <c r="Z77" s="885"/>
      <c r="AA77" s="885"/>
      <c r="AB77" s="885"/>
      <c r="AC77" s="885"/>
      <c r="AD77" s="885"/>
      <c r="AE77" s="885"/>
      <c r="AF77" s="885"/>
      <c r="AG77" s="885"/>
      <c r="AH77" s="885"/>
      <c r="AI77" s="885"/>
      <c r="AJ77" s="885"/>
      <c r="AK77" s="885"/>
      <c r="AL77" s="885"/>
      <c r="AM77" s="885"/>
      <c r="AN77" s="885"/>
      <c r="AO77" s="885"/>
      <c r="AP77" s="885"/>
      <c r="AQ77" s="885"/>
      <c r="AR77" s="885"/>
      <c r="AS77" s="885"/>
      <c r="AT77" s="885"/>
      <c r="AU77" s="885"/>
      <c r="AV77" s="885"/>
      <c r="AW77" s="885"/>
      <c r="AX77" s="885"/>
      <c r="AY77" s="885"/>
      <c r="AZ77" s="885"/>
      <c r="BA77" s="886"/>
      <c r="BB77" s="887">
        <f t="shared" si="20"/>
        <v>0</v>
      </c>
      <c r="BC77" s="888" t="str">
        <f t="shared" si="21"/>
        <v/>
      </c>
      <c r="BD77" s="889" t="str">
        <f t="shared" si="22"/>
        <v/>
      </c>
      <c r="BE77" s="889" t="str">
        <f t="shared" si="23"/>
        <v/>
      </c>
      <c r="BF77" s="889" t="str">
        <f t="shared" si="24"/>
        <v/>
      </c>
      <c r="BG77" s="889" t="str">
        <f t="shared" si="25"/>
        <v/>
      </c>
      <c r="BH77" s="889" t="str">
        <f t="shared" si="26"/>
        <v/>
      </c>
      <c r="BI77" s="890" t="str">
        <f t="shared" si="27"/>
        <v/>
      </c>
      <c r="BJ77" s="891" t="str">
        <f t="shared" si="28"/>
        <v/>
      </c>
      <c r="BK77" s="892" t="str">
        <f t="shared" si="29"/>
        <v/>
      </c>
      <c r="BL77" s="892" t="str">
        <f t="shared" si="30"/>
        <v/>
      </c>
      <c r="BM77" s="892" t="str">
        <f t="shared" si="31"/>
        <v/>
      </c>
      <c r="BN77" s="892" t="str">
        <f t="shared" si="32"/>
        <v/>
      </c>
      <c r="BO77" s="892" t="str">
        <f t="shared" si="33"/>
        <v/>
      </c>
      <c r="BP77" s="893" t="str">
        <f t="shared" si="34"/>
        <v/>
      </c>
      <c r="BQ77" s="894" t="str">
        <f t="shared" si="35"/>
        <v/>
      </c>
      <c r="BR77" s="895" t="str">
        <f t="shared" si="10"/>
        <v/>
      </c>
      <c r="BS77" s="896" t="str">
        <f t="shared" si="36"/>
        <v/>
      </c>
      <c r="BT77" s="897" t="str">
        <f t="shared" si="37"/>
        <v/>
      </c>
      <c r="BU77" s="231" t="str">
        <f t="shared" si="38"/>
        <v/>
      </c>
      <c r="BV77" s="898">
        <f t="shared" si="39"/>
        <v>127</v>
      </c>
      <c r="BW77" s="845" t="str">
        <f t="shared" si="40"/>
        <v/>
      </c>
      <c r="BX77" s="899" t="str">
        <f t="shared" si="41"/>
        <v/>
      </c>
      <c r="BY77" s="900" t="str" cm="1">
        <f t="array" ref="BY77">[1]!ACAELE_CAPACIDADCABLE(BB77,H77,I77,M77,BX77,N77)</f>
        <v/>
      </c>
      <c r="BZ77" s="900" t="str">
        <f t="shared" si="42"/>
        <v/>
      </c>
      <c r="CA77" s="901" t="str" cm="1">
        <f t="array" ref="CA77">[1]!ACAELE_cabledetierra(BZ77,$N$9,I77,BW77,BX77,G77)</f>
        <v/>
      </c>
      <c r="CB77" s="902" t="str" cm="1">
        <f t="array" ref="CB77">[1]!ACAELE_TAMATUBERIA(BX77,DU77,$N$9,M77,I77)</f>
        <v/>
      </c>
      <c r="CC77" s="846" t="str">
        <f t="shared" si="43"/>
        <v/>
      </c>
      <c r="CD77" s="903" t="str" cm="1">
        <f t="array" ref="CD77">[1]!ACAELE_CAPACIDADCABLE(BB77,H77,I77,M77,CC77,N77)</f>
        <v/>
      </c>
      <c r="CE77" s="903" t="str">
        <f t="shared" si="44"/>
        <v/>
      </c>
      <c r="CF77" s="904" t="str" cm="1">
        <f t="array" ref="CF77">[1]!ACAELE_cabledetierra(CE77,$N$9,I77,BW77,CC77,G77)</f>
        <v/>
      </c>
      <c r="CG77" s="905" t="str" cm="1">
        <f t="array" ref="CG77">[1]!ACAELE_TAMATUBERIA(CC77,EC77,$N$9,S77,I77)</f>
        <v/>
      </c>
      <c r="CH77" s="906" t="str">
        <f t="shared" si="45"/>
        <v/>
      </c>
      <c r="CI77" s="510" t="str">
        <f t="shared" si="46"/>
        <v>-</v>
      </c>
      <c r="CJ77" s="511" t="str">
        <f t="shared" si="47"/>
        <v>-</v>
      </c>
      <c r="CK77" s="512" t="str">
        <f t="shared" si="48"/>
        <v>-</v>
      </c>
      <c r="CL77" s="907" t="str">
        <f t="shared" si="49"/>
        <v>-</v>
      </c>
      <c r="CM77" s="908" t="str">
        <f t="shared" si="50"/>
        <v>-</v>
      </c>
      <c r="CN77" s="909" t="str">
        <f t="shared" si="51"/>
        <v>-</v>
      </c>
      <c r="CO77" s="910" t="str" cm="1">
        <f t="array" ref="CO77">[1]!ACAELE_fasecorresponde(B77,$F$10,$P$5)</f>
        <v>C</v>
      </c>
      <c r="CP77" s="910" t="str" cm="1">
        <f t="array" ref="CP77">[1]!ACAELE_fasecorresponde(C77,$F$10,$P$5)</f>
        <v>-</v>
      </c>
      <c r="CQ77" s="910" t="str" cm="1">
        <f t="array" ref="CQ77">[1]!ACAELE_fasecorresponde(D77,$F$10,$P$5)</f>
        <v>-</v>
      </c>
      <c r="CR77" s="911" t="str">
        <f t="shared" si="52"/>
        <v>C</v>
      </c>
      <c r="CS77" s="912">
        <f t="shared" si="53"/>
        <v>1</v>
      </c>
      <c r="CT77" s="913">
        <f t="shared" si="54"/>
        <v>0.8</v>
      </c>
      <c r="CU77" s="914" t="str">
        <f t="shared" si="55"/>
        <v/>
      </c>
      <c r="CV77" s="915">
        <f t="shared" si="56"/>
        <v>0</v>
      </c>
      <c r="CW77" s="916" t="str" cm="1">
        <f t="array" ref="CW77">[1]!ACAELE_Inominal(BB77,F77,BT77,BV77,DA77,G77,V77,$P$5)</f>
        <v/>
      </c>
      <c r="CX77" s="917" t="str" cm="1">
        <f t="array" ref="CX77">[1]!ACAELE_Disparocalculado(BB77,H77,DL77,$N$21,$M$21,$O$21,BV77,$P$5)</f>
        <v/>
      </c>
      <c r="CY77" s="918" t="str" cm="1">
        <f t="array" ref="CY77">[1]!ACAELE_Icorregida($A$27,H77,BB77,BU77,CS77,CT77,$P$5)</f>
        <v/>
      </c>
      <c r="CZ77" s="919" t="str" cm="1">
        <f t="array" ref="CZ77">[1]!ACAELE_Icorregida2($A$27,H77,BB77,BU77,CS77,CU77,$P$5)</f>
        <v/>
      </c>
      <c r="DA77" s="920">
        <f t="shared" si="57"/>
        <v>0.9</v>
      </c>
      <c r="DB77" s="921">
        <f t="shared" si="58"/>
        <v>0.43588989435406728</v>
      </c>
      <c r="DC77" s="922" t="str" cm="1">
        <f t="array" ref="DC77">[1]!ACAELE_CONDPORTCORRIENTE(H77,BB77,I77,M77,CY77,CZ77,N77,$P$5)</f>
        <v/>
      </c>
      <c r="DD77" s="923" t="str" cm="1">
        <f t="array" ref="DD77">[1]!ACAELE_CAPACONDCORRIENTE(BB77,H77,I77,M77,CY77,CZ77,$P$5)</f>
        <v/>
      </c>
      <c r="DE77" s="923" t="str" cm="1">
        <f t="array" ref="DE77">[1]!ACAELE_CAPACIDADCABLE(BB77,H77,I77,M77,DC77,N77,$P$5)</f>
        <v/>
      </c>
      <c r="DF77" s="924" t="str" cm="1">
        <f t="array" ref="DF77">[1]!ACAELE_encontrarcaida(BB77,H77,L77,BV77,F77,BU77,N77,K77)</f>
        <v/>
      </c>
      <c r="DG77" s="925" t="str" cm="1">
        <f t="array" ref="DG77">[1]!ACAELE_Cablecaida(BB77,H77,M77,I77,DF77)</f>
        <v/>
      </c>
      <c r="DH77" s="918" t="str" cm="1">
        <f t="array" ref="DH77">[1]!ACAELE_CAPACIDADCABLE(BB77,H77,I77,M77,DG77,N77,$P$5)</f>
        <v/>
      </c>
      <c r="DI77" s="926" t="str" cm="1">
        <f t="array" ref="DI77">IF($A$27=1,"",[1]!ACAELE_encontrarcaida(BB77,H77,R77,BV77,F77,BU77,T77,Q77,$P$5))</f>
        <v/>
      </c>
      <c r="DJ77" s="914" t="str" cm="1">
        <f t="array" ref="DJ77">IF($A$27=1,"",[1]!ACAELE_Cablecaida2(BB77,Q77,H77,S77,I77,DI77,$P$5))</f>
        <v/>
      </c>
      <c r="DK77" s="919" t="str" cm="1">
        <f t="array" ref="DK77">[1]!ACAELE_CAPACIDADCABLE(BB77,H77,I77,M77,DJ77,N77,$P$5)</f>
        <v/>
      </c>
      <c r="DL77" s="927" t="str" cm="1">
        <f t="array" ref="DL77">[1]!acaele_Iproteccion(BB77,H77,BU77,$F$20,$G$20,$F$19,$G$19,$H$20,$H$19,$P$5)</f>
        <v/>
      </c>
      <c r="DM77" s="928" cm="1">
        <f t="array" ref="DM77">[1]!acaele_ProtCalculada(CX77,H77,BT77,BW77,$G$21,$F$21,$H$21,$P$5)</f>
        <v>0</v>
      </c>
      <c r="DN77" s="929" t="str" cm="1">
        <f t="array" ref="DN77">[1]!ACAELE_cablecalculo(BB77,H77,I77,M77,EF77,$P$5)</f>
        <v/>
      </c>
      <c r="DO77" s="930" t="str" cm="1">
        <f t="array" ref="DO77">[1]!ACAELE_RESISTENCIA(BB77,H77,M77,I77,BX77, CW77,$P$5)</f>
        <v/>
      </c>
      <c r="DP77" s="931" t="str" cm="1">
        <f t="array" ref="DP77">[1]!ACAELE_REACTANCIA(BB77,H77,$F$11,M77,I77,BX77,$P$5)</f>
        <v/>
      </c>
      <c r="DQ77" s="918" t="str" cm="1">
        <f t="array" ref="DQ77">[1]!ACAELE_DIAMECAISLA(BB77,H77,I77,BX77,$P$5)</f>
        <v/>
      </c>
      <c r="DR77" s="918" t="str" cm="1">
        <f t="array" ref="DR77">[1]!ACAELE_AREACAISLAMIENTO(BB77,H77,DQ77,$P$5)</f>
        <v/>
      </c>
      <c r="DS77" s="918" t="str" cm="1">
        <f t="array" ref="DS77">[1]!ACAELE_CAIDAVOLTSFINAL(BB77,H77,F77,K77,BU77,N77,DO77,DA77,DP77,DB77,$P$5)</f>
        <v/>
      </c>
      <c r="DT77" s="918" t="str" cm="1">
        <f t="array" ref="DT77">[1]!ACAELE_AREACONDPTE(BB77,H77,CA77,$P$5)</f>
        <v/>
      </c>
      <c r="DU77" s="932" t="str" cm="1">
        <f t="array" ref="DU77">[1]!ACAELE_AREATOTAL(BZ77,M77,EO77,N77,DQ77,G77,DR77,DT77,N$20,$P$5)</f>
        <v/>
      </c>
      <c r="DV77" s="933" t="str" cm="1">
        <f t="array" ref="DV77">IF($A$27=1,"",[1]!ACAELE_cablecalculo(BB77,H77,I77,M77,EG77,$P$5))</f>
        <v/>
      </c>
      <c r="DW77" s="934" t="str" cm="1">
        <f t="array" ref="DW77">IF($A$27=1,"",[1]!ACAELE_RESISTENCIA(BB77,H77,M77,I77,CC77,CW77,$P$5))</f>
        <v/>
      </c>
      <c r="DX77" s="926" t="str" cm="1">
        <f t="array" ref="DX77">IF($A$27=1,"",[1]!ACAELE_REACTANCIA(BB77,H77,$F$11,M77,I77,CC77,$P$5))</f>
        <v/>
      </c>
      <c r="DY77" s="935" t="str" cm="1">
        <f t="array" ref="DY77">IF($A$27=1,"",[1]!ACAELE_DIAMECAISLA(BB77,H77,I77,CC77,$P$5))</f>
        <v/>
      </c>
      <c r="DZ77" s="935" t="str" cm="1">
        <f t="array" ref="DZ77">IF($A$27=1,"",[1]!ACAELE_AREACAISLAMIENTO(BB77,H77,DY77,$P$5))</f>
        <v/>
      </c>
      <c r="EA77" s="935" t="str" cm="1">
        <f t="array" ref="EA77">[1]!ACAELE_CAIDAVOLTSFINAL2(BB77,Q77,H77,F77,$A$27,BU77,T77,DW77,DA77,DX77,DB77)</f>
        <v/>
      </c>
      <c r="EB77" s="935" t="str" cm="1">
        <f t="array" ref="EB77">IF($A$27=1,"",[1]!ACAELE_AREACONDPTE(BB77,H77,CF77,$P$5))</f>
        <v/>
      </c>
      <c r="EC77" s="936" t="str" cm="1">
        <f t="array" ref="EC77">[1]!ACAELE_AREATOTAL2(H77,$A$27,DY77,S77,G77,T77,DZ77,U77,EB77)</f>
        <v/>
      </c>
      <c r="ED77" s="937" t="str">
        <f t="shared" si="59"/>
        <v/>
      </c>
      <c r="EE77" s="938" t="str">
        <f t="shared" si="60"/>
        <v/>
      </c>
      <c r="EF77" s="939" t="str">
        <f t="shared" si="61"/>
        <v/>
      </c>
      <c r="EG77" s="940">
        <f t="shared" si="62"/>
        <v>0</v>
      </c>
      <c r="EH77" s="941" t="str">
        <f t="shared" si="63"/>
        <v/>
      </c>
      <c r="EI77" s="942">
        <f t="shared" si="64"/>
        <v>30</v>
      </c>
      <c r="EJ77" s="943" t="str">
        <f t="shared" si="11"/>
        <v/>
      </c>
      <c r="EK77" s="943" t="str">
        <f t="shared" si="12"/>
        <v/>
      </c>
      <c r="EL77" s="943" t="str">
        <f t="shared" si="13"/>
        <v/>
      </c>
      <c r="EM77" s="944" t="str">
        <f t="shared" si="14"/>
        <v/>
      </c>
      <c r="EN77" s="945" t="str" cm="1">
        <f t="array" ref="EN77">[1]!ACAELE_MOTOR(H77,X77:BA77,$X$26:$BA$26,$P$5)</f>
        <v/>
      </c>
      <c r="EO77" s="550" t="str">
        <f t="shared" si="65"/>
        <v/>
      </c>
      <c r="EP77" s="431" t="s">
        <v>1214</v>
      </c>
      <c r="EQ77" s="434" t="str">
        <f t="shared" ca="1" si="66"/>
        <v/>
      </c>
      <c r="ER77" s="32"/>
      <c r="ES77" s="32"/>
      <c r="ET77" s="3" t="str">
        <f t="shared" si="67"/>
        <v/>
      </c>
      <c r="EU77" s="3" t="str">
        <f t="shared" si="68"/>
        <v/>
      </c>
      <c r="EV77" s="3" t="str">
        <f t="shared" si="69"/>
        <v/>
      </c>
      <c r="EW77" s="3" t="str">
        <f t="shared" si="70"/>
        <v/>
      </c>
      <c r="EX77" s="3" t="str">
        <f t="shared" si="71"/>
        <v/>
      </c>
      <c r="EY77" s="3" t="str">
        <f t="shared" si="72"/>
        <v/>
      </c>
      <c r="EZ77" s="3" t="str">
        <f t="shared" si="73"/>
        <v/>
      </c>
      <c r="FA77" s="3" t="str">
        <f t="shared" si="74"/>
        <v/>
      </c>
      <c r="FB77" s="3" t="str">
        <f t="shared" si="75"/>
        <v/>
      </c>
      <c r="FC77" s="3">
        <f t="shared" si="76"/>
        <v>0</v>
      </c>
      <c r="FD77" s="32"/>
      <c r="FE77" s="32"/>
      <c r="FF77" s="103">
        <v>1</v>
      </c>
      <c r="FG77" s="32"/>
      <c r="FH77" s="103"/>
      <c r="FI77" s="32"/>
      <c r="FJ77" s="103"/>
      <c r="FK77" s="3">
        <f t="shared" si="77"/>
        <v>0</v>
      </c>
      <c r="FL77" s="3" t="str" cm="1">
        <f t="array" aca="1" ref="FL77" ca="1">[1]!acaele_DIB_UNIFILAR(BB77,H77,F77,COUNTIF(X77:BA77,1),BW77)</f>
        <v/>
      </c>
      <c r="FM77" s="3" t="str">
        <f>IF(DATOS!$T$4=0,"",IF(DATOS!$T$4=1," (QO)",IF(DATOS!$T$4=2," (QOB)",IF(DATOS!$T$4=3," (EDB)",IF(DATOS!$T$4=4,IF(BW77&lt;151," (H"&amp;FN77&amp;")",IF(BW77&lt;251," (J"&amp;FN77&amp;")", IF(BW77&lt;401," (LA)",IF(BW77&lt;801," (MG)",IF(BW77&lt;5001," (POWERPACK)",""))))))))))</f>
        <v xml:space="preserve"> (QOB)</v>
      </c>
      <c r="FN77" s="3" t="str">
        <f t="shared" si="78"/>
        <v/>
      </c>
      <c r="FO77" s="146"/>
      <c r="FP77" s="146"/>
      <c r="FQ77" s="146"/>
      <c r="FR77" s="146"/>
      <c r="FS77" s="146"/>
      <c r="FT77" s="146"/>
      <c r="FU77" s="146"/>
      <c r="FV77" s="146"/>
      <c r="FW77" s="146"/>
      <c r="FX77" s="146" t="str">
        <f t="shared" si="9"/>
        <v/>
      </c>
      <c r="FY77" s="736"/>
      <c r="FZ77" s="740"/>
      <c r="GA77" s="740"/>
      <c r="GB77" s="717"/>
      <c r="GC77" s="838"/>
      <c r="GD77" s="736"/>
      <c r="GE77" s="146"/>
      <c r="GF77" s="506"/>
      <c r="GG77" s="506"/>
      <c r="GH77" s="506"/>
      <c r="GI77" s="506"/>
      <c r="GJ77" s="506"/>
      <c r="GM77" s="3">
        <f>IF(OR(GN77&gt;TABLERO!$M$19,GO77&gt;TABLERO!$M$19,GP77&gt;TABLERO!$M$19,B77=0,C77=0,D77=0),2,CUADROACAD!A77)</f>
        <v>2</v>
      </c>
      <c r="GN77" s="3">
        <f>IF(TABLERO!B77="",0,TABLERO!B77)</f>
        <v>47</v>
      </c>
      <c r="GO77" s="3">
        <f>IF(TABLERO!C77="",GN77,TABLERO!C77)</f>
        <v>47</v>
      </c>
      <c r="GP77" s="3">
        <f>IF(TABLERO!D77="",GN77,TABLERO!D77)</f>
        <v>47</v>
      </c>
    </row>
    <row r="78" spans="1:198" s="3" customFormat="1">
      <c r="A78" s="706"/>
      <c r="B78" s="869">
        <v>48</v>
      </c>
      <c r="C78" s="870" t="str">
        <f t="shared" si="15"/>
        <v/>
      </c>
      <c r="D78" s="870" t="str">
        <f t="shared" si="16"/>
        <v/>
      </c>
      <c r="E78" s="871"/>
      <c r="F78" s="872">
        <v>1</v>
      </c>
      <c r="G78" s="716">
        <f t="shared" si="17"/>
        <v>2</v>
      </c>
      <c r="H78" s="873" t="s">
        <v>12</v>
      </c>
      <c r="I78" s="874" t="str">
        <f t="shared" si="18"/>
        <v>CU</v>
      </c>
      <c r="J78" s="875">
        <v>6</v>
      </c>
      <c r="K78" s="876">
        <v>10</v>
      </c>
      <c r="L78" s="876">
        <v>3</v>
      </c>
      <c r="M78" s="877">
        <v>1</v>
      </c>
      <c r="N78" s="877">
        <v>1</v>
      </c>
      <c r="O78" s="878">
        <v>1</v>
      </c>
      <c r="P78" s="879">
        <v>4</v>
      </c>
      <c r="Q78" s="880">
        <v>1</v>
      </c>
      <c r="R78" s="880">
        <v>1</v>
      </c>
      <c r="S78" s="881">
        <v>1</v>
      </c>
      <c r="T78" s="881">
        <v>1</v>
      </c>
      <c r="U78" s="882">
        <v>1</v>
      </c>
      <c r="V78" s="883">
        <v>1</v>
      </c>
      <c r="W78" s="874" t="str">
        <f t="shared" si="19"/>
        <v>SI</v>
      </c>
      <c r="X78" s="884"/>
      <c r="Y78" s="885"/>
      <c r="Z78" s="885"/>
      <c r="AA78" s="885"/>
      <c r="AB78" s="885"/>
      <c r="AC78" s="885"/>
      <c r="AD78" s="885"/>
      <c r="AE78" s="885"/>
      <c r="AF78" s="885"/>
      <c r="AG78" s="885"/>
      <c r="AH78" s="885"/>
      <c r="AI78" s="885"/>
      <c r="AJ78" s="885"/>
      <c r="AK78" s="885"/>
      <c r="AL78" s="885"/>
      <c r="AM78" s="885"/>
      <c r="AN78" s="885"/>
      <c r="AO78" s="885"/>
      <c r="AP78" s="885"/>
      <c r="AQ78" s="885"/>
      <c r="AR78" s="885"/>
      <c r="AS78" s="885"/>
      <c r="AT78" s="885"/>
      <c r="AU78" s="885"/>
      <c r="AV78" s="885"/>
      <c r="AW78" s="885"/>
      <c r="AX78" s="885"/>
      <c r="AY78" s="885"/>
      <c r="AZ78" s="885"/>
      <c r="BA78" s="886"/>
      <c r="BB78" s="887">
        <f t="shared" si="20"/>
        <v>0</v>
      </c>
      <c r="BC78" s="888" t="str">
        <f t="shared" si="21"/>
        <v/>
      </c>
      <c r="BD78" s="889" t="str">
        <f t="shared" si="22"/>
        <v/>
      </c>
      <c r="BE78" s="889" t="str">
        <f t="shared" si="23"/>
        <v/>
      </c>
      <c r="BF78" s="889" t="str">
        <f t="shared" si="24"/>
        <v/>
      </c>
      <c r="BG78" s="889" t="str">
        <f t="shared" si="25"/>
        <v/>
      </c>
      <c r="BH78" s="889" t="str">
        <f t="shared" si="26"/>
        <v/>
      </c>
      <c r="BI78" s="890" t="str">
        <f t="shared" si="27"/>
        <v/>
      </c>
      <c r="BJ78" s="891" t="str">
        <f t="shared" si="28"/>
        <v/>
      </c>
      <c r="BK78" s="892" t="str">
        <f t="shared" si="29"/>
        <v/>
      </c>
      <c r="BL78" s="892" t="str">
        <f t="shared" si="30"/>
        <v/>
      </c>
      <c r="BM78" s="892" t="str">
        <f t="shared" si="31"/>
        <v/>
      </c>
      <c r="BN78" s="892" t="str">
        <f t="shared" si="32"/>
        <v/>
      </c>
      <c r="BO78" s="892" t="str">
        <f t="shared" si="33"/>
        <v/>
      </c>
      <c r="BP78" s="893" t="str">
        <f t="shared" si="34"/>
        <v/>
      </c>
      <c r="BQ78" s="894" t="str">
        <f t="shared" si="35"/>
        <v/>
      </c>
      <c r="BR78" s="895" t="str">
        <f t="shared" si="10"/>
        <v/>
      </c>
      <c r="BS78" s="896" t="str">
        <f t="shared" si="36"/>
        <v/>
      </c>
      <c r="BT78" s="897" t="str">
        <f t="shared" si="37"/>
        <v/>
      </c>
      <c r="BU78" s="231" t="str">
        <f t="shared" si="38"/>
        <v/>
      </c>
      <c r="BV78" s="898">
        <f t="shared" si="39"/>
        <v>127</v>
      </c>
      <c r="BW78" s="845" t="str">
        <f t="shared" si="40"/>
        <v/>
      </c>
      <c r="BX78" s="899" t="str">
        <f t="shared" si="41"/>
        <v/>
      </c>
      <c r="BY78" s="900" t="str" cm="1">
        <f t="array" ref="BY78">[1]!ACAELE_CAPACIDADCABLE(BB78,H78,I78,M78,BX78,N78)</f>
        <v/>
      </c>
      <c r="BZ78" s="900" t="str">
        <f t="shared" si="42"/>
        <v/>
      </c>
      <c r="CA78" s="901" t="str" cm="1">
        <f t="array" ref="CA78">[1]!ACAELE_cabledetierra(BZ78,$N$9,I78,BW78,BX78,G78)</f>
        <v/>
      </c>
      <c r="CB78" s="902" t="str" cm="1">
        <f t="array" ref="CB78">[1]!ACAELE_TAMATUBERIA(BX78,DU78,$N$9,M78,I78)</f>
        <v/>
      </c>
      <c r="CC78" s="846" t="str">
        <f t="shared" si="43"/>
        <v/>
      </c>
      <c r="CD78" s="903" t="str" cm="1">
        <f t="array" ref="CD78">[1]!ACAELE_CAPACIDADCABLE(BB78,H78,I78,M78,CC78,N78)</f>
        <v/>
      </c>
      <c r="CE78" s="903" t="str">
        <f t="shared" si="44"/>
        <v/>
      </c>
      <c r="CF78" s="904" t="str" cm="1">
        <f t="array" ref="CF78">[1]!ACAELE_cabledetierra(CE78,$N$9,I78,BW78,CC78,G78)</f>
        <v/>
      </c>
      <c r="CG78" s="905" t="str" cm="1">
        <f t="array" ref="CG78">[1]!ACAELE_TAMATUBERIA(CC78,EC78,$N$9,S78,I78)</f>
        <v/>
      </c>
      <c r="CH78" s="906" t="str">
        <f t="shared" si="45"/>
        <v/>
      </c>
      <c r="CI78" s="510" t="str">
        <f t="shared" si="46"/>
        <v>-</v>
      </c>
      <c r="CJ78" s="511" t="str">
        <f t="shared" si="47"/>
        <v>-</v>
      </c>
      <c r="CK78" s="512" t="str">
        <f t="shared" si="48"/>
        <v>-</v>
      </c>
      <c r="CL78" s="907" t="str">
        <f t="shared" si="49"/>
        <v>-</v>
      </c>
      <c r="CM78" s="908" t="str">
        <f t="shared" si="50"/>
        <v>-</v>
      </c>
      <c r="CN78" s="909" t="str">
        <f t="shared" si="51"/>
        <v>-</v>
      </c>
      <c r="CO78" s="910" t="str" cm="1">
        <f t="array" ref="CO78">[1]!ACAELE_fasecorresponde(B78,$F$10,$P$5)</f>
        <v>C</v>
      </c>
      <c r="CP78" s="910" t="str" cm="1">
        <f t="array" ref="CP78">[1]!ACAELE_fasecorresponde(C78,$F$10,$P$5)</f>
        <v>-</v>
      </c>
      <c r="CQ78" s="910" t="str" cm="1">
        <f t="array" ref="CQ78">[1]!ACAELE_fasecorresponde(D78,$F$10,$P$5)</f>
        <v>-</v>
      </c>
      <c r="CR78" s="911" t="str">
        <f t="shared" si="52"/>
        <v>C</v>
      </c>
      <c r="CS78" s="912">
        <f t="shared" si="53"/>
        <v>1</v>
      </c>
      <c r="CT78" s="913">
        <f t="shared" si="54"/>
        <v>0.8</v>
      </c>
      <c r="CU78" s="914" t="str">
        <f t="shared" si="55"/>
        <v/>
      </c>
      <c r="CV78" s="915">
        <f t="shared" si="56"/>
        <v>0</v>
      </c>
      <c r="CW78" s="916" t="str" cm="1">
        <f t="array" ref="CW78">[1]!ACAELE_Inominal(BB78,F78,BT78,BV78,DA78,G78,V78,$P$5)</f>
        <v/>
      </c>
      <c r="CX78" s="917" t="str" cm="1">
        <f t="array" ref="CX78">[1]!ACAELE_Disparocalculado(BB78,H78,DL78,$N$21,$M$21,$O$21,BV78,$P$5)</f>
        <v/>
      </c>
      <c r="CY78" s="918" t="str" cm="1">
        <f t="array" ref="CY78">[1]!ACAELE_Icorregida($A$27,H78,BB78,BU78,CS78,CT78,$P$5)</f>
        <v/>
      </c>
      <c r="CZ78" s="919" t="str" cm="1">
        <f t="array" ref="CZ78">[1]!ACAELE_Icorregida2($A$27,H78,BB78,BU78,CS78,CU78,$P$5)</f>
        <v/>
      </c>
      <c r="DA78" s="920">
        <f t="shared" si="57"/>
        <v>0.9</v>
      </c>
      <c r="DB78" s="921">
        <f t="shared" si="58"/>
        <v>0.43588989435406728</v>
      </c>
      <c r="DC78" s="922" t="str" cm="1">
        <f t="array" ref="DC78">[1]!ACAELE_CONDPORTCORRIENTE(H78,BB78,I78,M78,CY78,CZ78,N78,$P$5)</f>
        <v/>
      </c>
      <c r="DD78" s="923" t="str" cm="1">
        <f t="array" ref="DD78">[1]!ACAELE_CAPACONDCORRIENTE(BB78,H78,I78,M78,CY78,CZ78,$P$5)</f>
        <v/>
      </c>
      <c r="DE78" s="923" t="str" cm="1">
        <f t="array" ref="DE78">[1]!ACAELE_CAPACIDADCABLE(BB78,H78,I78,M78,DC78,N78,$P$5)</f>
        <v/>
      </c>
      <c r="DF78" s="924" t="str" cm="1">
        <f t="array" ref="DF78">[1]!ACAELE_encontrarcaida(BB78,H78,L78,BV78,F78,BU78,N78,K78)</f>
        <v/>
      </c>
      <c r="DG78" s="925" t="str" cm="1">
        <f t="array" ref="DG78">[1]!ACAELE_Cablecaida(BB78,H78,M78,I78,DF78)</f>
        <v/>
      </c>
      <c r="DH78" s="918" t="str" cm="1">
        <f t="array" ref="DH78">[1]!ACAELE_CAPACIDADCABLE(BB78,H78,I78,M78,DG78,N78,$P$5)</f>
        <v/>
      </c>
      <c r="DI78" s="926" t="str" cm="1">
        <f t="array" ref="DI78">IF($A$27=1,"",[1]!ACAELE_encontrarcaida(BB78,H78,R78,BV78,F78,BU78,T78,Q78,$P$5))</f>
        <v/>
      </c>
      <c r="DJ78" s="914" t="str" cm="1">
        <f t="array" ref="DJ78">IF($A$27=1,"",[1]!ACAELE_Cablecaida2(BB78,Q78,H78,S78,I78,DI78,$P$5))</f>
        <v/>
      </c>
      <c r="DK78" s="919" t="str" cm="1">
        <f t="array" ref="DK78">[1]!ACAELE_CAPACIDADCABLE(BB78,H78,I78,M78,DJ78,N78,$P$5)</f>
        <v/>
      </c>
      <c r="DL78" s="927" t="str" cm="1">
        <f t="array" ref="DL78">[1]!acaele_Iproteccion(BB78,H78,BU78,$F$20,$G$20,$F$19,$G$19,$H$20,$H$19,$P$5)</f>
        <v/>
      </c>
      <c r="DM78" s="928" cm="1">
        <f t="array" ref="DM78">[1]!acaele_ProtCalculada(CX78,H78,BT78,BW78,$G$21,$F$21,$H$21,$P$5)</f>
        <v>0</v>
      </c>
      <c r="DN78" s="929" t="str" cm="1">
        <f t="array" ref="DN78">[1]!ACAELE_cablecalculo(BB78,H78,I78,M78,EF78,$P$5)</f>
        <v/>
      </c>
      <c r="DO78" s="930" t="str" cm="1">
        <f t="array" ref="DO78">[1]!ACAELE_RESISTENCIA(BB78,H78,M78,I78,BX78, CW78,$P$5)</f>
        <v/>
      </c>
      <c r="DP78" s="931" t="str" cm="1">
        <f t="array" ref="DP78">[1]!ACAELE_REACTANCIA(BB78,H78,$F$11,M78,I78,BX78,$P$5)</f>
        <v/>
      </c>
      <c r="DQ78" s="918" t="str" cm="1">
        <f t="array" ref="DQ78">[1]!ACAELE_DIAMECAISLA(BB78,H78,I78,BX78,$P$5)</f>
        <v/>
      </c>
      <c r="DR78" s="918" t="str" cm="1">
        <f t="array" ref="DR78">[1]!ACAELE_AREACAISLAMIENTO(BB78,H78,DQ78,$P$5)</f>
        <v/>
      </c>
      <c r="DS78" s="918" t="str" cm="1">
        <f t="array" ref="DS78">[1]!ACAELE_CAIDAVOLTSFINAL(BB78,H78,F78,K78,BU78,N78,DO78,DA78,DP78,DB78,$P$5)</f>
        <v/>
      </c>
      <c r="DT78" s="918" t="str" cm="1">
        <f t="array" ref="DT78">[1]!ACAELE_AREACONDPTE(BB78,H78,CA78,$P$5)</f>
        <v/>
      </c>
      <c r="DU78" s="932" t="str" cm="1">
        <f t="array" ref="DU78">[1]!ACAELE_AREATOTAL(BZ78,M78,EO78,N78,DQ78,G78,DR78,DT78,N$20,$P$5)</f>
        <v/>
      </c>
      <c r="DV78" s="933" t="str" cm="1">
        <f t="array" ref="DV78">IF($A$27=1,"",[1]!ACAELE_cablecalculo(BB78,H78,I78,M78,EG78,$P$5))</f>
        <v/>
      </c>
      <c r="DW78" s="934" t="str" cm="1">
        <f t="array" ref="DW78">IF($A$27=1,"",[1]!ACAELE_RESISTENCIA(BB78,H78,M78,I78,CC78,CW78,$P$5))</f>
        <v/>
      </c>
      <c r="DX78" s="926" t="str" cm="1">
        <f t="array" ref="DX78">IF($A$27=1,"",[1]!ACAELE_REACTANCIA(BB78,H78,$F$11,M78,I78,CC78,$P$5))</f>
        <v/>
      </c>
      <c r="DY78" s="935" t="str" cm="1">
        <f t="array" ref="DY78">IF($A$27=1,"",[1]!ACAELE_DIAMECAISLA(BB78,H78,I78,CC78,$P$5))</f>
        <v/>
      </c>
      <c r="DZ78" s="935" t="str" cm="1">
        <f t="array" ref="DZ78">IF($A$27=1,"",[1]!ACAELE_AREACAISLAMIENTO(BB78,H78,DY78,$P$5))</f>
        <v/>
      </c>
      <c r="EA78" s="935" t="str" cm="1">
        <f t="array" ref="EA78">[1]!ACAELE_CAIDAVOLTSFINAL2(BB78,Q78,H78,F78,$A$27,BU78,T78,DW78,DA78,DX78,DB78)</f>
        <v/>
      </c>
      <c r="EB78" s="935" t="str" cm="1">
        <f t="array" ref="EB78">IF($A$27=1,"",[1]!ACAELE_AREACONDPTE(BB78,H78,CF78,$P$5))</f>
        <v/>
      </c>
      <c r="EC78" s="936" t="str" cm="1">
        <f t="array" ref="EC78">[1]!ACAELE_AREATOTAL2(H78,$A$27,DY78,S78,G78,T78,DZ78,U78,EB78)</f>
        <v/>
      </c>
      <c r="ED78" s="937" t="str">
        <f t="shared" si="59"/>
        <v/>
      </c>
      <c r="EE78" s="938" t="str">
        <f t="shared" si="60"/>
        <v/>
      </c>
      <c r="EF78" s="939" t="str">
        <f t="shared" si="61"/>
        <v/>
      </c>
      <c r="EG78" s="940">
        <f t="shared" si="62"/>
        <v>0</v>
      </c>
      <c r="EH78" s="941" t="str">
        <f t="shared" si="63"/>
        <v/>
      </c>
      <c r="EI78" s="942">
        <f t="shared" si="64"/>
        <v>30</v>
      </c>
      <c r="EJ78" s="943" t="str">
        <f t="shared" si="11"/>
        <v/>
      </c>
      <c r="EK78" s="943" t="str">
        <f t="shared" si="12"/>
        <v/>
      </c>
      <c r="EL78" s="943" t="str">
        <f t="shared" si="13"/>
        <v/>
      </c>
      <c r="EM78" s="944" t="str">
        <f t="shared" si="14"/>
        <v/>
      </c>
      <c r="EN78" s="945" t="str" cm="1">
        <f t="array" ref="EN78">[1]!ACAELE_MOTOR(H78,X78:BA78,$X$26:$BA$26,$P$5)</f>
        <v/>
      </c>
      <c r="EO78" s="550" t="str">
        <f t="shared" si="65"/>
        <v/>
      </c>
      <c r="EP78" s="431" t="s">
        <v>1214</v>
      </c>
      <c r="EQ78" s="434" t="str">
        <f t="shared" ca="1" si="66"/>
        <v/>
      </c>
      <c r="ER78" s="32"/>
      <c r="ES78" s="32"/>
      <c r="ET78" s="3" t="str">
        <f t="shared" si="67"/>
        <v/>
      </c>
      <c r="EU78" s="3" t="str">
        <f t="shared" si="68"/>
        <v/>
      </c>
      <c r="EV78" s="3" t="str">
        <f t="shared" si="69"/>
        <v/>
      </c>
      <c r="EW78" s="3" t="str">
        <f t="shared" si="70"/>
        <v/>
      </c>
      <c r="EX78" s="3" t="str">
        <f t="shared" si="71"/>
        <v/>
      </c>
      <c r="EY78" s="3" t="str">
        <f t="shared" si="72"/>
        <v/>
      </c>
      <c r="EZ78" s="3" t="str">
        <f t="shared" si="73"/>
        <v/>
      </c>
      <c r="FA78" s="3" t="str">
        <f t="shared" si="74"/>
        <v/>
      </c>
      <c r="FB78" s="3" t="str">
        <f t="shared" si="75"/>
        <v/>
      </c>
      <c r="FC78" s="3">
        <f t="shared" si="76"/>
        <v>0</v>
      </c>
      <c r="FD78" s="32"/>
      <c r="FE78" s="32"/>
      <c r="FF78" s="103">
        <v>1</v>
      </c>
      <c r="FG78" s="32"/>
      <c r="FH78" s="103"/>
      <c r="FI78" s="32"/>
      <c r="FJ78" s="103"/>
      <c r="FK78" s="3">
        <f t="shared" si="77"/>
        <v>0</v>
      </c>
      <c r="FL78" s="3" t="str" cm="1">
        <f t="array" aca="1" ref="FL78" ca="1">[1]!acaele_DIB_UNIFILAR(BB78,H78,F78,COUNTIF(X78:BA78,1),BW78)</f>
        <v/>
      </c>
      <c r="FM78" s="3" t="str">
        <f>IF(DATOS!$T$4=0,"",IF(DATOS!$T$4=1," (QO)",IF(DATOS!$T$4=2," (QOB)",IF(DATOS!$T$4=3," (EDB)",IF(DATOS!$T$4=4,IF(BW78&lt;151," (H"&amp;FN78&amp;")",IF(BW78&lt;251," (J"&amp;FN78&amp;")", IF(BW78&lt;401," (LA)",IF(BW78&lt;801," (MG)",IF(BW78&lt;5001," (POWERPACK)",""))))))))))</f>
        <v xml:space="preserve"> (QOB)</v>
      </c>
      <c r="FN78" s="3" t="str">
        <f t="shared" si="78"/>
        <v/>
      </c>
      <c r="FO78" s="146"/>
      <c r="FP78" s="146"/>
      <c r="FQ78" s="146"/>
      <c r="FR78" s="146"/>
      <c r="FS78" s="146"/>
      <c r="FT78" s="146"/>
      <c r="FU78" s="146"/>
      <c r="FV78" s="146"/>
      <c r="FW78" s="146"/>
      <c r="FX78" s="146" t="str">
        <f t="shared" si="9"/>
        <v/>
      </c>
      <c r="FY78" s="736"/>
      <c r="FZ78" s="740"/>
      <c r="GA78" s="740"/>
      <c r="GB78" s="717"/>
      <c r="GC78" s="838"/>
      <c r="GD78" s="736"/>
      <c r="GE78" s="146"/>
      <c r="GF78" s="506"/>
      <c r="GG78" s="506"/>
      <c r="GH78" s="506"/>
      <c r="GI78" s="506"/>
      <c r="GJ78" s="506"/>
      <c r="GM78" s="3">
        <f>IF(OR(GN78&gt;TABLERO!$M$19,GO78&gt;TABLERO!$M$19,GP78&gt;TABLERO!$M$19,B78=0,C78=0,D78=0),2,CUADROACAD!A78)</f>
        <v>2</v>
      </c>
      <c r="GN78" s="3">
        <f>IF(TABLERO!B78="",0,TABLERO!B78)</f>
        <v>48</v>
      </c>
      <c r="GO78" s="3">
        <f>IF(TABLERO!C78="",GN78,TABLERO!C78)</f>
        <v>48</v>
      </c>
      <c r="GP78" s="3">
        <f>IF(TABLERO!D78="",GN78,TABLERO!D78)</f>
        <v>48</v>
      </c>
    </row>
    <row r="79" spans="1:198" s="3" customFormat="1">
      <c r="A79" s="706"/>
      <c r="B79" s="869">
        <v>49</v>
      </c>
      <c r="C79" s="870" t="str">
        <f t="shared" si="15"/>
        <v/>
      </c>
      <c r="D79" s="870" t="str">
        <f t="shared" si="16"/>
        <v/>
      </c>
      <c r="E79" s="871"/>
      <c r="F79" s="872">
        <v>1</v>
      </c>
      <c r="G79" s="716">
        <f t="shared" si="17"/>
        <v>2</v>
      </c>
      <c r="H79" s="873" t="s">
        <v>12</v>
      </c>
      <c r="I79" s="874" t="str">
        <f t="shared" si="18"/>
        <v>CU</v>
      </c>
      <c r="J79" s="875">
        <v>6</v>
      </c>
      <c r="K79" s="876">
        <v>10</v>
      </c>
      <c r="L79" s="876">
        <v>3</v>
      </c>
      <c r="M79" s="877">
        <v>1</v>
      </c>
      <c r="N79" s="877">
        <v>1</v>
      </c>
      <c r="O79" s="878">
        <v>1</v>
      </c>
      <c r="P79" s="879">
        <v>4</v>
      </c>
      <c r="Q79" s="880">
        <v>1</v>
      </c>
      <c r="R79" s="880">
        <v>1</v>
      </c>
      <c r="S79" s="881">
        <v>1</v>
      </c>
      <c r="T79" s="881">
        <v>1</v>
      </c>
      <c r="U79" s="882">
        <v>1</v>
      </c>
      <c r="V79" s="883">
        <v>1</v>
      </c>
      <c r="W79" s="874" t="str">
        <f t="shared" si="19"/>
        <v>SI</v>
      </c>
      <c r="X79" s="884"/>
      <c r="Y79" s="885"/>
      <c r="Z79" s="885"/>
      <c r="AA79" s="885"/>
      <c r="AB79" s="885"/>
      <c r="AC79" s="885"/>
      <c r="AD79" s="885"/>
      <c r="AE79" s="885"/>
      <c r="AF79" s="885"/>
      <c r="AG79" s="885"/>
      <c r="AH79" s="885"/>
      <c r="AI79" s="885"/>
      <c r="AJ79" s="885"/>
      <c r="AK79" s="885"/>
      <c r="AL79" s="885"/>
      <c r="AM79" s="885"/>
      <c r="AN79" s="885"/>
      <c r="AO79" s="885"/>
      <c r="AP79" s="885"/>
      <c r="AQ79" s="885"/>
      <c r="AR79" s="885"/>
      <c r="AS79" s="885"/>
      <c r="AT79" s="885"/>
      <c r="AU79" s="885"/>
      <c r="AV79" s="885"/>
      <c r="AW79" s="885"/>
      <c r="AX79" s="885"/>
      <c r="AY79" s="885"/>
      <c r="AZ79" s="885"/>
      <c r="BA79" s="886"/>
      <c r="BB79" s="887">
        <f t="shared" si="20"/>
        <v>0</v>
      </c>
      <c r="BC79" s="888" t="str">
        <f t="shared" si="21"/>
        <v/>
      </c>
      <c r="BD79" s="889" t="str">
        <f t="shared" si="22"/>
        <v/>
      </c>
      <c r="BE79" s="889" t="str">
        <f t="shared" si="23"/>
        <v/>
      </c>
      <c r="BF79" s="889" t="str">
        <f t="shared" si="24"/>
        <v/>
      </c>
      <c r="BG79" s="889" t="str">
        <f t="shared" si="25"/>
        <v/>
      </c>
      <c r="BH79" s="889" t="str">
        <f t="shared" si="26"/>
        <v/>
      </c>
      <c r="BI79" s="890" t="str">
        <f t="shared" si="27"/>
        <v/>
      </c>
      <c r="BJ79" s="891" t="str">
        <f t="shared" si="28"/>
        <v/>
      </c>
      <c r="BK79" s="892" t="str">
        <f t="shared" si="29"/>
        <v/>
      </c>
      <c r="BL79" s="892" t="str">
        <f t="shared" si="30"/>
        <v/>
      </c>
      <c r="BM79" s="892" t="str">
        <f t="shared" si="31"/>
        <v/>
      </c>
      <c r="BN79" s="892" t="str">
        <f t="shared" si="32"/>
        <v/>
      </c>
      <c r="BO79" s="892" t="str">
        <f t="shared" si="33"/>
        <v/>
      </c>
      <c r="BP79" s="893" t="str">
        <f t="shared" si="34"/>
        <v/>
      </c>
      <c r="BQ79" s="894" t="str">
        <f t="shared" si="35"/>
        <v/>
      </c>
      <c r="BR79" s="895" t="str">
        <f t="shared" si="10"/>
        <v/>
      </c>
      <c r="BS79" s="896" t="str">
        <f t="shared" si="36"/>
        <v/>
      </c>
      <c r="BT79" s="897" t="str">
        <f t="shared" si="37"/>
        <v/>
      </c>
      <c r="BU79" s="231" t="str">
        <f t="shared" si="38"/>
        <v/>
      </c>
      <c r="BV79" s="898">
        <f t="shared" si="39"/>
        <v>127</v>
      </c>
      <c r="BW79" s="845" t="str">
        <f t="shared" si="40"/>
        <v/>
      </c>
      <c r="BX79" s="899" t="str">
        <f t="shared" si="41"/>
        <v/>
      </c>
      <c r="BY79" s="900" t="str" cm="1">
        <f t="array" ref="BY79">[1]!ACAELE_CAPACIDADCABLE(BB79,H79,I79,M79,BX79,N79)</f>
        <v/>
      </c>
      <c r="BZ79" s="900" t="str">
        <f t="shared" si="42"/>
        <v/>
      </c>
      <c r="CA79" s="901" t="str" cm="1">
        <f t="array" ref="CA79">[1]!ACAELE_cabledetierra(BZ79,$N$9,I79,BW79,BX79,G79)</f>
        <v/>
      </c>
      <c r="CB79" s="902" t="str" cm="1">
        <f t="array" ref="CB79">[1]!ACAELE_TAMATUBERIA(BX79,DU79,$N$9,M79,I79)</f>
        <v/>
      </c>
      <c r="CC79" s="846" t="str">
        <f t="shared" si="43"/>
        <v/>
      </c>
      <c r="CD79" s="903" t="str" cm="1">
        <f t="array" ref="CD79">[1]!ACAELE_CAPACIDADCABLE(BB79,H79,I79,M79,CC79,N79)</f>
        <v/>
      </c>
      <c r="CE79" s="903" t="str">
        <f t="shared" si="44"/>
        <v/>
      </c>
      <c r="CF79" s="904" t="str" cm="1">
        <f t="array" ref="CF79">[1]!ACAELE_cabledetierra(CE79,$N$9,I79,BW79,CC79,G79)</f>
        <v/>
      </c>
      <c r="CG79" s="905" t="str" cm="1">
        <f t="array" ref="CG79">[1]!ACAELE_TAMATUBERIA(CC79,EC79,$N$9,S79,I79)</f>
        <v/>
      </c>
      <c r="CH79" s="906" t="str">
        <f t="shared" si="45"/>
        <v/>
      </c>
      <c r="CI79" s="510" t="str">
        <f t="shared" si="46"/>
        <v>-</v>
      </c>
      <c r="CJ79" s="511" t="str">
        <f t="shared" si="47"/>
        <v>-</v>
      </c>
      <c r="CK79" s="512" t="str">
        <f t="shared" si="48"/>
        <v>-</v>
      </c>
      <c r="CL79" s="907" t="str">
        <f t="shared" si="49"/>
        <v>-</v>
      </c>
      <c r="CM79" s="908" t="str">
        <f t="shared" si="50"/>
        <v>-</v>
      </c>
      <c r="CN79" s="909" t="str">
        <f t="shared" si="51"/>
        <v>-</v>
      </c>
      <c r="CO79" s="910" t="str" cm="1">
        <f t="array" ref="CO79">[1]!ACAELE_fasecorresponde(B79,$F$10,$P$5)</f>
        <v>A</v>
      </c>
      <c r="CP79" s="910" t="str" cm="1">
        <f t="array" ref="CP79">[1]!ACAELE_fasecorresponde(C79,$F$10,$P$5)</f>
        <v>-</v>
      </c>
      <c r="CQ79" s="910" t="str" cm="1">
        <f t="array" ref="CQ79">[1]!ACAELE_fasecorresponde(D79,$F$10,$P$5)</f>
        <v>-</v>
      </c>
      <c r="CR79" s="911" t="str">
        <f t="shared" si="52"/>
        <v>C</v>
      </c>
      <c r="CS79" s="912">
        <f t="shared" si="53"/>
        <v>1</v>
      </c>
      <c r="CT79" s="913">
        <f t="shared" si="54"/>
        <v>0.8</v>
      </c>
      <c r="CU79" s="914" t="str">
        <f t="shared" si="55"/>
        <v/>
      </c>
      <c r="CV79" s="915">
        <f t="shared" si="56"/>
        <v>0</v>
      </c>
      <c r="CW79" s="916" t="str" cm="1">
        <f t="array" ref="CW79">[1]!ACAELE_Inominal(BB79,F79,BT79,BV79,DA79,G79,V79,$P$5)</f>
        <v/>
      </c>
      <c r="CX79" s="917" t="str" cm="1">
        <f t="array" ref="CX79">[1]!ACAELE_Disparocalculado(BB79,H79,DL79,$N$21,$M$21,$O$21,BV79,$P$5)</f>
        <v/>
      </c>
      <c r="CY79" s="918" t="str" cm="1">
        <f t="array" ref="CY79">[1]!ACAELE_Icorregida($A$27,H79,BB79,BU79,CS79,CT79,$P$5)</f>
        <v/>
      </c>
      <c r="CZ79" s="919" t="str" cm="1">
        <f t="array" ref="CZ79">[1]!ACAELE_Icorregida2($A$27,H79,BB79,BU79,CS79,CU79,$P$5)</f>
        <v/>
      </c>
      <c r="DA79" s="920">
        <f t="shared" si="57"/>
        <v>0.9</v>
      </c>
      <c r="DB79" s="921">
        <f t="shared" si="58"/>
        <v>0.43588989435406728</v>
      </c>
      <c r="DC79" s="922" t="str" cm="1">
        <f t="array" ref="DC79">[1]!ACAELE_CONDPORTCORRIENTE(H79,BB79,I79,M79,CY79,CZ79,N79,$P$5)</f>
        <v/>
      </c>
      <c r="DD79" s="923" t="str" cm="1">
        <f t="array" ref="DD79">[1]!ACAELE_CAPACONDCORRIENTE(BB79,H79,I79,M79,CY79,CZ79,$P$5)</f>
        <v/>
      </c>
      <c r="DE79" s="923" t="str" cm="1">
        <f t="array" ref="DE79">[1]!ACAELE_CAPACIDADCABLE(BB79,H79,I79,M79,DC79,N79,$P$5)</f>
        <v/>
      </c>
      <c r="DF79" s="924" t="str" cm="1">
        <f t="array" ref="DF79">[1]!ACAELE_encontrarcaida(BB79,H79,L79,BV79,F79,BU79,N79,K79)</f>
        <v/>
      </c>
      <c r="DG79" s="925" t="str" cm="1">
        <f t="array" ref="DG79">[1]!ACAELE_Cablecaida(BB79,H79,M79,I79,DF79)</f>
        <v/>
      </c>
      <c r="DH79" s="918" t="str" cm="1">
        <f t="array" ref="DH79">[1]!ACAELE_CAPACIDADCABLE(BB79,H79,I79,M79,DG79,N79,$P$5)</f>
        <v/>
      </c>
      <c r="DI79" s="926" t="str" cm="1">
        <f t="array" ref="DI79">IF($A$27=1,"",[1]!ACAELE_encontrarcaida(BB79,H79,R79,BV79,F79,BU79,T79,Q79,$P$5))</f>
        <v/>
      </c>
      <c r="DJ79" s="914" t="str" cm="1">
        <f t="array" ref="DJ79">IF($A$27=1,"",[1]!ACAELE_Cablecaida2(BB79,Q79,H79,S79,I79,DI79,$P$5))</f>
        <v/>
      </c>
      <c r="DK79" s="919" t="str" cm="1">
        <f t="array" ref="DK79">[1]!ACAELE_CAPACIDADCABLE(BB79,H79,I79,M79,DJ79,N79,$P$5)</f>
        <v/>
      </c>
      <c r="DL79" s="927" t="str" cm="1">
        <f t="array" ref="DL79">[1]!acaele_Iproteccion(BB79,H79,BU79,$F$20,$G$20,$F$19,$G$19,$H$20,$H$19,$P$5)</f>
        <v/>
      </c>
      <c r="DM79" s="928" cm="1">
        <f t="array" ref="DM79">[1]!acaele_ProtCalculada(CX79,H79,BT79,BW79,$G$21,$F$21,$H$21,$P$5)</f>
        <v>0</v>
      </c>
      <c r="DN79" s="929" t="str" cm="1">
        <f t="array" ref="DN79">[1]!ACAELE_cablecalculo(BB79,H79,I79,M79,EF79,$P$5)</f>
        <v/>
      </c>
      <c r="DO79" s="930" t="str" cm="1">
        <f t="array" ref="DO79">[1]!ACAELE_RESISTENCIA(BB79,H79,M79,I79,BX79, CW79,$P$5)</f>
        <v/>
      </c>
      <c r="DP79" s="931" t="str" cm="1">
        <f t="array" ref="DP79">[1]!ACAELE_REACTANCIA(BB79,H79,$F$11,M79,I79,BX79,$P$5)</f>
        <v/>
      </c>
      <c r="DQ79" s="918" t="str" cm="1">
        <f t="array" ref="DQ79">[1]!ACAELE_DIAMECAISLA(BB79,H79,I79,BX79,$P$5)</f>
        <v/>
      </c>
      <c r="DR79" s="918" t="str" cm="1">
        <f t="array" ref="DR79">[1]!ACAELE_AREACAISLAMIENTO(BB79,H79,DQ79,$P$5)</f>
        <v/>
      </c>
      <c r="DS79" s="918" t="str" cm="1">
        <f t="array" ref="DS79">[1]!ACAELE_CAIDAVOLTSFINAL(BB79,H79,F79,K79,BU79,N79,DO79,DA79,DP79,DB79,$P$5)</f>
        <v/>
      </c>
      <c r="DT79" s="918" t="str" cm="1">
        <f t="array" ref="DT79">[1]!ACAELE_AREACONDPTE(BB79,H79,CA79,$P$5)</f>
        <v/>
      </c>
      <c r="DU79" s="932" t="str" cm="1">
        <f t="array" ref="DU79">[1]!ACAELE_AREATOTAL(BZ79,M79,EO79,N79,DQ79,G79,DR79,DT79,N$20,$P$5)</f>
        <v/>
      </c>
      <c r="DV79" s="933" t="str" cm="1">
        <f t="array" ref="DV79">IF($A$27=1,"",[1]!ACAELE_cablecalculo(BB79,H79,I79,M79,EG79,$P$5))</f>
        <v/>
      </c>
      <c r="DW79" s="934" t="str" cm="1">
        <f t="array" ref="DW79">IF($A$27=1,"",[1]!ACAELE_RESISTENCIA(BB79,H79,M79,I79,CC79,CW79,$P$5))</f>
        <v/>
      </c>
      <c r="DX79" s="926" t="str" cm="1">
        <f t="array" ref="DX79">IF($A$27=1,"",[1]!ACAELE_REACTANCIA(BB79,H79,$F$11,M79,I79,CC79,$P$5))</f>
        <v/>
      </c>
      <c r="DY79" s="935" t="str" cm="1">
        <f t="array" ref="DY79">IF($A$27=1,"",[1]!ACAELE_DIAMECAISLA(BB79,H79,I79,CC79,$P$5))</f>
        <v/>
      </c>
      <c r="DZ79" s="935" t="str" cm="1">
        <f t="array" ref="DZ79">IF($A$27=1,"",[1]!ACAELE_AREACAISLAMIENTO(BB79,H79,DY79,$P$5))</f>
        <v/>
      </c>
      <c r="EA79" s="935" t="str" cm="1">
        <f t="array" ref="EA79">[1]!ACAELE_CAIDAVOLTSFINAL2(BB79,Q79,H79,F79,$A$27,BU79,T79,DW79,DA79,DX79,DB79)</f>
        <v/>
      </c>
      <c r="EB79" s="935" t="str" cm="1">
        <f t="array" ref="EB79">IF($A$27=1,"",[1]!ACAELE_AREACONDPTE(BB79,H79,CF79,$P$5))</f>
        <v/>
      </c>
      <c r="EC79" s="936" t="str" cm="1">
        <f t="array" ref="EC79">[1]!ACAELE_AREATOTAL2(H79,$A$27,DY79,S79,G79,T79,DZ79,U79,EB79)</f>
        <v/>
      </c>
      <c r="ED79" s="937" t="str">
        <f t="shared" si="59"/>
        <v/>
      </c>
      <c r="EE79" s="938" t="str">
        <f t="shared" si="60"/>
        <v/>
      </c>
      <c r="EF79" s="939" t="str">
        <f t="shared" si="61"/>
        <v/>
      </c>
      <c r="EG79" s="940">
        <f t="shared" si="62"/>
        <v>0</v>
      </c>
      <c r="EH79" s="941" t="str">
        <f t="shared" si="63"/>
        <v/>
      </c>
      <c r="EI79" s="942">
        <f t="shared" si="64"/>
        <v>30</v>
      </c>
      <c r="EJ79" s="943" t="str">
        <f t="shared" si="11"/>
        <v/>
      </c>
      <c r="EK79" s="943" t="str">
        <f t="shared" si="12"/>
        <v/>
      </c>
      <c r="EL79" s="943" t="str">
        <f t="shared" si="13"/>
        <v/>
      </c>
      <c r="EM79" s="944" t="str">
        <f t="shared" si="14"/>
        <v/>
      </c>
      <c r="EN79" s="945" t="str" cm="1">
        <f t="array" ref="EN79">[1]!ACAELE_MOTOR(H79,X79:BA79,$X$26:$BA$26,$P$5)</f>
        <v/>
      </c>
      <c r="EO79" s="550" t="str">
        <f t="shared" si="65"/>
        <v/>
      </c>
      <c r="EP79" s="431" t="s">
        <v>1214</v>
      </c>
      <c r="EQ79" s="434" t="str">
        <f t="shared" ca="1" si="66"/>
        <v/>
      </c>
      <c r="ER79" s="32"/>
      <c r="ES79" s="32"/>
      <c r="ET79" s="3" t="str">
        <f t="shared" si="67"/>
        <v/>
      </c>
      <c r="EU79" s="3" t="str">
        <f t="shared" si="68"/>
        <v/>
      </c>
      <c r="EV79" s="3" t="str">
        <f t="shared" si="69"/>
        <v/>
      </c>
      <c r="EW79" s="3" t="str">
        <f t="shared" si="70"/>
        <v/>
      </c>
      <c r="EX79" s="3" t="str">
        <f t="shared" si="71"/>
        <v/>
      </c>
      <c r="EY79" s="3" t="str">
        <f t="shared" si="72"/>
        <v/>
      </c>
      <c r="EZ79" s="3" t="str">
        <f t="shared" si="73"/>
        <v/>
      </c>
      <c r="FA79" s="3" t="str">
        <f t="shared" si="74"/>
        <v/>
      </c>
      <c r="FB79" s="3" t="str">
        <f t="shared" si="75"/>
        <v/>
      </c>
      <c r="FC79" s="3">
        <f t="shared" si="76"/>
        <v>0</v>
      </c>
      <c r="FD79" s="32"/>
      <c r="FE79" s="32"/>
      <c r="FF79" s="103">
        <v>1</v>
      </c>
      <c r="FG79" s="32"/>
      <c r="FH79" s="103"/>
      <c r="FI79" s="32"/>
      <c r="FJ79" s="103"/>
      <c r="FK79" s="3">
        <f t="shared" si="77"/>
        <v>0</v>
      </c>
      <c r="FL79" s="3" t="str" cm="1">
        <f t="array" aca="1" ref="FL79" ca="1">[1]!acaele_DIB_UNIFILAR(BB79,H79,F79,COUNTIF(X79:BA79,1),BW79)</f>
        <v/>
      </c>
      <c r="FM79" s="3" t="str">
        <f>IF(DATOS!$T$4=0,"",IF(DATOS!$T$4=1," (QO)",IF(DATOS!$T$4=2," (QOB)",IF(DATOS!$T$4=3," (EDB)",IF(DATOS!$T$4=4,IF(BW79&lt;151," (H"&amp;FN79&amp;")",IF(BW79&lt;251," (J"&amp;FN79&amp;")", IF(BW79&lt;401," (LA)",IF(BW79&lt;801," (MG)",IF(BW79&lt;5001," (POWERPACK)",""))))))))))</f>
        <v xml:space="preserve"> (QOB)</v>
      </c>
      <c r="FN79" s="3" t="str">
        <f t="shared" si="78"/>
        <v/>
      </c>
      <c r="FO79" s="146"/>
      <c r="FP79" s="146"/>
      <c r="FQ79" s="146"/>
      <c r="FR79" s="146"/>
      <c r="FS79" s="146"/>
      <c r="FT79" s="146"/>
      <c r="FU79" s="146"/>
      <c r="FV79" s="146"/>
      <c r="FW79" s="146"/>
      <c r="FX79" s="146" t="str">
        <f t="shared" si="9"/>
        <v/>
      </c>
      <c r="FY79" s="736"/>
      <c r="FZ79" s="740"/>
      <c r="GA79" s="740"/>
      <c r="GB79" s="717"/>
      <c r="GC79" s="838"/>
      <c r="GD79" s="736"/>
      <c r="GE79" s="146"/>
      <c r="GF79" s="506"/>
      <c r="GG79" s="506"/>
      <c r="GH79" s="506"/>
      <c r="GI79" s="506"/>
      <c r="GJ79" s="506"/>
      <c r="GM79" s="3">
        <f>IF(OR(GN79&gt;TABLERO!$M$19,GO79&gt;TABLERO!$M$19,GP79&gt;TABLERO!$M$19,B79=0,C79=0,D79=0),2,CUADROACAD!A79)</f>
        <v>2</v>
      </c>
      <c r="GN79" s="3">
        <f>IF(TABLERO!B79="",0,TABLERO!B79)</f>
        <v>49</v>
      </c>
      <c r="GO79" s="3">
        <f>IF(TABLERO!C79="",GN79,TABLERO!C79)</f>
        <v>49</v>
      </c>
      <c r="GP79" s="3">
        <f>IF(TABLERO!D79="",GN79,TABLERO!D79)</f>
        <v>49</v>
      </c>
    </row>
    <row r="80" spans="1:198" s="3" customFormat="1">
      <c r="A80" s="706"/>
      <c r="B80" s="869">
        <v>50</v>
      </c>
      <c r="C80" s="870" t="str">
        <f t="shared" si="15"/>
        <v/>
      </c>
      <c r="D80" s="870" t="str">
        <f t="shared" si="16"/>
        <v/>
      </c>
      <c r="E80" s="871"/>
      <c r="F80" s="872">
        <v>1</v>
      </c>
      <c r="G80" s="716">
        <f t="shared" si="17"/>
        <v>2</v>
      </c>
      <c r="H80" s="873" t="s">
        <v>12</v>
      </c>
      <c r="I80" s="874" t="str">
        <f t="shared" si="18"/>
        <v>CU</v>
      </c>
      <c r="J80" s="875">
        <v>6</v>
      </c>
      <c r="K80" s="876">
        <v>10</v>
      </c>
      <c r="L80" s="876">
        <v>3</v>
      </c>
      <c r="M80" s="877">
        <v>1</v>
      </c>
      <c r="N80" s="877">
        <v>1</v>
      </c>
      <c r="O80" s="878">
        <v>1</v>
      </c>
      <c r="P80" s="879">
        <v>4</v>
      </c>
      <c r="Q80" s="880">
        <v>1</v>
      </c>
      <c r="R80" s="880">
        <v>1</v>
      </c>
      <c r="S80" s="881">
        <v>1</v>
      </c>
      <c r="T80" s="881">
        <v>1</v>
      </c>
      <c r="U80" s="882">
        <v>1</v>
      </c>
      <c r="V80" s="883">
        <v>1</v>
      </c>
      <c r="W80" s="874" t="str">
        <f t="shared" si="19"/>
        <v>SI</v>
      </c>
      <c r="X80" s="884"/>
      <c r="Y80" s="885"/>
      <c r="Z80" s="885"/>
      <c r="AA80" s="885"/>
      <c r="AB80" s="885"/>
      <c r="AC80" s="885"/>
      <c r="AD80" s="885"/>
      <c r="AE80" s="885"/>
      <c r="AF80" s="885"/>
      <c r="AG80" s="885"/>
      <c r="AH80" s="885"/>
      <c r="AI80" s="885"/>
      <c r="AJ80" s="885"/>
      <c r="AK80" s="885"/>
      <c r="AL80" s="885"/>
      <c r="AM80" s="885"/>
      <c r="AN80" s="885"/>
      <c r="AO80" s="885"/>
      <c r="AP80" s="885"/>
      <c r="AQ80" s="885"/>
      <c r="AR80" s="885"/>
      <c r="AS80" s="885"/>
      <c r="AT80" s="885"/>
      <c r="AU80" s="885"/>
      <c r="AV80" s="885"/>
      <c r="AW80" s="885"/>
      <c r="AX80" s="885"/>
      <c r="AY80" s="885"/>
      <c r="AZ80" s="885"/>
      <c r="BA80" s="886"/>
      <c r="BB80" s="887">
        <f t="shared" si="20"/>
        <v>0</v>
      </c>
      <c r="BC80" s="888" t="str">
        <f t="shared" si="21"/>
        <v/>
      </c>
      <c r="BD80" s="889" t="str">
        <f t="shared" si="22"/>
        <v/>
      </c>
      <c r="BE80" s="889" t="str">
        <f t="shared" si="23"/>
        <v/>
      </c>
      <c r="BF80" s="889" t="str">
        <f t="shared" si="24"/>
        <v/>
      </c>
      <c r="BG80" s="889" t="str">
        <f t="shared" si="25"/>
        <v/>
      </c>
      <c r="BH80" s="889" t="str">
        <f t="shared" si="26"/>
        <v/>
      </c>
      <c r="BI80" s="890" t="str">
        <f t="shared" si="27"/>
        <v/>
      </c>
      <c r="BJ80" s="891" t="str">
        <f t="shared" si="28"/>
        <v/>
      </c>
      <c r="BK80" s="892" t="str">
        <f t="shared" si="29"/>
        <v/>
      </c>
      <c r="BL80" s="892" t="str">
        <f t="shared" si="30"/>
        <v/>
      </c>
      <c r="BM80" s="892" t="str">
        <f t="shared" si="31"/>
        <v/>
      </c>
      <c r="BN80" s="892" t="str">
        <f t="shared" si="32"/>
        <v/>
      </c>
      <c r="BO80" s="892" t="str">
        <f t="shared" si="33"/>
        <v/>
      </c>
      <c r="BP80" s="893" t="str">
        <f t="shared" si="34"/>
        <v/>
      </c>
      <c r="BQ80" s="894" t="str">
        <f t="shared" si="35"/>
        <v/>
      </c>
      <c r="BR80" s="895" t="str">
        <f t="shared" si="10"/>
        <v/>
      </c>
      <c r="BS80" s="896" t="str">
        <f t="shared" si="36"/>
        <v/>
      </c>
      <c r="BT80" s="897" t="str">
        <f t="shared" si="37"/>
        <v/>
      </c>
      <c r="BU80" s="231" t="str">
        <f t="shared" si="38"/>
        <v/>
      </c>
      <c r="BV80" s="898">
        <f t="shared" si="39"/>
        <v>127</v>
      </c>
      <c r="BW80" s="845" t="str">
        <f t="shared" si="40"/>
        <v/>
      </c>
      <c r="BX80" s="899" t="str">
        <f t="shared" si="41"/>
        <v/>
      </c>
      <c r="BY80" s="900" t="str" cm="1">
        <f t="array" ref="BY80">[1]!ACAELE_CAPACIDADCABLE(BB80,H80,I80,M80,BX80,N80)</f>
        <v/>
      </c>
      <c r="BZ80" s="900" t="str">
        <f t="shared" si="42"/>
        <v/>
      </c>
      <c r="CA80" s="901" t="str" cm="1">
        <f t="array" ref="CA80">[1]!ACAELE_cabledetierra(BZ80,$N$9,I80,BW80,BX80,G80)</f>
        <v/>
      </c>
      <c r="CB80" s="902" t="str" cm="1">
        <f t="array" ref="CB80">[1]!ACAELE_TAMATUBERIA(BX80,DU80,$N$9,M80,I80)</f>
        <v/>
      </c>
      <c r="CC80" s="846" t="str">
        <f t="shared" si="43"/>
        <v/>
      </c>
      <c r="CD80" s="903" t="str" cm="1">
        <f t="array" ref="CD80">[1]!ACAELE_CAPACIDADCABLE(BB80,H80,I80,M80,CC80,N80)</f>
        <v/>
      </c>
      <c r="CE80" s="903" t="str">
        <f t="shared" si="44"/>
        <v/>
      </c>
      <c r="CF80" s="904" t="str" cm="1">
        <f t="array" ref="CF80">[1]!ACAELE_cabledetierra(CE80,$N$9,I80,BW80,CC80,G80)</f>
        <v/>
      </c>
      <c r="CG80" s="905" t="str" cm="1">
        <f t="array" ref="CG80">[1]!ACAELE_TAMATUBERIA(CC80,EC80,$N$9,S80,I80)</f>
        <v/>
      </c>
      <c r="CH80" s="906" t="str">
        <f t="shared" si="45"/>
        <v/>
      </c>
      <c r="CI80" s="510" t="str">
        <f t="shared" si="46"/>
        <v>-</v>
      </c>
      <c r="CJ80" s="511" t="str">
        <f t="shared" si="47"/>
        <v>-</v>
      </c>
      <c r="CK80" s="512" t="str">
        <f t="shared" si="48"/>
        <v>-</v>
      </c>
      <c r="CL80" s="907" t="str">
        <f t="shared" si="49"/>
        <v>-</v>
      </c>
      <c r="CM80" s="908" t="str">
        <f t="shared" si="50"/>
        <v>-</v>
      </c>
      <c r="CN80" s="909" t="str">
        <f t="shared" si="51"/>
        <v>-</v>
      </c>
      <c r="CO80" s="910" t="str" cm="1">
        <f t="array" ref="CO80">[1]!ACAELE_fasecorresponde(B80,$F$10,$P$5)</f>
        <v>A</v>
      </c>
      <c r="CP80" s="910" t="str" cm="1">
        <f t="array" ref="CP80">[1]!ACAELE_fasecorresponde(C80,$F$10,$P$5)</f>
        <v>-</v>
      </c>
      <c r="CQ80" s="910" t="str" cm="1">
        <f t="array" ref="CQ80">[1]!ACAELE_fasecorresponde(D80,$F$10,$P$5)</f>
        <v>-</v>
      </c>
      <c r="CR80" s="911" t="str">
        <f t="shared" si="52"/>
        <v>C</v>
      </c>
      <c r="CS80" s="912">
        <f t="shared" si="53"/>
        <v>1</v>
      </c>
      <c r="CT80" s="913">
        <f t="shared" si="54"/>
        <v>0.8</v>
      </c>
      <c r="CU80" s="914" t="str">
        <f t="shared" si="55"/>
        <v/>
      </c>
      <c r="CV80" s="915">
        <f t="shared" si="56"/>
        <v>0</v>
      </c>
      <c r="CW80" s="916" t="str" cm="1">
        <f t="array" ref="CW80">[1]!ACAELE_Inominal(BB80,F80,BT80,BV80,DA80,G80,V80,$P$5)</f>
        <v/>
      </c>
      <c r="CX80" s="917" t="str" cm="1">
        <f t="array" ref="CX80">[1]!ACAELE_Disparocalculado(BB80,H80,DL80,$N$21,$M$21,$O$21,BV80,$P$5)</f>
        <v/>
      </c>
      <c r="CY80" s="918" t="str" cm="1">
        <f t="array" ref="CY80">[1]!ACAELE_Icorregida($A$27,H80,BB80,BU80,CS80,CT80,$P$5)</f>
        <v/>
      </c>
      <c r="CZ80" s="919" t="str" cm="1">
        <f t="array" ref="CZ80">[1]!ACAELE_Icorregida2($A$27,H80,BB80,BU80,CS80,CU80,$P$5)</f>
        <v/>
      </c>
      <c r="DA80" s="920">
        <f t="shared" si="57"/>
        <v>0.9</v>
      </c>
      <c r="DB80" s="921">
        <f t="shared" si="58"/>
        <v>0.43588989435406728</v>
      </c>
      <c r="DC80" s="922" t="str" cm="1">
        <f t="array" ref="DC80">[1]!ACAELE_CONDPORTCORRIENTE(H80,BB80,I80,M80,CY80,CZ80,N80,$P$5)</f>
        <v/>
      </c>
      <c r="DD80" s="923" t="str" cm="1">
        <f t="array" ref="DD80">[1]!ACAELE_CAPACONDCORRIENTE(BB80,H80,I80,M80,CY80,CZ80,$P$5)</f>
        <v/>
      </c>
      <c r="DE80" s="923" t="str" cm="1">
        <f t="array" ref="DE80">[1]!ACAELE_CAPACIDADCABLE(BB80,H80,I80,M80,DC80,N80,$P$5)</f>
        <v/>
      </c>
      <c r="DF80" s="924" t="str" cm="1">
        <f t="array" ref="DF80">[1]!ACAELE_encontrarcaida(BB80,H80,L80,BV80,F80,BU80,N80,K80)</f>
        <v/>
      </c>
      <c r="DG80" s="925" t="str" cm="1">
        <f t="array" ref="DG80">[1]!ACAELE_Cablecaida(BB80,H80,M80,I80,DF80)</f>
        <v/>
      </c>
      <c r="DH80" s="918" t="str" cm="1">
        <f t="array" ref="DH80">[1]!ACAELE_CAPACIDADCABLE(BB80,H80,I80,M80,DG80,N80,$P$5)</f>
        <v/>
      </c>
      <c r="DI80" s="926" t="str" cm="1">
        <f t="array" ref="DI80">IF($A$27=1,"",[1]!ACAELE_encontrarcaida(BB80,H80,R80,BV80,F80,BU80,T80,Q80,$P$5))</f>
        <v/>
      </c>
      <c r="DJ80" s="914" t="str" cm="1">
        <f t="array" ref="DJ80">IF($A$27=1,"",[1]!ACAELE_Cablecaida2(BB80,Q80,H80,S80,I80,DI80,$P$5))</f>
        <v/>
      </c>
      <c r="DK80" s="919" t="str" cm="1">
        <f t="array" ref="DK80">[1]!ACAELE_CAPACIDADCABLE(BB80,H80,I80,M80,DJ80,N80,$P$5)</f>
        <v/>
      </c>
      <c r="DL80" s="927" t="str" cm="1">
        <f t="array" ref="DL80">[1]!acaele_Iproteccion(BB80,H80,BU80,$F$20,$G$20,$F$19,$G$19,$H$20,$H$19,$P$5)</f>
        <v/>
      </c>
      <c r="DM80" s="928" cm="1">
        <f t="array" ref="DM80">[1]!acaele_ProtCalculada(CX80,H80,BT80,BW80,$G$21,$F$21,$H$21,$P$5)</f>
        <v>0</v>
      </c>
      <c r="DN80" s="929" t="str" cm="1">
        <f t="array" ref="DN80">[1]!ACAELE_cablecalculo(BB80,H80,I80,M80,EF80,$P$5)</f>
        <v/>
      </c>
      <c r="DO80" s="930" t="str" cm="1">
        <f t="array" ref="DO80">[1]!ACAELE_RESISTENCIA(BB80,H80,M80,I80,BX80, CW80,$P$5)</f>
        <v/>
      </c>
      <c r="DP80" s="931" t="str" cm="1">
        <f t="array" ref="DP80">[1]!ACAELE_REACTANCIA(BB80,H80,$F$11,M80,I80,BX80,$P$5)</f>
        <v/>
      </c>
      <c r="DQ80" s="918" t="str" cm="1">
        <f t="array" ref="DQ80">[1]!ACAELE_DIAMECAISLA(BB80,H80,I80,BX80,$P$5)</f>
        <v/>
      </c>
      <c r="DR80" s="918" t="str" cm="1">
        <f t="array" ref="DR80">[1]!ACAELE_AREACAISLAMIENTO(BB80,H80,DQ80,$P$5)</f>
        <v/>
      </c>
      <c r="DS80" s="918" t="str" cm="1">
        <f t="array" ref="DS80">[1]!ACAELE_CAIDAVOLTSFINAL(BB80,H80,F80,K80,BU80,N80,DO80,DA80,DP80,DB80,$P$5)</f>
        <v/>
      </c>
      <c r="DT80" s="918" t="str" cm="1">
        <f t="array" ref="DT80">[1]!ACAELE_AREACONDPTE(BB80,H80,CA80,$P$5)</f>
        <v/>
      </c>
      <c r="DU80" s="932" t="str" cm="1">
        <f t="array" ref="DU80">[1]!ACAELE_AREATOTAL(BZ80,M80,EO80,N80,DQ80,G80,DR80,DT80,N$20,$P$5)</f>
        <v/>
      </c>
      <c r="DV80" s="933" t="str" cm="1">
        <f t="array" ref="DV80">IF($A$27=1,"",[1]!ACAELE_cablecalculo(BB80,H80,I80,M80,EG80,$P$5))</f>
        <v/>
      </c>
      <c r="DW80" s="934" t="str" cm="1">
        <f t="array" ref="DW80">IF($A$27=1,"",[1]!ACAELE_RESISTENCIA(BB80,H80,M80,I80,CC80,CW80,$P$5))</f>
        <v/>
      </c>
      <c r="DX80" s="926" t="str" cm="1">
        <f t="array" ref="DX80">IF($A$27=1,"",[1]!ACAELE_REACTANCIA(BB80,H80,$F$11,M80,I80,CC80,$P$5))</f>
        <v/>
      </c>
      <c r="DY80" s="935" t="str" cm="1">
        <f t="array" ref="DY80">IF($A$27=1,"",[1]!ACAELE_DIAMECAISLA(BB80,H80,I80,CC80,$P$5))</f>
        <v/>
      </c>
      <c r="DZ80" s="935" t="str" cm="1">
        <f t="array" ref="DZ80">IF($A$27=1,"",[1]!ACAELE_AREACAISLAMIENTO(BB80,H80,DY80,$P$5))</f>
        <v/>
      </c>
      <c r="EA80" s="935" t="str" cm="1">
        <f t="array" ref="EA80">[1]!ACAELE_CAIDAVOLTSFINAL2(BB80,Q80,H80,F80,$A$27,BU80,T80,DW80,DA80,DX80,DB80)</f>
        <v/>
      </c>
      <c r="EB80" s="935" t="str" cm="1">
        <f t="array" ref="EB80">IF($A$27=1,"",[1]!ACAELE_AREACONDPTE(BB80,H80,CF80,$P$5))</f>
        <v/>
      </c>
      <c r="EC80" s="936" t="str" cm="1">
        <f t="array" ref="EC80">[1]!ACAELE_AREATOTAL2(H80,$A$27,DY80,S80,G80,T80,DZ80,U80,EB80)</f>
        <v/>
      </c>
      <c r="ED80" s="937" t="str">
        <f t="shared" si="59"/>
        <v/>
      </c>
      <c r="EE80" s="938" t="str">
        <f t="shared" si="60"/>
        <v/>
      </c>
      <c r="EF80" s="939" t="str">
        <f t="shared" si="61"/>
        <v/>
      </c>
      <c r="EG80" s="940">
        <f t="shared" si="62"/>
        <v>0</v>
      </c>
      <c r="EH80" s="941" t="str">
        <f t="shared" si="63"/>
        <v/>
      </c>
      <c r="EI80" s="942">
        <f t="shared" si="64"/>
        <v>30</v>
      </c>
      <c r="EJ80" s="943" t="str">
        <f t="shared" si="11"/>
        <v/>
      </c>
      <c r="EK80" s="943" t="str">
        <f t="shared" si="12"/>
        <v/>
      </c>
      <c r="EL80" s="943" t="str">
        <f t="shared" si="13"/>
        <v/>
      </c>
      <c r="EM80" s="944" t="str">
        <f t="shared" si="14"/>
        <v/>
      </c>
      <c r="EN80" s="945" t="str" cm="1">
        <f t="array" ref="EN80">[1]!ACAELE_MOTOR(H80,X80:BA80,$X$26:$BA$26,$P$5)</f>
        <v/>
      </c>
      <c r="EO80" s="550" t="str">
        <f t="shared" si="65"/>
        <v/>
      </c>
      <c r="EP80" s="431" t="s">
        <v>1214</v>
      </c>
      <c r="EQ80" s="434" t="str">
        <f t="shared" ca="1" si="66"/>
        <v/>
      </c>
      <c r="ER80" s="32"/>
      <c r="ES80" s="32"/>
      <c r="ET80" s="3" t="str">
        <f t="shared" si="67"/>
        <v/>
      </c>
      <c r="EU80" s="3" t="str">
        <f t="shared" si="68"/>
        <v/>
      </c>
      <c r="EV80" s="3" t="str">
        <f t="shared" si="69"/>
        <v/>
      </c>
      <c r="EW80" s="3" t="str">
        <f t="shared" si="70"/>
        <v/>
      </c>
      <c r="EX80" s="3" t="str">
        <f t="shared" si="71"/>
        <v/>
      </c>
      <c r="EY80" s="3" t="str">
        <f t="shared" si="72"/>
        <v/>
      </c>
      <c r="EZ80" s="3" t="str">
        <f t="shared" si="73"/>
        <v/>
      </c>
      <c r="FA80" s="3" t="str">
        <f t="shared" si="74"/>
        <v/>
      </c>
      <c r="FB80" s="3" t="str">
        <f t="shared" si="75"/>
        <v/>
      </c>
      <c r="FC80" s="3">
        <f t="shared" si="76"/>
        <v>0</v>
      </c>
      <c r="FD80" s="32"/>
      <c r="FE80" s="32"/>
      <c r="FF80" s="103">
        <v>1</v>
      </c>
      <c r="FG80" s="32"/>
      <c r="FH80" s="103"/>
      <c r="FI80" s="32"/>
      <c r="FJ80" s="103"/>
      <c r="FK80" s="3">
        <f t="shared" si="77"/>
        <v>0</v>
      </c>
      <c r="FL80" s="3" t="str" cm="1">
        <f t="array" aca="1" ref="FL80" ca="1">[1]!acaele_DIB_UNIFILAR(BB80,H80,F80,COUNTIF(X80:BA80,1),BW80)</f>
        <v/>
      </c>
      <c r="FM80" s="3" t="str">
        <f>IF(DATOS!$T$4=0,"",IF(DATOS!$T$4=1," (QO)",IF(DATOS!$T$4=2," (QOB)",IF(DATOS!$T$4=3," (EDB)",IF(DATOS!$T$4=4,IF(BW80&lt;151," (H"&amp;FN80&amp;")",IF(BW80&lt;251," (J"&amp;FN80&amp;")", IF(BW80&lt;401," (LA)",IF(BW80&lt;801," (MG)",IF(BW80&lt;5001," (POWERPACK)",""))))))))))</f>
        <v xml:space="preserve"> (QOB)</v>
      </c>
      <c r="FN80" s="3" t="str">
        <f t="shared" si="78"/>
        <v/>
      </c>
      <c r="FO80" s="146"/>
      <c r="FP80" s="146"/>
      <c r="FQ80" s="146"/>
      <c r="FR80" s="146"/>
      <c r="FS80" s="146"/>
      <c r="FT80" s="146"/>
      <c r="FU80" s="146"/>
      <c r="FV80" s="146"/>
      <c r="FW80" s="146"/>
      <c r="FX80" s="146" t="str">
        <f t="shared" si="9"/>
        <v/>
      </c>
      <c r="FY80" s="736"/>
      <c r="FZ80" s="740"/>
      <c r="GA80" s="740"/>
      <c r="GB80" s="717"/>
      <c r="GC80" s="838"/>
      <c r="GD80" s="736"/>
      <c r="GE80" s="146"/>
      <c r="GF80" s="506"/>
      <c r="GG80" s="506"/>
      <c r="GH80" s="506"/>
      <c r="GI80" s="506"/>
      <c r="GJ80" s="506"/>
      <c r="GM80" s="3">
        <f>IF(OR(GN80&gt;TABLERO!$M$19,GO80&gt;TABLERO!$M$19,GP80&gt;TABLERO!$M$19,B80=0,C80=0,D80=0),2,CUADROACAD!A80)</f>
        <v>2</v>
      </c>
      <c r="GN80" s="3">
        <f>IF(TABLERO!B80="",0,TABLERO!B80)</f>
        <v>50</v>
      </c>
      <c r="GO80" s="3">
        <f>IF(TABLERO!C80="",GN80,TABLERO!C80)</f>
        <v>50</v>
      </c>
      <c r="GP80" s="3">
        <f>IF(TABLERO!D80="",GN80,TABLERO!D80)</f>
        <v>50</v>
      </c>
    </row>
    <row r="81" spans="1:198" s="3" customFormat="1">
      <c r="A81" s="706"/>
      <c r="B81" s="869">
        <v>51</v>
      </c>
      <c r="C81" s="870" t="str">
        <f t="shared" si="15"/>
        <v/>
      </c>
      <c r="D81" s="870" t="str">
        <f t="shared" si="16"/>
        <v/>
      </c>
      <c r="E81" s="871"/>
      <c r="F81" s="872">
        <v>1</v>
      </c>
      <c r="G81" s="716">
        <f t="shared" si="17"/>
        <v>2</v>
      </c>
      <c r="H81" s="873" t="s">
        <v>12</v>
      </c>
      <c r="I81" s="874" t="str">
        <f t="shared" si="18"/>
        <v>CU</v>
      </c>
      <c r="J81" s="875">
        <v>6</v>
      </c>
      <c r="K81" s="876">
        <v>10</v>
      </c>
      <c r="L81" s="876">
        <v>3</v>
      </c>
      <c r="M81" s="877">
        <v>1</v>
      </c>
      <c r="N81" s="877">
        <v>1</v>
      </c>
      <c r="O81" s="878">
        <v>1</v>
      </c>
      <c r="P81" s="879">
        <v>4</v>
      </c>
      <c r="Q81" s="880">
        <v>1</v>
      </c>
      <c r="R81" s="880">
        <v>1</v>
      </c>
      <c r="S81" s="881">
        <v>1</v>
      </c>
      <c r="T81" s="881">
        <v>1</v>
      </c>
      <c r="U81" s="882">
        <v>1</v>
      </c>
      <c r="V81" s="883">
        <v>1</v>
      </c>
      <c r="W81" s="874" t="str">
        <f t="shared" si="19"/>
        <v>SI</v>
      </c>
      <c r="X81" s="884"/>
      <c r="Y81" s="885"/>
      <c r="Z81" s="885"/>
      <c r="AA81" s="885"/>
      <c r="AB81" s="885"/>
      <c r="AC81" s="885"/>
      <c r="AD81" s="885"/>
      <c r="AE81" s="885"/>
      <c r="AF81" s="885"/>
      <c r="AG81" s="885"/>
      <c r="AH81" s="885"/>
      <c r="AI81" s="885"/>
      <c r="AJ81" s="885"/>
      <c r="AK81" s="885"/>
      <c r="AL81" s="885"/>
      <c r="AM81" s="885"/>
      <c r="AN81" s="885"/>
      <c r="AO81" s="885"/>
      <c r="AP81" s="885"/>
      <c r="AQ81" s="885"/>
      <c r="AR81" s="885"/>
      <c r="AS81" s="885"/>
      <c r="AT81" s="885"/>
      <c r="AU81" s="885"/>
      <c r="AV81" s="885"/>
      <c r="AW81" s="885"/>
      <c r="AX81" s="885"/>
      <c r="AY81" s="885"/>
      <c r="AZ81" s="885"/>
      <c r="BA81" s="886"/>
      <c r="BB81" s="887">
        <f t="shared" si="20"/>
        <v>0</v>
      </c>
      <c r="BC81" s="888" t="str">
        <f t="shared" si="21"/>
        <v/>
      </c>
      <c r="BD81" s="889" t="str">
        <f t="shared" si="22"/>
        <v/>
      </c>
      <c r="BE81" s="889" t="str">
        <f t="shared" si="23"/>
        <v/>
      </c>
      <c r="BF81" s="889" t="str">
        <f t="shared" si="24"/>
        <v/>
      </c>
      <c r="BG81" s="889" t="str">
        <f t="shared" si="25"/>
        <v/>
      </c>
      <c r="BH81" s="889" t="str">
        <f t="shared" si="26"/>
        <v/>
      </c>
      <c r="BI81" s="890" t="str">
        <f t="shared" si="27"/>
        <v/>
      </c>
      <c r="BJ81" s="891" t="str">
        <f t="shared" si="28"/>
        <v/>
      </c>
      <c r="BK81" s="892" t="str">
        <f t="shared" si="29"/>
        <v/>
      </c>
      <c r="BL81" s="892" t="str">
        <f t="shared" si="30"/>
        <v/>
      </c>
      <c r="BM81" s="892" t="str">
        <f t="shared" si="31"/>
        <v/>
      </c>
      <c r="BN81" s="892" t="str">
        <f t="shared" si="32"/>
        <v/>
      </c>
      <c r="BO81" s="892" t="str">
        <f t="shared" si="33"/>
        <v/>
      </c>
      <c r="BP81" s="893" t="str">
        <f t="shared" si="34"/>
        <v/>
      </c>
      <c r="BQ81" s="894" t="str">
        <f t="shared" si="35"/>
        <v/>
      </c>
      <c r="BR81" s="895" t="str">
        <f t="shared" si="10"/>
        <v/>
      </c>
      <c r="BS81" s="896" t="str">
        <f t="shared" si="36"/>
        <v/>
      </c>
      <c r="BT81" s="897" t="str">
        <f t="shared" si="37"/>
        <v/>
      </c>
      <c r="BU81" s="231" t="str">
        <f t="shared" si="38"/>
        <v/>
      </c>
      <c r="BV81" s="898">
        <f t="shared" si="39"/>
        <v>127</v>
      </c>
      <c r="BW81" s="845" t="str">
        <f t="shared" si="40"/>
        <v/>
      </c>
      <c r="BX81" s="899" t="str">
        <f t="shared" si="41"/>
        <v/>
      </c>
      <c r="BY81" s="900" t="str" cm="1">
        <f t="array" ref="BY81">[1]!ACAELE_CAPACIDADCABLE(BB81,H81,I81,M81,BX81,N81)</f>
        <v/>
      </c>
      <c r="BZ81" s="900" t="str">
        <f t="shared" si="42"/>
        <v/>
      </c>
      <c r="CA81" s="901" t="str" cm="1">
        <f t="array" ref="CA81">[1]!ACAELE_cabledetierra(BZ81,$N$9,I81,BW81,BX81,G81)</f>
        <v/>
      </c>
      <c r="CB81" s="902" t="str" cm="1">
        <f t="array" ref="CB81">[1]!ACAELE_TAMATUBERIA(BX81,DU81,$N$9,M81,I81)</f>
        <v/>
      </c>
      <c r="CC81" s="846" t="str">
        <f t="shared" si="43"/>
        <v/>
      </c>
      <c r="CD81" s="903" t="str" cm="1">
        <f t="array" ref="CD81">[1]!ACAELE_CAPACIDADCABLE(BB81,H81,I81,M81,CC81,N81)</f>
        <v/>
      </c>
      <c r="CE81" s="903" t="str">
        <f t="shared" si="44"/>
        <v/>
      </c>
      <c r="CF81" s="904" t="str" cm="1">
        <f t="array" ref="CF81">[1]!ACAELE_cabledetierra(CE81,$N$9,I81,BW81,CC81,G81)</f>
        <v/>
      </c>
      <c r="CG81" s="905" t="str" cm="1">
        <f t="array" ref="CG81">[1]!ACAELE_TAMATUBERIA(CC81,EC81,$N$9,S81,I81)</f>
        <v/>
      </c>
      <c r="CH81" s="906" t="str">
        <f t="shared" si="45"/>
        <v/>
      </c>
      <c r="CI81" s="510" t="str">
        <f t="shared" si="46"/>
        <v>-</v>
      </c>
      <c r="CJ81" s="511" t="str">
        <f t="shared" si="47"/>
        <v>-</v>
      </c>
      <c r="CK81" s="512" t="str">
        <f t="shared" si="48"/>
        <v>-</v>
      </c>
      <c r="CL81" s="907" t="str">
        <f t="shared" si="49"/>
        <v>-</v>
      </c>
      <c r="CM81" s="908" t="str">
        <f t="shared" si="50"/>
        <v>-</v>
      </c>
      <c r="CN81" s="909" t="str">
        <f t="shared" si="51"/>
        <v>-</v>
      </c>
      <c r="CO81" s="910" t="str" cm="1">
        <f t="array" ref="CO81">[1]!ACAELE_fasecorresponde(B81,$F$10,$P$5)</f>
        <v>B</v>
      </c>
      <c r="CP81" s="910" t="str" cm="1">
        <f t="array" ref="CP81">[1]!ACAELE_fasecorresponde(C81,$F$10,$P$5)</f>
        <v>-</v>
      </c>
      <c r="CQ81" s="910" t="str" cm="1">
        <f t="array" ref="CQ81">[1]!ACAELE_fasecorresponde(D81,$F$10,$P$5)</f>
        <v>-</v>
      </c>
      <c r="CR81" s="911" t="str">
        <f t="shared" si="52"/>
        <v>C</v>
      </c>
      <c r="CS81" s="912">
        <f t="shared" si="53"/>
        <v>1</v>
      </c>
      <c r="CT81" s="913">
        <f t="shared" si="54"/>
        <v>0.8</v>
      </c>
      <c r="CU81" s="914" t="str">
        <f t="shared" si="55"/>
        <v/>
      </c>
      <c r="CV81" s="915">
        <f t="shared" si="56"/>
        <v>0</v>
      </c>
      <c r="CW81" s="916" t="str" cm="1">
        <f t="array" ref="CW81">[1]!ACAELE_Inominal(BB81,F81,BT81,BV81,DA81,G81,V81,$P$5)</f>
        <v/>
      </c>
      <c r="CX81" s="917" t="str" cm="1">
        <f t="array" ref="CX81">[1]!ACAELE_Disparocalculado(BB81,H81,DL81,$N$21,$M$21,$O$21,BV81,$P$5)</f>
        <v/>
      </c>
      <c r="CY81" s="918" t="str" cm="1">
        <f t="array" ref="CY81">[1]!ACAELE_Icorregida($A$27,H81,BB81,BU81,CS81,CT81,$P$5)</f>
        <v/>
      </c>
      <c r="CZ81" s="919" t="str" cm="1">
        <f t="array" ref="CZ81">[1]!ACAELE_Icorregida2($A$27,H81,BB81,BU81,CS81,CU81,$P$5)</f>
        <v/>
      </c>
      <c r="DA81" s="920">
        <f t="shared" si="57"/>
        <v>0.9</v>
      </c>
      <c r="DB81" s="921">
        <f t="shared" si="58"/>
        <v>0.43588989435406728</v>
      </c>
      <c r="DC81" s="922" t="str" cm="1">
        <f t="array" ref="DC81">[1]!ACAELE_CONDPORTCORRIENTE(H81,BB81,I81,M81,CY81,CZ81,N81,$P$5)</f>
        <v/>
      </c>
      <c r="DD81" s="923" t="str" cm="1">
        <f t="array" ref="DD81">[1]!ACAELE_CAPACONDCORRIENTE(BB81,H81,I81,M81,CY81,CZ81,$P$5)</f>
        <v/>
      </c>
      <c r="DE81" s="923" t="str" cm="1">
        <f t="array" ref="DE81">[1]!ACAELE_CAPACIDADCABLE(BB81,H81,I81,M81,DC81,N81,$P$5)</f>
        <v/>
      </c>
      <c r="DF81" s="924" t="str" cm="1">
        <f t="array" ref="DF81">[1]!ACAELE_encontrarcaida(BB81,H81,L81,BV81,F81,BU81,N81,K81)</f>
        <v/>
      </c>
      <c r="DG81" s="925" t="str" cm="1">
        <f t="array" ref="DG81">[1]!ACAELE_Cablecaida(BB81,H81,M81,I81,DF81)</f>
        <v/>
      </c>
      <c r="DH81" s="918" t="str" cm="1">
        <f t="array" ref="DH81">[1]!ACAELE_CAPACIDADCABLE(BB81,H81,I81,M81,DG81,N81,$P$5)</f>
        <v/>
      </c>
      <c r="DI81" s="926" t="str" cm="1">
        <f t="array" ref="DI81">IF($A$27=1,"",[1]!ACAELE_encontrarcaida(BB81,H81,R81,BV81,F81,BU81,T81,Q81,$P$5))</f>
        <v/>
      </c>
      <c r="DJ81" s="914" t="str" cm="1">
        <f t="array" ref="DJ81">IF($A$27=1,"",[1]!ACAELE_Cablecaida2(BB81,Q81,H81,S81,I81,DI81,$P$5))</f>
        <v/>
      </c>
      <c r="DK81" s="919" t="str" cm="1">
        <f t="array" ref="DK81">[1]!ACAELE_CAPACIDADCABLE(BB81,H81,I81,M81,DJ81,N81,$P$5)</f>
        <v/>
      </c>
      <c r="DL81" s="927" t="str" cm="1">
        <f t="array" ref="DL81">[1]!acaele_Iproteccion(BB81,H81,BU81,$F$20,$G$20,$F$19,$G$19,$H$20,$H$19,$P$5)</f>
        <v/>
      </c>
      <c r="DM81" s="928" cm="1">
        <f t="array" ref="DM81">[1]!acaele_ProtCalculada(CX81,H81,BT81,BW81,$G$21,$F$21,$H$21,$P$5)</f>
        <v>0</v>
      </c>
      <c r="DN81" s="929" t="str" cm="1">
        <f t="array" ref="DN81">[1]!ACAELE_cablecalculo(BB81,H81,I81,M81,EF81,$P$5)</f>
        <v/>
      </c>
      <c r="DO81" s="930" t="str" cm="1">
        <f t="array" ref="DO81">[1]!ACAELE_RESISTENCIA(BB81,H81,M81,I81,BX81, CW81,$P$5)</f>
        <v/>
      </c>
      <c r="DP81" s="931" t="str" cm="1">
        <f t="array" ref="DP81">[1]!ACAELE_REACTANCIA(BB81,H81,$F$11,M81,I81,BX81,$P$5)</f>
        <v/>
      </c>
      <c r="DQ81" s="918" t="str" cm="1">
        <f t="array" ref="DQ81">[1]!ACAELE_DIAMECAISLA(BB81,H81,I81,BX81,$P$5)</f>
        <v/>
      </c>
      <c r="DR81" s="918" t="str" cm="1">
        <f t="array" ref="DR81">[1]!ACAELE_AREACAISLAMIENTO(BB81,H81,DQ81,$P$5)</f>
        <v/>
      </c>
      <c r="DS81" s="918" t="str" cm="1">
        <f t="array" ref="DS81">[1]!ACAELE_CAIDAVOLTSFINAL(BB81,H81,F81,K81,BU81,N81,DO81,DA81,DP81,DB81,$P$5)</f>
        <v/>
      </c>
      <c r="DT81" s="918" t="str" cm="1">
        <f t="array" ref="DT81">[1]!ACAELE_AREACONDPTE(BB81,H81,CA81,$P$5)</f>
        <v/>
      </c>
      <c r="DU81" s="932" t="str" cm="1">
        <f t="array" ref="DU81">[1]!ACAELE_AREATOTAL(BZ81,M81,EO81,N81,DQ81,G81,DR81,DT81,N$20,$P$5)</f>
        <v/>
      </c>
      <c r="DV81" s="933" t="str" cm="1">
        <f t="array" ref="DV81">IF($A$27=1,"",[1]!ACAELE_cablecalculo(BB81,H81,I81,M81,EG81,$P$5))</f>
        <v/>
      </c>
      <c r="DW81" s="934" t="str" cm="1">
        <f t="array" ref="DW81">IF($A$27=1,"",[1]!ACAELE_RESISTENCIA(BB81,H81,M81,I81,CC81,CW81,$P$5))</f>
        <v/>
      </c>
      <c r="DX81" s="926" t="str" cm="1">
        <f t="array" ref="DX81">IF($A$27=1,"",[1]!ACAELE_REACTANCIA(BB81,H81,$F$11,M81,I81,CC81,$P$5))</f>
        <v/>
      </c>
      <c r="DY81" s="935" t="str" cm="1">
        <f t="array" ref="DY81">IF($A$27=1,"",[1]!ACAELE_DIAMECAISLA(BB81,H81,I81,CC81,$P$5))</f>
        <v/>
      </c>
      <c r="DZ81" s="935" t="str" cm="1">
        <f t="array" ref="DZ81">IF($A$27=1,"",[1]!ACAELE_AREACAISLAMIENTO(BB81,H81,DY81,$P$5))</f>
        <v/>
      </c>
      <c r="EA81" s="935" t="str" cm="1">
        <f t="array" ref="EA81">[1]!ACAELE_CAIDAVOLTSFINAL2(BB81,Q81,H81,F81,$A$27,BU81,T81,DW81,DA81,DX81,DB81)</f>
        <v/>
      </c>
      <c r="EB81" s="935" t="str" cm="1">
        <f t="array" ref="EB81">IF($A$27=1,"",[1]!ACAELE_AREACONDPTE(BB81,H81,CF81,$P$5))</f>
        <v/>
      </c>
      <c r="EC81" s="936" t="str" cm="1">
        <f t="array" ref="EC81">[1]!ACAELE_AREATOTAL2(H81,$A$27,DY81,S81,G81,T81,DZ81,U81,EB81)</f>
        <v/>
      </c>
      <c r="ED81" s="937" t="str">
        <f t="shared" si="59"/>
        <v/>
      </c>
      <c r="EE81" s="938" t="str">
        <f t="shared" si="60"/>
        <v/>
      </c>
      <c r="EF81" s="939" t="str">
        <f t="shared" si="61"/>
        <v/>
      </c>
      <c r="EG81" s="940">
        <f t="shared" si="62"/>
        <v>0</v>
      </c>
      <c r="EH81" s="941" t="str">
        <f t="shared" si="63"/>
        <v/>
      </c>
      <c r="EI81" s="942">
        <f t="shared" si="64"/>
        <v>30</v>
      </c>
      <c r="EJ81" s="943" t="str">
        <f t="shared" si="11"/>
        <v/>
      </c>
      <c r="EK81" s="943" t="str">
        <f t="shared" si="12"/>
        <v/>
      </c>
      <c r="EL81" s="943" t="str">
        <f t="shared" si="13"/>
        <v/>
      </c>
      <c r="EM81" s="944" t="str">
        <f t="shared" si="14"/>
        <v/>
      </c>
      <c r="EN81" s="945" t="str" cm="1">
        <f t="array" ref="EN81">[1]!ACAELE_MOTOR(H81,X81:BA81,$X$26:$BA$26,$P$5)</f>
        <v/>
      </c>
      <c r="EO81" s="550" t="str">
        <f t="shared" si="65"/>
        <v/>
      </c>
      <c r="EP81" s="431" t="s">
        <v>1214</v>
      </c>
      <c r="EQ81" s="434" t="str">
        <f t="shared" ca="1" si="66"/>
        <v/>
      </c>
      <c r="ER81" s="32"/>
      <c r="ES81" s="32"/>
      <c r="ET81" s="3" t="str">
        <f t="shared" si="67"/>
        <v/>
      </c>
      <c r="EU81" s="3" t="str">
        <f t="shared" si="68"/>
        <v/>
      </c>
      <c r="EV81" s="3" t="str">
        <f t="shared" si="69"/>
        <v/>
      </c>
      <c r="EW81" s="3" t="str">
        <f t="shared" si="70"/>
        <v/>
      </c>
      <c r="EX81" s="3" t="str">
        <f t="shared" si="71"/>
        <v/>
      </c>
      <c r="EY81" s="3" t="str">
        <f t="shared" si="72"/>
        <v/>
      </c>
      <c r="EZ81" s="3" t="str">
        <f t="shared" si="73"/>
        <v/>
      </c>
      <c r="FA81" s="3" t="str">
        <f t="shared" si="74"/>
        <v/>
      </c>
      <c r="FB81" s="3" t="str">
        <f t="shared" si="75"/>
        <v/>
      </c>
      <c r="FC81" s="3">
        <f t="shared" si="76"/>
        <v>0</v>
      </c>
      <c r="FD81" s="32"/>
      <c r="FE81" s="32"/>
      <c r="FF81" s="103">
        <v>1</v>
      </c>
      <c r="FG81" s="32"/>
      <c r="FH81" s="103"/>
      <c r="FI81" s="32"/>
      <c r="FJ81" s="103"/>
      <c r="FK81" s="3">
        <f t="shared" si="77"/>
        <v>0</v>
      </c>
      <c r="FL81" s="3" t="str" cm="1">
        <f t="array" aca="1" ref="FL81" ca="1">[1]!acaele_DIB_UNIFILAR(BB81,H81,F81,COUNTIF(X81:BA81,1),BW81)</f>
        <v/>
      </c>
      <c r="FM81" s="3" t="str">
        <f>IF(DATOS!$T$4=0,"",IF(DATOS!$T$4=1," (QO)",IF(DATOS!$T$4=2," (QOB)",IF(DATOS!$T$4=3," (EDB)",IF(DATOS!$T$4=4,IF(BW81&lt;151," (H"&amp;FN81&amp;")",IF(BW81&lt;251," (J"&amp;FN81&amp;")", IF(BW81&lt;401," (LA)",IF(BW81&lt;801," (MG)",IF(BW81&lt;5001," (POWERPACK)",""))))))))))</f>
        <v xml:space="preserve"> (QOB)</v>
      </c>
      <c r="FN81" s="3" t="str">
        <f t="shared" si="78"/>
        <v/>
      </c>
      <c r="FO81" s="146"/>
      <c r="FP81" s="146"/>
      <c r="FQ81" s="146"/>
      <c r="FR81" s="146"/>
      <c r="FS81" s="146"/>
      <c r="FT81" s="146"/>
      <c r="FU81" s="146"/>
      <c r="FV81" s="146"/>
      <c r="FW81" s="146"/>
      <c r="FX81" s="146" t="str">
        <f t="shared" si="9"/>
        <v/>
      </c>
      <c r="FY81" s="736"/>
      <c r="FZ81" s="740"/>
      <c r="GA81" s="740"/>
      <c r="GB81" s="717"/>
      <c r="GC81" s="838"/>
      <c r="GD81" s="736"/>
      <c r="GE81" s="146"/>
      <c r="GF81" s="506"/>
      <c r="GG81" s="506"/>
      <c r="GH81" s="506"/>
      <c r="GI81" s="506"/>
      <c r="GJ81" s="506"/>
      <c r="GM81" s="3">
        <f>IF(OR(GN81&gt;TABLERO!$M$19,GO81&gt;TABLERO!$M$19,GP81&gt;TABLERO!$M$19,B81=0,C81=0,D81=0),2,CUADROACAD!A81)</f>
        <v>2</v>
      </c>
      <c r="GN81" s="3">
        <f>IF(TABLERO!B81="",0,TABLERO!B81)</f>
        <v>51</v>
      </c>
      <c r="GO81" s="3">
        <f>IF(TABLERO!C81="",GN81,TABLERO!C81)</f>
        <v>51</v>
      </c>
      <c r="GP81" s="3">
        <f>IF(TABLERO!D81="",GN81,TABLERO!D81)</f>
        <v>51</v>
      </c>
    </row>
    <row r="82" spans="1:198" s="3" customFormat="1">
      <c r="A82" s="706"/>
      <c r="B82" s="869">
        <v>52</v>
      </c>
      <c r="C82" s="870" t="str">
        <f t="shared" si="15"/>
        <v/>
      </c>
      <c r="D82" s="870" t="str">
        <f t="shared" si="16"/>
        <v/>
      </c>
      <c r="E82" s="871"/>
      <c r="F82" s="872">
        <v>1</v>
      </c>
      <c r="G82" s="716">
        <f t="shared" si="17"/>
        <v>2</v>
      </c>
      <c r="H82" s="873" t="s">
        <v>12</v>
      </c>
      <c r="I82" s="874" t="str">
        <f t="shared" si="18"/>
        <v>CU</v>
      </c>
      <c r="J82" s="875">
        <v>6</v>
      </c>
      <c r="K82" s="876">
        <v>10</v>
      </c>
      <c r="L82" s="876">
        <v>3</v>
      </c>
      <c r="M82" s="877">
        <v>1</v>
      </c>
      <c r="N82" s="877">
        <v>1</v>
      </c>
      <c r="O82" s="878">
        <v>1</v>
      </c>
      <c r="P82" s="879">
        <v>4</v>
      </c>
      <c r="Q82" s="880">
        <v>1</v>
      </c>
      <c r="R82" s="880">
        <v>1</v>
      </c>
      <c r="S82" s="881">
        <v>1</v>
      </c>
      <c r="T82" s="881">
        <v>1</v>
      </c>
      <c r="U82" s="882">
        <v>1</v>
      </c>
      <c r="V82" s="883">
        <v>1</v>
      </c>
      <c r="W82" s="874" t="str">
        <f t="shared" si="19"/>
        <v>SI</v>
      </c>
      <c r="X82" s="884"/>
      <c r="Y82" s="885"/>
      <c r="Z82" s="885"/>
      <c r="AA82" s="885"/>
      <c r="AB82" s="885"/>
      <c r="AC82" s="885"/>
      <c r="AD82" s="885"/>
      <c r="AE82" s="885"/>
      <c r="AF82" s="885"/>
      <c r="AG82" s="885"/>
      <c r="AH82" s="885"/>
      <c r="AI82" s="885"/>
      <c r="AJ82" s="885"/>
      <c r="AK82" s="885"/>
      <c r="AL82" s="885"/>
      <c r="AM82" s="885"/>
      <c r="AN82" s="885"/>
      <c r="AO82" s="885"/>
      <c r="AP82" s="885"/>
      <c r="AQ82" s="885"/>
      <c r="AR82" s="885"/>
      <c r="AS82" s="885"/>
      <c r="AT82" s="885"/>
      <c r="AU82" s="885"/>
      <c r="AV82" s="885"/>
      <c r="AW82" s="885"/>
      <c r="AX82" s="885"/>
      <c r="AY82" s="885"/>
      <c r="AZ82" s="885"/>
      <c r="BA82" s="886"/>
      <c r="BB82" s="887">
        <f t="shared" si="20"/>
        <v>0</v>
      </c>
      <c r="BC82" s="888" t="str">
        <f t="shared" si="21"/>
        <v/>
      </c>
      <c r="BD82" s="889" t="str">
        <f t="shared" si="22"/>
        <v/>
      </c>
      <c r="BE82" s="889" t="str">
        <f t="shared" si="23"/>
        <v/>
      </c>
      <c r="BF82" s="889" t="str">
        <f t="shared" si="24"/>
        <v/>
      </c>
      <c r="BG82" s="889" t="str">
        <f t="shared" si="25"/>
        <v/>
      </c>
      <c r="BH82" s="889" t="str">
        <f t="shared" si="26"/>
        <v/>
      </c>
      <c r="BI82" s="890" t="str">
        <f t="shared" si="27"/>
        <v/>
      </c>
      <c r="BJ82" s="891" t="str">
        <f t="shared" si="28"/>
        <v/>
      </c>
      <c r="BK82" s="892" t="str">
        <f t="shared" si="29"/>
        <v/>
      </c>
      <c r="BL82" s="892" t="str">
        <f t="shared" si="30"/>
        <v/>
      </c>
      <c r="BM82" s="892" t="str">
        <f t="shared" si="31"/>
        <v/>
      </c>
      <c r="BN82" s="892" t="str">
        <f t="shared" si="32"/>
        <v/>
      </c>
      <c r="BO82" s="892" t="str">
        <f t="shared" si="33"/>
        <v/>
      </c>
      <c r="BP82" s="893" t="str">
        <f t="shared" si="34"/>
        <v/>
      </c>
      <c r="BQ82" s="894" t="str">
        <f t="shared" si="35"/>
        <v/>
      </c>
      <c r="BR82" s="895" t="str">
        <f t="shared" si="10"/>
        <v/>
      </c>
      <c r="BS82" s="896" t="str">
        <f t="shared" si="36"/>
        <v/>
      </c>
      <c r="BT82" s="897" t="str">
        <f t="shared" si="37"/>
        <v/>
      </c>
      <c r="BU82" s="231" t="str">
        <f t="shared" si="38"/>
        <v/>
      </c>
      <c r="BV82" s="898">
        <f t="shared" si="39"/>
        <v>127</v>
      </c>
      <c r="BW82" s="845" t="str">
        <f t="shared" si="40"/>
        <v/>
      </c>
      <c r="BX82" s="899" t="str">
        <f t="shared" si="41"/>
        <v/>
      </c>
      <c r="BY82" s="900" t="str" cm="1">
        <f t="array" ref="BY82">[1]!ACAELE_CAPACIDADCABLE(BB82,H82,I82,M82,BX82,N82)</f>
        <v/>
      </c>
      <c r="BZ82" s="900" t="str">
        <f t="shared" si="42"/>
        <v/>
      </c>
      <c r="CA82" s="901" t="str" cm="1">
        <f t="array" ref="CA82">[1]!ACAELE_cabledetierra(BZ82,$N$9,I82,BW82,BX82,G82)</f>
        <v/>
      </c>
      <c r="CB82" s="902" t="str" cm="1">
        <f t="array" ref="CB82">[1]!ACAELE_TAMATUBERIA(BX82,DU82,$N$9,M82,I82)</f>
        <v/>
      </c>
      <c r="CC82" s="846" t="str">
        <f t="shared" si="43"/>
        <v/>
      </c>
      <c r="CD82" s="903" t="str" cm="1">
        <f t="array" ref="CD82">[1]!ACAELE_CAPACIDADCABLE(BB82,H82,I82,M82,CC82,N82)</f>
        <v/>
      </c>
      <c r="CE82" s="903" t="str">
        <f t="shared" si="44"/>
        <v/>
      </c>
      <c r="CF82" s="904" t="str" cm="1">
        <f t="array" ref="CF82">[1]!ACAELE_cabledetierra(CE82,$N$9,I82,BW82,CC82,G82)</f>
        <v/>
      </c>
      <c r="CG82" s="905" t="str" cm="1">
        <f t="array" ref="CG82">[1]!ACAELE_TAMATUBERIA(CC82,EC82,$N$9,S82,I82)</f>
        <v/>
      </c>
      <c r="CH82" s="906" t="str">
        <f t="shared" si="45"/>
        <v/>
      </c>
      <c r="CI82" s="510" t="str">
        <f t="shared" si="46"/>
        <v>-</v>
      </c>
      <c r="CJ82" s="511" t="str">
        <f t="shared" si="47"/>
        <v>-</v>
      </c>
      <c r="CK82" s="512" t="str">
        <f t="shared" si="48"/>
        <v>-</v>
      </c>
      <c r="CL82" s="907" t="str">
        <f t="shared" si="49"/>
        <v>-</v>
      </c>
      <c r="CM82" s="908" t="str">
        <f t="shared" si="50"/>
        <v>-</v>
      </c>
      <c r="CN82" s="909" t="str">
        <f t="shared" si="51"/>
        <v>-</v>
      </c>
      <c r="CO82" s="910" t="str" cm="1">
        <f t="array" ref="CO82">[1]!ACAELE_fasecorresponde(B82,$F$10,$P$5)</f>
        <v>B</v>
      </c>
      <c r="CP82" s="910" t="str" cm="1">
        <f t="array" ref="CP82">[1]!ACAELE_fasecorresponde(C82,$F$10,$P$5)</f>
        <v>-</v>
      </c>
      <c r="CQ82" s="910" t="str" cm="1">
        <f t="array" ref="CQ82">[1]!ACAELE_fasecorresponde(D82,$F$10,$P$5)</f>
        <v>-</v>
      </c>
      <c r="CR82" s="911" t="str">
        <f t="shared" si="52"/>
        <v>C</v>
      </c>
      <c r="CS82" s="912">
        <f t="shared" si="53"/>
        <v>1</v>
      </c>
      <c r="CT82" s="913">
        <f t="shared" si="54"/>
        <v>0.8</v>
      </c>
      <c r="CU82" s="914" t="str">
        <f t="shared" si="55"/>
        <v/>
      </c>
      <c r="CV82" s="915">
        <f t="shared" si="56"/>
        <v>0</v>
      </c>
      <c r="CW82" s="916" t="str" cm="1">
        <f t="array" ref="CW82">[1]!ACAELE_Inominal(BB82,F82,BT82,BV82,DA82,G82,V82,$P$5)</f>
        <v/>
      </c>
      <c r="CX82" s="917" t="str" cm="1">
        <f t="array" ref="CX82">[1]!ACAELE_Disparocalculado(BB82,H82,DL82,$N$21,$M$21,$O$21,BV82,$P$5)</f>
        <v/>
      </c>
      <c r="CY82" s="918" t="str" cm="1">
        <f t="array" ref="CY82">[1]!ACAELE_Icorregida($A$27,H82,BB82,BU82,CS82,CT82,$P$5)</f>
        <v/>
      </c>
      <c r="CZ82" s="919" t="str" cm="1">
        <f t="array" ref="CZ82">[1]!ACAELE_Icorregida2($A$27,H82,BB82,BU82,CS82,CU82,$P$5)</f>
        <v/>
      </c>
      <c r="DA82" s="920">
        <f t="shared" si="57"/>
        <v>0.9</v>
      </c>
      <c r="DB82" s="921">
        <f t="shared" si="58"/>
        <v>0.43588989435406728</v>
      </c>
      <c r="DC82" s="922" t="str" cm="1">
        <f t="array" ref="DC82">[1]!ACAELE_CONDPORTCORRIENTE(H82,BB82,I82,M82,CY82,CZ82,N82,$P$5)</f>
        <v/>
      </c>
      <c r="DD82" s="923" t="str" cm="1">
        <f t="array" ref="DD82">[1]!ACAELE_CAPACONDCORRIENTE(BB82,H82,I82,M82,CY82,CZ82,$P$5)</f>
        <v/>
      </c>
      <c r="DE82" s="923" t="str" cm="1">
        <f t="array" ref="DE82">[1]!ACAELE_CAPACIDADCABLE(BB82,H82,I82,M82,DC82,N82,$P$5)</f>
        <v/>
      </c>
      <c r="DF82" s="924" t="str" cm="1">
        <f t="array" ref="DF82">[1]!ACAELE_encontrarcaida(BB82,H82,L82,BV82,F82,BU82,N82,K82)</f>
        <v/>
      </c>
      <c r="DG82" s="925" t="str" cm="1">
        <f t="array" ref="DG82">[1]!ACAELE_Cablecaida(BB82,H82,M82,I82,DF82)</f>
        <v/>
      </c>
      <c r="DH82" s="918" t="str" cm="1">
        <f t="array" ref="DH82">[1]!ACAELE_CAPACIDADCABLE(BB82,H82,I82,M82,DG82,N82,$P$5)</f>
        <v/>
      </c>
      <c r="DI82" s="926" t="str" cm="1">
        <f t="array" ref="DI82">IF($A$27=1,"",[1]!ACAELE_encontrarcaida(BB82,H82,R82,BV82,F82,BU82,T82,Q82,$P$5))</f>
        <v/>
      </c>
      <c r="DJ82" s="914" t="str" cm="1">
        <f t="array" ref="DJ82">IF($A$27=1,"",[1]!ACAELE_Cablecaida2(BB82,Q82,H82,S82,I82,DI82,$P$5))</f>
        <v/>
      </c>
      <c r="DK82" s="919" t="str" cm="1">
        <f t="array" ref="DK82">[1]!ACAELE_CAPACIDADCABLE(BB82,H82,I82,M82,DJ82,N82,$P$5)</f>
        <v/>
      </c>
      <c r="DL82" s="927" t="str" cm="1">
        <f t="array" ref="DL82">[1]!acaele_Iproteccion(BB82,H82,BU82,$F$20,$G$20,$F$19,$G$19,$H$20,$H$19,$P$5)</f>
        <v/>
      </c>
      <c r="DM82" s="928" cm="1">
        <f t="array" ref="DM82">[1]!acaele_ProtCalculada(CX82,H82,BT82,BW82,$G$21,$F$21,$H$21,$P$5)</f>
        <v>0</v>
      </c>
      <c r="DN82" s="929" t="str" cm="1">
        <f t="array" ref="DN82">[1]!ACAELE_cablecalculo(BB82,H82,I82,M82,EF82,$P$5)</f>
        <v/>
      </c>
      <c r="DO82" s="930" t="str" cm="1">
        <f t="array" ref="DO82">[1]!ACAELE_RESISTENCIA(BB82,H82,M82,I82,BX82, CW82,$P$5)</f>
        <v/>
      </c>
      <c r="DP82" s="931" t="str" cm="1">
        <f t="array" ref="DP82">[1]!ACAELE_REACTANCIA(BB82,H82,$F$11,M82,I82,BX82,$P$5)</f>
        <v/>
      </c>
      <c r="DQ82" s="918" t="str" cm="1">
        <f t="array" ref="DQ82">[1]!ACAELE_DIAMECAISLA(BB82,H82,I82,BX82,$P$5)</f>
        <v/>
      </c>
      <c r="DR82" s="918" t="str" cm="1">
        <f t="array" ref="DR82">[1]!ACAELE_AREACAISLAMIENTO(BB82,H82,DQ82,$P$5)</f>
        <v/>
      </c>
      <c r="DS82" s="918" t="str" cm="1">
        <f t="array" ref="DS82">[1]!ACAELE_CAIDAVOLTSFINAL(BB82,H82,F82,K82,BU82,N82,DO82,DA82,DP82,DB82,$P$5)</f>
        <v/>
      </c>
      <c r="DT82" s="918" t="str" cm="1">
        <f t="array" ref="DT82">[1]!ACAELE_AREACONDPTE(BB82,H82,CA82,$P$5)</f>
        <v/>
      </c>
      <c r="DU82" s="932" t="str" cm="1">
        <f t="array" ref="DU82">[1]!ACAELE_AREATOTAL(BZ82,M82,EO82,N82,DQ82,G82,DR82,DT82,N$20,$P$5)</f>
        <v/>
      </c>
      <c r="DV82" s="933" t="str" cm="1">
        <f t="array" ref="DV82">IF($A$27=1,"",[1]!ACAELE_cablecalculo(BB82,H82,I82,M82,EG82,$P$5))</f>
        <v/>
      </c>
      <c r="DW82" s="934" t="str" cm="1">
        <f t="array" ref="DW82">IF($A$27=1,"",[1]!ACAELE_RESISTENCIA(BB82,H82,M82,I82,CC82,CW82,$P$5))</f>
        <v/>
      </c>
      <c r="DX82" s="926" t="str" cm="1">
        <f t="array" ref="DX82">IF($A$27=1,"",[1]!ACAELE_REACTANCIA(BB82,H82,$F$11,M82,I82,CC82,$P$5))</f>
        <v/>
      </c>
      <c r="DY82" s="935" t="str" cm="1">
        <f t="array" ref="DY82">IF($A$27=1,"",[1]!ACAELE_DIAMECAISLA(BB82,H82,I82,CC82,$P$5))</f>
        <v/>
      </c>
      <c r="DZ82" s="935" t="str" cm="1">
        <f t="array" ref="DZ82">IF($A$27=1,"",[1]!ACAELE_AREACAISLAMIENTO(BB82,H82,DY82,$P$5))</f>
        <v/>
      </c>
      <c r="EA82" s="935" t="str" cm="1">
        <f t="array" ref="EA82">[1]!ACAELE_CAIDAVOLTSFINAL2(BB82,Q82,H82,F82,$A$27,BU82,T82,DW82,DA82,DX82,DB82)</f>
        <v/>
      </c>
      <c r="EB82" s="935" t="str" cm="1">
        <f t="array" ref="EB82">IF($A$27=1,"",[1]!ACAELE_AREACONDPTE(BB82,H82,CF82,$P$5))</f>
        <v/>
      </c>
      <c r="EC82" s="936" t="str" cm="1">
        <f t="array" ref="EC82">[1]!ACAELE_AREATOTAL2(H82,$A$27,DY82,S82,G82,T82,DZ82,U82,EB82)</f>
        <v/>
      </c>
      <c r="ED82" s="937" t="str">
        <f t="shared" si="59"/>
        <v/>
      </c>
      <c r="EE82" s="938" t="str">
        <f t="shared" si="60"/>
        <v/>
      </c>
      <c r="EF82" s="939" t="str">
        <f t="shared" si="61"/>
        <v/>
      </c>
      <c r="EG82" s="940">
        <f t="shared" si="62"/>
        <v>0</v>
      </c>
      <c r="EH82" s="941" t="str">
        <f t="shared" si="63"/>
        <v/>
      </c>
      <c r="EI82" s="942">
        <f t="shared" si="64"/>
        <v>30</v>
      </c>
      <c r="EJ82" s="943" t="str">
        <f t="shared" si="11"/>
        <v/>
      </c>
      <c r="EK82" s="943" t="str">
        <f t="shared" si="12"/>
        <v/>
      </c>
      <c r="EL82" s="943" t="str">
        <f t="shared" si="13"/>
        <v/>
      </c>
      <c r="EM82" s="944" t="str">
        <f t="shared" si="14"/>
        <v/>
      </c>
      <c r="EN82" s="945" t="str" cm="1">
        <f t="array" ref="EN82">[1]!ACAELE_MOTOR(H82,X82:BA82,$X$26:$BA$26,$P$5)</f>
        <v/>
      </c>
      <c r="EO82" s="550" t="str">
        <f t="shared" si="65"/>
        <v/>
      </c>
      <c r="EP82" s="431" t="s">
        <v>1214</v>
      </c>
      <c r="EQ82" s="434" t="str">
        <f t="shared" ca="1" si="66"/>
        <v/>
      </c>
      <c r="ER82" s="32"/>
      <c r="ES82" s="32"/>
      <c r="ET82" s="3" t="str">
        <f t="shared" si="67"/>
        <v/>
      </c>
      <c r="EU82" s="3" t="str">
        <f t="shared" si="68"/>
        <v/>
      </c>
      <c r="EV82" s="3" t="str">
        <f t="shared" si="69"/>
        <v/>
      </c>
      <c r="EW82" s="3" t="str">
        <f t="shared" si="70"/>
        <v/>
      </c>
      <c r="EX82" s="3" t="str">
        <f t="shared" si="71"/>
        <v/>
      </c>
      <c r="EY82" s="3" t="str">
        <f t="shared" si="72"/>
        <v/>
      </c>
      <c r="EZ82" s="3" t="str">
        <f t="shared" si="73"/>
        <v/>
      </c>
      <c r="FA82" s="3" t="str">
        <f t="shared" si="74"/>
        <v/>
      </c>
      <c r="FB82" s="3" t="str">
        <f t="shared" si="75"/>
        <v/>
      </c>
      <c r="FC82" s="3">
        <f t="shared" si="76"/>
        <v>0</v>
      </c>
      <c r="FD82" s="32"/>
      <c r="FE82" s="32"/>
      <c r="FF82" s="103">
        <v>1</v>
      </c>
      <c r="FG82" s="32"/>
      <c r="FH82" s="103"/>
      <c r="FI82" s="32"/>
      <c r="FJ82" s="103"/>
      <c r="FK82" s="3">
        <f t="shared" si="77"/>
        <v>0</v>
      </c>
      <c r="FL82" s="3" t="str" cm="1">
        <f t="array" aca="1" ref="FL82" ca="1">[1]!acaele_DIB_UNIFILAR(BB82,H82,F82,COUNTIF(X82:BA82,1),BW82)</f>
        <v/>
      </c>
      <c r="FM82" s="3" t="str">
        <f>IF(DATOS!$T$4=0,"",IF(DATOS!$T$4=1," (QO)",IF(DATOS!$T$4=2," (QOB)",IF(DATOS!$T$4=3," (EDB)",IF(DATOS!$T$4=4,IF(BW82&lt;151," (H"&amp;FN82&amp;")",IF(BW82&lt;251," (J"&amp;FN82&amp;")", IF(BW82&lt;401," (LA)",IF(BW82&lt;801," (MG)",IF(BW82&lt;5001," (POWERPACK)",""))))))))))</f>
        <v xml:space="preserve"> (QOB)</v>
      </c>
      <c r="FN82" s="3" t="str">
        <f t="shared" si="78"/>
        <v/>
      </c>
      <c r="FO82" s="146"/>
      <c r="FP82" s="146"/>
      <c r="FQ82" s="146"/>
      <c r="FR82" s="146"/>
      <c r="FS82" s="146"/>
      <c r="FT82" s="146"/>
      <c r="FU82" s="146"/>
      <c r="FV82" s="146"/>
      <c r="FW82" s="146"/>
      <c r="FX82" s="146" t="str">
        <f t="shared" si="9"/>
        <v/>
      </c>
      <c r="FY82" s="736"/>
      <c r="FZ82" s="740"/>
      <c r="GA82" s="740"/>
      <c r="GB82" s="717"/>
      <c r="GC82" s="838"/>
      <c r="GD82" s="736"/>
      <c r="GE82" s="146"/>
      <c r="GF82" s="506"/>
      <c r="GG82" s="506"/>
      <c r="GH82" s="506"/>
      <c r="GI82" s="506"/>
      <c r="GJ82" s="506"/>
      <c r="GM82" s="3">
        <f>IF(OR(GN82&gt;TABLERO!$M$19,GO82&gt;TABLERO!$M$19,GP82&gt;TABLERO!$M$19,B82=0,C82=0,D82=0),2,CUADROACAD!A82)</f>
        <v>2</v>
      </c>
      <c r="GN82" s="3">
        <f>IF(TABLERO!B82="",0,TABLERO!B82)</f>
        <v>52</v>
      </c>
      <c r="GO82" s="3">
        <f>IF(TABLERO!C82="",GN82,TABLERO!C82)</f>
        <v>52</v>
      </c>
      <c r="GP82" s="3">
        <f>IF(TABLERO!D82="",GN82,TABLERO!D82)</f>
        <v>52</v>
      </c>
    </row>
    <row r="83" spans="1:198" s="3" customFormat="1">
      <c r="A83" s="706"/>
      <c r="B83" s="869">
        <v>53</v>
      </c>
      <c r="C83" s="870" t="str">
        <f t="shared" si="15"/>
        <v/>
      </c>
      <c r="D83" s="870" t="str">
        <f t="shared" si="16"/>
        <v/>
      </c>
      <c r="E83" s="871"/>
      <c r="F83" s="872">
        <v>1</v>
      </c>
      <c r="G83" s="716">
        <f t="shared" si="17"/>
        <v>2</v>
      </c>
      <c r="H83" s="873" t="s">
        <v>12</v>
      </c>
      <c r="I83" s="874" t="str">
        <f t="shared" si="18"/>
        <v>CU</v>
      </c>
      <c r="J83" s="875">
        <v>6</v>
      </c>
      <c r="K83" s="876">
        <v>10</v>
      </c>
      <c r="L83" s="876">
        <v>3</v>
      </c>
      <c r="M83" s="877">
        <v>1</v>
      </c>
      <c r="N83" s="877">
        <v>1</v>
      </c>
      <c r="O83" s="878">
        <v>1</v>
      </c>
      <c r="P83" s="879">
        <v>4</v>
      </c>
      <c r="Q83" s="880">
        <v>1</v>
      </c>
      <c r="R83" s="880">
        <v>1</v>
      </c>
      <c r="S83" s="881">
        <v>1</v>
      </c>
      <c r="T83" s="881">
        <v>1</v>
      </c>
      <c r="U83" s="882">
        <v>1</v>
      </c>
      <c r="V83" s="883">
        <v>1</v>
      </c>
      <c r="W83" s="874" t="str">
        <f t="shared" si="19"/>
        <v>SI</v>
      </c>
      <c r="X83" s="884"/>
      <c r="Y83" s="885"/>
      <c r="Z83" s="885"/>
      <c r="AA83" s="885"/>
      <c r="AB83" s="885"/>
      <c r="AC83" s="885"/>
      <c r="AD83" s="885"/>
      <c r="AE83" s="885"/>
      <c r="AF83" s="885"/>
      <c r="AG83" s="885"/>
      <c r="AH83" s="885"/>
      <c r="AI83" s="885"/>
      <c r="AJ83" s="885"/>
      <c r="AK83" s="885"/>
      <c r="AL83" s="885"/>
      <c r="AM83" s="885"/>
      <c r="AN83" s="885"/>
      <c r="AO83" s="885"/>
      <c r="AP83" s="885"/>
      <c r="AQ83" s="885"/>
      <c r="AR83" s="885"/>
      <c r="AS83" s="885"/>
      <c r="AT83" s="885"/>
      <c r="AU83" s="885"/>
      <c r="AV83" s="885"/>
      <c r="AW83" s="885"/>
      <c r="AX83" s="885"/>
      <c r="AY83" s="885"/>
      <c r="AZ83" s="885"/>
      <c r="BA83" s="886"/>
      <c r="BB83" s="887">
        <f t="shared" si="20"/>
        <v>0</v>
      </c>
      <c r="BC83" s="888" t="str">
        <f t="shared" si="21"/>
        <v/>
      </c>
      <c r="BD83" s="889" t="str">
        <f t="shared" si="22"/>
        <v/>
      </c>
      <c r="BE83" s="889" t="str">
        <f t="shared" si="23"/>
        <v/>
      </c>
      <c r="BF83" s="889" t="str">
        <f t="shared" si="24"/>
        <v/>
      </c>
      <c r="BG83" s="889" t="str">
        <f t="shared" si="25"/>
        <v/>
      </c>
      <c r="BH83" s="889" t="str">
        <f t="shared" si="26"/>
        <v/>
      </c>
      <c r="BI83" s="890" t="str">
        <f t="shared" si="27"/>
        <v/>
      </c>
      <c r="BJ83" s="891" t="str">
        <f t="shared" si="28"/>
        <v/>
      </c>
      <c r="BK83" s="892" t="str">
        <f t="shared" si="29"/>
        <v/>
      </c>
      <c r="BL83" s="892" t="str">
        <f t="shared" si="30"/>
        <v/>
      </c>
      <c r="BM83" s="892" t="str">
        <f t="shared" si="31"/>
        <v/>
      </c>
      <c r="BN83" s="892" t="str">
        <f t="shared" si="32"/>
        <v/>
      </c>
      <c r="BO83" s="892" t="str">
        <f t="shared" si="33"/>
        <v/>
      </c>
      <c r="BP83" s="893" t="str">
        <f t="shared" si="34"/>
        <v/>
      </c>
      <c r="BQ83" s="894" t="str">
        <f t="shared" si="35"/>
        <v/>
      </c>
      <c r="BR83" s="895" t="str">
        <f t="shared" si="10"/>
        <v/>
      </c>
      <c r="BS83" s="896" t="str">
        <f t="shared" si="36"/>
        <v/>
      </c>
      <c r="BT83" s="897" t="str">
        <f t="shared" si="37"/>
        <v/>
      </c>
      <c r="BU83" s="231" t="str">
        <f t="shared" si="38"/>
        <v/>
      </c>
      <c r="BV83" s="898">
        <f t="shared" si="39"/>
        <v>127</v>
      </c>
      <c r="BW83" s="845" t="str">
        <f t="shared" si="40"/>
        <v/>
      </c>
      <c r="BX83" s="899" t="str">
        <f t="shared" si="41"/>
        <v/>
      </c>
      <c r="BY83" s="900" t="str" cm="1">
        <f t="array" ref="BY83">[1]!ACAELE_CAPACIDADCABLE(BB83,H83,I83,M83,BX83,N83)</f>
        <v/>
      </c>
      <c r="BZ83" s="900" t="str">
        <f t="shared" si="42"/>
        <v/>
      </c>
      <c r="CA83" s="901" t="str" cm="1">
        <f t="array" ref="CA83">[1]!ACAELE_cabledetierra(BZ83,$N$9,I83,BW83,BX83,G83)</f>
        <v/>
      </c>
      <c r="CB83" s="902" t="str" cm="1">
        <f t="array" ref="CB83">[1]!ACAELE_TAMATUBERIA(BX83,DU83,$N$9,M83,I83)</f>
        <v/>
      </c>
      <c r="CC83" s="846" t="str">
        <f t="shared" si="43"/>
        <v/>
      </c>
      <c r="CD83" s="903" t="str" cm="1">
        <f t="array" ref="CD83">[1]!ACAELE_CAPACIDADCABLE(BB83,H83,I83,M83,CC83,N83)</f>
        <v/>
      </c>
      <c r="CE83" s="903" t="str">
        <f t="shared" si="44"/>
        <v/>
      </c>
      <c r="CF83" s="904" t="str" cm="1">
        <f t="array" ref="CF83">[1]!ACAELE_cabledetierra(CE83,$N$9,I83,BW83,CC83,G83)</f>
        <v/>
      </c>
      <c r="CG83" s="905" t="str" cm="1">
        <f t="array" ref="CG83">[1]!ACAELE_TAMATUBERIA(CC83,EC83,$N$9,S83,I83)</f>
        <v/>
      </c>
      <c r="CH83" s="906" t="str">
        <f t="shared" si="45"/>
        <v/>
      </c>
      <c r="CI83" s="510" t="str">
        <f t="shared" si="46"/>
        <v>-</v>
      </c>
      <c r="CJ83" s="511" t="str">
        <f t="shared" si="47"/>
        <v>-</v>
      </c>
      <c r="CK83" s="512" t="str">
        <f t="shared" si="48"/>
        <v>-</v>
      </c>
      <c r="CL83" s="907" t="str">
        <f t="shared" si="49"/>
        <v>-</v>
      </c>
      <c r="CM83" s="908" t="str">
        <f t="shared" si="50"/>
        <v>-</v>
      </c>
      <c r="CN83" s="909" t="str">
        <f t="shared" si="51"/>
        <v>-</v>
      </c>
      <c r="CO83" s="910" t="str" cm="1">
        <f t="array" ref="CO83">[1]!ACAELE_fasecorresponde(B83,$F$10,$P$5)</f>
        <v>C</v>
      </c>
      <c r="CP83" s="910" t="str" cm="1">
        <f t="array" ref="CP83">[1]!ACAELE_fasecorresponde(C83,$F$10,$P$5)</f>
        <v>-</v>
      </c>
      <c r="CQ83" s="910" t="str" cm="1">
        <f t="array" ref="CQ83">[1]!ACAELE_fasecorresponde(D83,$F$10,$P$5)</f>
        <v>-</v>
      </c>
      <c r="CR83" s="911" t="str">
        <f t="shared" si="52"/>
        <v>C</v>
      </c>
      <c r="CS83" s="912">
        <f t="shared" si="53"/>
        <v>1</v>
      </c>
      <c r="CT83" s="913">
        <f t="shared" si="54"/>
        <v>0.8</v>
      </c>
      <c r="CU83" s="914" t="str">
        <f t="shared" si="55"/>
        <v/>
      </c>
      <c r="CV83" s="915">
        <f t="shared" si="56"/>
        <v>0</v>
      </c>
      <c r="CW83" s="916" t="str" cm="1">
        <f t="array" ref="CW83">[1]!ACAELE_Inominal(BB83,F83,BT83,BV83,DA83,G83,V83,$P$5)</f>
        <v/>
      </c>
      <c r="CX83" s="917" t="str" cm="1">
        <f t="array" ref="CX83">[1]!ACAELE_Disparocalculado(BB83,H83,DL83,$N$21,$M$21,$O$21,BV83,$P$5)</f>
        <v/>
      </c>
      <c r="CY83" s="918" t="str" cm="1">
        <f t="array" ref="CY83">[1]!ACAELE_Icorregida($A$27,H83,BB83,BU83,CS83,CT83,$P$5)</f>
        <v/>
      </c>
      <c r="CZ83" s="919" t="str" cm="1">
        <f t="array" ref="CZ83">[1]!ACAELE_Icorregida2($A$27,H83,BB83,BU83,CS83,CU83,$P$5)</f>
        <v/>
      </c>
      <c r="DA83" s="920">
        <f t="shared" si="57"/>
        <v>0.9</v>
      </c>
      <c r="DB83" s="921">
        <f t="shared" si="58"/>
        <v>0.43588989435406728</v>
      </c>
      <c r="DC83" s="922" t="str" cm="1">
        <f t="array" ref="DC83">[1]!ACAELE_CONDPORTCORRIENTE(H83,BB83,I83,M83,CY83,CZ83,N83,$P$5)</f>
        <v/>
      </c>
      <c r="DD83" s="923" t="str" cm="1">
        <f t="array" ref="DD83">[1]!ACAELE_CAPACONDCORRIENTE(BB83,H83,I83,M83,CY83,CZ83,$P$5)</f>
        <v/>
      </c>
      <c r="DE83" s="923" t="str" cm="1">
        <f t="array" ref="DE83">[1]!ACAELE_CAPACIDADCABLE(BB83,H83,I83,M83,DC83,N83,$P$5)</f>
        <v/>
      </c>
      <c r="DF83" s="924" t="str" cm="1">
        <f t="array" ref="DF83">[1]!ACAELE_encontrarcaida(BB83,H83,L83,BV83,F83,BU83,N83,K83)</f>
        <v/>
      </c>
      <c r="DG83" s="925" t="str" cm="1">
        <f t="array" ref="DG83">[1]!ACAELE_Cablecaida(BB83,H83,M83,I83,DF83)</f>
        <v/>
      </c>
      <c r="DH83" s="918" t="str" cm="1">
        <f t="array" ref="DH83">[1]!ACAELE_CAPACIDADCABLE(BB83,H83,I83,M83,DG83,N83,$P$5)</f>
        <v/>
      </c>
      <c r="DI83" s="926" t="str" cm="1">
        <f t="array" ref="DI83">IF($A$27=1,"",[1]!ACAELE_encontrarcaida(BB83,H83,R83,BV83,F83,BU83,T83,Q83,$P$5))</f>
        <v/>
      </c>
      <c r="DJ83" s="914" t="str" cm="1">
        <f t="array" ref="DJ83">IF($A$27=1,"",[1]!ACAELE_Cablecaida2(BB83,Q83,H83,S83,I83,DI83,$P$5))</f>
        <v/>
      </c>
      <c r="DK83" s="919" t="str" cm="1">
        <f t="array" ref="DK83">[1]!ACAELE_CAPACIDADCABLE(BB83,H83,I83,M83,DJ83,N83,$P$5)</f>
        <v/>
      </c>
      <c r="DL83" s="927" t="str" cm="1">
        <f t="array" ref="DL83">[1]!acaele_Iproteccion(BB83,H83,BU83,$F$20,$G$20,$F$19,$G$19,$H$20,$H$19,$P$5)</f>
        <v/>
      </c>
      <c r="DM83" s="928" cm="1">
        <f t="array" ref="DM83">[1]!acaele_ProtCalculada(CX83,H83,BT83,BW83,$G$21,$F$21,$H$21,$P$5)</f>
        <v>0</v>
      </c>
      <c r="DN83" s="929" t="str" cm="1">
        <f t="array" ref="DN83">[1]!ACAELE_cablecalculo(BB83,H83,I83,M83,EF83,$P$5)</f>
        <v/>
      </c>
      <c r="DO83" s="930" t="str" cm="1">
        <f t="array" ref="DO83">[1]!ACAELE_RESISTENCIA(BB83,H83,M83,I83,BX83, CW83,$P$5)</f>
        <v/>
      </c>
      <c r="DP83" s="931" t="str" cm="1">
        <f t="array" ref="DP83">[1]!ACAELE_REACTANCIA(BB83,H83,$F$11,M83,I83,BX83,$P$5)</f>
        <v/>
      </c>
      <c r="DQ83" s="918" t="str" cm="1">
        <f t="array" ref="DQ83">[1]!ACAELE_DIAMECAISLA(BB83,H83,I83,BX83,$P$5)</f>
        <v/>
      </c>
      <c r="DR83" s="918" t="str" cm="1">
        <f t="array" ref="DR83">[1]!ACAELE_AREACAISLAMIENTO(BB83,H83,DQ83,$P$5)</f>
        <v/>
      </c>
      <c r="DS83" s="918" t="str" cm="1">
        <f t="array" ref="DS83">[1]!ACAELE_CAIDAVOLTSFINAL(BB83,H83,F83,K83,BU83,N83,DO83,DA83,DP83,DB83,$P$5)</f>
        <v/>
      </c>
      <c r="DT83" s="918" t="str" cm="1">
        <f t="array" ref="DT83">[1]!ACAELE_AREACONDPTE(BB83,H83,CA83,$P$5)</f>
        <v/>
      </c>
      <c r="DU83" s="932" t="str" cm="1">
        <f t="array" ref="DU83">[1]!ACAELE_AREATOTAL(BZ83,M83,EO83,N83,DQ83,G83,DR83,DT83,N$20,$P$5)</f>
        <v/>
      </c>
      <c r="DV83" s="933" t="str" cm="1">
        <f t="array" ref="DV83">IF($A$27=1,"",[1]!ACAELE_cablecalculo(BB83,H83,I83,M83,EG83,$P$5))</f>
        <v/>
      </c>
      <c r="DW83" s="934" t="str" cm="1">
        <f t="array" ref="DW83">IF($A$27=1,"",[1]!ACAELE_RESISTENCIA(BB83,H83,M83,I83,CC83,CW83,$P$5))</f>
        <v/>
      </c>
      <c r="DX83" s="926" t="str" cm="1">
        <f t="array" ref="DX83">IF($A$27=1,"",[1]!ACAELE_REACTANCIA(BB83,H83,$F$11,M83,I83,CC83,$P$5))</f>
        <v/>
      </c>
      <c r="DY83" s="935" t="str" cm="1">
        <f t="array" ref="DY83">IF($A$27=1,"",[1]!ACAELE_DIAMECAISLA(BB83,H83,I83,CC83,$P$5))</f>
        <v/>
      </c>
      <c r="DZ83" s="935" t="str" cm="1">
        <f t="array" ref="DZ83">IF($A$27=1,"",[1]!ACAELE_AREACAISLAMIENTO(BB83,H83,DY83,$P$5))</f>
        <v/>
      </c>
      <c r="EA83" s="935" t="str" cm="1">
        <f t="array" ref="EA83">[1]!ACAELE_CAIDAVOLTSFINAL2(BB83,Q83,H83,F83,$A$27,BU83,T83,DW83,DA83,DX83,DB83)</f>
        <v/>
      </c>
      <c r="EB83" s="935" t="str" cm="1">
        <f t="array" ref="EB83">IF($A$27=1,"",[1]!ACAELE_AREACONDPTE(BB83,H83,CF83,$P$5))</f>
        <v/>
      </c>
      <c r="EC83" s="936" t="str" cm="1">
        <f t="array" ref="EC83">[1]!ACAELE_AREATOTAL2(H83,$A$27,DY83,S83,G83,T83,DZ83,U83,EB83)</f>
        <v/>
      </c>
      <c r="ED83" s="937" t="str">
        <f t="shared" si="59"/>
        <v/>
      </c>
      <c r="EE83" s="938" t="str">
        <f t="shared" si="60"/>
        <v/>
      </c>
      <c r="EF83" s="939" t="str">
        <f t="shared" si="61"/>
        <v/>
      </c>
      <c r="EG83" s="940">
        <f t="shared" si="62"/>
        <v>0</v>
      </c>
      <c r="EH83" s="941" t="str">
        <f t="shared" si="63"/>
        <v/>
      </c>
      <c r="EI83" s="942">
        <f t="shared" si="64"/>
        <v>30</v>
      </c>
      <c r="EJ83" s="943" t="str">
        <f t="shared" si="11"/>
        <v/>
      </c>
      <c r="EK83" s="943" t="str">
        <f t="shared" si="12"/>
        <v/>
      </c>
      <c r="EL83" s="943" t="str">
        <f t="shared" si="13"/>
        <v/>
      </c>
      <c r="EM83" s="944" t="str">
        <f t="shared" si="14"/>
        <v/>
      </c>
      <c r="EN83" s="945" t="str" cm="1">
        <f t="array" ref="EN83">[1]!ACAELE_MOTOR(H83,X83:BA83,$X$26:$BA$26,$P$5)</f>
        <v/>
      </c>
      <c r="EO83" s="550" t="str">
        <f t="shared" si="65"/>
        <v/>
      </c>
      <c r="EP83" s="431" t="s">
        <v>1214</v>
      </c>
      <c r="EQ83" s="434" t="str">
        <f t="shared" ca="1" si="66"/>
        <v/>
      </c>
      <c r="ER83" s="32"/>
      <c r="ES83" s="32"/>
      <c r="ET83" s="3" t="str">
        <f t="shared" si="67"/>
        <v/>
      </c>
      <c r="EU83" s="3" t="str">
        <f t="shared" si="68"/>
        <v/>
      </c>
      <c r="EV83" s="3" t="str">
        <f t="shared" si="69"/>
        <v/>
      </c>
      <c r="EW83" s="3" t="str">
        <f t="shared" si="70"/>
        <v/>
      </c>
      <c r="EX83" s="3" t="str">
        <f t="shared" si="71"/>
        <v/>
      </c>
      <c r="EY83" s="3" t="str">
        <f t="shared" si="72"/>
        <v/>
      </c>
      <c r="EZ83" s="3" t="str">
        <f t="shared" si="73"/>
        <v/>
      </c>
      <c r="FA83" s="3" t="str">
        <f t="shared" si="74"/>
        <v/>
      </c>
      <c r="FB83" s="3" t="str">
        <f t="shared" si="75"/>
        <v/>
      </c>
      <c r="FC83" s="3">
        <f t="shared" si="76"/>
        <v>0</v>
      </c>
      <c r="FD83" s="32"/>
      <c r="FE83" s="32"/>
      <c r="FF83" s="103">
        <v>1</v>
      </c>
      <c r="FG83" s="32"/>
      <c r="FH83" s="103"/>
      <c r="FI83" s="32"/>
      <c r="FJ83" s="103"/>
      <c r="FK83" s="3">
        <f t="shared" si="77"/>
        <v>0</v>
      </c>
      <c r="FL83" s="3" t="str" cm="1">
        <f t="array" aca="1" ref="FL83" ca="1">[1]!acaele_DIB_UNIFILAR(BB83,H83,F83,COUNTIF(X83:BA83,1),BW83)</f>
        <v/>
      </c>
      <c r="FM83" s="3" t="str">
        <f>IF(DATOS!$T$4=0,"",IF(DATOS!$T$4=1," (QO)",IF(DATOS!$T$4=2," (QOB)",IF(DATOS!$T$4=3," (EDB)",IF(DATOS!$T$4=4,IF(BW83&lt;151," (H"&amp;FN83&amp;")",IF(BW83&lt;251," (J"&amp;FN83&amp;")", IF(BW83&lt;401," (LA)",IF(BW83&lt;801," (MG)",IF(BW83&lt;5001," (POWERPACK)",""))))))))))</f>
        <v xml:space="preserve"> (QOB)</v>
      </c>
      <c r="FN83" s="3" t="str">
        <f t="shared" si="78"/>
        <v/>
      </c>
      <c r="FO83" s="146"/>
      <c r="FP83" s="146"/>
      <c r="FQ83" s="146"/>
      <c r="FR83" s="146"/>
      <c r="FS83" s="146"/>
      <c r="FT83" s="146"/>
      <c r="FU83" s="146"/>
      <c r="FV83" s="146"/>
      <c r="FW83" s="146"/>
      <c r="FX83" s="146" t="str">
        <f t="shared" si="9"/>
        <v/>
      </c>
      <c r="FY83" s="736"/>
      <c r="FZ83" s="740"/>
      <c r="GA83" s="740"/>
      <c r="GB83" s="717"/>
      <c r="GC83" s="838"/>
      <c r="GD83" s="736"/>
      <c r="GE83" s="146"/>
      <c r="GF83" s="506"/>
      <c r="GG83" s="506"/>
      <c r="GH83" s="506"/>
      <c r="GI83" s="506"/>
      <c r="GJ83" s="506"/>
      <c r="GM83" s="3">
        <f>IF(OR(GN83&gt;TABLERO!$M$19,GO83&gt;TABLERO!$M$19,GP83&gt;TABLERO!$M$19,B83=0,C83=0,D83=0),2,CUADROACAD!A83)</f>
        <v>2</v>
      </c>
      <c r="GN83" s="3">
        <f>IF(TABLERO!B83="",0,TABLERO!B83)</f>
        <v>53</v>
      </c>
      <c r="GO83" s="3">
        <f>IF(TABLERO!C83="",GN83,TABLERO!C83)</f>
        <v>53</v>
      </c>
      <c r="GP83" s="3">
        <f>IF(TABLERO!D83="",GN83,TABLERO!D83)</f>
        <v>53</v>
      </c>
    </row>
    <row r="84" spans="1:198" s="3" customFormat="1">
      <c r="A84" s="706"/>
      <c r="B84" s="869">
        <v>54</v>
      </c>
      <c r="C84" s="870" t="str">
        <f t="shared" si="15"/>
        <v/>
      </c>
      <c r="D84" s="870" t="str">
        <f t="shared" si="16"/>
        <v/>
      </c>
      <c r="E84" s="871"/>
      <c r="F84" s="872">
        <v>1</v>
      </c>
      <c r="G84" s="716">
        <f t="shared" si="17"/>
        <v>2</v>
      </c>
      <c r="H84" s="873" t="s">
        <v>12</v>
      </c>
      <c r="I84" s="874" t="str">
        <f t="shared" si="18"/>
        <v>CU</v>
      </c>
      <c r="J84" s="875">
        <v>6</v>
      </c>
      <c r="K84" s="876">
        <v>10</v>
      </c>
      <c r="L84" s="876">
        <v>3</v>
      </c>
      <c r="M84" s="877">
        <v>1</v>
      </c>
      <c r="N84" s="877">
        <v>1</v>
      </c>
      <c r="O84" s="878">
        <v>1</v>
      </c>
      <c r="P84" s="879">
        <v>4</v>
      </c>
      <c r="Q84" s="880">
        <v>1</v>
      </c>
      <c r="R84" s="880">
        <v>1</v>
      </c>
      <c r="S84" s="881">
        <v>1</v>
      </c>
      <c r="T84" s="881">
        <v>1</v>
      </c>
      <c r="U84" s="882">
        <v>1</v>
      </c>
      <c r="V84" s="883">
        <v>1</v>
      </c>
      <c r="W84" s="874" t="str">
        <f t="shared" si="19"/>
        <v>SI</v>
      </c>
      <c r="X84" s="884"/>
      <c r="Y84" s="885"/>
      <c r="Z84" s="885"/>
      <c r="AA84" s="885"/>
      <c r="AB84" s="885"/>
      <c r="AC84" s="885"/>
      <c r="AD84" s="885"/>
      <c r="AE84" s="885"/>
      <c r="AF84" s="885"/>
      <c r="AG84" s="885"/>
      <c r="AH84" s="885"/>
      <c r="AI84" s="885"/>
      <c r="AJ84" s="885"/>
      <c r="AK84" s="885"/>
      <c r="AL84" s="885"/>
      <c r="AM84" s="885"/>
      <c r="AN84" s="885"/>
      <c r="AO84" s="885"/>
      <c r="AP84" s="885"/>
      <c r="AQ84" s="885"/>
      <c r="AR84" s="885"/>
      <c r="AS84" s="885"/>
      <c r="AT84" s="885"/>
      <c r="AU84" s="885"/>
      <c r="AV84" s="885"/>
      <c r="AW84" s="885"/>
      <c r="AX84" s="885"/>
      <c r="AY84" s="885"/>
      <c r="AZ84" s="885"/>
      <c r="BA84" s="886"/>
      <c r="BB84" s="887">
        <f t="shared" si="20"/>
        <v>0</v>
      </c>
      <c r="BC84" s="888" t="str">
        <f t="shared" si="21"/>
        <v/>
      </c>
      <c r="BD84" s="889" t="str">
        <f t="shared" si="22"/>
        <v/>
      </c>
      <c r="BE84" s="889" t="str">
        <f t="shared" si="23"/>
        <v/>
      </c>
      <c r="BF84" s="889" t="str">
        <f t="shared" si="24"/>
        <v/>
      </c>
      <c r="BG84" s="889" t="str">
        <f t="shared" si="25"/>
        <v/>
      </c>
      <c r="BH84" s="889" t="str">
        <f t="shared" si="26"/>
        <v/>
      </c>
      <c r="BI84" s="890" t="str">
        <f t="shared" si="27"/>
        <v/>
      </c>
      <c r="BJ84" s="891" t="str">
        <f t="shared" si="28"/>
        <v/>
      </c>
      <c r="BK84" s="892" t="str">
        <f t="shared" si="29"/>
        <v/>
      </c>
      <c r="BL84" s="892" t="str">
        <f t="shared" si="30"/>
        <v/>
      </c>
      <c r="BM84" s="892" t="str">
        <f t="shared" si="31"/>
        <v/>
      </c>
      <c r="BN84" s="892" t="str">
        <f t="shared" si="32"/>
        <v/>
      </c>
      <c r="BO84" s="892" t="str">
        <f t="shared" si="33"/>
        <v/>
      </c>
      <c r="BP84" s="893" t="str">
        <f t="shared" si="34"/>
        <v/>
      </c>
      <c r="BQ84" s="894" t="str">
        <f t="shared" si="35"/>
        <v/>
      </c>
      <c r="BR84" s="895" t="str">
        <f t="shared" si="10"/>
        <v/>
      </c>
      <c r="BS84" s="896" t="str">
        <f t="shared" si="36"/>
        <v/>
      </c>
      <c r="BT84" s="897" t="str">
        <f t="shared" si="37"/>
        <v/>
      </c>
      <c r="BU84" s="231" t="str">
        <f t="shared" si="38"/>
        <v/>
      </c>
      <c r="BV84" s="898">
        <f t="shared" si="39"/>
        <v>127</v>
      </c>
      <c r="BW84" s="845" t="str">
        <f t="shared" si="40"/>
        <v/>
      </c>
      <c r="BX84" s="899" t="str">
        <f t="shared" si="41"/>
        <v/>
      </c>
      <c r="BY84" s="900" t="str" cm="1">
        <f t="array" ref="BY84">[1]!ACAELE_CAPACIDADCABLE(BB84,H84,I84,M84,BX84,N84)</f>
        <v/>
      </c>
      <c r="BZ84" s="900" t="str">
        <f t="shared" si="42"/>
        <v/>
      </c>
      <c r="CA84" s="901" t="str" cm="1">
        <f t="array" ref="CA84">[1]!ACAELE_cabledetierra(BZ84,$N$9,I84,BW84,BX84,G84)</f>
        <v/>
      </c>
      <c r="CB84" s="902" t="str" cm="1">
        <f t="array" ref="CB84">[1]!ACAELE_TAMATUBERIA(BX84,DU84,$N$9,M84,I84)</f>
        <v/>
      </c>
      <c r="CC84" s="846" t="str">
        <f t="shared" si="43"/>
        <v/>
      </c>
      <c r="CD84" s="903" t="str" cm="1">
        <f t="array" ref="CD84">[1]!ACAELE_CAPACIDADCABLE(BB84,H84,I84,M84,CC84,N84)</f>
        <v/>
      </c>
      <c r="CE84" s="903" t="str">
        <f t="shared" si="44"/>
        <v/>
      </c>
      <c r="CF84" s="904" t="str" cm="1">
        <f t="array" ref="CF84">[1]!ACAELE_cabledetierra(CE84,$N$9,I84,BW84,CC84,G84)</f>
        <v/>
      </c>
      <c r="CG84" s="905" t="str" cm="1">
        <f t="array" ref="CG84">[1]!ACAELE_TAMATUBERIA(CC84,EC84,$N$9,S84,I84)</f>
        <v/>
      </c>
      <c r="CH84" s="906" t="str">
        <f t="shared" si="45"/>
        <v/>
      </c>
      <c r="CI84" s="510" t="str">
        <f t="shared" si="46"/>
        <v>-</v>
      </c>
      <c r="CJ84" s="511" t="str">
        <f t="shared" si="47"/>
        <v>-</v>
      </c>
      <c r="CK84" s="512" t="str">
        <f t="shared" si="48"/>
        <v>-</v>
      </c>
      <c r="CL84" s="907" t="str">
        <f t="shared" si="49"/>
        <v>-</v>
      </c>
      <c r="CM84" s="908" t="str">
        <f t="shared" si="50"/>
        <v>-</v>
      </c>
      <c r="CN84" s="909" t="str">
        <f t="shared" si="51"/>
        <v>-</v>
      </c>
      <c r="CO84" s="910" t="str" cm="1">
        <f t="array" ref="CO84">[1]!ACAELE_fasecorresponde(B84,$F$10,$P$5)</f>
        <v>C</v>
      </c>
      <c r="CP84" s="910" t="str" cm="1">
        <f t="array" ref="CP84">[1]!ACAELE_fasecorresponde(C84,$F$10,$P$5)</f>
        <v>-</v>
      </c>
      <c r="CQ84" s="910" t="str" cm="1">
        <f t="array" ref="CQ84">[1]!ACAELE_fasecorresponde(D84,$F$10,$P$5)</f>
        <v>-</v>
      </c>
      <c r="CR84" s="911" t="str">
        <f t="shared" si="52"/>
        <v>C</v>
      </c>
      <c r="CS84" s="912">
        <f t="shared" si="53"/>
        <v>1</v>
      </c>
      <c r="CT84" s="913">
        <f t="shared" si="54"/>
        <v>0.8</v>
      </c>
      <c r="CU84" s="914" t="str">
        <f t="shared" si="55"/>
        <v/>
      </c>
      <c r="CV84" s="915">
        <f t="shared" si="56"/>
        <v>0</v>
      </c>
      <c r="CW84" s="916" t="str" cm="1">
        <f t="array" ref="CW84">[1]!ACAELE_Inominal(BB84,F84,BT84,BV84,DA84,G84,V84,$P$5)</f>
        <v/>
      </c>
      <c r="CX84" s="917" t="str" cm="1">
        <f t="array" ref="CX84">[1]!ACAELE_Disparocalculado(BB84,H84,DL84,$N$21,$M$21,$O$21,BV84,$P$5)</f>
        <v/>
      </c>
      <c r="CY84" s="918" t="str" cm="1">
        <f t="array" ref="CY84">[1]!ACAELE_Icorregida($A$27,H84,BB84,BU84,CS84,CT84,$P$5)</f>
        <v/>
      </c>
      <c r="CZ84" s="919" t="str" cm="1">
        <f t="array" ref="CZ84">[1]!ACAELE_Icorregida2($A$27,H84,BB84,BU84,CS84,CU84,$P$5)</f>
        <v/>
      </c>
      <c r="DA84" s="920">
        <f t="shared" si="57"/>
        <v>0.9</v>
      </c>
      <c r="DB84" s="921">
        <f t="shared" si="58"/>
        <v>0.43588989435406728</v>
      </c>
      <c r="DC84" s="922" t="str" cm="1">
        <f t="array" ref="DC84">[1]!ACAELE_CONDPORTCORRIENTE(H84,BB84,I84,M84,CY84,CZ84,N84,$P$5)</f>
        <v/>
      </c>
      <c r="DD84" s="923" t="str" cm="1">
        <f t="array" ref="DD84">[1]!ACAELE_CAPACONDCORRIENTE(BB84,H84,I84,M84,CY84,CZ84,$P$5)</f>
        <v/>
      </c>
      <c r="DE84" s="923" t="str" cm="1">
        <f t="array" ref="DE84">[1]!ACAELE_CAPACIDADCABLE(BB84,H84,I84,M84,DC84,N84,$P$5)</f>
        <v/>
      </c>
      <c r="DF84" s="924" t="str" cm="1">
        <f t="array" ref="DF84">[1]!ACAELE_encontrarcaida(BB84,H84,L84,BV84,F84,BU84,N84,K84)</f>
        <v/>
      </c>
      <c r="DG84" s="925" t="str" cm="1">
        <f t="array" ref="DG84">[1]!ACAELE_Cablecaida(BB84,H84,M84,I84,DF84)</f>
        <v/>
      </c>
      <c r="DH84" s="918" t="str" cm="1">
        <f t="array" ref="DH84">[1]!ACAELE_CAPACIDADCABLE(BB84,H84,I84,M84,DG84,N84,$P$5)</f>
        <v/>
      </c>
      <c r="DI84" s="926" t="str" cm="1">
        <f t="array" ref="DI84">IF($A$27=1,"",[1]!ACAELE_encontrarcaida(BB84,H84,R84,BV84,F84,BU84,T84,Q84,$P$5))</f>
        <v/>
      </c>
      <c r="DJ84" s="914" t="str" cm="1">
        <f t="array" ref="DJ84">IF($A$27=1,"",[1]!ACAELE_Cablecaida2(BB84,Q84,H84,S84,I84,DI84,$P$5))</f>
        <v/>
      </c>
      <c r="DK84" s="919" t="str" cm="1">
        <f t="array" ref="DK84">[1]!ACAELE_CAPACIDADCABLE(BB84,H84,I84,M84,DJ84,N84,$P$5)</f>
        <v/>
      </c>
      <c r="DL84" s="927" t="str" cm="1">
        <f t="array" ref="DL84">[1]!acaele_Iproteccion(BB84,H84,BU84,$F$20,$G$20,$F$19,$G$19,$H$20,$H$19,$P$5)</f>
        <v/>
      </c>
      <c r="DM84" s="928" cm="1">
        <f t="array" ref="DM84">[1]!acaele_ProtCalculada(CX84,H84,BT84,BW84,$G$21,$F$21,$H$21,$P$5)</f>
        <v>0</v>
      </c>
      <c r="DN84" s="929" t="str" cm="1">
        <f t="array" ref="DN84">[1]!ACAELE_cablecalculo(BB84,H84,I84,M84,EF84,$P$5)</f>
        <v/>
      </c>
      <c r="DO84" s="930" t="str" cm="1">
        <f t="array" ref="DO84">[1]!ACAELE_RESISTENCIA(BB84,H84,M84,I84,BX84, CW84,$P$5)</f>
        <v/>
      </c>
      <c r="DP84" s="931" t="str" cm="1">
        <f t="array" ref="DP84">[1]!ACAELE_REACTANCIA(BB84,H84,$F$11,M84,I84,BX84,$P$5)</f>
        <v/>
      </c>
      <c r="DQ84" s="918" t="str" cm="1">
        <f t="array" ref="DQ84">[1]!ACAELE_DIAMECAISLA(BB84,H84,I84,BX84,$P$5)</f>
        <v/>
      </c>
      <c r="DR84" s="918" t="str" cm="1">
        <f t="array" ref="DR84">[1]!ACAELE_AREACAISLAMIENTO(BB84,H84,DQ84,$P$5)</f>
        <v/>
      </c>
      <c r="DS84" s="918" t="str" cm="1">
        <f t="array" ref="DS84">[1]!ACAELE_CAIDAVOLTSFINAL(BB84,H84,F84,K84,BU84,N84,DO84,DA84,DP84,DB84,$P$5)</f>
        <v/>
      </c>
      <c r="DT84" s="918" t="str" cm="1">
        <f t="array" ref="DT84">[1]!ACAELE_AREACONDPTE(BB84,H84,CA84,$P$5)</f>
        <v/>
      </c>
      <c r="DU84" s="932" t="str" cm="1">
        <f t="array" ref="DU84">[1]!ACAELE_AREATOTAL(BZ84,M84,EO84,N84,DQ84,G84,DR84,DT84,N$20,$P$5)</f>
        <v/>
      </c>
      <c r="DV84" s="933" t="str" cm="1">
        <f t="array" ref="DV84">IF($A$27=1,"",[1]!ACAELE_cablecalculo(BB84,H84,I84,M84,EG84,$P$5))</f>
        <v/>
      </c>
      <c r="DW84" s="934" t="str" cm="1">
        <f t="array" ref="DW84">IF($A$27=1,"",[1]!ACAELE_RESISTENCIA(BB84,H84,M84,I84,CC84,CW84,$P$5))</f>
        <v/>
      </c>
      <c r="DX84" s="926" t="str" cm="1">
        <f t="array" ref="DX84">IF($A$27=1,"",[1]!ACAELE_REACTANCIA(BB84,H84,$F$11,M84,I84,CC84,$P$5))</f>
        <v/>
      </c>
      <c r="DY84" s="935" t="str" cm="1">
        <f t="array" ref="DY84">IF($A$27=1,"",[1]!ACAELE_DIAMECAISLA(BB84,H84,I84,CC84,$P$5))</f>
        <v/>
      </c>
      <c r="DZ84" s="935" t="str" cm="1">
        <f t="array" ref="DZ84">IF($A$27=1,"",[1]!ACAELE_AREACAISLAMIENTO(BB84,H84,DY84,$P$5))</f>
        <v/>
      </c>
      <c r="EA84" s="935" t="str" cm="1">
        <f t="array" ref="EA84">[1]!ACAELE_CAIDAVOLTSFINAL2(BB84,Q84,H84,F84,$A$27,BU84,T84,DW84,DA84,DX84,DB84)</f>
        <v/>
      </c>
      <c r="EB84" s="935" t="str" cm="1">
        <f t="array" ref="EB84">IF($A$27=1,"",[1]!ACAELE_AREACONDPTE(BB84,H84,CF84,$P$5))</f>
        <v/>
      </c>
      <c r="EC84" s="936" t="str" cm="1">
        <f t="array" ref="EC84">[1]!ACAELE_AREATOTAL2(H84,$A$27,DY84,S84,G84,T84,DZ84,U84,EB84)</f>
        <v/>
      </c>
      <c r="ED84" s="937" t="str">
        <f t="shared" si="59"/>
        <v/>
      </c>
      <c r="EE84" s="938" t="str">
        <f t="shared" si="60"/>
        <v/>
      </c>
      <c r="EF84" s="939" t="str">
        <f t="shared" si="61"/>
        <v/>
      </c>
      <c r="EG84" s="940">
        <f t="shared" si="62"/>
        <v>0</v>
      </c>
      <c r="EH84" s="941" t="str">
        <f t="shared" si="63"/>
        <v/>
      </c>
      <c r="EI84" s="942">
        <f t="shared" si="64"/>
        <v>30</v>
      </c>
      <c r="EJ84" s="943" t="str">
        <f t="shared" si="11"/>
        <v/>
      </c>
      <c r="EK84" s="943" t="str">
        <f t="shared" si="12"/>
        <v/>
      </c>
      <c r="EL84" s="943" t="str">
        <f t="shared" si="13"/>
        <v/>
      </c>
      <c r="EM84" s="944" t="str">
        <f t="shared" si="14"/>
        <v/>
      </c>
      <c r="EN84" s="945" t="str" cm="1">
        <f t="array" ref="EN84">[1]!ACAELE_MOTOR(H84,X84:BA84,$X$26:$BA$26,$P$5)</f>
        <v/>
      </c>
      <c r="EO84" s="550" t="str">
        <f t="shared" si="65"/>
        <v/>
      </c>
      <c r="EP84" s="431" t="s">
        <v>1214</v>
      </c>
      <c r="EQ84" s="434" t="str">
        <f t="shared" ca="1" si="66"/>
        <v/>
      </c>
      <c r="ER84" s="32"/>
      <c r="ES84" s="32"/>
      <c r="ET84" s="3" t="str">
        <f t="shared" si="67"/>
        <v/>
      </c>
      <c r="EU84" s="3" t="str">
        <f t="shared" si="68"/>
        <v/>
      </c>
      <c r="EV84" s="3" t="str">
        <f t="shared" si="69"/>
        <v/>
      </c>
      <c r="EW84" s="3" t="str">
        <f t="shared" si="70"/>
        <v/>
      </c>
      <c r="EX84" s="3" t="str">
        <f t="shared" si="71"/>
        <v/>
      </c>
      <c r="EY84" s="3" t="str">
        <f t="shared" si="72"/>
        <v/>
      </c>
      <c r="EZ84" s="3" t="str">
        <f t="shared" si="73"/>
        <v/>
      </c>
      <c r="FA84" s="3" t="str">
        <f t="shared" si="74"/>
        <v/>
      </c>
      <c r="FB84" s="3" t="str">
        <f t="shared" si="75"/>
        <v/>
      </c>
      <c r="FC84" s="3">
        <f t="shared" si="76"/>
        <v>0</v>
      </c>
      <c r="FD84" s="32"/>
      <c r="FE84" s="32"/>
      <c r="FF84" s="103">
        <v>1</v>
      </c>
      <c r="FG84" s="32"/>
      <c r="FH84" s="103"/>
      <c r="FI84" s="32"/>
      <c r="FJ84" s="103"/>
      <c r="FK84" s="3">
        <f t="shared" si="77"/>
        <v>0</v>
      </c>
      <c r="FL84" s="3" t="str" cm="1">
        <f t="array" aca="1" ref="FL84" ca="1">[1]!acaele_DIB_UNIFILAR(BB84,H84,F84,COUNTIF(X84:BA84,1),BW84)</f>
        <v/>
      </c>
      <c r="FM84" s="3" t="str">
        <f>IF(DATOS!$T$4=0,"",IF(DATOS!$T$4=1," (QO)",IF(DATOS!$T$4=2," (QOB)",IF(DATOS!$T$4=3," (EDB)",IF(DATOS!$T$4=4,IF(BW84&lt;151," (H"&amp;FN84&amp;")",IF(BW84&lt;251," (J"&amp;FN84&amp;")", IF(BW84&lt;401," (LA)",IF(BW84&lt;801," (MG)",IF(BW84&lt;5001," (POWERPACK)",""))))))))))</f>
        <v xml:space="preserve"> (QOB)</v>
      </c>
      <c r="FN84" s="3" t="str">
        <f t="shared" si="78"/>
        <v/>
      </c>
      <c r="FO84" s="146"/>
      <c r="FP84" s="146"/>
      <c r="FQ84" s="146"/>
      <c r="FR84" s="146"/>
      <c r="FS84" s="146"/>
      <c r="FT84" s="146"/>
      <c r="FU84" s="146"/>
      <c r="FV84" s="146"/>
      <c r="FW84" s="146"/>
      <c r="FX84" s="146" t="str">
        <f t="shared" si="9"/>
        <v/>
      </c>
      <c r="FY84" s="736"/>
      <c r="FZ84" s="740"/>
      <c r="GA84" s="740"/>
      <c r="GB84" s="717"/>
      <c r="GC84" s="838"/>
      <c r="GD84" s="736"/>
      <c r="GE84" s="146"/>
      <c r="GF84" s="506"/>
      <c r="GG84" s="506"/>
      <c r="GH84" s="506"/>
      <c r="GI84" s="506"/>
      <c r="GJ84" s="506"/>
      <c r="GM84" s="3">
        <f>IF(OR(GN84&gt;TABLERO!$M$19,GO84&gt;TABLERO!$M$19,GP84&gt;TABLERO!$M$19,B84=0,C84=0,D84=0),2,CUADROACAD!A84)</f>
        <v>2</v>
      </c>
      <c r="GN84" s="3">
        <f>IF(TABLERO!B84="",0,TABLERO!B84)</f>
        <v>54</v>
      </c>
      <c r="GO84" s="3">
        <f>IF(TABLERO!C84="",GN84,TABLERO!C84)</f>
        <v>54</v>
      </c>
      <c r="GP84" s="3">
        <f>IF(TABLERO!D84="",GN84,TABLERO!D84)</f>
        <v>54</v>
      </c>
    </row>
    <row r="85" spans="1:198" s="3" customFormat="1">
      <c r="A85" s="706"/>
      <c r="B85" s="869">
        <v>55</v>
      </c>
      <c r="C85" s="870" t="str">
        <f t="shared" si="15"/>
        <v/>
      </c>
      <c r="D85" s="870" t="str">
        <f t="shared" si="16"/>
        <v/>
      </c>
      <c r="E85" s="871"/>
      <c r="F85" s="872">
        <v>1</v>
      </c>
      <c r="G85" s="716">
        <f t="shared" si="17"/>
        <v>2</v>
      </c>
      <c r="H85" s="873" t="s">
        <v>12</v>
      </c>
      <c r="I85" s="874" t="str">
        <f t="shared" si="18"/>
        <v>CU</v>
      </c>
      <c r="J85" s="875">
        <v>6</v>
      </c>
      <c r="K85" s="876">
        <v>10</v>
      </c>
      <c r="L85" s="876">
        <v>3</v>
      </c>
      <c r="M85" s="877">
        <v>1</v>
      </c>
      <c r="N85" s="877">
        <v>1</v>
      </c>
      <c r="O85" s="878">
        <v>1</v>
      </c>
      <c r="P85" s="879">
        <v>4</v>
      </c>
      <c r="Q85" s="880">
        <v>1</v>
      </c>
      <c r="R85" s="880">
        <v>1</v>
      </c>
      <c r="S85" s="881">
        <v>1</v>
      </c>
      <c r="T85" s="881">
        <v>1</v>
      </c>
      <c r="U85" s="882">
        <v>1</v>
      </c>
      <c r="V85" s="883">
        <v>1</v>
      </c>
      <c r="W85" s="874" t="str">
        <f t="shared" si="19"/>
        <v>SI</v>
      </c>
      <c r="X85" s="884"/>
      <c r="Y85" s="885"/>
      <c r="Z85" s="885"/>
      <c r="AA85" s="885"/>
      <c r="AB85" s="885"/>
      <c r="AC85" s="885"/>
      <c r="AD85" s="885"/>
      <c r="AE85" s="885"/>
      <c r="AF85" s="885"/>
      <c r="AG85" s="885"/>
      <c r="AH85" s="885"/>
      <c r="AI85" s="885"/>
      <c r="AJ85" s="885"/>
      <c r="AK85" s="885"/>
      <c r="AL85" s="885"/>
      <c r="AM85" s="885"/>
      <c r="AN85" s="885"/>
      <c r="AO85" s="885"/>
      <c r="AP85" s="885"/>
      <c r="AQ85" s="885"/>
      <c r="AR85" s="885"/>
      <c r="AS85" s="885"/>
      <c r="AT85" s="885"/>
      <c r="AU85" s="885"/>
      <c r="AV85" s="885"/>
      <c r="AW85" s="885"/>
      <c r="AX85" s="885"/>
      <c r="AY85" s="885"/>
      <c r="AZ85" s="885"/>
      <c r="BA85" s="886"/>
      <c r="BB85" s="887">
        <f t="shared" si="20"/>
        <v>0</v>
      </c>
      <c r="BC85" s="888" t="str">
        <f t="shared" si="21"/>
        <v/>
      </c>
      <c r="BD85" s="889" t="str">
        <f t="shared" si="22"/>
        <v/>
      </c>
      <c r="BE85" s="889" t="str">
        <f t="shared" si="23"/>
        <v/>
      </c>
      <c r="BF85" s="889" t="str">
        <f t="shared" si="24"/>
        <v/>
      </c>
      <c r="BG85" s="889" t="str">
        <f t="shared" si="25"/>
        <v/>
      </c>
      <c r="BH85" s="889" t="str">
        <f t="shared" si="26"/>
        <v/>
      </c>
      <c r="BI85" s="890" t="str">
        <f t="shared" si="27"/>
        <v/>
      </c>
      <c r="BJ85" s="891" t="str">
        <f t="shared" si="28"/>
        <v/>
      </c>
      <c r="BK85" s="892" t="str">
        <f t="shared" si="29"/>
        <v/>
      </c>
      <c r="BL85" s="892" t="str">
        <f t="shared" si="30"/>
        <v/>
      </c>
      <c r="BM85" s="892" t="str">
        <f t="shared" si="31"/>
        <v/>
      </c>
      <c r="BN85" s="892" t="str">
        <f t="shared" si="32"/>
        <v/>
      </c>
      <c r="BO85" s="892" t="str">
        <f t="shared" si="33"/>
        <v/>
      </c>
      <c r="BP85" s="893" t="str">
        <f t="shared" si="34"/>
        <v/>
      </c>
      <c r="BQ85" s="894" t="str">
        <f t="shared" si="35"/>
        <v/>
      </c>
      <c r="BR85" s="895" t="str">
        <f t="shared" si="10"/>
        <v/>
      </c>
      <c r="BS85" s="896" t="str">
        <f t="shared" si="36"/>
        <v/>
      </c>
      <c r="BT85" s="897" t="str">
        <f t="shared" si="37"/>
        <v/>
      </c>
      <c r="BU85" s="231" t="str">
        <f t="shared" si="38"/>
        <v/>
      </c>
      <c r="BV85" s="898">
        <f t="shared" si="39"/>
        <v>127</v>
      </c>
      <c r="BW85" s="845" t="str">
        <f t="shared" si="40"/>
        <v/>
      </c>
      <c r="BX85" s="899" t="str">
        <f t="shared" si="41"/>
        <v/>
      </c>
      <c r="BY85" s="900" t="str" cm="1">
        <f t="array" ref="BY85">[1]!ACAELE_CAPACIDADCABLE(BB85,H85,I85,M85,BX85,N85)</f>
        <v/>
      </c>
      <c r="BZ85" s="900" t="str">
        <f t="shared" si="42"/>
        <v/>
      </c>
      <c r="CA85" s="901" t="str" cm="1">
        <f t="array" ref="CA85">[1]!ACAELE_cabledetierra(BZ85,$N$9,I85,BW85,BX85,G85)</f>
        <v/>
      </c>
      <c r="CB85" s="902" t="str" cm="1">
        <f t="array" ref="CB85">[1]!ACAELE_TAMATUBERIA(BX85,DU85,$N$9,M85,I85)</f>
        <v/>
      </c>
      <c r="CC85" s="846" t="str">
        <f t="shared" si="43"/>
        <v/>
      </c>
      <c r="CD85" s="903" t="str" cm="1">
        <f t="array" ref="CD85">[1]!ACAELE_CAPACIDADCABLE(BB85,H85,I85,M85,CC85,N85)</f>
        <v/>
      </c>
      <c r="CE85" s="903" t="str">
        <f t="shared" si="44"/>
        <v/>
      </c>
      <c r="CF85" s="904" t="str" cm="1">
        <f t="array" ref="CF85">[1]!ACAELE_cabledetierra(CE85,$N$9,I85,BW85,CC85,G85)</f>
        <v/>
      </c>
      <c r="CG85" s="905" t="str" cm="1">
        <f t="array" ref="CG85">[1]!ACAELE_TAMATUBERIA(CC85,EC85,$N$9,S85,I85)</f>
        <v/>
      </c>
      <c r="CH85" s="906" t="str">
        <f t="shared" si="45"/>
        <v/>
      </c>
      <c r="CI85" s="510" t="str">
        <f t="shared" si="46"/>
        <v>-</v>
      </c>
      <c r="CJ85" s="511" t="str">
        <f t="shared" si="47"/>
        <v>-</v>
      </c>
      <c r="CK85" s="512" t="str">
        <f t="shared" si="48"/>
        <v>-</v>
      </c>
      <c r="CL85" s="907" t="str">
        <f t="shared" si="49"/>
        <v>-</v>
      </c>
      <c r="CM85" s="908" t="str">
        <f t="shared" si="50"/>
        <v>-</v>
      </c>
      <c r="CN85" s="909" t="str">
        <f t="shared" si="51"/>
        <v>-</v>
      </c>
      <c r="CO85" s="910" t="str" cm="1">
        <f t="array" ref="CO85">[1]!ACAELE_fasecorresponde(B85,$F$10,$P$5)</f>
        <v>A</v>
      </c>
      <c r="CP85" s="910" t="str" cm="1">
        <f t="array" ref="CP85">[1]!ACAELE_fasecorresponde(C85,$F$10,$P$5)</f>
        <v>-</v>
      </c>
      <c r="CQ85" s="910" t="str" cm="1">
        <f t="array" ref="CQ85">[1]!ACAELE_fasecorresponde(D85,$F$10,$P$5)</f>
        <v>-</v>
      </c>
      <c r="CR85" s="911" t="str">
        <f t="shared" si="52"/>
        <v>C</v>
      </c>
      <c r="CS85" s="912">
        <f t="shared" si="53"/>
        <v>1</v>
      </c>
      <c r="CT85" s="913">
        <f t="shared" si="54"/>
        <v>0.8</v>
      </c>
      <c r="CU85" s="914" t="str">
        <f t="shared" si="55"/>
        <v/>
      </c>
      <c r="CV85" s="915">
        <f t="shared" si="56"/>
        <v>0</v>
      </c>
      <c r="CW85" s="916" t="str" cm="1">
        <f t="array" ref="CW85">[1]!ACAELE_Inominal(BB85,F85,BT85,BV85,DA85,G85,V85,$P$5)</f>
        <v/>
      </c>
      <c r="CX85" s="917" t="str" cm="1">
        <f t="array" ref="CX85">[1]!ACAELE_Disparocalculado(BB85,H85,DL85,$N$21,$M$21,$O$21,BV85,$P$5)</f>
        <v/>
      </c>
      <c r="CY85" s="918" t="str" cm="1">
        <f t="array" ref="CY85">[1]!ACAELE_Icorregida($A$27,H85,BB85,BU85,CS85,CT85,$P$5)</f>
        <v/>
      </c>
      <c r="CZ85" s="919" t="str" cm="1">
        <f t="array" ref="CZ85">[1]!ACAELE_Icorregida2($A$27,H85,BB85,BU85,CS85,CU85,$P$5)</f>
        <v/>
      </c>
      <c r="DA85" s="920">
        <f t="shared" si="57"/>
        <v>0.9</v>
      </c>
      <c r="DB85" s="921">
        <f t="shared" si="58"/>
        <v>0.43588989435406728</v>
      </c>
      <c r="DC85" s="922" t="str" cm="1">
        <f t="array" ref="DC85">[1]!ACAELE_CONDPORTCORRIENTE(H85,BB85,I85,M85,CY85,CZ85,N85,$P$5)</f>
        <v/>
      </c>
      <c r="DD85" s="923" t="str" cm="1">
        <f t="array" ref="DD85">[1]!ACAELE_CAPACONDCORRIENTE(BB85,H85,I85,M85,CY85,CZ85,$P$5)</f>
        <v/>
      </c>
      <c r="DE85" s="923" t="str" cm="1">
        <f t="array" ref="DE85">[1]!ACAELE_CAPACIDADCABLE(BB85,H85,I85,M85,DC85,N85,$P$5)</f>
        <v/>
      </c>
      <c r="DF85" s="924" t="str" cm="1">
        <f t="array" ref="DF85">[1]!ACAELE_encontrarcaida(BB85,H85,L85,BV85,F85,BU85,N85,K85)</f>
        <v/>
      </c>
      <c r="DG85" s="925" t="str" cm="1">
        <f t="array" ref="DG85">[1]!ACAELE_Cablecaida(BB85,H85,M85,I85,DF85)</f>
        <v/>
      </c>
      <c r="DH85" s="918" t="str" cm="1">
        <f t="array" ref="DH85">[1]!ACAELE_CAPACIDADCABLE(BB85,H85,I85,M85,DG85,N85,$P$5)</f>
        <v/>
      </c>
      <c r="DI85" s="926" t="str" cm="1">
        <f t="array" ref="DI85">IF($A$27=1,"",[1]!ACAELE_encontrarcaida(BB85,H85,R85,BV85,F85,BU85,T85,Q85,$P$5))</f>
        <v/>
      </c>
      <c r="DJ85" s="914" t="str" cm="1">
        <f t="array" ref="DJ85">IF($A$27=1,"",[1]!ACAELE_Cablecaida2(BB85,Q85,H85,S85,I85,DI85,$P$5))</f>
        <v/>
      </c>
      <c r="DK85" s="919" t="str" cm="1">
        <f t="array" ref="DK85">[1]!ACAELE_CAPACIDADCABLE(BB85,H85,I85,M85,DJ85,N85,$P$5)</f>
        <v/>
      </c>
      <c r="DL85" s="927" t="str" cm="1">
        <f t="array" ref="DL85">[1]!acaele_Iproteccion(BB85,H85,BU85,$F$20,$G$20,$F$19,$G$19,$H$20,$H$19,$P$5)</f>
        <v/>
      </c>
      <c r="DM85" s="928" cm="1">
        <f t="array" ref="DM85">[1]!acaele_ProtCalculada(CX85,H85,BT85,BW85,$G$21,$F$21,$H$21,$P$5)</f>
        <v>0</v>
      </c>
      <c r="DN85" s="929" t="str" cm="1">
        <f t="array" ref="DN85">[1]!ACAELE_cablecalculo(BB85,H85,I85,M85,EF85,$P$5)</f>
        <v/>
      </c>
      <c r="DO85" s="930" t="str" cm="1">
        <f t="array" ref="DO85">[1]!ACAELE_RESISTENCIA(BB85,H85,M85,I85,BX85, CW85,$P$5)</f>
        <v/>
      </c>
      <c r="DP85" s="931" t="str" cm="1">
        <f t="array" ref="DP85">[1]!ACAELE_REACTANCIA(BB85,H85,$F$11,M85,I85,BX85,$P$5)</f>
        <v/>
      </c>
      <c r="DQ85" s="918" t="str" cm="1">
        <f t="array" ref="DQ85">[1]!ACAELE_DIAMECAISLA(BB85,H85,I85,BX85,$P$5)</f>
        <v/>
      </c>
      <c r="DR85" s="918" t="str" cm="1">
        <f t="array" ref="DR85">[1]!ACAELE_AREACAISLAMIENTO(BB85,H85,DQ85,$P$5)</f>
        <v/>
      </c>
      <c r="DS85" s="918" t="str" cm="1">
        <f t="array" ref="DS85">[1]!ACAELE_CAIDAVOLTSFINAL(BB85,H85,F85,K85,BU85,N85,DO85,DA85,DP85,DB85,$P$5)</f>
        <v/>
      </c>
      <c r="DT85" s="918" t="str" cm="1">
        <f t="array" ref="DT85">[1]!ACAELE_AREACONDPTE(BB85,H85,CA85,$P$5)</f>
        <v/>
      </c>
      <c r="DU85" s="932" t="str" cm="1">
        <f t="array" ref="DU85">[1]!ACAELE_AREATOTAL(BZ85,M85,EO85,N85,DQ85,G85,DR85,DT85,N$20,$P$5)</f>
        <v/>
      </c>
      <c r="DV85" s="933" t="str" cm="1">
        <f t="array" ref="DV85">IF($A$27=1,"",[1]!ACAELE_cablecalculo(BB85,H85,I85,M85,EG85,$P$5))</f>
        <v/>
      </c>
      <c r="DW85" s="934" t="str" cm="1">
        <f t="array" ref="DW85">IF($A$27=1,"",[1]!ACAELE_RESISTENCIA(BB85,H85,M85,I85,CC85,CW85,$P$5))</f>
        <v/>
      </c>
      <c r="DX85" s="926" t="str" cm="1">
        <f t="array" ref="DX85">IF($A$27=1,"",[1]!ACAELE_REACTANCIA(BB85,H85,$F$11,M85,I85,CC85,$P$5))</f>
        <v/>
      </c>
      <c r="DY85" s="935" t="str" cm="1">
        <f t="array" ref="DY85">IF($A$27=1,"",[1]!ACAELE_DIAMECAISLA(BB85,H85,I85,CC85,$P$5))</f>
        <v/>
      </c>
      <c r="DZ85" s="935" t="str" cm="1">
        <f t="array" ref="DZ85">IF($A$27=1,"",[1]!ACAELE_AREACAISLAMIENTO(BB85,H85,DY85,$P$5))</f>
        <v/>
      </c>
      <c r="EA85" s="935" t="str" cm="1">
        <f t="array" ref="EA85">[1]!ACAELE_CAIDAVOLTSFINAL2(BB85,Q85,H85,F85,$A$27,BU85,T85,DW85,DA85,DX85,DB85)</f>
        <v/>
      </c>
      <c r="EB85" s="935" t="str" cm="1">
        <f t="array" ref="EB85">IF($A$27=1,"",[1]!ACAELE_AREACONDPTE(BB85,H85,CF85,$P$5))</f>
        <v/>
      </c>
      <c r="EC85" s="936" t="str" cm="1">
        <f t="array" ref="EC85">[1]!ACAELE_AREATOTAL2(H85,$A$27,DY85,S85,G85,T85,DZ85,U85,EB85)</f>
        <v/>
      </c>
      <c r="ED85" s="937" t="str">
        <f t="shared" si="59"/>
        <v/>
      </c>
      <c r="EE85" s="938" t="str">
        <f t="shared" si="60"/>
        <v/>
      </c>
      <c r="EF85" s="939" t="str">
        <f t="shared" si="61"/>
        <v/>
      </c>
      <c r="EG85" s="940">
        <f t="shared" si="62"/>
        <v>0</v>
      </c>
      <c r="EH85" s="941" t="str">
        <f t="shared" si="63"/>
        <v/>
      </c>
      <c r="EI85" s="942">
        <f t="shared" si="64"/>
        <v>30</v>
      </c>
      <c r="EJ85" s="943" t="str">
        <f t="shared" si="11"/>
        <v/>
      </c>
      <c r="EK85" s="943" t="str">
        <f t="shared" si="12"/>
        <v/>
      </c>
      <c r="EL85" s="943" t="str">
        <f t="shared" si="13"/>
        <v/>
      </c>
      <c r="EM85" s="944" t="str">
        <f t="shared" si="14"/>
        <v/>
      </c>
      <c r="EN85" s="945" t="str" cm="1">
        <f t="array" ref="EN85">[1]!ACAELE_MOTOR(H85,X85:BA85,$X$26:$BA$26,$P$5)</f>
        <v/>
      </c>
      <c r="EO85" s="550" t="str">
        <f t="shared" si="65"/>
        <v/>
      </c>
      <c r="EP85" s="431" t="s">
        <v>1214</v>
      </c>
      <c r="EQ85" s="434" t="str">
        <f t="shared" ca="1" si="66"/>
        <v/>
      </c>
      <c r="ER85" s="32"/>
      <c r="ES85" s="32"/>
      <c r="ET85" s="3" t="str">
        <f t="shared" si="67"/>
        <v/>
      </c>
      <c r="EU85" s="3" t="str">
        <f t="shared" si="68"/>
        <v/>
      </c>
      <c r="EV85" s="3" t="str">
        <f t="shared" si="69"/>
        <v/>
      </c>
      <c r="EW85" s="3" t="str">
        <f t="shared" si="70"/>
        <v/>
      </c>
      <c r="EX85" s="3" t="str">
        <f t="shared" si="71"/>
        <v/>
      </c>
      <c r="EY85" s="3" t="str">
        <f t="shared" si="72"/>
        <v/>
      </c>
      <c r="EZ85" s="3" t="str">
        <f t="shared" si="73"/>
        <v/>
      </c>
      <c r="FA85" s="3" t="str">
        <f t="shared" si="74"/>
        <v/>
      </c>
      <c r="FB85" s="3" t="str">
        <f t="shared" si="75"/>
        <v/>
      </c>
      <c r="FC85" s="3">
        <f t="shared" si="76"/>
        <v>0</v>
      </c>
      <c r="FD85" s="32"/>
      <c r="FE85" s="32"/>
      <c r="FF85" s="103">
        <v>1</v>
      </c>
      <c r="FG85" s="32"/>
      <c r="FH85" s="103"/>
      <c r="FI85" s="32"/>
      <c r="FJ85" s="103"/>
      <c r="FK85" s="3">
        <f t="shared" si="77"/>
        <v>0</v>
      </c>
      <c r="FL85" s="3" t="str" cm="1">
        <f t="array" aca="1" ref="FL85" ca="1">[1]!acaele_DIB_UNIFILAR(BB85,H85,F85,COUNTIF(X85:BA85,1),BW85)</f>
        <v/>
      </c>
      <c r="FM85" s="3" t="str">
        <f>IF(DATOS!$T$4=0,"",IF(DATOS!$T$4=1," (QO)",IF(DATOS!$T$4=2," (QOB)",IF(DATOS!$T$4=3," (EDB)",IF(DATOS!$T$4=4,IF(BW85&lt;151," (H"&amp;FN85&amp;")",IF(BW85&lt;251," (J"&amp;FN85&amp;")", IF(BW85&lt;401," (LA)",IF(BW85&lt;801," (MG)",IF(BW85&lt;5001," (POWERPACK)",""))))))))))</f>
        <v xml:space="preserve"> (QOB)</v>
      </c>
      <c r="FN85" s="3" t="str">
        <f t="shared" si="78"/>
        <v/>
      </c>
      <c r="FO85" s="146"/>
      <c r="FP85" s="146"/>
      <c r="FQ85" s="146"/>
      <c r="FR85" s="146"/>
      <c r="FS85" s="146"/>
      <c r="FT85" s="146"/>
      <c r="FU85" s="146"/>
      <c r="FV85" s="146"/>
      <c r="FW85" s="146"/>
      <c r="FX85" s="146" t="str">
        <f t="shared" si="9"/>
        <v/>
      </c>
      <c r="FY85" s="736"/>
      <c r="FZ85" s="740"/>
      <c r="GA85" s="740"/>
      <c r="GB85" s="717"/>
      <c r="GC85" s="838"/>
      <c r="GD85" s="736"/>
      <c r="GE85" s="146"/>
      <c r="GF85" s="506"/>
      <c r="GG85" s="506"/>
      <c r="GH85" s="506"/>
      <c r="GI85" s="506"/>
      <c r="GJ85" s="506"/>
      <c r="GM85" s="3">
        <f>IF(OR(GN85&gt;TABLERO!$M$19,GO85&gt;TABLERO!$M$19,GP85&gt;TABLERO!$M$19,B85=0,C85=0,D85=0),2,CUADROACAD!A85)</f>
        <v>2</v>
      </c>
      <c r="GN85" s="3">
        <f>IF(TABLERO!B85="",0,TABLERO!B85)</f>
        <v>55</v>
      </c>
      <c r="GO85" s="3">
        <f>IF(TABLERO!C85="",GN85,TABLERO!C85)</f>
        <v>55</v>
      </c>
      <c r="GP85" s="3">
        <f>IF(TABLERO!D85="",GN85,TABLERO!D85)</f>
        <v>55</v>
      </c>
    </row>
    <row r="86" spans="1:198" s="3" customFormat="1">
      <c r="A86" s="706"/>
      <c r="B86" s="869">
        <v>56</v>
      </c>
      <c r="C86" s="870" t="str">
        <f t="shared" si="15"/>
        <v/>
      </c>
      <c r="D86" s="870" t="str">
        <f t="shared" si="16"/>
        <v/>
      </c>
      <c r="E86" s="871"/>
      <c r="F86" s="872">
        <v>1</v>
      </c>
      <c r="G86" s="716">
        <f t="shared" si="17"/>
        <v>2</v>
      </c>
      <c r="H86" s="873" t="s">
        <v>12</v>
      </c>
      <c r="I86" s="874" t="str">
        <f t="shared" si="18"/>
        <v>CU</v>
      </c>
      <c r="J86" s="875">
        <v>6</v>
      </c>
      <c r="K86" s="876">
        <v>10</v>
      </c>
      <c r="L86" s="876">
        <v>3</v>
      </c>
      <c r="M86" s="877">
        <v>1</v>
      </c>
      <c r="N86" s="877">
        <v>1</v>
      </c>
      <c r="O86" s="878">
        <v>1</v>
      </c>
      <c r="P86" s="879">
        <v>4</v>
      </c>
      <c r="Q86" s="880">
        <v>1</v>
      </c>
      <c r="R86" s="880">
        <v>1</v>
      </c>
      <c r="S86" s="881">
        <v>1</v>
      </c>
      <c r="T86" s="881">
        <v>1</v>
      </c>
      <c r="U86" s="882">
        <v>1</v>
      </c>
      <c r="V86" s="883">
        <v>1</v>
      </c>
      <c r="W86" s="874" t="str">
        <f t="shared" si="19"/>
        <v>SI</v>
      </c>
      <c r="X86" s="884"/>
      <c r="Y86" s="885"/>
      <c r="Z86" s="885"/>
      <c r="AA86" s="885"/>
      <c r="AB86" s="885"/>
      <c r="AC86" s="885"/>
      <c r="AD86" s="885"/>
      <c r="AE86" s="885"/>
      <c r="AF86" s="885"/>
      <c r="AG86" s="885"/>
      <c r="AH86" s="885"/>
      <c r="AI86" s="885"/>
      <c r="AJ86" s="885"/>
      <c r="AK86" s="885"/>
      <c r="AL86" s="885"/>
      <c r="AM86" s="885"/>
      <c r="AN86" s="885"/>
      <c r="AO86" s="885"/>
      <c r="AP86" s="885"/>
      <c r="AQ86" s="885"/>
      <c r="AR86" s="885"/>
      <c r="AS86" s="885"/>
      <c r="AT86" s="885"/>
      <c r="AU86" s="885"/>
      <c r="AV86" s="885"/>
      <c r="AW86" s="885"/>
      <c r="AX86" s="885"/>
      <c r="AY86" s="885"/>
      <c r="AZ86" s="885"/>
      <c r="BA86" s="886"/>
      <c r="BB86" s="887">
        <f t="shared" si="20"/>
        <v>0</v>
      </c>
      <c r="BC86" s="888" t="str">
        <f t="shared" si="21"/>
        <v/>
      </c>
      <c r="BD86" s="889" t="str">
        <f t="shared" si="22"/>
        <v/>
      </c>
      <c r="BE86" s="889" t="str">
        <f t="shared" si="23"/>
        <v/>
      </c>
      <c r="BF86" s="889" t="str">
        <f t="shared" si="24"/>
        <v/>
      </c>
      <c r="BG86" s="889" t="str">
        <f t="shared" si="25"/>
        <v/>
      </c>
      <c r="BH86" s="889" t="str">
        <f t="shared" si="26"/>
        <v/>
      </c>
      <c r="BI86" s="890" t="str">
        <f t="shared" si="27"/>
        <v/>
      </c>
      <c r="BJ86" s="891" t="str">
        <f t="shared" si="28"/>
        <v/>
      </c>
      <c r="BK86" s="892" t="str">
        <f t="shared" si="29"/>
        <v/>
      </c>
      <c r="BL86" s="892" t="str">
        <f t="shared" si="30"/>
        <v/>
      </c>
      <c r="BM86" s="892" t="str">
        <f t="shared" si="31"/>
        <v/>
      </c>
      <c r="BN86" s="892" t="str">
        <f t="shared" si="32"/>
        <v/>
      </c>
      <c r="BO86" s="892" t="str">
        <f t="shared" si="33"/>
        <v/>
      </c>
      <c r="BP86" s="893" t="str">
        <f t="shared" si="34"/>
        <v/>
      </c>
      <c r="BQ86" s="894" t="str">
        <f t="shared" si="35"/>
        <v/>
      </c>
      <c r="BR86" s="895" t="str">
        <f t="shared" si="10"/>
        <v/>
      </c>
      <c r="BS86" s="896" t="str">
        <f t="shared" si="36"/>
        <v/>
      </c>
      <c r="BT86" s="897" t="str">
        <f t="shared" si="37"/>
        <v/>
      </c>
      <c r="BU86" s="231" t="str">
        <f t="shared" si="38"/>
        <v/>
      </c>
      <c r="BV86" s="898">
        <f t="shared" si="39"/>
        <v>127</v>
      </c>
      <c r="BW86" s="845" t="str">
        <f t="shared" si="40"/>
        <v/>
      </c>
      <c r="BX86" s="899" t="str">
        <f t="shared" si="41"/>
        <v/>
      </c>
      <c r="BY86" s="900" t="str" cm="1">
        <f t="array" ref="BY86">[1]!ACAELE_CAPACIDADCABLE(BB86,H86,I86,M86,BX86,N86)</f>
        <v/>
      </c>
      <c r="BZ86" s="900" t="str">
        <f t="shared" si="42"/>
        <v/>
      </c>
      <c r="CA86" s="901" t="str" cm="1">
        <f t="array" ref="CA86">[1]!ACAELE_cabledetierra(BZ86,$N$9,I86,BW86,BX86,G86)</f>
        <v/>
      </c>
      <c r="CB86" s="902" t="str" cm="1">
        <f t="array" ref="CB86">[1]!ACAELE_TAMATUBERIA(BX86,DU86,$N$9,M86,I86)</f>
        <v/>
      </c>
      <c r="CC86" s="846" t="str">
        <f t="shared" si="43"/>
        <v/>
      </c>
      <c r="CD86" s="903" t="str" cm="1">
        <f t="array" ref="CD86">[1]!ACAELE_CAPACIDADCABLE(BB86,H86,I86,M86,CC86,N86)</f>
        <v/>
      </c>
      <c r="CE86" s="903" t="str">
        <f t="shared" si="44"/>
        <v/>
      </c>
      <c r="CF86" s="904" t="str" cm="1">
        <f t="array" ref="CF86">[1]!ACAELE_cabledetierra(CE86,$N$9,I86,BW86,CC86,G86)</f>
        <v/>
      </c>
      <c r="CG86" s="905" t="str" cm="1">
        <f t="array" ref="CG86">[1]!ACAELE_TAMATUBERIA(CC86,EC86,$N$9,S86,I86)</f>
        <v/>
      </c>
      <c r="CH86" s="906" t="str">
        <f t="shared" si="45"/>
        <v/>
      </c>
      <c r="CI86" s="510" t="str">
        <f t="shared" si="46"/>
        <v>-</v>
      </c>
      <c r="CJ86" s="511" t="str">
        <f t="shared" si="47"/>
        <v>-</v>
      </c>
      <c r="CK86" s="512" t="str">
        <f t="shared" si="48"/>
        <v>-</v>
      </c>
      <c r="CL86" s="907" t="str">
        <f t="shared" si="49"/>
        <v>-</v>
      </c>
      <c r="CM86" s="908" t="str">
        <f t="shared" si="50"/>
        <v>-</v>
      </c>
      <c r="CN86" s="909" t="str">
        <f t="shared" si="51"/>
        <v>-</v>
      </c>
      <c r="CO86" s="910" t="str" cm="1">
        <f t="array" ref="CO86">[1]!ACAELE_fasecorresponde(B86,$F$10,$P$5)</f>
        <v>A</v>
      </c>
      <c r="CP86" s="910" t="str" cm="1">
        <f t="array" ref="CP86">[1]!ACAELE_fasecorresponde(C86,$F$10,$P$5)</f>
        <v>-</v>
      </c>
      <c r="CQ86" s="910" t="str" cm="1">
        <f t="array" ref="CQ86">[1]!ACAELE_fasecorresponde(D86,$F$10,$P$5)</f>
        <v>-</v>
      </c>
      <c r="CR86" s="911" t="str">
        <f t="shared" si="52"/>
        <v>C</v>
      </c>
      <c r="CS86" s="912">
        <f t="shared" si="53"/>
        <v>1</v>
      </c>
      <c r="CT86" s="913">
        <f t="shared" si="54"/>
        <v>0.8</v>
      </c>
      <c r="CU86" s="914" t="str">
        <f t="shared" si="55"/>
        <v/>
      </c>
      <c r="CV86" s="915">
        <f t="shared" si="56"/>
        <v>0</v>
      </c>
      <c r="CW86" s="916" t="str" cm="1">
        <f t="array" ref="CW86">[1]!ACAELE_Inominal(BB86,F86,BT86,BV86,DA86,G86,V86,$P$5)</f>
        <v/>
      </c>
      <c r="CX86" s="917" t="str" cm="1">
        <f t="array" ref="CX86">[1]!ACAELE_Disparocalculado(BB86,H86,DL86,$N$21,$M$21,$O$21,BV86,$P$5)</f>
        <v/>
      </c>
      <c r="CY86" s="918" t="str" cm="1">
        <f t="array" ref="CY86">[1]!ACAELE_Icorregida($A$27,H86,BB86,BU86,CS86,CT86,$P$5)</f>
        <v/>
      </c>
      <c r="CZ86" s="919" t="str" cm="1">
        <f t="array" ref="CZ86">[1]!ACAELE_Icorregida2($A$27,H86,BB86,BU86,CS86,CU86,$P$5)</f>
        <v/>
      </c>
      <c r="DA86" s="920">
        <f t="shared" si="57"/>
        <v>0.9</v>
      </c>
      <c r="DB86" s="921">
        <f t="shared" si="58"/>
        <v>0.43588989435406728</v>
      </c>
      <c r="DC86" s="922" t="str" cm="1">
        <f t="array" ref="DC86">[1]!ACAELE_CONDPORTCORRIENTE(H86,BB86,I86,M86,CY86,CZ86,N86,$P$5)</f>
        <v/>
      </c>
      <c r="DD86" s="923" t="str" cm="1">
        <f t="array" ref="DD86">[1]!ACAELE_CAPACONDCORRIENTE(BB86,H86,I86,M86,CY86,CZ86,$P$5)</f>
        <v/>
      </c>
      <c r="DE86" s="923" t="str" cm="1">
        <f t="array" ref="DE86">[1]!ACAELE_CAPACIDADCABLE(BB86,H86,I86,M86,DC86,N86,$P$5)</f>
        <v/>
      </c>
      <c r="DF86" s="924" t="str" cm="1">
        <f t="array" ref="DF86">[1]!ACAELE_encontrarcaida(BB86,H86,L86,BV86,F86,BU86,N86,K86)</f>
        <v/>
      </c>
      <c r="DG86" s="925" t="str" cm="1">
        <f t="array" ref="DG86">[1]!ACAELE_Cablecaida(BB86,H86,M86,I86,DF86)</f>
        <v/>
      </c>
      <c r="DH86" s="918" t="str" cm="1">
        <f t="array" ref="DH86">[1]!ACAELE_CAPACIDADCABLE(BB86,H86,I86,M86,DG86,N86,$P$5)</f>
        <v/>
      </c>
      <c r="DI86" s="926" t="str" cm="1">
        <f t="array" ref="DI86">IF($A$27=1,"",[1]!ACAELE_encontrarcaida(BB86,H86,R86,BV86,F86,BU86,T86,Q86,$P$5))</f>
        <v/>
      </c>
      <c r="DJ86" s="914" t="str" cm="1">
        <f t="array" ref="DJ86">IF($A$27=1,"",[1]!ACAELE_Cablecaida2(BB86,Q86,H86,S86,I86,DI86,$P$5))</f>
        <v/>
      </c>
      <c r="DK86" s="919" t="str" cm="1">
        <f t="array" ref="DK86">[1]!ACAELE_CAPACIDADCABLE(BB86,H86,I86,M86,DJ86,N86,$P$5)</f>
        <v/>
      </c>
      <c r="DL86" s="927" t="str" cm="1">
        <f t="array" ref="DL86">[1]!acaele_Iproteccion(BB86,H86,BU86,$F$20,$G$20,$F$19,$G$19,$H$20,$H$19,$P$5)</f>
        <v/>
      </c>
      <c r="DM86" s="928" cm="1">
        <f t="array" ref="DM86">[1]!acaele_ProtCalculada(CX86,H86,BT86,BW86,$G$21,$F$21,$H$21,$P$5)</f>
        <v>0</v>
      </c>
      <c r="DN86" s="929" t="str" cm="1">
        <f t="array" ref="DN86">[1]!ACAELE_cablecalculo(BB86,H86,I86,M86,EF86,$P$5)</f>
        <v/>
      </c>
      <c r="DO86" s="930" t="str" cm="1">
        <f t="array" ref="DO86">[1]!ACAELE_RESISTENCIA(BB86,H86,M86,I86,BX86, CW86,$P$5)</f>
        <v/>
      </c>
      <c r="DP86" s="931" t="str" cm="1">
        <f t="array" ref="DP86">[1]!ACAELE_REACTANCIA(BB86,H86,$F$11,M86,I86,BX86,$P$5)</f>
        <v/>
      </c>
      <c r="DQ86" s="918" t="str" cm="1">
        <f t="array" ref="DQ86">[1]!ACAELE_DIAMECAISLA(BB86,H86,I86,BX86,$P$5)</f>
        <v/>
      </c>
      <c r="DR86" s="918" t="str" cm="1">
        <f t="array" ref="DR86">[1]!ACAELE_AREACAISLAMIENTO(BB86,H86,DQ86,$P$5)</f>
        <v/>
      </c>
      <c r="DS86" s="918" t="str" cm="1">
        <f t="array" ref="DS86">[1]!ACAELE_CAIDAVOLTSFINAL(BB86,H86,F86,K86,BU86,N86,DO86,DA86,DP86,DB86,$P$5)</f>
        <v/>
      </c>
      <c r="DT86" s="918" t="str" cm="1">
        <f t="array" ref="DT86">[1]!ACAELE_AREACONDPTE(BB86,H86,CA86,$P$5)</f>
        <v/>
      </c>
      <c r="DU86" s="932" t="str" cm="1">
        <f t="array" ref="DU86">[1]!ACAELE_AREATOTAL(BZ86,M86,EO86,N86,DQ86,G86,DR86,DT86,N$20,$P$5)</f>
        <v/>
      </c>
      <c r="DV86" s="933" t="str" cm="1">
        <f t="array" ref="DV86">IF($A$27=1,"",[1]!ACAELE_cablecalculo(BB86,H86,I86,M86,EG86,$P$5))</f>
        <v/>
      </c>
      <c r="DW86" s="934" t="str" cm="1">
        <f t="array" ref="DW86">IF($A$27=1,"",[1]!ACAELE_RESISTENCIA(BB86,H86,M86,I86,CC86,CW86,$P$5))</f>
        <v/>
      </c>
      <c r="DX86" s="926" t="str" cm="1">
        <f t="array" ref="DX86">IF($A$27=1,"",[1]!ACAELE_REACTANCIA(BB86,H86,$F$11,M86,I86,CC86,$P$5))</f>
        <v/>
      </c>
      <c r="DY86" s="935" t="str" cm="1">
        <f t="array" ref="DY86">IF($A$27=1,"",[1]!ACAELE_DIAMECAISLA(BB86,H86,I86,CC86,$P$5))</f>
        <v/>
      </c>
      <c r="DZ86" s="935" t="str" cm="1">
        <f t="array" ref="DZ86">IF($A$27=1,"",[1]!ACAELE_AREACAISLAMIENTO(BB86,H86,DY86,$P$5))</f>
        <v/>
      </c>
      <c r="EA86" s="935" t="str" cm="1">
        <f t="array" ref="EA86">[1]!ACAELE_CAIDAVOLTSFINAL2(BB86,Q86,H86,F86,$A$27,BU86,T86,DW86,DA86,DX86,DB86)</f>
        <v/>
      </c>
      <c r="EB86" s="935" t="str" cm="1">
        <f t="array" ref="EB86">IF($A$27=1,"",[1]!ACAELE_AREACONDPTE(BB86,H86,CF86,$P$5))</f>
        <v/>
      </c>
      <c r="EC86" s="936" t="str" cm="1">
        <f t="array" ref="EC86">[1]!ACAELE_AREATOTAL2(H86,$A$27,DY86,S86,G86,T86,DZ86,U86,EB86)</f>
        <v/>
      </c>
      <c r="ED86" s="937" t="str">
        <f t="shared" si="59"/>
        <v/>
      </c>
      <c r="EE86" s="938" t="str">
        <f t="shared" si="60"/>
        <v/>
      </c>
      <c r="EF86" s="939" t="str">
        <f t="shared" si="61"/>
        <v/>
      </c>
      <c r="EG86" s="940">
        <f t="shared" si="62"/>
        <v>0</v>
      </c>
      <c r="EH86" s="941" t="str">
        <f t="shared" si="63"/>
        <v/>
      </c>
      <c r="EI86" s="942">
        <f t="shared" si="64"/>
        <v>30</v>
      </c>
      <c r="EJ86" s="943" t="str">
        <f t="shared" si="11"/>
        <v/>
      </c>
      <c r="EK86" s="943" t="str">
        <f t="shared" si="12"/>
        <v/>
      </c>
      <c r="EL86" s="943" t="str">
        <f t="shared" si="13"/>
        <v/>
      </c>
      <c r="EM86" s="944" t="str">
        <f t="shared" si="14"/>
        <v/>
      </c>
      <c r="EN86" s="945" t="str" cm="1">
        <f t="array" ref="EN86">[1]!ACAELE_MOTOR(H86,X86:BA86,$X$26:$BA$26,$P$5)</f>
        <v/>
      </c>
      <c r="EO86" s="550" t="str">
        <f t="shared" si="65"/>
        <v/>
      </c>
      <c r="EP86" s="431" t="s">
        <v>1214</v>
      </c>
      <c r="EQ86" s="434" t="str">
        <f t="shared" ca="1" si="66"/>
        <v/>
      </c>
      <c r="ER86" s="32"/>
      <c r="ES86" s="32"/>
      <c r="ET86" s="3" t="str">
        <f t="shared" si="67"/>
        <v/>
      </c>
      <c r="EU86" s="3" t="str">
        <f t="shared" si="68"/>
        <v/>
      </c>
      <c r="EV86" s="3" t="str">
        <f t="shared" si="69"/>
        <v/>
      </c>
      <c r="EW86" s="3" t="str">
        <f t="shared" si="70"/>
        <v/>
      </c>
      <c r="EX86" s="3" t="str">
        <f t="shared" si="71"/>
        <v/>
      </c>
      <c r="EY86" s="3" t="str">
        <f t="shared" si="72"/>
        <v/>
      </c>
      <c r="EZ86" s="3" t="str">
        <f t="shared" si="73"/>
        <v/>
      </c>
      <c r="FA86" s="3" t="str">
        <f t="shared" si="74"/>
        <v/>
      </c>
      <c r="FB86" s="3" t="str">
        <f t="shared" si="75"/>
        <v/>
      </c>
      <c r="FC86" s="3">
        <f t="shared" si="76"/>
        <v>0</v>
      </c>
      <c r="FD86" s="32"/>
      <c r="FE86" s="32"/>
      <c r="FF86" s="103">
        <v>1</v>
      </c>
      <c r="FG86" s="32"/>
      <c r="FH86" s="103"/>
      <c r="FI86" s="32"/>
      <c r="FJ86" s="103"/>
      <c r="FK86" s="3">
        <f t="shared" si="77"/>
        <v>0</v>
      </c>
      <c r="FL86" s="3" t="str" cm="1">
        <f t="array" aca="1" ref="FL86" ca="1">[1]!acaele_DIB_UNIFILAR(BB86,H86,F86,COUNTIF(X86:BA86,1),BW86)</f>
        <v/>
      </c>
      <c r="FM86" s="3" t="str">
        <f>IF(DATOS!$T$4=0,"",IF(DATOS!$T$4=1," (QO)",IF(DATOS!$T$4=2," (QOB)",IF(DATOS!$T$4=3," (EDB)",IF(DATOS!$T$4=4,IF(BW86&lt;151," (H"&amp;FN86&amp;")",IF(BW86&lt;251," (J"&amp;FN86&amp;")", IF(BW86&lt;401," (LA)",IF(BW86&lt;801," (MG)",IF(BW86&lt;5001," (POWERPACK)",""))))))))))</f>
        <v xml:space="preserve"> (QOB)</v>
      </c>
      <c r="FN86" s="3" t="str">
        <f t="shared" si="78"/>
        <v/>
      </c>
      <c r="FO86" s="146"/>
      <c r="FP86" s="146"/>
      <c r="FQ86" s="146"/>
      <c r="FR86" s="146"/>
      <c r="FS86" s="146"/>
      <c r="FT86" s="146"/>
      <c r="FU86" s="146"/>
      <c r="FV86" s="146"/>
      <c r="FW86" s="146"/>
      <c r="FX86" s="146" t="str">
        <f t="shared" si="9"/>
        <v/>
      </c>
      <c r="FY86" s="736"/>
      <c r="FZ86" s="740"/>
      <c r="GA86" s="740"/>
      <c r="GB86" s="717"/>
      <c r="GC86" s="838"/>
      <c r="GD86" s="736"/>
      <c r="GE86" s="146"/>
      <c r="GF86" s="506"/>
      <c r="GG86" s="506"/>
      <c r="GH86" s="506"/>
      <c r="GI86" s="506"/>
      <c r="GJ86" s="506"/>
      <c r="GM86" s="3">
        <f>IF(OR(GN86&gt;TABLERO!$M$19,GO86&gt;TABLERO!$M$19,GP86&gt;TABLERO!$M$19,B86=0,C86=0,D86=0),2,CUADROACAD!A86)</f>
        <v>2</v>
      </c>
      <c r="GN86" s="3">
        <f>IF(TABLERO!B86="",0,TABLERO!B86)</f>
        <v>56</v>
      </c>
      <c r="GO86" s="3">
        <f>IF(TABLERO!C86="",GN86,TABLERO!C86)</f>
        <v>56</v>
      </c>
      <c r="GP86" s="3">
        <f>IF(TABLERO!D86="",GN86,TABLERO!D86)</f>
        <v>56</v>
      </c>
    </row>
    <row r="87" spans="1:198" s="3" customFormat="1">
      <c r="A87" s="706"/>
      <c r="B87" s="869">
        <v>57</v>
      </c>
      <c r="C87" s="870" t="str">
        <f t="shared" si="15"/>
        <v/>
      </c>
      <c r="D87" s="870" t="str">
        <f t="shared" si="16"/>
        <v/>
      </c>
      <c r="E87" s="871"/>
      <c r="F87" s="872">
        <v>1</v>
      </c>
      <c r="G87" s="716">
        <f t="shared" si="17"/>
        <v>2</v>
      </c>
      <c r="H87" s="873" t="s">
        <v>12</v>
      </c>
      <c r="I87" s="874" t="str">
        <f t="shared" si="18"/>
        <v>CU</v>
      </c>
      <c r="J87" s="875">
        <v>6</v>
      </c>
      <c r="K87" s="876">
        <v>10</v>
      </c>
      <c r="L87" s="876">
        <v>3</v>
      </c>
      <c r="M87" s="877">
        <v>1</v>
      </c>
      <c r="N87" s="877">
        <v>1</v>
      </c>
      <c r="O87" s="878">
        <v>1</v>
      </c>
      <c r="P87" s="879">
        <v>4</v>
      </c>
      <c r="Q87" s="880">
        <v>1</v>
      </c>
      <c r="R87" s="880">
        <v>1</v>
      </c>
      <c r="S87" s="881">
        <v>1</v>
      </c>
      <c r="T87" s="881">
        <v>1</v>
      </c>
      <c r="U87" s="882">
        <v>1</v>
      </c>
      <c r="V87" s="883">
        <v>1</v>
      </c>
      <c r="W87" s="874" t="str">
        <f t="shared" si="19"/>
        <v>SI</v>
      </c>
      <c r="X87" s="884"/>
      <c r="Y87" s="885"/>
      <c r="Z87" s="885"/>
      <c r="AA87" s="885"/>
      <c r="AB87" s="885"/>
      <c r="AC87" s="885"/>
      <c r="AD87" s="885"/>
      <c r="AE87" s="885"/>
      <c r="AF87" s="885"/>
      <c r="AG87" s="885"/>
      <c r="AH87" s="885"/>
      <c r="AI87" s="885"/>
      <c r="AJ87" s="885"/>
      <c r="AK87" s="885"/>
      <c r="AL87" s="885"/>
      <c r="AM87" s="885"/>
      <c r="AN87" s="885"/>
      <c r="AO87" s="885"/>
      <c r="AP87" s="885"/>
      <c r="AQ87" s="885"/>
      <c r="AR87" s="885"/>
      <c r="AS87" s="885"/>
      <c r="AT87" s="885"/>
      <c r="AU87" s="885"/>
      <c r="AV87" s="885"/>
      <c r="AW87" s="885"/>
      <c r="AX87" s="885"/>
      <c r="AY87" s="885"/>
      <c r="AZ87" s="885"/>
      <c r="BA87" s="886"/>
      <c r="BB87" s="887">
        <f t="shared" si="20"/>
        <v>0</v>
      </c>
      <c r="BC87" s="888" t="str">
        <f t="shared" si="21"/>
        <v/>
      </c>
      <c r="BD87" s="889" t="str">
        <f t="shared" si="22"/>
        <v/>
      </c>
      <c r="BE87" s="889" t="str">
        <f t="shared" si="23"/>
        <v/>
      </c>
      <c r="BF87" s="889" t="str">
        <f t="shared" si="24"/>
        <v/>
      </c>
      <c r="BG87" s="889" t="str">
        <f t="shared" si="25"/>
        <v/>
      </c>
      <c r="BH87" s="889" t="str">
        <f t="shared" si="26"/>
        <v/>
      </c>
      <c r="BI87" s="890" t="str">
        <f t="shared" si="27"/>
        <v/>
      </c>
      <c r="BJ87" s="891" t="str">
        <f t="shared" si="28"/>
        <v/>
      </c>
      <c r="BK87" s="892" t="str">
        <f t="shared" si="29"/>
        <v/>
      </c>
      <c r="BL87" s="892" t="str">
        <f t="shared" si="30"/>
        <v/>
      </c>
      <c r="BM87" s="892" t="str">
        <f t="shared" si="31"/>
        <v/>
      </c>
      <c r="BN87" s="892" t="str">
        <f t="shared" si="32"/>
        <v/>
      </c>
      <c r="BO87" s="892" t="str">
        <f t="shared" si="33"/>
        <v/>
      </c>
      <c r="BP87" s="893" t="str">
        <f t="shared" si="34"/>
        <v/>
      </c>
      <c r="BQ87" s="894" t="str">
        <f t="shared" si="35"/>
        <v/>
      </c>
      <c r="BR87" s="895" t="str">
        <f t="shared" si="10"/>
        <v/>
      </c>
      <c r="BS87" s="896" t="str">
        <f t="shared" si="36"/>
        <v/>
      </c>
      <c r="BT87" s="897" t="str">
        <f t="shared" si="37"/>
        <v/>
      </c>
      <c r="BU87" s="231" t="str">
        <f t="shared" si="38"/>
        <v/>
      </c>
      <c r="BV87" s="898">
        <f t="shared" si="39"/>
        <v>127</v>
      </c>
      <c r="BW87" s="845" t="str">
        <f t="shared" si="40"/>
        <v/>
      </c>
      <c r="BX87" s="899" t="str">
        <f t="shared" si="41"/>
        <v/>
      </c>
      <c r="BY87" s="900" t="str" cm="1">
        <f t="array" ref="BY87">[1]!ACAELE_CAPACIDADCABLE(BB87,H87,I87,M87,BX87,N87)</f>
        <v/>
      </c>
      <c r="BZ87" s="900" t="str">
        <f t="shared" si="42"/>
        <v/>
      </c>
      <c r="CA87" s="901" t="str" cm="1">
        <f t="array" ref="CA87">[1]!ACAELE_cabledetierra(BZ87,$N$9,I87,BW87,BX87,G87)</f>
        <v/>
      </c>
      <c r="CB87" s="902" t="str" cm="1">
        <f t="array" ref="CB87">[1]!ACAELE_TAMATUBERIA(BX87,DU87,$N$9,M87,I87)</f>
        <v/>
      </c>
      <c r="CC87" s="846" t="str">
        <f t="shared" si="43"/>
        <v/>
      </c>
      <c r="CD87" s="903" t="str" cm="1">
        <f t="array" ref="CD87">[1]!ACAELE_CAPACIDADCABLE(BB87,H87,I87,M87,CC87,N87)</f>
        <v/>
      </c>
      <c r="CE87" s="903" t="str">
        <f t="shared" si="44"/>
        <v/>
      </c>
      <c r="CF87" s="904" t="str" cm="1">
        <f t="array" ref="CF87">[1]!ACAELE_cabledetierra(CE87,$N$9,I87,BW87,CC87,G87)</f>
        <v/>
      </c>
      <c r="CG87" s="905" t="str" cm="1">
        <f t="array" ref="CG87">[1]!ACAELE_TAMATUBERIA(CC87,EC87,$N$9,S87,I87)</f>
        <v/>
      </c>
      <c r="CH87" s="906" t="str">
        <f t="shared" si="45"/>
        <v/>
      </c>
      <c r="CI87" s="510" t="str">
        <f t="shared" si="46"/>
        <v>-</v>
      </c>
      <c r="CJ87" s="511" t="str">
        <f t="shared" si="47"/>
        <v>-</v>
      </c>
      <c r="CK87" s="512" t="str">
        <f t="shared" si="48"/>
        <v>-</v>
      </c>
      <c r="CL87" s="907" t="str">
        <f t="shared" si="49"/>
        <v>-</v>
      </c>
      <c r="CM87" s="908" t="str">
        <f t="shared" si="50"/>
        <v>-</v>
      </c>
      <c r="CN87" s="909" t="str">
        <f t="shared" si="51"/>
        <v>-</v>
      </c>
      <c r="CO87" s="910" t="str" cm="1">
        <f t="array" ref="CO87">[1]!ACAELE_fasecorresponde(B87,$F$10,$P$5)</f>
        <v>B</v>
      </c>
      <c r="CP87" s="910" t="str" cm="1">
        <f t="array" ref="CP87">[1]!ACAELE_fasecorresponde(C87,$F$10,$P$5)</f>
        <v>-</v>
      </c>
      <c r="CQ87" s="910" t="str" cm="1">
        <f t="array" ref="CQ87">[1]!ACAELE_fasecorresponde(D87,$F$10,$P$5)</f>
        <v>-</v>
      </c>
      <c r="CR87" s="911" t="str">
        <f t="shared" si="52"/>
        <v>C</v>
      </c>
      <c r="CS87" s="912">
        <f t="shared" si="53"/>
        <v>1</v>
      </c>
      <c r="CT87" s="913">
        <f t="shared" si="54"/>
        <v>0.8</v>
      </c>
      <c r="CU87" s="914" t="str">
        <f t="shared" si="55"/>
        <v/>
      </c>
      <c r="CV87" s="915">
        <f t="shared" si="56"/>
        <v>0</v>
      </c>
      <c r="CW87" s="916" t="str" cm="1">
        <f t="array" ref="CW87">[1]!ACAELE_Inominal(BB87,F87,BT87,BV87,DA87,G87,V87,$P$5)</f>
        <v/>
      </c>
      <c r="CX87" s="917" t="str" cm="1">
        <f t="array" ref="CX87">[1]!ACAELE_Disparocalculado(BB87,H87,DL87,$N$21,$M$21,$O$21,BV87,$P$5)</f>
        <v/>
      </c>
      <c r="CY87" s="918" t="str" cm="1">
        <f t="array" ref="CY87">[1]!ACAELE_Icorregida($A$27,H87,BB87,BU87,CS87,CT87,$P$5)</f>
        <v/>
      </c>
      <c r="CZ87" s="919" t="str" cm="1">
        <f t="array" ref="CZ87">[1]!ACAELE_Icorregida2($A$27,H87,BB87,BU87,CS87,CU87,$P$5)</f>
        <v/>
      </c>
      <c r="DA87" s="920">
        <f t="shared" si="57"/>
        <v>0.9</v>
      </c>
      <c r="DB87" s="921">
        <f t="shared" si="58"/>
        <v>0.43588989435406728</v>
      </c>
      <c r="DC87" s="922" t="str" cm="1">
        <f t="array" ref="DC87">[1]!ACAELE_CONDPORTCORRIENTE(H87,BB87,I87,M87,CY87,CZ87,N87,$P$5)</f>
        <v/>
      </c>
      <c r="DD87" s="923" t="str" cm="1">
        <f t="array" ref="DD87">[1]!ACAELE_CAPACONDCORRIENTE(BB87,H87,I87,M87,CY87,CZ87,$P$5)</f>
        <v/>
      </c>
      <c r="DE87" s="923" t="str" cm="1">
        <f t="array" ref="DE87">[1]!ACAELE_CAPACIDADCABLE(BB87,H87,I87,M87,DC87,N87,$P$5)</f>
        <v/>
      </c>
      <c r="DF87" s="924" t="str" cm="1">
        <f t="array" ref="DF87">[1]!ACAELE_encontrarcaida(BB87,H87,L87,BV87,F87,BU87,N87,K87)</f>
        <v/>
      </c>
      <c r="DG87" s="925" t="str" cm="1">
        <f t="array" ref="DG87">[1]!ACAELE_Cablecaida(BB87,H87,M87,I87,DF87)</f>
        <v/>
      </c>
      <c r="DH87" s="918" t="str" cm="1">
        <f t="array" ref="DH87">[1]!ACAELE_CAPACIDADCABLE(BB87,H87,I87,M87,DG87,N87,$P$5)</f>
        <v/>
      </c>
      <c r="DI87" s="926" t="str" cm="1">
        <f t="array" ref="DI87">IF($A$27=1,"",[1]!ACAELE_encontrarcaida(BB87,H87,R87,BV87,F87,BU87,T87,Q87,$P$5))</f>
        <v/>
      </c>
      <c r="DJ87" s="914" t="str" cm="1">
        <f t="array" ref="DJ87">IF($A$27=1,"",[1]!ACAELE_Cablecaida2(BB87,Q87,H87,S87,I87,DI87,$P$5))</f>
        <v/>
      </c>
      <c r="DK87" s="919" t="str" cm="1">
        <f t="array" ref="DK87">[1]!ACAELE_CAPACIDADCABLE(BB87,H87,I87,M87,DJ87,N87,$P$5)</f>
        <v/>
      </c>
      <c r="DL87" s="927" t="str" cm="1">
        <f t="array" ref="DL87">[1]!acaele_Iproteccion(BB87,H87,BU87,$F$20,$G$20,$F$19,$G$19,$H$20,$H$19,$P$5)</f>
        <v/>
      </c>
      <c r="DM87" s="928" cm="1">
        <f t="array" ref="DM87">[1]!acaele_ProtCalculada(CX87,H87,BT87,BW87,$G$21,$F$21,$H$21,$P$5)</f>
        <v>0</v>
      </c>
      <c r="DN87" s="929" t="str" cm="1">
        <f t="array" ref="DN87">[1]!ACAELE_cablecalculo(BB87,H87,I87,M87,EF87,$P$5)</f>
        <v/>
      </c>
      <c r="DO87" s="930" t="str" cm="1">
        <f t="array" ref="DO87">[1]!ACAELE_RESISTENCIA(BB87,H87,M87,I87,BX87, CW87,$P$5)</f>
        <v/>
      </c>
      <c r="DP87" s="931" t="str" cm="1">
        <f t="array" ref="DP87">[1]!ACAELE_REACTANCIA(BB87,H87,$F$11,M87,I87,BX87,$P$5)</f>
        <v/>
      </c>
      <c r="DQ87" s="918" t="str" cm="1">
        <f t="array" ref="DQ87">[1]!ACAELE_DIAMECAISLA(BB87,H87,I87,BX87,$P$5)</f>
        <v/>
      </c>
      <c r="DR87" s="918" t="str" cm="1">
        <f t="array" ref="DR87">[1]!ACAELE_AREACAISLAMIENTO(BB87,H87,DQ87,$P$5)</f>
        <v/>
      </c>
      <c r="DS87" s="918" t="str" cm="1">
        <f t="array" ref="DS87">[1]!ACAELE_CAIDAVOLTSFINAL(BB87,H87,F87,K87,BU87,N87,DO87,DA87,DP87,DB87,$P$5)</f>
        <v/>
      </c>
      <c r="DT87" s="918" t="str" cm="1">
        <f t="array" ref="DT87">[1]!ACAELE_AREACONDPTE(BB87,H87,CA87,$P$5)</f>
        <v/>
      </c>
      <c r="DU87" s="932" t="str" cm="1">
        <f t="array" ref="DU87">[1]!ACAELE_AREATOTAL(BZ87,M87,EO87,N87,DQ87,G87,DR87,DT87,N$20,$P$5)</f>
        <v/>
      </c>
      <c r="DV87" s="933" t="str" cm="1">
        <f t="array" ref="DV87">IF($A$27=1,"",[1]!ACAELE_cablecalculo(BB87,H87,I87,M87,EG87,$P$5))</f>
        <v/>
      </c>
      <c r="DW87" s="934" t="str" cm="1">
        <f t="array" ref="DW87">IF($A$27=1,"",[1]!ACAELE_RESISTENCIA(BB87,H87,M87,I87,CC87,CW87,$P$5))</f>
        <v/>
      </c>
      <c r="DX87" s="926" t="str" cm="1">
        <f t="array" ref="DX87">IF($A$27=1,"",[1]!ACAELE_REACTANCIA(BB87,H87,$F$11,M87,I87,CC87,$P$5))</f>
        <v/>
      </c>
      <c r="DY87" s="935" t="str" cm="1">
        <f t="array" ref="DY87">IF($A$27=1,"",[1]!ACAELE_DIAMECAISLA(BB87,H87,I87,CC87,$P$5))</f>
        <v/>
      </c>
      <c r="DZ87" s="935" t="str" cm="1">
        <f t="array" ref="DZ87">IF($A$27=1,"",[1]!ACAELE_AREACAISLAMIENTO(BB87,H87,DY87,$P$5))</f>
        <v/>
      </c>
      <c r="EA87" s="935" t="str" cm="1">
        <f t="array" ref="EA87">[1]!ACAELE_CAIDAVOLTSFINAL2(BB87,Q87,H87,F87,$A$27,BU87,T87,DW87,DA87,DX87,DB87)</f>
        <v/>
      </c>
      <c r="EB87" s="935" t="str" cm="1">
        <f t="array" ref="EB87">IF($A$27=1,"",[1]!ACAELE_AREACONDPTE(BB87,H87,CF87,$P$5))</f>
        <v/>
      </c>
      <c r="EC87" s="936" t="str" cm="1">
        <f t="array" ref="EC87">[1]!ACAELE_AREATOTAL2(H87,$A$27,DY87,S87,G87,T87,DZ87,U87,EB87)</f>
        <v/>
      </c>
      <c r="ED87" s="937" t="str">
        <f t="shared" si="59"/>
        <v/>
      </c>
      <c r="EE87" s="938" t="str">
        <f t="shared" si="60"/>
        <v/>
      </c>
      <c r="EF87" s="939" t="str">
        <f t="shared" si="61"/>
        <v/>
      </c>
      <c r="EG87" s="940">
        <f t="shared" si="62"/>
        <v>0</v>
      </c>
      <c r="EH87" s="941" t="str">
        <f t="shared" si="63"/>
        <v/>
      </c>
      <c r="EI87" s="942">
        <f t="shared" si="64"/>
        <v>30</v>
      </c>
      <c r="EJ87" s="943" t="str">
        <f t="shared" si="11"/>
        <v/>
      </c>
      <c r="EK87" s="943" t="str">
        <f t="shared" si="12"/>
        <v/>
      </c>
      <c r="EL87" s="943" t="str">
        <f t="shared" si="13"/>
        <v/>
      </c>
      <c r="EM87" s="944" t="str">
        <f t="shared" si="14"/>
        <v/>
      </c>
      <c r="EN87" s="945" t="str" cm="1">
        <f t="array" ref="EN87">[1]!ACAELE_MOTOR(H87,X87:BA87,$X$26:$BA$26,$P$5)</f>
        <v/>
      </c>
      <c r="EO87" s="550" t="str">
        <f t="shared" si="65"/>
        <v/>
      </c>
      <c r="EP87" s="431" t="s">
        <v>1214</v>
      </c>
      <c r="EQ87" s="434" t="str">
        <f t="shared" ca="1" si="66"/>
        <v/>
      </c>
      <c r="ER87" s="32"/>
      <c r="ES87" s="32"/>
      <c r="ET87" s="3" t="str">
        <f t="shared" si="67"/>
        <v/>
      </c>
      <c r="EU87" s="3" t="str">
        <f t="shared" si="68"/>
        <v/>
      </c>
      <c r="EV87" s="3" t="str">
        <f t="shared" si="69"/>
        <v/>
      </c>
      <c r="EW87" s="3" t="str">
        <f t="shared" si="70"/>
        <v/>
      </c>
      <c r="EX87" s="3" t="str">
        <f t="shared" si="71"/>
        <v/>
      </c>
      <c r="EY87" s="3" t="str">
        <f t="shared" si="72"/>
        <v/>
      </c>
      <c r="EZ87" s="3" t="str">
        <f t="shared" si="73"/>
        <v/>
      </c>
      <c r="FA87" s="3" t="str">
        <f t="shared" si="74"/>
        <v/>
      </c>
      <c r="FB87" s="3" t="str">
        <f t="shared" si="75"/>
        <v/>
      </c>
      <c r="FC87" s="3">
        <f t="shared" si="76"/>
        <v>0</v>
      </c>
      <c r="FD87" s="32"/>
      <c r="FE87" s="32"/>
      <c r="FF87" s="103">
        <v>1</v>
      </c>
      <c r="FG87" s="32"/>
      <c r="FH87" s="103"/>
      <c r="FI87" s="32"/>
      <c r="FJ87" s="103"/>
      <c r="FK87" s="3">
        <f t="shared" si="77"/>
        <v>0</v>
      </c>
      <c r="FL87" s="3" t="str" cm="1">
        <f t="array" aca="1" ref="FL87" ca="1">[1]!acaele_DIB_UNIFILAR(BB87,H87,F87,COUNTIF(X87:BA87,1),BW87)</f>
        <v/>
      </c>
      <c r="FM87" s="3" t="str">
        <f>IF(DATOS!$T$4=0,"",IF(DATOS!$T$4=1," (QO)",IF(DATOS!$T$4=2," (QOB)",IF(DATOS!$T$4=3," (EDB)",IF(DATOS!$T$4=4,IF(BW87&lt;151," (H"&amp;FN87&amp;")",IF(BW87&lt;251," (J"&amp;FN87&amp;")", IF(BW87&lt;401," (LA)",IF(BW87&lt;801," (MG)",IF(BW87&lt;5001," (POWERPACK)",""))))))))))</f>
        <v xml:space="preserve"> (QOB)</v>
      </c>
      <c r="FN87" s="3" t="str">
        <f t="shared" si="78"/>
        <v/>
      </c>
      <c r="FO87" s="146"/>
      <c r="FP87" s="146"/>
      <c r="FQ87" s="146"/>
      <c r="FR87" s="146"/>
      <c r="FS87" s="146"/>
      <c r="FT87" s="146"/>
      <c r="FU87" s="146"/>
      <c r="FV87" s="146"/>
      <c r="FW87" s="146"/>
      <c r="FX87" s="146" t="str">
        <f t="shared" si="9"/>
        <v/>
      </c>
      <c r="FY87" s="736"/>
      <c r="FZ87" s="740"/>
      <c r="GA87" s="740"/>
      <c r="GB87" s="717"/>
      <c r="GC87" s="838"/>
      <c r="GD87" s="736"/>
      <c r="GE87" s="146"/>
      <c r="GF87" s="506"/>
      <c r="GG87" s="506"/>
      <c r="GH87" s="506"/>
      <c r="GI87" s="506"/>
      <c r="GJ87" s="506"/>
      <c r="GM87" s="3">
        <f>IF(OR(GN87&gt;TABLERO!$M$19,GO87&gt;TABLERO!$M$19,GP87&gt;TABLERO!$M$19,B87=0,C87=0,D87=0),2,CUADROACAD!A87)</f>
        <v>2</v>
      </c>
      <c r="GN87" s="3">
        <f>IF(TABLERO!B87="",0,TABLERO!B87)</f>
        <v>57</v>
      </c>
      <c r="GO87" s="3">
        <f>IF(TABLERO!C87="",GN87,TABLERO!C87)</f>
        <v>57</v>
      </c>
      <c r="GP87" s="3">
        <f>IF(TABLERO!D87="",GN87,TABLERO!D87)</f>
        <v>57</v>
      </c>
    </row>
    <row r="88" spans="1:198" s="3" customFormat="1">
      <c r="A88" s="706"/>
      <c r="B88" s="869">
        <v>58</v>
      </c>
      <c r="C88" s="870" t="str">
        <f t="shared" si="15"/>
        <v/>
      </c>
      <c r="D88" s="870" t="str">
        <f t="shared" si="16"/>
        <v/>
      </c>
      <c r="E88" s="871"/>
      <c r="F88" s="872">
        <v>1</v>
      </c>
      <c r="G88" s="716">
        <f t="shared" si="17"/>
        <v>2</v>
      </c>
      <c r="H88" s="873" t="s">
        <v>12</v>
      </c>
      <c r="I88" s="874" t="str">
        <f t="shared" si="18"/>
        <v>CU</v>
      </c>
      <c r="J88" s="875">
        <v>6</v>
      </c>
      <c r="K88" s="876">
        <v>10</v>
      </c>
      <c r="L88" s="876">
        <v>3</v>
      </c>
      <c r="M88" s="877">
        <v>1</v>
      </c>
      <c r="N88" s="877">
        <v>1</v>
      </c>
      <c r="O88" s="878">
        <v>1</v>
      </c>
      <c r="P88" s="879">
        <v>4</v>
      </c>
      <c r="Q88" s="880">
        <v>1</v>
      </c>
      <c r="R88" s="880">
        <v>1</v>
      </c>
      <c r="S88" s="881">
        <v>1</v>
      </c>
      <c r="T88" s="881">
        <v>1</v>
      </c>
      <c r="U88" s="882">
        <v>1</v>
      </c>
      <c r="V88" s="883">
        <v>1</v>
      </c>
      <c r="W88" s="874" t="str">
        <f t="shared" si="19"/>
        <v>SI</v>
      </c>
      <c r="X88" s="884"/>
      <c r="Y88" s="885"/>
      <c r="Z88" s="885"/>
      <c r="AA88" s="885"/>
      <c r="AB88" s="885"/>
      <c r="AC88" s="885"/>
      <c r="AD88" s="885"/>
      <c r="AE88" s="885"/>
      <c r="AF88" s="885"/>
      <c r="AG88" s="885"/>
      <c r="AH88" s="885"/>
      <c r="AI88" s="885"/>
      <c r="AJ88" s="885"/>
      <c r="AK88" s="885"/>
      <c r="AL88" s="885"/>
      <c r="AM88" s="885"/>
      <c r="AN88" s="885"/>
      <c r="AO88" s="885"/>
      <c r="AP88" s="885"/>
      <c r="AQ88" s="885"/>
      <c r="AR88" s="885"/>
      <c r="AS88" s="885"/>
      <c r="AT88" s="885"/>
      <c r="AU88" s="885"/>
      <c r="AV88" s="885"/>
      <c r="AW88" s="885"/>
      <c r="AX88" s="885"/>
      <c r="AY88" s="885"/>
      <c r="AZ88" s="885"/>
      <c r="BA88" s="886"/>
      <c r="BB88" s="887">
        <f t="shared" si="20"/>
        <v>0</v>
      </c>
      <c r="BC88" s="888" t="str">
        <f t="shared" si="21"/>
        <v/>
      </c>
      <c r="BD88" s="889" t="str">
        <f t="shared" si="22"/>
        <v/>
      </c>
      <c r="BE88" s="889" t="str">
        <f t="shared" si="23"/>
        <v/>
      </c>
      <c r="BF88" s="889" t="str">
        <f t="shared" si="24"/>
        <v/>
      </c>
      <c r="BG88" s="889" t="str">
        <f t="shared" si="25"/>
        <v/>
      </c>
      <c r="BH88" s="889" t="str">
        <f t="shared" si="26"/>
        <v/>
      </c>
      <c r="BI88" s="890" t="str">
        <f t="shared" si="27"/>
        <v/>
      </c>
      <c r="BJ88" s="891" t="str">
        <f t="shared" si="28"/>
        <v/>
      </c>
      <c r="BK88" s="892" t="str">
        <f t="shared" si="29"/>
        <v/>
      </c>
      <c r="BL88" s="892" t="str">
        <f t="shared" si="30"/>
        <v/>
      </c>
      <c r="BM88" s="892" t="str">
        <f t="shared" si="31"/>
        <v/>
      </c>
      <c r="BN88" s="892" t="str">
        <f t="shared" si="32"/>
        <v/>
      </c>
      <c r="BO88" s="892" t="str">
        <f t="shared" si="33"/>
        <v/>
      </c>
      <c r="BP88" s="893" t="str">
        <f t="shared" si="34"/>
        <v/>
      </c>
      <c r="BQ88" s="894" t="str">
        <f t="shared" si="35"/>
        <v/>
      </c>
      <c r="BR88" s="895" t="str">
        <f t="shared" si="10"/>
        <v/>
      </c>
      <c r="BS88" s="896" t="str">
        <f t="shared" si="36"/>
        <v/>
      </c>
      <c r="BT88" s="897" t="str">
        <f t="shared" si="37"/>
        <v/>
      </c>
      <c r="BU88" s="231" t="str">
        <f t="shared" si="38"/>
        <v/>
      </c>
      <c r="BV88" s="898">
        <f t="shared" si="39"/>
        <v>127</v>
      </c>
      <c r="BW88" s="845" t="str">
        <f t="shared" si="40"/>
        <v/>
      </c>
      <c r="BX88" s="899" t="str">
        <f t="shared" si="41"/>
        <v/>
      </c>
      <c r="BY88" s="900" t="str" cm="1">
        <f t="array" ref="BY88">[1]!ACAELE_CAPACIDADCABLE(BB88,H88,I88,M88,BX88,N88)</f>
        <v/>
      </c>
      <c r="BZ88" s="900" t="str">
        <f t="shared" si="42"/>
        <v/>
      </c>
      <c r="CA88" s="901" t="str" cm="1">
        <f t="array" ref="CA88">[1]!ACAELE_cabledetierra(BZ88,$N$9,I88,BW88,BX88,G88)</f>
        <v/>
      </c>
      <c r="CB88" s="902" t="str" cm="1">
        <f t="array" ref="CB88">[1]!ACAELE_TAMATUBERIA(BX88,DU88,$N$9,M88,I88)</f>
        <v/>
      </c>
      <c r="CC88" s="846" t="str">
        <f t="shared" si="43"/>
        <v/>
      </c>
      <c r="CD88" s="903" t="str" cm="1">
        <f t="array" ref="CD88">[1]!ACAELE_CAPACIDADCABLE(BB88,H88,I88,M88,CC88,N88)</f>
        <v/>
      </c>
      <c r="CE88" s="903" t="str">
        <f t="shared" si="44"/>
        <v/>
      </c>
      <c r="CF88" s="904" t="str" cm="1">
        <f t="array" ref="CF88">[1]!ACAELE_cabledetierra(CE88,$N$9,I88,BW88,CC88,G88)</f>
        <v/>
      </c>
      <c r="CG88" s="905" t="str" cm="1">
        <f t="array" ref="CG88">[1]!ACAELE_TAMATUBERIA(CC88,EC88,$N$9,S88,I88)</f>
        <v/>
      </c>
      <c r="CH88" s="906" t="str">
        <f t="shared" si="45"/>
        <v/>
      </c>
      <c r="CI88" s="510" t="str">
        <f t="shared" si="46"/>
        <v>-</v>
      </c>
      <c r="CJ88" s="511" t="str">
        <f t="shared" si="47"/>
        <v>-</v>
      </c>
      <c r="CK88" s="512" t="str">
        <f t="shared" si="48"/>
        <v>-</v>
      </c>
      <c r="CL88" s="907" t="str">
        <f t="shared" si="49"/>
        <v>-</v>
      </c>
      <c r="CM88" s="908" t="str">
        <f t="shared" si="50"/>
        <v>-</v>
      </c>
      <c r="CN88" s="909" t="str">
        <f t="shared" si="51"/>
        <v>-</v>
      </c>
      <c r="CO88" s="910" t="str" cm="1">
        <f t="array" ref="CO88">[1]!ACAELE_fasecorresponde(B88,$F$10,$P$5)</f>
        <v>B</v>
      </c>
      <c r="CP88" s="910" t="str" cm="1">
        <f t="array" ref="CP88">[1]!ACAELE_fasecorresponde(C88,$F$10,$P$5)</f>
        <v>-</v>
      </c>
      <c r="CQ88" s="910" t="str" cm="1">
        <f t="array" ref="CQ88">[1]!ACAELE_fasecorresponde(D88,$F$10,$P$5)</f>
        <v>-</v>
      </c>
      <c r="CR88" s="911" t="str">
        <f t="shared" si="52"/>
        <v>C</v>
      </c>
      <c r="CS88" s="912">
        <f t="shared" si="53"/>
        <v>1</v>
      </c>
      <c r="CT88" s="913">
        <f t="shared" si="54"/>
        <v>0.8</v>
      </c>
      <c r="CU88" s="914" t="str">
        <f t="shared" si="55"/>
        <v/>
      </c>
      <c r="CV88" s="915">
        <f t="shared" si="56"/>
        <v>0</v>
      </c>
      <c r="CW88" s="916" t="str" cm="1">
        <f t="array" ref="CW88">[1]!ACAELE_Inominal(BB88,F88,BT88,BV88,DA88,G88,V88,$P$5)</f>
        <v/>
      </c>
      <c r="CX88" s="917" t="str" cm="1">
        <f t="array" ref="CX88">[1]!ACAELE_Disparocalculado(BB88,H88,DL88,$N$21,$M$21,$O$21,BV88,$P$5)</f>
        <v/>
      </c>
      <c r="CY88" s="918" t="str" cm="1">
        <f t="array" ref="CY88">[1]!ACAELE_Icorregida($A$27,H88,BB88,BU88,CS88,CT88,$P$5)</f>
        <v/>
      </c>
      <c r="CZ88" s="919" t="str" cm="1">
        <f t="array" ref="CZ88">[1]!ACAELE_Icorregida2($A$27,H88,BB88,BU88,CS88,CU88,$P$5)</f>
        <v/>
      </c>
      <c r="DA88" s="920">
        <f t="shared" si="57"/>
        <v>0.9</v>
      </c>
      <c r="DB88" s="921">
        <f t="shared" si="58"/>
        <v>0.43588989435406728</v>
      </c>
      <c r="DC88" s="922" t="str" cm="1">
        <f t="array" ref="DC88">[1]!ACAELE_CONDPORTCORRIENTE(H88,BB88,I88,M88,CY88,CZ88,N88,$P$5)</f>
        <v/>
      </c>
      <c r="DD88" s="923" t="str" cm="1">
        <f t="array" ref="DD88">[1]!ACAELE_CAPACONDCORRIENTE(BB88,H88,I88,M88,CY88,CZ88,$P$5)</f>
        <v/>
      </c>
      <c r="DE88" s="923" t="str" cm="1">
        <f t="array" ref="DE88">[1]!ACAELE_CAPACIDADCABLE(BB88,H88,I88,M88,DC88,N88,$P$5)</f>
        <v/>
      </c>
      <c r="DF88" s="924" t="str" cm="1">
        <f t="array" ref="DF88">[1]!ACAELE_encontrarcaida(BB88,H88,L88,BV88,F88,BU88,N88,K88)</f>
        <v/>
      </c>
      <c r="DG88" s="925" t="str" cm="1">
        <f t="array" ref="DG88">[1]!ACAELE_Cablecaida(BB88,H88,M88,I88,DF88)</f>
        <v/>
      </c>
      <c r="DH88" s="918" t="str" cm="1">
        <f t="array" ref="DH88">[1]!ACAELE_CAPACIDADCABLE(BB88,H88,I88,M88,DG88,N88,$P$5)</f>
        <v/>
      </c>
      <c r="DI88" s="926" t="str" cm="1">
        <f t="array" ref="DI88">IF($A$27=1,"",[1]!ACAELE_encontrarcaida(BB88,H88,R88,BV88,F88,BU88,T88,Q88,$P$5))</f>
        <v/>
      </c>
      <c r="DJ88" s="914" t="str" cm="1">
        <f t="array" ref="DJ88">IF($A$27=1,"",[1]!ACAELE_Cablecaida2(BB88,Q88,H88,S88,I88,DI88,$P$5))</f>
        <v/>
      </c>
      <c r="DK88" s="919" t="str" cm="1">
        <f t="array" ref="DK88">[1]!ACAELE_CAPACIDADCABLE(BB88,H88,I88,M88,DJ88,N88,$P$5)</f>
        <v/>
      </c>
      <c r="DL88" s="927" t="str" cm="1">
        <f t="array" ref="DL88">[1]!acaele_Iproteccion(BB88,H88,BU88,$F$20,$G$20,$F$19,$G$19,$H$20,$H$19,$P$5)</f>
        <v/>
      </c>
      <c r="DM88" s="928" cm="1">
        <f t="array" ref="DM88">[1]!acaele_ProtCalculada(CX88,H88,BT88,BW88,$G$21,$F$21,$H$21,$P$5)</f>
        <v>0</v>
      </c>
      <c r="DN88" s="929" t="str" cm="1">
        <f t="array" ref="DN88">[1]!ACAELE_cablecalculo(BB88,H88,I88,M88,EF88,$P$5)</f>
        <v/>
      </c>
      <c r="DO88" s="930" t="str" cm="1">
        <f t="array" ref="DO88">[1]!ACAELE_RESISTENCIA(BB88,H88,M88,I88,BX88, CW88,$P$5)</f>
        <v/>
      </c>
      <c r="DP88" s="931" t="str" cm="1">
        <f t="array" ref="DP88">[1]!ACAELE_REACTANCIA(BB88,H88,$F$11,M88,I88,BX88,$P$5)</f>
        <v/>
      </c>
      <c r="DQ88" s="918" t="str" cm="1">
        <f t="array" ref="DQ88">[1]!ACAELE_DIAMECAISLA(BB88,H88,I88,BX88,$P$5)</f>
        <v/>
      </c>
      <c r="DR88" s="918" t="str" cm="1">
        <f t="array" ref="DR88">[1]!ACAELE_AREACAISLAMIENTO(BB88,H88,DQ88,$P$5)</f>
        <v/>
      </c>
      <c r="DS88" s="918" t="str" cm="1">
        <f t="array" ref="DS88">[1]!ACAELE_CAIDAVOLTSFINAL(BB88,H88,F88,K88,BU88,N88,DO88,DA88,DP88,DB88,$P$5)</f>
        <v/>
      </c>
      <c r="DT88" s="918" t="str" cm="1">
        <f t="array" ref="DT88">[1]!ACAELE_AREACONDPTE(BB88,H88,CA88,$P$5)</f>
        <v/>
      </c>
      <c r="DU88" s="932" t="str" cm="1">
        <f t="array" ref="DU88">[1]!ACAELE_AREATOTAL(BZ88,M88,EO88,N88,DQ88,G88,DR88,DT88,N$20,$P$5)</f>
        <v/>
      </c>
      <c r="DV88" s="933" t="str" cm="1">
        <f t="array" ref="DV88">IF($A$27=1,"",[1]!ACAELE_cablecalculo(BB88,H88,I88,M88,EG88,$P$5))</f>
        <v/>
      </c>
      <c r="DW88" s="934" t="str" cm="1">
        <f t="array" ref="DW88">IF($A$27=1,"",[1]!ACAELE_RESISTENCIA(BB88,H88,M88,I88,CC88,CW88,$P$5))</f>
        <v/>
      </c>
      <c r="DX88" s="926" t="str" cm="1">
        <f t="array" ref="DX88">IF($A$27=1,"",[1]!ACAELE_REACTANCIA(BB88,H88,$F$11,M88,I88,CC88,$P$5))</f>
        <v/>
      </c>
      <c r="DY88" s="935" t="str" cm="1">
        <f t="array" ref="DY88">IF($A$27=1,"",[1]!ACAELE_DIAMECAISLA(BB88,H88,I88,CC88,$P$5))</f>
        <v/>
      </c>
      <c r="DZ88" s="935" t="str" cm="1">
        <f t="array" ref="DZ88">IF($A$27=1,"",[1]!ACAELE_AREACAISLAMIENTO(BB88,H88,DY88,$P$5))</f>
        <v/>
      </c>
      <c r="EA88" s="935" t="str" cm="1">
        <f t="array" ref="EA88">[1]!ACAELE_CAIDAVOLTSFINAL2(BB88,Q88,H88,F88,$A$27,BU88,T88,DW88,DA88,DX88,DB88)</f>
        <v/>
      </c>
      <c r="EB88" s="935" t="str" cm="1">
        <f t="array" ref="EB88">IF($A$27=1,"",[1]!ACAELE_AREACONDPTE(BB88,H88,CF88,$P$5))</f>
        <v/>
      </c>
      <c r="EC88" s="936" t="str" cm="1">
        <f t="array" ref="EC88">[1]!ACAELE_AREATOTAL2(H88,$A$27,DY88,S88,G88,T88,DZ88,U88,EB88)</f>
        <v/>
      </c>
      <c r="ED88" s="937" t="str">
        <f t="shared" si="59"/>
        <v/>
      </c>
      <c r="EE88" s="938" t="str">
        <f t="shared" si="60"/>
        <v/>
      </c>
      <c r="EF88" s="939" t="str">
        <f t="shared" si="61"/>
        <v/>
      </c>
      <c r="EG88" s="940">
        <f t="shared" si="62"/>
        <v>0</v>
      </c>
      <c r="EH88" s="941" t="str">
        <f t="shared" si="63"/>
        <v/>
      </c>
      <c r="EI88" s="942">
        <f t="shared" si="64"/>
        <v>30</v>
      </c>
      <c r="EJ88" s="943" t="str">
        <f t="shared" si="11"/>
        <v/>
      </c>
      <c r="EK88" s="943" t="str">
        <f t="shared" si="12"/>
        <v/>
      </c>
      <c r="EL88" s="943" t="str">
        <f t="shared" si="13"/>
        <v/>
      </c>
      <c r="EM88" s="944" t="str">
        <f t="shared" si="14"/>
        <v/>
      </c>
      <c r="EN88" s="945" t="str" cm="1">
        <f t="array" ref="EN88">[1]!ACAELE_MOTOR(H88,X88:BA88,$X$26:$BA$26,$P$5)</f>
        <v/>
      </c>
      <c r="EO88" s="550" t="str">
        <f t="shared" si="65"/>
        <v/>
      </c>
      <c r="EP88" s="431" t="s">
        <v>1214</v>
      </c>
      <c r="EQ88" s="434" t="str">
        <f t="shared" ca="1" si="66"/>
        <v/>
      </c>
      <c r="ER88" s="32"/>
      <c r="ES88" s="32"/>
      <c r="ET88" s="3" t="str">
        <f t="shared" si="67"/>
        <v/>
      </c>
      <c r="EU88" s="3" t="str">
        <f t="shared" si="68"/>
        <v/>
      </c>
      <c r="EV88" s="3" t="str">
        <f t="shared" si="69"/>
        <v/>
      </c>
      <c r="EW88" s="3" t="str">
        <f t="shared" si="70"/>
        <v/>
      </c>
      <c r="EX88" s="3" t="str">
        <f t="shared" si="71"/>
        <v/>
      </c>
      <c r="EY88" s="3" t="str">
        <f t="shared" si="72"/>
        <v/>
      </c>
      <c r="EZ88" s="3" t="str">
        <f t="shared" si="73"/>
        <v/>
      </c>
      <c r="FA88" s="3" t="str">
        <f t="shared" si="74"/>
        <v/>
      </c>
      <c r="FB88" s="3" t="str">
        <f t="shared" si="75"/>
        <v/>
      </c>
      <c r="FC88" s="3">
        <f t="shared" si="76"/>
        <v>0</v>
      </c>
      <c r="FD88" s="32"/>
      <c r="FE88" s="32"/>
      <c r="FF88" s="103">
        <v>1</v>
      </c>
      <c r="FG88" s="32"/>
      <c r="FH88" s="103"/>
      <c r="FI88" s="32"/>
      <c r="FJ88" s="103"/>
      <c r="FK88" s="3">
        <f t="shared" si="77"/>
        <v>0</v>
      </c>
      <c r="FL88" s="3" t="str" cm="1">
        <f t="array" aca="1" ref="FL88" ca="1">[1]!acaele_DIB_UNIFILAR(BB88,H88,F88,COUNTIF(X88:BA88,1),BW88)</f>
        <v/>
      </c>
      <c r="FM88" s="3" t="str">
        <f>IF(DATOS!$T$4=0,"",IF(DATOS!$T$4=1," (QO)",IF(DATOS!$T$4=2," (QOB)",IF(DATOS!$T$4=3," (EDB)",IF(DATOS!$T$4=4,IF(BW88&lt;151," (H"&amp;FN88&amp;")",IF(BW88&lt;251," (J"&amp;FN88&amp;")", IF(BW88&lt;401," (LA)",IF(BW88&lt;801," (MG)",IF(BW88&lt;5001," (POWERPACK)",""))))))))))</f>
        <v xml:space="preserve"> (QOB)</v>
      </c>
      <c r="FN88" s="3" t="str">
        <f t="shared" si="78"/>
        <v/>
      </c>
      <c r="FO88" s="146"/>
      <c r="FP88" s="146"/>
      <c r="FQ88" s="146"/>
      <c r="FR88" s="146"/>
      <c r="FS88" s="146"/>
      <c r="FT88" s="146"/>
      <c r="FU88" s="146"/>
      <c r="FV88" s="146"/>
      <c r="FW88" s="146"/>
      <c r="FX88" s="146" t="str">
        <f t="shared" si="9"/>
        <v/>
      </c>
      <c r="FY88" s="736"/>
      <c r="FZ88" s="740"/>
      <c r="GA88" s="740"/>
      <c r="GB88" s="717"/>
      <c r="GC88" s="838"/>
      <c r="GD88" s="736"/>
      <c r="GE88" s="146"/>
      <c r="GF88" s="506"/>
      <c r="GG88" s="506"/>
      <c r="GH88" s="506"/>
      <c r="GI88" s="506"/>
      <c r="GJ88" s="506"/>
      <c r="GM88" s="3">
        <f>IF(OR(GN88&gt;TABLERO!$M$19,GO88&gt;TABLERO!$M$19,GP88&gt;TABLERO!$M$19,B88=0,C88=0,D88=0),2,CUADROACAD!A88)</f>
        <v>2</v>
      </c>
      <c r="GN88" s="3">
        <f>IF(TABLERO!B88="",0,TABLERO!B88)</f>
        <v>58</v>
      </c>
      <c r="GO88" s="3">
        <f>IF(TABLERO!C88="",GN88,TABLERO!C88)</f>
        <v>58</v>
      </c>
      <c r="GP88" s="3">
        <f>IF(TABLERO!D88="",GN88,TABLERO!D88)</f>
        <v>58</v>
      </c>
    </row>
    <row r="89" spans="1:198" s="3" customFormat="1">
      <c r="A89" s="706"/>
      <c r="B89" s="869">
        <v>59</v>
      </c>
      <c r="C89" s="870" t="str">
        <f t="shared" si="15"/>
        <v/>
      </c>
      <c r="D89" s="870" t="str">
        <f t="shared" si="16"/>
        <v/>
      </c>
      <c r="E89" s="871"/>
      <c r="F89" s="872">
        <v>1</v>
      </c>
      <c r="G89" s="716">
        <f t="shared" si="17"/>
        <v>2</v>
      </c>
      <c r="H89" s="873" t="s">
        <v>12</v>
      </c>
      <c r="I89" s="874" t="str">
        <f t="shared" si="18"/>
        <v>CU</v>
      </c>
      <c r="J89" s="875">
        <v>6</v>
      </c>
      <c r="K89" s="876">
        <v>10</v>
      </c>
      <c r="L89" s="876">
        <v>3</v>
      </c>
      <c r="M89" s="877">
        <v>1</v>
      </c>
      <c r="N89" s="877">
        <v>1</v>
      </c>
      <c r="O89" s="878">
        <v>1</v>
      </c>
      <c r="P89" s="879">
        <v>4</v>
      </c>
      <c r="Q89" s="880">
        <v>1</v>
      </c>
      <c r="R89" s="880">
        <v>1</v>
      </c>
      <c r="S89" s="881">
        <v>1</v>
      </c>
      <c r="T89" s="881">
        <v>1</v>
      </c>
      <c r="U89" s="882">
        <v>1</v>
      </c>
      <c r="V89" s="883">
        <v>1</v>
      </c>
      <c r="W89" s="874" t="str">
        <f t="shared" si="19"/>
        <v>SI</v>
      </c>
      <c r="X89" s="884"/>
      <c r="Y89" s="885"/>
      <c r="Z89" s="885"/>
      <c r="AA89" s="885"/>
      <c r="AB89" s="885"/>
      <c r="AC89" s="885"/>
      <c r="AD89" s="885"/>
      <c r="AE89" s="885"/>
      <c r="AF89" s="885"/>
      <c r="AG89" s="885"/>
      <c r="AH89" s="885"/>
      <c r="AI89" s="885"/>
      <c r="AJ89" s="885"/>
      <c r="AK89" s="885"/>
      <c r="AL89" s="885"/>
      <c r="AM89" s="885"/>
      <c r="AN89" s="885"/>
      <c r="AO89" s="885"/>
      <c r="AP89" s="885"/>
      <c r="AQ89" s="885"/>
      <c r="AR89" s="885"/>
      <c r="AS89" s="885"/>
      <c r="AT89" s="885"/>
      <c r="AU89" s="885"/>
      <c r="AV89" s="885"/>
      <c r="AW89" s="885"/>
      <c r="AX89" s="885"/>
      <c r="AY89" s="885"/>
      <c r="AZ89" s="885"/>
      <c r="BA89" s="886"/>
      <c r="BB89" s="887">
        <f t="shared" si="20"/>
        <v>0</v>
      </c>
      <c r="BC89" s="888" t="str">
        <f t="shared" si="21"/>
        <v/>
      </c>
      <c r="BD89" s="889" t="str">
        <f t="shared" si="22"/>
        <v/>
      </c>
      <c r="BE89" s="889" t="str">
        <f t="shared" si="23"/>
        <v/>
      </c>
      <c r="BF89" s="889" t="str">
        <f t="shared" si="24"/>
        <v/>
      </c>
      <c r="BG89" s="889" t="str">
        <f t="shared" si="25"/>
        <v/>
      </c>
      <c r="BH89" s="889" t="str">
        <f t="shared" si="26"/>
        <v/>
      </c>
      <c r="BI89" s="890" t="str">
        <f t="shared" si="27"/>
        <v/>
      </c>
      <c r="BJ89" s="891" t="str">
        <f t="shared" si="28"/>
        <v/>
      </c>
      <c r="BK89" s="892" t="str">
        <f t="shared" si="29"/>
        <v/>
      </c>
      <c r="BL89" s="892" t="str">
        <f t="shared" si="30"/>
        <v/>
      </c>
      <c r="BM89" s="892" t="str">
        <f t="shared" si="31"/>
        <v/>
      </c>
      <c r="BN89" s="892" t="str">
        <f t="shared" si="32"/>
        <v/>
      </c>
      <c r="BO89" s="892" t="str">
        <f t="shared" si="33"/>
        <v/>
      </c>
      <c r="BP89" s="893" t="str">
        <f t="shared" si="34"/>
        <v/>
      </c>
      <c r="BQ89" s="894" t="str">
        <f t="shared" si="35"/>
        <v/>
      </c>
      <c r="BR89" s="895" t="str">
        <f t="shared" si="10"/>
        <v/>
      </c>
      <c r="BS89" s="896" t="str">
        <f t="shared" si="36"/>
        <v/>
      </c>
      <c r="BT89" s="897" t="str">
        <f t="shared" si="37"/>
        <v/>
      </c>
      <c r="BU89" s="231" t="str">
        <f t="shared" si="38"/>
        <v/>
      </c>
      <c r="BV89" s="898">
        <f t="shared" si="39"/>
        <v>127</v>
      </c>
      <c r="BW89" s="845" t="str">
        <f t="shared" si="40"/>
        <v/>
      </c>
      <c r="BX89" s="899" t="str">
        <f t="shared" si="41"/>
        <v/>
      </c>
      <c r="BY89" s="900" t="str" cm="1">
        <f t="array" ref="BY89">[1]!ACAELE_CAPACIDADCABLE(BB89,H89,I89,M89,BX89,N89)</f>
        <v/>
      </c>
      <c r="BZ89" s="900" t="str">
        <f t="shared" si="42"/>
        <v/>
      </c>
      <c r="CA89" s="901" t="str" cm="1">
        <f t="array" ref="CA89">[1]!ACAELE_cabledetierra(BZ89,$N$9,I89,BW89,BX89,G89)</f>
        <v/>
      </c>
      <c r="CB89" s="902" t="str" cm="1">
        <f t="array" ref="CB89">[1]!ACAELE_TAMATUBERIA(BX89,DU89,$N$9,M89,I89)</f>
        <v/>
      </c>
      <c r="CC89" s="846" t="str">
        <f t="shared" si="43"/>
        <v/>
      </c>
      <c r="CD89" s="903" t="str" cm="1">
        <f t="array" ref="CD89">[1]!ACAELE_CAPACIDADCABLE(BB89,H89,I89,M89,CC89,N89)</f>
        <v/>
      </c>
      <c r="CE89" s="903" t="str">
        <f t="shared" si="44"/>
        <v/>
      </c>
      <c r="CF89" s="904" t="str" cm="1">
        <f t="array" ref="CF89">[1]!ACAELE_cabledetierra(CE89,$N$9,I89,BW89,CC89,G89)</f>
        <v/>
      </c>
      <c r="CG89" s="905" t="str" cm="1">
        <f t="array" ref="CG89">[1]!ACAELE_TAMATUBERIA(CC89,EC89,$N$9,S89,I89)</f>
        <v/>
      </c>
      <c r="CH89" s="906" t="str">
        <f t="shared" si="45"/>
        <v/>
      </c>
      <c r="CI89" s="510" t="str">
        <f t="shared" si="46"/>
        <v>-</v>
      </c>
      <c r="CJ89" s="511" t="str">
        <f t="shared" si="47"/>
        <v>-</v>
      </c>
      <c r="CK89" s="512" t="str">
        <f t="shared" si="48"/>
        <v>-</v>
      </c>
      <c r="CL89" s="907" t="str">
        <f t="shared" si="49"/>
        <v>-</v>
      </c>
      <c r="CM89" s="908" t="str">
        <f t="shared" si="50"/>
        <v>-</v>
      </c>
      <c r="CN89" s="909" t="str">
        <f t="shared" si="51"/>
        <v>-</v>
      </c>
      <c r="CO89" s="910" t="str" cm="1">
        <f t="array" ref="CO89">[1]!ACAELE_fasecorresponde(B89,$F$10,$P$5)</f>
        <v>C</v>
      </c>
      <c r="CP89" s="910" t="str" cm="1">
        <f t="array" ref="CP89">[1]!ACAELE_fasecorresponde(C89,$F$10,$P$5)</f>
        <v>-</v>
      </c>
      <c r="CQ89" s="910" t="str" cm="1">
        <f t="array" ref="CQ89">[1]!ACAELE_fasecorresponde(D89,$F$10,$P$5)</f>
        <v>-</v>
      </c>
      <c r="CR89" s="911" t="str">
        <f t="shared" si="52"/>
        <v>C</v>
      </c>
      <c r="CS89" s="912">
        <f t="shared" si="53"/>
        <v>1</v>
      </c>
      <c r="CT89" s="913">
        <f t="shared" si="54"/>
        <v>0.8</v>
      </c>
      <c r="CU89" s="914" t="str">
        <f t="shared" si="55"/>
        <v/>
      </c>
      <c r="CV89" s="915">
        <f t="shared" si="56"/>
        <v>0</v>
      </c>
      <c r="CW89" s="916" t="str" cm="1">
        <f t="array" ref="CW89">[1]!ACAELE_Inominal(BB89,F89,BT89,BV89,DA89,G89,V89,$P$5)</f>
        <v/>
      </c>
      <c r="CX89" s="917" t="str" cm="1">
        <f t="array" ref="CX89">[1]!ACAELE_Disparocalculado(BB89,H89,DL89,$N$21,$M$21,$O$21,BV89,$P$5)</f>
        <v/>
      </c>
      <c r="CY89" s="918" t="str" cm="1">
        <f t="array" ref="CY89">[1]!ACAELE_Icorregida($A$27,H89,BB89,BU89,CS89,CT89,$P$5)</f>
        <v/>
      </c>
      <c r="CZ89" s="919" t="str" cm="1">
        <f t="array" ref="CZ89">[1]!ACAELE_Icorregida2($A$27,H89,BB89,BU89,CS89,CU89,$P$5)</f>
        <v/>
      </c>
      <c r="DA89" s="920">
        <f t="shared" si="57"/>
        <v>0.9</v>
      </c>
      <c r="DB89" s="921">
        <f t="shared" si="58"/>
        <v>0.43588989435406728</v>
      </c>
      <c r="DC89" s="922" t="str" cm="1">
        <f t="array" ref="DC89">[1]!ACAELE_CONDPORTCORRIENTE(H89,BB89,I89,M89,CY89,CZ89,N89,$P$5)</f>
        <v/>
      </c>
      <c r="DD89" s="923" t="str" cm="1">
        <f t="array" ref="DD89">[1]!ACAELE_CAPACONDCORRIENTE(BB89,H89,I89,M89,CY89,CZ89,$P$5)</f>
        <v/>
      </c>
      <c r="DE89" s="923" t="str" cm="1">
        <f t="array" ref="DE89">[1]!ACAELE_CAPACIDADCABLE(BB89,H89,I89,M89,DC89,N89,$P$5)</f>
        <v/>
      </c>
      <c r="DF89" s="924" t="str" cm="1">
        <f t="array" ref="DF89">[1]!ACAELE_encontrarcaida(BB89,H89,L89,BV89,F89,BU89,N89,K89)</f>
        <v/>
      </c>
      <c r="DG89" s="925" t="str" cm="1">
        <f t="array" ref="DG89">[1]!ACAELE_Cablecaida(BB89,H89,M89,I89,DF89)</f>
        <v/>
      </c>
      <c r="DH89" s="918" t="str" cm="1">
        <f t="array" ref="DH89">[1]!ACAELE_CAPACIDADCABLE(BB89,H89,I89,M89,DG89,N89,$P$5)</f>
        <v/>
      </c>
      <c r="DI89" s="926" t="str" cm="1">
        <f t="array" ref="DI89">IF($A$27=1,"",[1]!ACAELE_encontrarcaida(BB89,H89,R89,BV89,F89,BU89,T89,Q89,$P$5))</f>
        <v/>
      </c>
      <c r="DJ89" s="914" t="str" cm="1">
        <f t="array" ref="DJ89">IF($A$27=1,"",[1]!ACAELE_Cablecaida2(BB89,Q89,H89,S89,I89,DI89,$P$5))</f>
        <v/>
      </c>
      <c r="DK89" s="919" t="str" cm="1">
        <f t="array" ref="DK89">[1]!ACAELE_CAPACIDADCABLE(BB89,H89,I89,M89,DJ89,N89,$P$5)</f>
        <v/>
      </c>
      <c r="DL89" s="927" t="str" cm="1">
        <f t="array" ref="DL89">[1]!acaele_Iproteccion(BB89,H89,BU89,$F$20,$G$20,$F$19,$G$19,$H$20,$H$19,$P$5)</f>
        <v/>
      </c>
      <c r="DM89" s="928" cm="1">
        <f t="array" ref="DM89">[1]!acaele_ProtCalculada(CX89,H89,BT89,BW89,$G$21,$F$21,$H$21,$P$5)</f>
        <v>0</v>
      </c>
      <c r="DN89" s="929" t="str" cm="1">
        <f t="array" ref="DN89">[1]!ACAELE_cablecalculo(BB89,H89,I89,M89,EF89,$P$5)</f>
        <v/>
      </c>
      <c r="DO89" s="930" t="str" cm="1">
        <f t="array" ref="DO89">[1]!ACAELE_RESISTENCIA(BB89,H89,M89,I89,BX89, CW89,$P$5)</f>
        <v/>
      </c>
      <c r="DP89" s="931" t="str" cm="1">
        <f t="array" ref="DP89">[1]!ACAELE_REACTANCIA(BB89,H89,$F$11,M89,I89,BX89,$P$5)</f>
        <v/>
      </c>
      <c r="DQ89" s="918" t="str" cm="1">
        <f t="array" ref="DQ89">[1]!ACAELE_DIAMECAISLA(BB89,H89,I89,BX89,$P$5)</f>
        <v/>
      </c>
      <c r="DR89" s="918" t="str" cm="1">
        <f t="array" ref="DR89">[1]!ACAELE_AREACAISLAMIENTO(BB89,H89,DQ89,$P$5)</f>
        <v/>
      </c>
      <c r="DS89" s="918" t="str" cm="1">
        <f t="array" ref="DS89">[1]!ACAELE_CAIDAVOLTSFINAL(BB89,H89,F89,K89,BU89,N89,DO89,DA89,DP89,DB89,$P$5)</f>
        <v/>
      </c>
      <c r="DT89" s="918" t="str" cm="1">
        <f t="array" ref="DT89">[1]!ACAELE_AREACONDPTE(BB89,H89,CA89,$P$5)</f>
        <v/>
      </c>
      <c r="DU89" s="932" t="str" cm="1">
        <f t="array" ref="DU89">[1]!ACAELE_AREATOTAL(BZ89,M89,EO89,N89,DQ89,G89,DR89,DT89,N$20,$P$5)</f>
        <v/>
      </c>
      <c r="DV89" s="933" t="str" cm="1">
        <f t="array" ref="DV89">IF($A$27=1,"",[1]!ACAELE_cablecalculo(BB89,H89,I89,M89,EG89,$P$5))</f>
        <v/>
      </c>
      <c r="DW89" s="934" t="str" cm="1">
        <f t="array" ref="DW89">IF($A$27=1,"",[1]!ACAELE_RESISTENCIA(BB89,H89,M89,I89,CC89,CW89,$P$5))</f>
        <v/>
      </c>
      <c r="DX89" s="926" t="str" cm="1">
        <f t="array" ref="DX89">IF($A$27=1,"",[1]!ACAELE_REACTANCIA(BB89,H89,$F$11,M89,I89,CC89,$P$5))</f>
        <v/>
      </c>
      <c r="DY89" s="935" t="str" cm="1">
        <f t="array" ref="DY89">IF($A$27=1,"",[1]!ACAELE_DIAMECAISLA(BB89,H89,I89,CC89,$P$5))</f>
        <v/>
      </c>
      <c r="DZ89" s="935" t="str" cm="1">
        <f t="array" ref="DZ89">IF($A$27=1,"",[1]!ACAELE_AREACAISLAMIENTO(BB89,H89,DY89,$P$5))</f>
        <v/>
      </c>
      <c r="EA89" s="935" t="str" cm="1">
        <f t="array" ref="EA89">[1]!ACAELE_CAIDAVOLTSFINAL2(BB89,Q89,H89,F89,$A$27,BU89,T89,DW89,DA89,DX89,DB89)</f>
        <v/>
      </c>
      <c r="EB89" s="935" t="str" cm="1">
        <f t="array" ref="EB89">IF($A$27=1,"",[1]!ACAELE_AREACONDPTE(BB89,H89,CF89,$P$5))</f>
        <v/>
      </c>
      <c r="EC89" s="936" t="str" cm="1">
        <f t="array" ref="EC89">[1]!ACAELE_AREATOTAL2(H89,$A$27,DY89,S89,G89,T89,DZ89,U89,EB89)</f>
        <v/>
      </c>
      <c r="ED89" s="937" t="str">
        <f t="shared" si="59"/>
        <v/>
      </c>
      <c r="EE89" s="938" t="str">
        <f t="shared" si="60"/>
        <v/>
      </c>
      <c r="EF89" s="939" t="str">
        <f t="shared" si="61"/>
        <v/>
      </c>
      <c r="EG89" s="940">
        <f t="shared" si="62"/>
        <v>0</v>
      </c>
      <c r="EH89" s="941" t="str">
        <f t="shared" si="63"/>
        <v/>
      </c>
      <c r="EI89" s="942">
        <f t="shared" si="64"/>
        <v>30</v>
      </c>
      <c r="EJ89" s="943" t="str">
        <f t="shared" si="11"/>
        <v/>
      </c>
      <c r="EK89" s="943" t="str">
        <f t="shared" si="12"/>
        <v/>
      </c>
      <c r="EL89" s="943" t="str">
        <f t="shared" si="13"/>
        <v/>
      </c>
      <c r="EM89" s="944" t="str">
        <f t="shared" si="14"/>
        <v/>
      </c>
      <c r="EN89" s="945" t="str" cm="1">
        <f t="array" ref="EN89">[1]!ACAELE_MOTOR(H89,X89:BA89,$X$26:$BA$26,$P$5)</f>
        <v/>
      </c>
      <c r="EO89" s="550" t="str">
        <f t="shared" si="65"/>
        <v/>
      </c>
      <c r="EP89" s="431" t="s">
        <v>1214</v>
      </c>
      <c r="EQ89" s="434" t="str">
        <f t="shared" ca="1" si="66"/>
        <v/>
      </c>
      <c r="ER89" s="32"/>
      <c r="ES89" s="32"/>
      <c r="ET89" s="3" t="str">
        <f t="shared" si="67"/>
        <v/>
      </c>
      <c r="EU89" s="3" t="str">
        <f t="shared" si="68"/>
        <v/>
      </c>
      <c r="EV89" s="3" t="str">
        <f t="shared" si="69"/>
        <v/>
      </c>
      <c r="EW89" s="3" t="str">
        <f t="shared" si="70"/>
        <v/>
      </c>
      <c r="EX89" s="3" t="str">
        <f t="shared" si="71"/>
        <v/>
      </c>
      <c r="EY89" s="3" t="str">
        <f t="shared" si="72"/>
        <v/>
      </c>
      <c r="EZ89" s="3" t="str">
        <f t="shared" si="73"/>
        <v/>
      </c>
      <c r="FA89" s="3" t="str">
        <f t="shared" si="74"/>
        <v/>
      </c>
      <c r="FB89" s="3" t="str">
        <f t="shared" si="75"/>
        <v/>
      </c>
      <c r="FC89" s="3">
        <f t="shared" si="76"/>
        <v>0</v>
      </c>
      <c r="FD89" s="32"/>
      <c r="FE89" s="32"/>
      <c r="FF89" s="103">
        <v>1</v>
      </c>
      <c r="FG89" s="32"/>
      <c r="FH89" s="103"/>
      <c r="FI89" s="32"/>
      <c r="FJ89" s="103"/>
      <c r="FK89" s="3">
        <f t="shared" si="77"/>
        <v>0</v>
      </c>
      <c r="FL89" s="3" t="str" cm="1">
        <f t="array" aca="1" ref="FL89" ca="1">[1]!acaele_DIB_UNIFILAR(BB89,H89,F89,COUNTIF(X89:BA89,1),BW89)</f>
        <v/>
      </c>
      <c r="FM89" s="3" t="str">
        <f>IF(DATOS!$T$4=0,"",IF(DATOS!$T$4=1," (QO)",IF(DATOS!$T$4=2," (QOB)",IF(DATOS!$T$4=3," (EDB)",IF(DATOS!$T$4=4,IF(BW89&lt;151," (H"&amp;FN89&amp;")",IF(BW89&lt;251," (J"&amp;FN89&amp;")", IF(BW89&lt;401," (LA)",IF(BW89&lt;801," (MG)",IF(BW89&lt;5001," (POWERPACK)",""))))))))))</f>
        <v xml:space="preserve"> (QOB)</v>
      </c>
      <c r="FN89" s="3" t="str">
        <f t="shared" si="78"/>
        <v/>
      </c>
      <c r="FO89" s="146"/>
      <c r="FP89" s="146"/>
      <c r="FQ89" s="146"/>
      <c r="FR89" s="146"/>
      <c r="FS89" s="146"/>
      <c r="FT89" s="146"/>
      <c r="FU89" s="146"/>
      <c r="FV89" s="146"/>
      <c r="FW89" s="146"/>
      <c r="FX89" s="146" t="str">
        <f t="shared" si="9"/>
        <v/>
      </c>
      <c r="FY89" s="736"/>
      <c r="FZ89" s="740"/>
      <c r="GA89" s="740"/>
      <c r="GB89" s="717"/>
      <c r="GC89" s="838"/>
      <c r="GD89" s="736"/>
      <c r="GE89" s="146"/>
      <c r="GF89" s="506"/>
      <c r="GG89" s="506"/>
      <c r="GH89" s="506"/>
      <c r="GI89" s="506"/>
      <c r="GJ89" s="506"/>
      <c r="GM89" s="3">
        <f>IF(OR(GN89&gt;TABLERO!$M$19,GO89&gt;TABLERO!$M$19,GP89&gt;TABLERO!$M$19,B89=0,C89=0,D89=0),2,CUADROACAD!A89)</f>
        <v>2</v>
      </c>
      <c r="GN89" s="3">
        <f>IF(TABLERO!B89="",0,TABLERO!B89)</f>
        <v>59</v>
      </c>
      <c r="GO89" s="3">
        <f>IF(TABLERO!C89="",GN89,TABLERO!C89)</f>
        <v>59</v>
      </c>
      <c r="GP89" s="3">
        <f>IF(TABLERO!D89="",GN89,TABLERO!D89)</f>
        <v>59</v>
      </c>
    </row>
    <row r="90" spans="1:198" s="3" customFormat="1">
      <c r="A90" s="706"/>
      <c r="B90" s="869">
        <v>60</v>
      </c>
      <c r="C90" s="870" t="str">
        <f t="shared" si="15"/>
        <v/>
      </c>
      <c r="D90" s="870" t="str">
        <f t="shared" si="16"/>
        <v/>
      </c>
      <c r="E90" s="871"/>
      <c r="F90" s="872">
        <v>1</v>
      </c>
      <c r="G90" s="716">
        <f t="shared" si="17"/>
        <v>2</v>
      </c>
      <c r="H90" s="873" t="s">
        <v>12</v>
      </c>
      <c r="I90" s="874" t="str">
        <f t="shared" si="18"/>
        <v>CU</v>
      </c>
      <c r="J90" s="875">
        <v>6</v>
      </c>
      <c r="K90" s="876">
        <v>10</v>
      </c>
      <c r="L90" s="876">
        <v>3</v>
      </c>
      <c r="M90" s="877">
        <v>1</v>
      </c>
      <c r="N90" s="877">
        <v>1</v>
      </c>
      <c r="O90" s="878">
        <v>1</v>
      </c>
      <c r="P90" s="879">
        <v>4</v>
      </c>
      <c r="Q90" s="880">
        <v>1</v>
      </c>
      <c r="R90" s="880">
        <v>1</v>
      </c>
      <c r="S90" s="881">
        <v>1</v>
      </c>
      <c r="T90" s="881">
        <v>1</v>
      </c>
      <c r="U90" s="882">
        <v>1</v>
      </c>
      <c r="V90" s="883">
        <v>1</v>
      </c>
      <c r="W90" s="874" t="str">
        <f t="shared" si="19"/>
        <v>SI</v>
      </c>
      <c r="X90" s="884"/>
      <c r="Y90" s="885"/>
      <c r="Z90" s="885"/>
      <c r="AA90" s="885"/>
      <c r="AB90" s="885"/>
      <c r="AC90" s="885"/>
      <c r="AD90" s="885"/>
      <c r="AE90" s="885"/>
      <c r="AF90" s="885"/>
      <c r="AG90" s="885"/>
      <c r="AH90" s="885"/>
      <c r="AI90" s="885"/>
      <c r="AJ90" s="885"/>
      <c r="AK90" s="885"/>
      <c r="AL90" s="885"/>
      <c r="AM90" s="885"/>
      <c r="AN90" s="885"/>
      <c r="AO90" s="885"/>
      <c r="AP90" s="885"/>
      <c r="AQ90" s="885"/>
      <c r="AR90" s="885"/>
      <c r="AS90" s="885"/>
      <c r="AT90" s="885"/>
      <c r="AU90" s="885"/>
      <c r="AV90" s="885"/>
      <c r="AW90" s="885"/>
      <c r="AX90" s="885"/>
      <c r="AY90" s="885"/>
      <c r="AZ90" s="885"/>
      <c r="BA90" s="886"/>
      <c r="BB90" s="887">
        <f t="shared" si="20"/>
        <v>0</v>
      </c>
      <c r="BC90" s="888" t="str">
        <f t="shared" si="21"/>
        <v/>
      </c>
      <c r="BD90" s="889" t="str">
        <f t="shared" si="22"/>
        <v/>
      </c>
      <c r="BE90" s="889" t="str">
        <f t="shared" si="23"/>
        <v/>
      </c>
      <c r="BF90" s="889" t="str">
        <f t="shared" si="24"/>
        <v/>
      </c>
      <c r="BG90" s="889" t="str">
        <f t="shared" si="25"/>
        <v/>
      </c>
      <c r="BH90" s="889" t="str">
        <f t="shared" si="26"/>
        <v/>
      </c>
      <c r="BI90" s="890" t="str">
        <f t="shared" si="27"/>
        <v/>
      </c>
      <c r="BJ90" s="891" t="str">
        <f t="shared" si="28"/>
        <v/>
      </c>
      <c r="BK90" s="892" t="str">
        <f t="shared" si="29"/>
        <v/>
      </c>
      <c r="BL90" s="892" t="str">
        <f t="shared" si="30"/>
        <v/>
      </c>
      <c r="BM90" s="892" t="str">
        <f t="shared" si="31"/>
        <v/>
      </c>
      <c r="BN90" s="892" t="str">
        <f t="shared" si="32"/>
        <v/>
      </c>
      <c r="BO90" s="892" t="str">
        <f t="shared" si="33"/>
        <v/>
      </c>
      <c r="BP90" s="893" t="str">
        <f t="shared" si="34"/>
        <v/>
      </c>
      <c r="BQ90" s="894" t="str">
        <f t="shared" si="35"/>
        <v/>
      </c>
      <c r="BR90" s="895" t="str">
        <f t="shared" si="10"/>
        <v/>
      </c>
      <c r="BS90" s="896" t="str">
        <f t="shared" si="36"/>
        <v/>
      </c>
      <c r="BT90" s="897" t="str">
        <f t="shared" si="37"/>
        <v/>
      </c>
      <c r="BU90" s="231" t="str">
        <f t="shared" si="38"/>
        <v/>
      </c>
      <c r="BV90" s="898">
        <f t="shared" si="39"/>
        <v>127</v>
      </c>
      <c r="BW90" s="845" t="str">
        <f t="shared" si="40"/>
        <v/>
      </c>
      <c r="BX90" s="899" t="str">
        <f t="shared" si="41"/>
        <v/>
      </c>
      <c r="BY90" s="900" t="str" cm="1">
        <f t="array" ref="BY90">[1]!ACAELE_CAPACIDADCABLE(BB90,H90,I90,M90,BX90,N90)</f>
        <v/>
      </c>
      <c r="BZ90" s="900" t="str">
        <f t="shared" si="42"/>
        <v/>
      </c>
      <c r="CA90" s="901" t="str" cm="1">
        <f t="array" ref="CA90">[1]!ACAELE_cabledetierra(BZ90,$N$9,I90,BW90,BX90,G90)</f>
        <v/>
      </c>
      <c r="CB90" s="902" t="str" cm="1">
        <f t="array" ref="CB90">[1]!ACAELE_TAMATUBERIA(BX90,DU90,$N$9,M90,I90)</f>
        <v/>
      </c>
      <c r="CC90" s="846" t="str">
        <f t="shared" si="43"/>
        <v/>
      </c>
      <c r="CD90" s="903" t="str" cm="1">
        <f t="array" ref="CD90">[1]!ACAELE_CAPACIDADCABLE(BB90,H90,I90,M90,CC90,N90)</f>
        <v/>
      </c>
      <c r="CE90" s="903" t="str">
        <f t="shared" si="44"/>
        <v/>
      </c>
      <c r="CF90" s="904" t="str" cm="1">
        <f t="array" ref="CF90">[1]!ACAELE_cabledetierra(CE90,$N$9,I90,BW90,CC90,G90)</f>
        <v/>
      </c>
      <c r="CG90" s="905" t="str" cm="1">
        <f t="array" ref="CG90">[1]!ACAELE_TAMATUBERIA(CC90,EC90,$N$9,S90,I90)</f>
        <v/>
      </c>
      <c r="CH90" s="906" t="str">
        <f t="shared" si="45"/>
        <v/>
      </c>
      <c r="CI90" s="510" t="str">
        <f t="shared" si="46"/>
        <v>-</v>
      </c>
      <c r="CJ90" s="511" t="str">
        <f t="shared" si="47"/>
        <v>-</v>
      </c>
      <c r="CK90" s="512" t="str">
        <f t="shared" si="48"/>
        <v>-</v>
      </c>
      <c r="CL90" s="907" t="str">
        <f t="shared" si="49"/>
        <v>-</v>
      </c>
      <c r="CM90" s="908" t="str">
        <f t="shared" si="50"/>
        <v>-</v>
      </c>
      <c r="CN90" s="909" t="str">
        <f t="shared" si="51"/>
        <v>-</v>
      </c>
      <c r="CO90" s="910" t="str" cm="1">
        <f t="array" ref="CO90">[1]!ACAELE_fasecorresponde(B90,$F$10,$P$5)</f>
        <v>C</v>
      </c>
      <c r="CP90" s="910" t="str" cm="1">
        <f t="array" ref="CP90">[1]!ACAELE_fasecorresponde(C90,$F$10,$P$5)</f>
        <v>-</v>
      </c>
      <c r="CQ90" s="910" t="str" cm="1">
        <f t="array" ref="CQ90">[1]!ACAELE_fasecorresponde(D90,$F$10,$P$5)</f>
        <v>-</v>
      </c>
      <c r="CR90" s="911" t="str">
        <f t="shared" si="52"/>
        <v>C</v>
      </c>
      <c r="CS90" s="912">
        <f t="shared" si="53"/>
        <v>1</v>
      </c>
      <c r="CT90" s="913">
        <f t="shared" si="54"/>
        <v>0.8</v>
      </c>
      <c r="CU90" s="914" t="str">
        <f t="shared" si="55"/>
        <v/>
      </c>
      <c r="CV90" s="915">
        <f t="shared" si="56"/>
        <v>0</v>
      </c>
      <c r="CW90" s="916" t="str" cm="1">
        <f t="array" ref="CW90">[1]!ACAELE_Inominal(BB90,F90,BT90,BV90,DA90,G90,V90,$P$5)</f>
        <v/>
      </c>
      <c r="CX90" s="917" t="str" cm="1">
        <f t="array" ref="CX90">[1]!ACAELE_Disparocalculado(BB90,H90,DL90,$N$21,$M$21,$O$21,BV90,$P$5)</f>
        <v/>
      </c>
      <c r="CY90" s="918" t="str" cm="1">
        <f t="array" ref="CY90">[1]!ACAELE_Icorregida($A$27,H90,BB90,BU90,CS90,CT90,$P$5)</f>
        <v/>
      </c>
      <c r="CZ90" s="919" t="str" cm="1">
        <f t="array" ref="CZ90">[1]!ACAELE_Icorregida2($A$27,H90,BB90,BU90,CS90,CU90,$P$5)</f>
        <v/>
      </c>
      <c r="DA90" s="920">
        <f t="shared" si="57"/>
        <v>0.9</v>
      </c>
      <c r="DB90" s="921">
        <f t="shared" si="58"/>
        <v>0.43588989435406728</v>
      </c>
      <c r="DC90" s="922" t="str" cm="1">
        <f t="array" ref="DC90">[1]!ACAELE_CONDPORTCORRIENTE(H90,BB90,I90,M90,CY90,CZ90,N90,$P$5)</f>
        <v/>
      </c>
      <c r="DD90" s="923" t="str" cm="1">
        <f t="array" ref="DD90">[1]!ACAELE_CAPACONDCORRIENTE(BB90,H90,I90,M90,CY90,CZ90,$P$5)</f>
        <v/>
      </c>
      <c r="DE90" s="923" t="str" cm="1">
        <f t="array" ref="DE90">[1]!ACAELE_CAPACIDADCABLE(BB90,H90,I90,M90,DC90,N90,$P$5)</f>
        <v/>
      </c>
      <c r="DF90" s="924" t="str" cm="1">
        <f t="array" ref="DF90">[1]!ACAELE_encontrarcaida(BB90,H90,L90,BV90,F90,BU90,N90,K90)</f>
        <v/>
      </c>
      <c r="DG90" s="925" t="str" cm="1">
        <f t="array" ref="DG90">[1]!ACAELE_Cablecaida(BB90,H90,M90,I90,DF90)</f>
        <v/>
      </c>
      <c r="DH90" s="918" t="str" cm="1">
        <f t="array" ref="DH90">[1]!ACAELE_CAPACIDADCABLE(BB90,H90,I90,M90,DG90,N90,$P$5)</f>
        <v/>
      </c>
      <c r="DI90" s="926" t="str" cm="1">
        <f t="array" ref="DI90">IF($A$27=1,"",[1]!ACAELE_encontrarcaida(BB90,H90,R90,BV90,F90,BU90,T90,Q90,$P$5))</f>
        <v/>
      </c>
      <c r="DJ90" s="914" t="str" cm="1">
        <f t="array" ref="DJ90">IF($A$27=1,"",[1]!ACAELE_Cablecaida2(BB90,Q90,H90,S90,I90,DI90,$P$5))</f>
        <v/>
      </c>
      <c r="DK90" s="919" t="str" cm="1">
        <f t="array" ref="DK90">[1]!ACAELE_CAPACIDADCABLE(BB90,H90,I90,M90,DJ90,N90,$P$5)</f>
        <v/>
      </c>
      <c r="DL90" s="927" t="str" cm="1">
        <f t="array" ref="DL90">[1]!acaele_Iproteccion(BB90,H90,BU90,$F$20,$G$20,$F$19,$G$19,$H$20,$H$19,$P$5)</f>
        <v/>
      </c>
      <c r="DM90" s="928" cm="1">
        <f t="array" ref="DM90">[1]!acaele_ProtCalculada(CX90,H90,BT90,BW90,$G$21,$F$21,$H$21,$P$5)</f>
        <v>0</v>
      </c>
      <c r="DN90" s="929" t="str" cm="1">
        <f t="array" ref="DN90">[1]!ACAELE_cablecalculo(BB90,H90,I90,M90,EF90,$P$5)</f>
        <v/>
      </c>
      <c r="DO90" s="930" t="str" cm="1">
        <f t="array" ref="DO90">[1]!ACAELE_RESISTENCIA(BB90,H90,M90,I90,BX90, CW90,$P$5)</f>
        <v/>
      </c>
      <c r="DP90" s="931" t="str" cm="1">
        <f t="array" ref="DP90">[1]!ACAELE_REACTANCIA(BB90,H90,$F$11,M90,I90,BX90,$P$5)</f>
        <v/>
      </c>
      <c r="DQ90" s="918" t="str" cm="1">
        <f t="array" ref="DQ90">[1]!ACAELE_DIAMECAISLA(BB90,H90,I90,BX90,$P$5)</f>
        <v/>
      </c>
      <c r="DR90" s="918" t="str" cm="1">
        <f t="array" ref="DR90">[1]!ACAELE_AREACAISLAMIENTO(BB90,H90,DQ90,$P$5)</f>
        <v/>
      </c>
      <c r="DS90" s="918" t="str" cm="1">
        <f t="array" ref="DS90">[1]!ACAELE_CAIDAVOLTSFINAL(BB90,H90,F90,K90,BU90,N90,DO90,DA90,DP90,DB90,$P$5)</f>
        <v/>
      </c>
      <c r="DT90" s="918" t="str" cm="1">
        <f t="array" ref="DT90">[1]!ACAELE_AREACONDPTE(BB90,H90,CA90,$P$5)</f>
        <v/>
      </c>
      <c r="DU90" s="932" t="str" cm="1">
        <f t="array" ref="DU90">[1]!ACAELE_AREATOTAL(BZ90,M90,EO90,N90,DQ90,G90,DR90,DT90,N$20,$P$5)</f>
        <v/>
      </c>
      <c r="DV90" s="933" t="str" cm="1">
        <f t="array" ref="DV90">IF($A$27=1,"",[1]!ACAELE_cablecalculo(BB90,H90,I90,M90,EG90,$P$5))</f>
        <v/>
      </c>
      <c r="DW90" s="934" t="str" cm="1">
        <f t="array" ref="DW90">IF($A$27=1,"",[1]!ACAELE_RESISTENCIA(BB90,H90,M90,I90,CC90,CW90,$P$5))</f>
        <v/>
      </c>
      <c r="DX90" s="926" t="str" cm="1">
        <f t="array" ref="DX90">IF($A$27=1,"",[1]!ACAELE_REACTANCIA(BB90,H90,$F$11,M90,I90,CC90,$P$5))</f>
        <v/>
      </c>
      <c r="DY90" s="935" t="str" cm="1">
        <f t="array" ref="DY90">IF($A$27=1,"",[1]!ACAELE_DIAMECAISLA(BB90,H90,I90,CC90,$P$5))</f>
        <v/>
      </c>
      <c r="DZ90" s="935" t="str" cm="1">
        <f t="array" ref="DZ90">IF($A$27=1,"",[1]!ACAELE_AREACAISLAMIENTO(BB90,H90,DY90,$P$5))</f>
        <v/>
      </c>
      <c r="EA90" s="935" t="str" cm="1">
        <f t="array" ref="EA90">[1]!ACAELE_CAIDAVOLTSFINAL2(BB90,Q90,H90,F90,$A$27,BU90,T90,DW90,DA90,DX90,DB90)</f>
        <v/>
      </c>
      <c r="EB90" s="935" t="str" cm="1">
        <f t="array" ref="EB90">IF($A$27=1,"",[1]!ACAELE_AREACONDPTE(BB90,H90,CF90,$P$5))</f>
        <v/>
      </c>
      <c r="EC90" s="936" t="str" cm="1">
        <f t="array" ref="EC90">[1]!ACAELE_AREATOTAL2(H90,$A$27,DY90,S90,G90,T90,DZ90,U90,EB90)</f>
        <v/>
      </c>
      <c r="ED90" s="937" t="str">
        <f t="shared" si="59"/>
        <v/>
      </c>
      <c r="EE90" s="938" t="str">
        <f t="shared" si="60"/>
        <v/>
      </c>
      <c r="EF90" s="939" t="str">
        <f t="shared" si="61"/>
        <v/>
      </c>
      <c r="EG90" s="940">
        <f t="shared" si="62"/>
        <v>0</v>
      </c>
      <c r="EH90" s="941" t="str">
        <f t="shared" si="63"/>
        <v/>
      </c>
      <c r="EI90" s="942">
        <f t="shared" si="64"/>
        <v>30</v>
      </c>
      <c r="EJ90" s="943" t="str">
        <f t="shared" si="11"/>
        <v/>
      </c>
      <c r="EK90" s="943" t="str">
        <f t="shared" si="12"/>
        <v/>
      </c>
      <c r="EL90" s="943" t="str">
        <f t="shared" si="13"/>
        <v/>
      </c>
      <c r="EM90" s="944" t="str">
        <f t="shared" si="14"/>
        <v/>
      </c>
      <c r="EN90" s="945" t="str" cm="1">
        <f t="array" ref="EN90">[1]!ACAELE_MOTOR(H90,X90:BA90,$X$26:$BA$26,$P$5)</f>
        <v/>
      </c>
      <c r="EO90" s="550" t="str">
        <f t="shared" si="65"/>
        <v/>
      </c>
      <c r="EP90" s="431" t="s">
        <v>1214</v>
      </c>
      <c r="EQ90" s="434" t="str">
        <f t="shared" ca="1" si="66"/>
        <v/>
      </c>
      <c r="ER90" s="32"/>
      <c r="ES90" s="32"/>
      <c r="ET90" s="3" t="str">
        <f t="shared" si="67"/>
        <v/>
      </c>
      <c r="EU90" s="3" t="str">
        <f t="shared" si="68"/>
        <v/>
      </c>
      <c r="EV90" s="3" t="str">
        <f t="shared" si="69"/>
        <v/>
      </c>
      <c r="EW90" s="3" t="str">
        <f t="shared" si="70"/>
        <v/>
      </c>
      <c r="EX90" s="3" t="str">
        <f t="shared" si="71"/>
        <v/>
      </c>
      <c r="EY90" s="3" t="str">
        <f t="shared" si="72"/>
        <v/>
      </c>
      <c r="EZ90" s="3" t="str">
        <f t="shared" si="73"/>
        <v/>
      </c>
      <c r="FA90" s="3" t="str">
        <f t="shared" si="74"/>
        <v/>
      </c>
      <c r="FB90" s="3" t="str">
        <f t="shared" si="75"/>
        <v/>
      </c>
      <c r="FC90" s="3">
        <f t="shared" si="76"/>
        <v>0</v>
      </c>
      <c r="FD90" s="32"/>
      <c r="FE90" s="32"/>
      <c r="FF90" s="103">
        <v>1</v>
      </c>
      <c r="FG90" s="32"/>
      <c r="FH90" s="103"/>
      <c r="FI90" s="32"/>
      <c r="FJ90" s="103"/>
      <c r="FK90" s="3">
        <f t="shared" si="77"/>
        <v>0</v>
      </c>
      <c r="FL90" s="3" t="str" cm="1">
        <f t="array" aca="1" ref="FL90" ca="1">[1]!acaele_DIB_UNIFILAR(BB90,H90,F90,COUNTIF(X90:BA90,1),BW90)</f>
        <v/>
      </c>
      <c r="FM90" s="3" t="str">
        <f>IF(DATOS!$T$4=0,"",IF(DATOS!$T$4=1," (QO)",IF(DATOS!$T$4=2," (QOB)",IF(DATOS!$T$4=3," (EDB)",IF(DATOS!$T$4=4,IF(BW90&lt;151," (H"&amp;FN90&amp;")",IF(BW90&lt;251," (J"&amp;FN90&amp;")", IF(BW90&lt;401," (LA)",IF(BW90&lt;801," (MG)",IF(BW90&lt;5001," (POWERPACK)",""))))))))))</f>
        <v xml:space="preserve"> (QOB)</v>
      </c>
      <c r="FN90" s="3" t="str">
        <f t="shared" si="78"/>
        <v/>
      </c>
      <c r="FO90" s="146"/>
      <c r="FP90" s="146"/>
      <c r="FQ90" s="146"/>
      <c r="FR90" s="146"/>
      <c r="FS90" s="146"/>
      <c r="FT90" s="146"/>
      <c r="FU90" s="146"/>
      <c r="FV90" s="146"/>
      <c r="FW90" s="146"/>
      <c r="FX90" s="146" t="str">
        <f t="shared" si="9"/>
        <v/>
      </c>
      <c r="FY90" s="736"/>
      <c r="FZ90" s="740"/>
      <c r="GA90" s="740"/>
      <c r="GB90" s="717"/>
      <c r="GC90" s="838"/>
      <c r="GD90" s="736"/>
      <c r="GE90" s="146"/>
      <c r="GF90" s="506"/>
      <c r="GG90" s="506"/>
      <c r="GH90" s="506"/>
      <c r="GI90" s="506"/>
      <c r="GJ90" s="506"/>
      <c r="GM90" s="3">
        <f>IF(OR(GN90&gt;TABLERO!$M$19,GO90&gt;TABLERO!$M$19,GP90&gt;TABLERO!$M$19,B90=0,C90=0,D90=0),2,CUADROACAD!A90)</f>
        <v>2</v>
      </c>
      <c r="GN90" s="3">
        <f>IF(TABLERO!B90="",0,TABLERO!B90)</f>
        <v>60</v>
      </c>
      <c r="GO90" s="3">
        <f>IF(TABLERO!C90="",GN90,TABLERO!C90)</f>
        <v>60</v>
      </c>
      <c r="GP90" s="3">
        <f>IF(TABLERO!D90="",GN90,TABLERO!D90)</f>
        <v>60</v>
      </c>
    </row>
    <row r="91" spans="1:198" s="3" customFormat="1">
      <c r="A91" s="706"/>
      <c r="B91" s="869">
        <v>61</v>
      </c>
      <c r="C91" s="870" t="str">
        <f t="shared" si="15"/>
        <v/>
      </c>
      <c r="D91" s="870" t="str">
        <f t="shared" si="16"/>
        <v/>
      </c>
      <c r="E91" s="871"/>
      <c r="F91" s="872">
        <v>1</v>
      </c>
      <c r="G91" s="716">
        <f t="shared" si="17"/>
        <v>2</v>
      </c>
      <c r="H91" s="873" t="s">
        <v>12</v>
      </c>
      <c r="I91" s="874" t="str">
        <f t="shared" si="18"/>
        <v>CU</v>
      </c>
      <c r="J91" s="875">
        <v>6</v>
      </c>
      <c r="K91" s="876">
        <v>10</v>
      </c>
      <c r="L91" s="876">
        <v>3</v>
      </c>
      <c r="M91" s="877">
        <v>1</v>
      </c>
      <c r="N91" s="877">
        <v>1</v>
      </c>
      <c r="O91" s="878">
        <v>1</v>
      </c>
      <c r="P91" s="879">
        <v>4</v>
      </c>
      <c r="Q91" s="880">
        <v>1</v>
      </c>
      <c r="R91" s="880">
        <v>1</v>
      </c>
      <c r="S91" s="881">
        <v>1</v>
      </c>
      <c r="T91" s="881">
        <v>1</v>
      </c>
      <c r="U91" s="882">
        <v>1</v>
      </c>
      <c r="V91" s="883">
        <v>1</v>
      </c>
      <c r="W91" s="874" t="str">
        <f t="shared" si="19"/>
        <v>SI</v>
      </c>
      <c r="X91" s="884"/>
      <c r="Y91" s="885"/>
      <c r="Z91" s="885"/>
      <c r="AA91" s="885"/>
      <c r="AB91" s="885"/>
      <c r="AC91" s="885"/>
      <c r="AD91" s="885"/>
      <c r="AE91" s="885"/>
      <c r="AF91" s="885"/>
      <c r="AG91" s="885"/>
      <c r="AH91" s="885"/>
      <c r="AI91" s="885"/>
      <c r="AJ91" s="885"/>
      <c r="AK91" s="885"/>
      <c r="AL91" s="885"/>
      <c r="AM91" s="885"/>
      <c r="AN91" s="885"/>
      <c r="AO91" s="885"/>
      <c r="AP91" s="885"/>
      <c r="AQ91" s="885"/>
      <c r="AR91" s="885"/>
      <c r="AS91" s="885"/>
      <c r="AT91" s="885"/>
      <c r="AU91" s="885"/>
      <c r="AV91" s="885"/>
      <c r="AW91" s="885"/>
      <c r="AX91" s="885"/>
      <c r="AY91" s="885"/>
      <c r="AZ91" s="885"/>
      <c r="BA91" s="886"/>
      <c r="BB91" s="887">
        <f t="shared" si="20"/>
        <v>0</v>
      </c>
      <c r="BC91" s="888" t="str">
        <f t="shared" si="21"/>
        <v/>
      </c>
      <c r="BD91" s="889" t="str">
        <f t="shared" si="22"/>
        <v/>
      </c>
      <c r="BE91" s="889" t="str">
        <f t="shared" si="23"/>
        <v/>
      </c>
      <c r="BF91" s="889" t="str">
        <f t="shared" si="24"/>
        <v/>
      </c>
      <c r="BG91" s="889" t="str">
        <f t="shared" si="25"/>
        <v/>
      </c>
      <c r="BH91" s="889" t="str">
        <f t="shared" si="26"/>
        <v/>
      </c>
      <c r="BI91" s="890" t="str">
        <f t="shared" si="27"/>
        <v/>
      </c>
      <c r="BJ91" s="891" t="str">
        <f t="shared" si="28"/>
        <v/>
      </c>
      <c r="BK91" s="892" t="str">
        <f t="shared" si="29"/>
        <v/>
      </c>
      <c r="BL91" s="892" t="str">
        <f t="shared" si="30"/>
        <v/>
      </c>
      <c r="BM91" s="892" t="str">
        <f t="shared" si="31"/>
        <v/>
      </c>
      <c r="BN91" s="892" t="str">
        <f t="shared" si="32"/>
        <v/>
      </c>
      <c r="BO91" s="892" t="str">
        <f t="shared" si="33"/>
        <v/>
      </c>
      <c r="BP91" s="893" t="str">
        <f t="shared" si="34"/>
        <v/>
      </c>
      <c r="BQ91" s="894" t="str">
        <f t="shared" si="35"/>
        <v/>
      </c>
      <c r="BR91" s="895" t="str">
        <f t="shared" si="10"/>
        <v/>
      </c>
      <c r="BS91" s="896" t="str">
        <f t="shared" si="36"/>
        <v/>
      </c>
      <c r="BT91" s="897" t="str">
        <f t="shared" si="37"/>
        <v/>
      </c>
      <c r="BU91" s="231" t="str">
        <f t="shared" si="38"/>
        <v/>
      </c>
      <c r="BV91" s="898">
        <f t="shared" si="39"/>
        <v>127</v>
      </c>
      <c r="BW91" s="845" t="str">
        <f t="shared" si="40"/>
        <v/>
      </c>
      <c r="BX91" s="899" t="str">
        <f t="shared" si="41"/>
        <v/>
      </c>
      <c r="BY91" s="900" t="str" cm="1">
        <f t="array" ref="BY91">[1]!ACAELE_CAPACIDADCABLE(BB91,H91,I91,M91,BX91,N91)</f>
        <v/>
      </c>
      <c r="BZ91" s="900" t="str">
        <f t="shared" si="42"/>
        <v/>
      </c>
      <c r="CA91" s="901" t="str" cm="1">
        <f t="array" ref="CA91">[1]!ACAELE_cabledetierra(BZ91,$N$9,I91,BW91,BX91,G91)</f>
        <v/>
      </c>
      <c r="CB91" s="902" t="str" cm="1">
        <f t="array" ref="CB91">[1]!ACAELE_TAMATUBERIA(BX91,DU91,$N$9,M91,I91)</f>
        <v/>
      </c>
      <c r="CC91" s="846" t="str">
        <f t="shared" si="43"/>
        <v/>
      </c>
      <c r="CD91" s="903" t="str" cm="1">
        <f t="array" ref="CD91">[1]!ACAELE_CAPACIDADCABLE(BB91,H91,I91,M91,CC91,N91)</f>
        <v/>
      </c>
      <c r="CE91" s="903" t="str">
        <f t="shared" si="44"/>
        <v/>
      </c>
      <c r="CF91" s="904" t="str" cm="1">
        <f t="array" ref="CF91">[1]!ACAELE_cabledetierra(CE91,$N$9,I91,BW91,CC91,G91)</f>
        <v/>
      </c>
      <c r="CG91" s="905" t="str" cm="1">
        <f t="array" ref="CG91">[1]!ACAELE_TAMATUBERIA(CC91,EC91,$N$9,S91,I91)</f>
        <v/>
      </c>
      <c r="CH91" s="906" t="str">
        <f t="shared" si="45"/>
        <v/>
      </c>
      <c r="CI91" s="510" t="str">
        <f t="shared" si="46"/>
        <v>-</v>
      </c>
      <c r="CJ91" s="511" t="str">
        <f t="shared" si="47"/>
        <v>-</v>
      </c>
      <c r="CK91" s="512" t="str">
        <f t="shared" si="48"/>
        <v>-</v>
      </c>
      <c r="CL91" s="907" t="str">
        <f t="shared" si="49"/>
        <v>-</v>
      </c>
      <c r="CM91" s="908" t="str">
        <f t="shared" si="50"/>
        <v>-</v>
      </c>
      <c r="CN91" s="909" t="str">
        <f t="shared" si="51"/>
        <v>-</v>
      </c>
      <c r="CO91" s="910" t="str" cm="1">
        <f t="array" ref="CO91">[1]!ACAELE_fasecorresponde(B91,$F$10,$P$5)</f>
        <v>A</v>
      </c>
      <c r="CP91" s="910" t="str" cm="1">
        <f t="array" ref="CP91">[1]!ACAELE_fasecorresponde(C91,$F$10,$P$5)</f>
        <v>-</v>
      </c>
      <c r="CQ91" s="910" t="str" cm="1">
        <f t="array" ref="CQ91">[1]!ACAELE_fasecorresponde(D91,$F$10,$P$5)</f>
        <v>-</v>
      </c>
      <c r="CR91" s="911" t="str">
        <f t="shared" si="52"/>
        <v>C</v>
      </c>
      <c r="CS91" s="912">
        <f t="shared" si="53"/>
        <v>1</v>
      </c>
      <c r="CT91" s="913">
        <f t="shared" si="54"/>
        <v>0.8</v>
      </c>
      <c r="CU91" s="914" t="str">
        <f t="shared" si="55"/>
        <v/>
      </c>
      <c r="CV91" s="915">
        <f t="shared" si="56"/>
        <v>0</v>
      </c>
      <c r="CW91" s="916" t="str" cm="1">
        <f t="array" ref="CW91">[1]!ACAELE_Inominal(BB91,F91,BT91,BV91,DA91,G91,V91,$P$5)</f>
        <v/>
      </c>
      <c r="CX91" s="917" t="str" cm="1">
        <f t="array" ref="CX91">[1]!ACAELE_Disparocalculado(BB91,H91,DL91,$N$21,$M$21,$O$21,BV91,$P$5)</f>
        <v/>
      </c>
      <c r="CY91" s="918" t="str" cm="1">
        <f t="array" ref="CY91">[1]!ACAELE_Icorregida($A$27,H91,BB91,BU91,CS91,CT91,$P$5)</f>
        <v/>
      </c>
      <c r="CZ91" s="919" t="str" cm="1">
        <f t="array" ref="CZ91">[1]!ACAELE_Icorregida2($A$27,H91,BB91,BU91,CS91,CU91,$P$5)</f>
        <v/>
      </c>
      <c r="DA91" s="920">
        <f t="shared" si="57"/>
        <v>0.9</v>
      </c>
      <c r="DB91" s="921">
        <f t="shared" si="58"/>
        <v>0.43588989435406728</v>
      </c>
      <c r="DC91" s="922" t="str" cm="1">
        <f t="array" ref="DC91">[1]!ACAELE_CONDPORTCORRIENTE(H91,BB91,I91,M91,CY91,CZ91,N91,$P$5)</f>
        <v/>
      </c>
      <c r="DD91" s="923" t="str" cm="1">
        <f t="array" ref="DD91">[1]!ACAELE_CAPACONDCORRIENTE(BB91,H91,I91,M91,CY91,CZ91,$P$5)</f>
        <v/>
      </c>
      <c r="DE91" s="923" t="str" cm="1">
        <f t="array" ref="DE91">[1]!ACAELE_CAPACIDADCABLE(BB91,H91,I91,M91,DC91,N91,$P$5)</f>
        <v/>
      </c>
      <c r="DF91" s="924" t="str" cm="1">
        <f t="array" ref="DF91">[1]!ACAELE_encontrarcaida(BB91,H91,L91,BV91,F91,BU91,N91,K91)</f>
        <v/>
      </c>
      <c r="DG91" s="925" t="str" cm="1">
        <f t="array" ref="DG91">[1]!ACAELE_Cablecaida(BB91,H91,M91,I91,DF91)</f>
        <v/>
      </c>
      <c r="DH91" s="918" t="str" cm="1">
        <f t="array" ref="DH91">[1]!ACAELE_CAPACIDADCABLE(BB91,H91,I91,M91,DG91,N91,$P$5)</f>
        <v/>
      </c>
      <c r="DI91" s="926" t="str" cm="1">
        <f t="array" ref="DI91">IF($A$27=1,"",[1]!ACAELE_encontrarcaida(BB91,H91,R91,BV91,F91,BU91,T91,Q91,$P$5))</f>
        <v/>
      </c>
      <c r="DJ91" s="914" t="str" cm="1">
        <f t="array" ref="DJ91">IF($A$27=1,"",[1]!ACAELE_Cablecaida2(BB91,Q91,H91,S91,I91,DI91,$P$5))</f>
        <v/>
      </c>
      <c r="DK91" s="919" t="str" cm="1">
        <f t="array" ref="DK91">[1]!ACAELE_CAPACIDADCABLE(BB91,H91,I91,M91,DJ91,N91,$P$5)</f>
        <v/>
      </c>
      <c r="DL91" s="927" t="str" cm="1">
        <f t="array" ref="DL91">[1]!acaele_Iproteccion(BB91,H91,BU91,$F$20,$G$20,$F$19,$G$19,$H$20,$H$19,$P$5)</f>
        <v/>
      </c>
      <c r="DM91" s="928" cm="1">
        <f t="array" ref="DM91">[1]!acaele_ProtCalculada(CX91,H91,BT91,BW91,$G$21,$F$21,$H$21,$P$5)</f>
        <v>0</v>
      </c>
      <c r="DN91" s="929" t="str" cm="1">
        <f t="array" ref="DN91">[1]!ACAELE_cablecalculo(BB91,H91,I91,M91,EF91,$P$5)</f>
        <v/>
      </c>
      <c r="DO91" s="930" t="str" cm="1">
        <f t="array" ref="DO91">[1]!ACAELE_RESISTENCIA(BB91,H91,M91,I91,BX91, CW91,$P$5)</f>
        <v/>
      </c>
      <c r="DP91" s="931" t="str" cm="1">
        <f t="array" ref="DP91">[1]!ACAELE_REACTANCIA(BB91,H91,$F$11,M91,I91,BX91,$P$5)</f>
        <v/>
      </c>
      <c r="DQ91" s="918" t="str" cm="1">
        <f t="array" ref="DQ91">[1]!ACAELE_DIAMECAISLA(BB91,H91,I91,BX91,$P$5)</f>
        <v/>
      </c>
      <c r="DR91" s="918" t="str" cm="1">
        <f t="array" ref="DR91">[1]!ACAELE_AREACAISLAMIENTO(BB91,H91,DQ91,$P$5)</f>
        <v/>
      </c>
      <c r="DS91" s="918" t="str" cm="1">
        <f t="array" ref="DS91">[1]!ACAELE_CAIDAVOLTSFINAL(BB91,H91,F91,K91,BU91,N91,DO91,DA91,DP91,DB91,$P$5)</f>
        <v/>
      </c>
      <c r="DT91" s="918" t="str" cm="1">
        <f t="array" ref="DT91">[1]!ACAELE_AREACONDPTE(BB91,H91,CA91,$P$5)</f>
        <v/>
      </c>
      <c r="DU91" s="932" t="str" cm="1">
        <f t="array" ref="DU91">[1]!ACAELE_AREATOTAL(BZ91,M91,EO91,N91,DQ91,G91,DR91,DT91,N$20,$P$5)</f>
        <v/>
      </c>
      <c r="DV91" s="933" t="str" cm="1">
        <f t="array" ref="DV91">IF($A$27=1,"",[1]!ACAELE_cablecalculo(BB91,H91,I91,M91,EG91,$P$5))</f>
        <v/>
      </c>
      <c r="DW91" s="934" t="str" cm="1">
        <f t="array" ref="DW91">IF($A$27=1,"",[1]!ACAELE_RESISTENCIA(BB91,H91,M91,I91,CC91,CW91,$P$5))</f>
        <v/>
      </c>
      <c r="DX91" s="926" t="str" cm="1">
        <f t="array" ref="DX91">IF($A$27=1,"",[1]!ACAELE_REACTANCIA(BB91,H91,$F$11,M91,I91,CC91,$P$5))</f>
        <v/>
      </c>
      <c r="DY91" s="935" t="str" cm="1">
        <f t="array" ref="DY91">IF($A$27=1,"",[1]!ACAELE_DIAMECAISLA(BB91,H91,I91,CC91,$P$5))</f>
        <v/>
      </c>
      <c r="DZ91" s="935" t="str" cm="1">
        <f t="array" ref="DZ91">IF($A$27=1,"",[1]!ACAELE_AREACAISLAMIENTO(BB91,H91,DY91,$P$5))</f>
        <v/>
      </c>
      <c r="EA91" s="935" t="str" cm="1">
        <f t="array" ref="EA91">[1]!ACAELE_CAIDAVOLTSFINAL2(BB91,Q91,H91,F91,$A$27,BU91,T91,DW91,DA91,DX91,DB91)</f>
        <v/>
      </c>
      <c r="EB91" s="935" t="str" cm="1">
        <f t="array" ref="EB91">IF($A$27=1,"",[1]!ACAELE_AREACONDPTE(BB91,H91,CF91,$P$5))</f>
        <v/>
      </c>
      <c r="EC91" s="936" t="str" cm="1">
        <f t="array" ref="EC91">[1]!ACAELE_AREATOTAL2(H91,$A$27,DY91,S91,G91,T91,DZ91,U91,EB91)</f>
        <v/>
      </c>
      <c r="ED91" s="937" t="str">
        <f t="shared" si="59"/>
        <v/>
      </c>
      <c r="EE91" s="938" t="str">
        <f t="shared" si="60"/>
        <v/>
      </c>
      <c r="EF91" s="939" t="str">
        <f t="shared" si="61"/>
        <v/>
      </c>
      <c r="EG91" s="940">
        <f t="shared" si="62"/>
        <v>0</v>
      </c>
      <c r="EH91" s="941" t="str">
        <f t="shared" si="63"/>
        <v/>
      </c>
      <c r="EI91" s="942">
        <f t="shared" si="64"/>
        <v>30</v>
      </c>
      <c r="EJ91" s="943" t="str">
        <f t="shared" si="11"/>
        <v/>
      </c>
      <c r="EK91" s="943" t="str">
        <f t="shared" si="12"/>
        <v/>
      </c>
      <c r="EL91" s="943" t="str">
        <f t="shared" si="13"/>
        <v/>
      </c>
      <c r="EM91" s="944" t="str">
        <f t="shared" si="14"/>
        <v/>
      </c>
      <c r="EN91" s="945" t="str" cm="1">
        <f t="array" ref="EN91">[1]!ACAELE_MOTOR(H91,X91:BA91,$X$26:$BA$26,$P$5)</f>
        <v/>
      </c>
      <c r="EO91" s="550" t="str">
        <f t="shared" si="65"/>
        <v/>
      </c>
      <c r="EP91" s="431" t="s">
        <v>1214</v>
      </c>
      <c r="EQ91" s="434" t="str">
        <f t="shared" ca="1" si="66"/>
        <v/>
      </c>
      <c r="ER91" s="32"/>
      <c r="ES91" s="32"/>
      <c r="ET91" s="3" t="str">
        <f t="shared" si="67"/>
        <v/>
      </c>
      <c r="EU91" s="3" t="str">
        <f t="shared" si="68"/>
        <v/>
      </c>
      <c r="EV91" s="3" t="str">
        <f t="shared" si="69"/>
        <v/>
      </c>
      <c r="EW91" s="3" t="str">
        <f t="shared" si="70"/>
        <v/>
      </c>
      <c r="EX91" s="3" t="str">
        <f t="shared" si="71"/>
        <v/>
      </c>
      <c r="EY91" s="3" t="str">
        <f t="shared" si="72"/>
        <v/>
      </c>
      <c r="EZ91" s="3" t="str">
        <f t="shared" si="73"/>
        <v/>
      </c>
      <c r="FA91" s="3" t="str">
        <f t="shared" si="74"/>
        <v/>
      </c>
      <c r="FB91" s="3" t="str">
        <f t="shared" si="75"/>
        <v/>
      </c>
      <c r="FC91" s="3">
        <f t="shared" si="76"/>
        <v>0</v>
      </c>
      <c r="FD91" s="32"/>
      <c r="FE91" s="32"/>
      <c r="FF91" s="103">
        <v>1</v>
      </c>
      <c r="FG91" s="32"/>
      <c r="FH91" s="103"/>
      <c r="FI91" s="32"/>
      <c r="FJ91" s="103"/>
      <c r="FK91" s="3">
        <f t="shared" si="77"/>
        <v>0</v>
      </c>
      <c r="FL91" s="3" t="str" cm="1">
        <f t="array" aca="1" ref="FL91" ca="1">[1]!acaele_DIB_UNIFILAR(BB91,H91,F91,COUNTIF(X91:BA91,1),BW91)</f>
        <v/>
      </c>
      <c r="FM91" s="3" t="str">
        <f>IF(DATOS!$T$4=0,"",IF(DATOS!$T$4=1," (QO)",IF(DATOS!$T$4=2," (QOB)",IF(DATOS!$T$4=3," (EDB)",IF(DATOS!$T$4=4,IF(BW91&lt;151," (H"&amp;FN91&amp;")",IF(BW91&lt;251," (J"&amp;FN91&amp;")", IF(BW91&lt;401," (LA)",IF(BW91&lt;801," (MG)",IF(BW91&lt;5001," (POWERPACK)",""))))))))))</f>
        <v xml:space="preserve"> (QOB)</v>
      </c>
      <c r="FN91" s="3" t="str">
        <f t="shared" si="78"/>
        <v/>
      </c>
      <c r="FO91" s="146"/>
      <c r="FP91" s="146"/>
      <c r="FQ91" s="146"/>
      <c r="FR91" s="146"/>
      <c r="FS91" s="146"/>
      <c r="FT91" s="146"/>
      <c r="FU91" s="146"/>
      <c r="FV91" s="146"/>
      <c r="FW91" s="146"/>
      <c r="FX91" s="146" t="str">
        <f t="shared" si="9"/>
        <v/>
      </c>
      <c r="FY91" s="736"/>
      <c r="FZ91" s="740"/>
      <c r="GA91" s="740"/>
      <c r="GB91" s="717"/>
      <c r="GC91" s="838"/>
      <c r="GD91" s="736"/>
      <c r="GE91" s="146"/>
      <c r="GF91" s="506"/>
      <c r="GG91" s="506"/>
      <c r="GH91" s="506"/>
      <c r="GI91" s="506"/>
      <c r="GJ91" s="506"/>
      <c r="GM91" s="3">
        <f>IF(OR(GN91&gt;TABLERO!$M$19,GO91&gt;TABLERO!$M$19,GP91&gt;TABLERO!$M$19,B91=0,C91=0,D91=0),2,CUADROACAD!A91)</f>
        <v>2</v>
      </c>
      <c r="GN91" s="3">
        <f>IF(TABLERO!B91="",0,TABLERO!B91)</f>
        <v>61</v>
      </c>
      <c r="GO91" s="3">
        <f>IF(TABLERO!C91="",GN91,TABLERO!C91)</f>
        <v>61</v>
      </c>
      <c r="GP91" s="3">
        <f>IF(TABLERO!D91="",GN91,TABLERO!D91)</f>
        <v>61</v>
      </c>
    </row>
    <row r="92" spans="1:198" s="3" customFormat="1">
      <c r="A92" s="706"/>
      <c r="B92" s="869">
        <v>62</v>
      </c>
      <c r="C92" s="870" t="str">
        <f t="shared" si="15"/>
        <v/>
      </c>
      <c r="D92" s="870" t="str">
        <f t="shared" si="16"/>
        <v/>
      </c>
      <c r="E92" s="871"/>
      <c r="F92" s="872">
        <v>1</v>
      </c>
      <c r="G92" s="716">
        <f t="shared" si="17"/>
        <v>2</v>
      </c>
      <c r="H92" s="873" t="s">
        <v>12</v>
      </c>
      <c r="I92" s="874" t="str">
        <f t="shared" si="18"/>
        <v>CU</v>
      </c>
      <c r="J92" s="875">
        <v>6</v>
      </c>
      <c r="K92" s="876">
        <v>10</v>
      </c>
      <c r="L92" s="876">
        <v>3</v>
      </c>
      <c r="M92" s="877">
        <v>1</v>
      </c>
      <c r="N92" s="877">
        <v>1</v>
      </c>
      <c r="O92" s="878">
        <v>1</v>
      </c>
      <c r="P92" s="879">
        <v>4</v>
      </c>
      <c r="Q92" s="880">
        <v>1</v>
      </c>
      <c r="R92" s="880">
        <v>1</v>
      </c>
      <c r="S92" s="881">
        <v>1</v>
      </c>
      <c r="T92" s="881">
        <v>1</v>
      </c>
      <c r="U92" s="882">
        <v>1</v>
      </c>
      <c r="V92" s="883">
        <v>1</v>
      </c>
      <c r="W92" s="874" t="str">
        <f t="shared" si="19"/>
        <v>SI</v>
      </c>
      <c r="X92" s="884"/>
      <c r="Y92" s="885"/>
      <c r="Z92" s="885"/>
      <c r="AA92" s="885"/>
      <c r="AB92" s="885"/>
      <c r="AC92" s="885"/>
      <c r="AD92" s="885"/>
      <c r="AE92" s="885"/>
      <c r="AF92" s="885"/>
      <c r="AG92" s="885"/>
      <c r="AH92" s="885"/>
      <c r="AI92" s="885"/>
      <c r="AJ92" s="885"/>
      <c r="AK92" s="885"/>
      <c r="AL92" s="885"/>
      <c r="AM92" s="885"/>
      <c r="AN92" s="885"/>
      <c r="AO92" s="885"/>
      <c r="AP92" s="885"/>
      <c r="AQ92" s="885"/>
      <c r="AR92" s="885"/>
      <c r="AS92" s="885"/>
      <c r="AT92" s="885"/>
      <c r="AU92" s="885"/>
      <c r="AV92" s="885"/>
      <c r="AW92" s="885"/>
      <c r="AX92" s="885"/>
      <c r="AY92" s="885"/>
      <c r="AZ92" s="885"/>
      <c r="BA92" s="886"/>
      <c r="BB92" s="887">
        <f t="shared" si="20"/>
        <v>0</v>
      </c>
      <c r="BC92" s="888" t="str">
        <f t="shared" si="21"/>
        <v/>
      </c>
      <c r="BD92" s="889" t="str">
        <f t="shared" si="22"/>
        <v/>
      </c>
      <c r="BE92" s="889" t="str">
        <f t="shared" si="23"/>
        <v/>
      </c>
      <c r="BF92" s="889" t="str">
        <f t="shared" si="24"/>
        <v/>
      </c>
      <c r="BG92" s="889" t="str">
        <f t="shared" si="25"/>
        <v/>
      </c>
      <c r="BH92" s="889" t="str">
        <f t="shared" si="26"/>
        <v/>
      </c>
      <c r="BI92" s="890" t="str">
        <f t="shared" si="27"/>
        <v/>
      </c>
      <c r="BJ92" s="891" t="str">
        <f t="shared" si="28"/>
        <v/>
      </c>
      <c r="BK92" s="892" t="str">
        <f t="shared" si="29"/>
        <v/>
      </c>
      <c r="BL92" s="892" t="str">
        <f t="shared" si="30"/>
        <v/>
      </c>
      <c r="BM92" s="892" t="str">
        <f t="shared" si="31"/>
        <v/>
      </c>
      <c r="BN92" s="892" t="str">
        <f t="shared" si="32"/>
        <v/>
      </c>
      <c r="BO92" s="892" t="str">
        <f t="shared" si="33"/>
        <v/>
      </c>
      <c r="BP92" s="893" t="str">
        <f t="shared" si="34"/>
        <v/>
      </c>
      <c r="BQ92" s="894" t="str">
        <f t="shared" si="35"/>
        <v/>
      </c>
      <c r="BR92" s="895" t="str">
        <f t="shared" si="10"/>
        <v/>
      </c>
      <c r="BS92" s="896" t="str">
        <f t="shared" si="36"/>
        <v/>
      </c>
      <c r="BT92" s="897" t="str">
        <f t="shared" si="37"/>
        <v/>
      </c>
      <c r="BU92" s="231" t="str">
        <f t="shared" si="38"/>
        <v/>
      </c>
      <c r="BV92" s="898">
        <f t="shared" si="39"/>
        <v>127</v>
      </c>
      <c r="BW92" s="845" t="str">
        <f t="shared" si="40"/>
        <v/>
      </c>
      <c r="BX92" s="899" t="str">
        <f t="shared" si="41"/>
        <v/>
      </c>
      <c r="BY92" s="900" t="str" cm="1">
        <f t="array" ref="BY92">[1]!ACAELE_CAPACIDADCABLE(BB92,H92,I92,M92,BX92,N92)</f>
        <v/>
      </c>
      <c r="BZ92" s="900" t="str">
        <f t="shared" si="42"/>
        <v/>
      </c>
      <c r="CA92" s="901" t="str" cm="1">
        <f t="array" ref="CA92">[1]!ACAELE_cabledetierra(BZ92,$N$9,I92,BW92,BX92,G92)</f>
        <v/>
      </c>
      <c r="CB92" s="902" t="str" cm="1">
        <f t="array" ref="CB92">[1]!ACAELE_TAMATUBERIA(BX92,DU92,$N$9,M92,I92)</f>
        <v/>
      </c>
      <c r="CC92" s="846" t="str">
        <f t="shared" si="43"/>
        <v/>
      </c>
      <c r="CD92" s="903" t="str" cm="1">
        <f t="array" ref="CD92">[1]!ACAELE_CAPACIDADCABLE(BB92,H92,I92,M92,CC92,N92)</f>
        <v/>
      </c>
      <c r="CE92" s="903" t="str">
        <f t="shared" si="44"/>
        <v/>
      </c>
      <c r="CF92" s="904" t="str" cm="1">
        <f t="array" ref="CF92">[1]!ACAELE_cabledetierra(CE92,$N$9,I92,BW92,CC92,G92)</f>
        <v/>
      </c>
      <c r="CG92" s="905" t="str" cm="1">
        <f t="array" ref="CG92">[1]!ACAELE_TAMATUBERIA(CC92,EC92,$N$9,S92,I92)</f>
        <v/>
      </c>
      <c r="CH92" s="906" t="str">
        <f t="shared" si="45"/>
        <v/>
      </c>
      <c r="CI92" s="510" t="str">
        <f t="shared" si="46"/>
        <v>-</v>
      </c>
      <c r="CJ92" s="511" t="str">
        <f t="shared" si="47"/>
        <v>-</v>
      </c>
      <c r="CK92" s="512" t="str">
        <f t="shared" si="48"/>
        <v>-</v>
      </c>
      <c r="CL92" s="907" t="str">
        <f t="shared" si="49"/>
        <v>-</v>
      </c>
      <c r="CM92" s="908" t="str">
        <f t="shared" si="50"/>
        <v>-</v>
      </c>
      <c r="CN92" s="909" t="str">
        <f t="shared" si="51"/>
        <v>-</v>
      </c>
      <c r="CO92" s="910" t="str" cm="1">
        <f t="array" ref="CO92">[1]!ACAELE_fasecorresponde(B92,$F$10,$P$5)</f>
        <v>A</v>
      </c>
      <c r="CP92" s="910" t="str" cm="1">
        <f t="array" ref="CP92">[1]!ACAELE_fasecorresponde(C92,$F$10,$P$5)</f>
        <v>-</v>
      </c>
      <c r="CQ92" s="910" t="str" cm="1">
        <f t="array" ref="CQ92">[1]!ACAELE_fasecorresponde(D92,$F$10,$P$5)</f>
        <v>-</v>
      </c>
      <c r="CR92" s="911" t="str">
        <f t="shared" si="52"/>
        <v>C</v>
      </c>
      <c r="CS92" s="912">
        <f t="shared" si="53"/>
        <v>1</v>
      </c>
      <c r="CT92" s="913">
        <f t="shared" si="54"/>
        <v>0.8</v>
      </c>
      <c r="CU92" s="914" t="str">
        <f t="shared" si="55"/>
        <v/>
      </c>
      <c r="CV92" s="915">
        <f t="shared" si="56"/>
        <v>0</v>
      </c>
      <c r="CW92" s="916" t="str" cm="1">
        <f t="array" ref="CW92">[1]!ACAELE_Inominal(BB92,F92,BT92,BV92,DA92,G92,V92,$P$5)</f>
        <v/>
      </c>
      <c r="CX92" s="917" t="str" cm="1">
        <f t="array" ref="CX92">[1]!ACAELE_Disparocalculado(BB92,H92,DL92,$N$21,$M$21,$O$21,BV92,$P$5)</f>
        <v/>
      </c>
      <c r="CY92" s="918" t="str" cm="1">
        <f t="array" ref="CY92">[1]!ACAELE_Icorregida($A$27,H92,BB92,BU92,CS92,CT92,$P$5)</f>
        <v/>
      </c>
      <c r="CZ92" s="919" t="str" cm="1">
        <f t="array" ref="CZ92">[1]!ACAELE_Icorregida2($A$27,H92,BB92,BU92,CS92,CU92,$P$5)</f>
        <v/>
      </c>
      <c r="DA92" s="920">
        <f t="shared" si="57"/>
        <v>0.9</v>
      </c>
      <c r="DB92" s="921">
        <f t="shared" si="58"/>
        <v>0.43588989435406728</v>
      </c>
      <c r="DC92" s="922" t="str" cm="1">
        <f t="array" ref="DC92">[1]!ACAELE_CONDPORTCORRIENTE(H92,BB92,I92,M92,CY92,CZ92,N92,$P$5)</f>
        <v/>
      </c>
      <c r="DD92" s="923" t="str" cm="1">
        <f t="array" ref="DD92">[1]!ACAELE_CAPACONDCORRIENTE(BB92,H92,I92,M92,CY92,CZ92,$P$5)</f>
        <v/>
      </c>
      <c r="DE92" s="923" t="str" cm="1">
        <f t="array" ref="DE92">[1]!ACAELE_CAPACIDADCABLE(BB92,H92,I92,M92,DC92,N92,$P$5)</f>
        <v/>
      </c>
      <c r="DF92" s="924" t="str" cm="1">
        <f t="array" ref="DF92">[1]!ACAELE_encontrarcaida(BB92,H92,L92,BV92,F92,BU92,N92,K92)</f>
        <v/>
      </c>
      <c r="DG92" s="925" t="str" cm="1">
        <f t="array" ref="DG92">[1]!ACAELE_Cablecaida(BB92,H92,M92,I92,DF92)</f>
        <v/>
      </c>
      <c r="DH92" s="918" t="str" cm="1">
        <f t="array" ref="DH92">[1]!ACAELE_CAPACIDADCABLE(BB92,H92,I92,M92,DG92,N92,$P$5)</f>
        <v/>
      </c>
      <c r="DI92" s="926" t="str" cm="1">
        <f t="array" ref="DI92">IF($A$27=1,"",[1]!ACAELE_encontrarcaida(BB92,H92,R92,BV92,F92,BU92,T92,Q92,$P$5))</f>
        <v/>
      </c>
      <c r="DJ92" s="914" t="str" cm="1">
        <f t="array" ref="DJ92">IF($A$27=1,"",[1]!ACAELE_Cablecaida2(BB92,Q92,H92,S92,I92,DI92,$P$5))</f>
        <v/>
      </c>
      <c r="DK92" s="919" t="str" cm="1">
        <f t="array" ref="DK92">[1]!ACAELE_CAPACIDADCABLE(BB92,H92,I92,M92,DJ92,N92,$P$5)</f>
        <v/>
      </c>
      <c r="DL92" s="927" t="str" cm="1">
        <f t="array" ref="DL92">[1]!acaele_Iproteccion(BB92,H92,BU92,$F$20,$G$20,$F$19,$G$19,$H$20,$H$19,$P$5)</f>
        <v/>
      </c>
      <c r="DM92" s="928" cm="1">
        <f t="array" ref="DM92">[1]!acaele_ProtCalculada(CX92,H92,BT92,BW92,$G$21,$F$21,$H$21,$P$5)</f>
        <v>0</v>
      </c>
      <c r="DN92" s="929" t="str" cm="1">
        <f t="array" ref="DN92">[1]!ACAELE_cablecalculo(BB92,H92,I92,M92,EF92,$P$5)</f>
        <v/>
      </c>
      <c r="DO92" s="930" t="str" cm="1">
        <f t="array" ref="DO92">[1]!ACAELE_RESISTENCIA(BB92,H92,M92,I92,BX92, CW92,$P$5)</f>
        <v/>
      </c>
      <c r="DP92" s="931" t="str" cm="1">
        <f t="array" ref="DP92">[1]!ACAELE_REACTANCIA(BB92,H92,$F$11,M92,I92,BX92,$P$5)</f>
        <v/>
      </c>
      <c r="DQ92" s="918" t="str" cm="1">
        <f t="array" ref="DQ92">[1]!ACAELE_DIAMECAISLA(BB92,H92,I92,BX92,$P$5)</f>
        <v/>
      </c>
      <c r="DR92" s="918" t="str" cm="1">
        <f t="array" ref="DR92">[1]!ACAELE_AREACAISLAMIENTO(BB92,H92,DQ92,$P$5)</f>
        <v/>
      </c>
      <c r="DS92" s="918" t="str" cm="1">
        <f t="array" ref="DS92">[1]!ACAELE_CAIDAVOLTSFINAL(BB92,H92,F92,K92,BU92,N92,DO92,DA92,DP92,DB92,$P$5)</f>
        <v/>
      </c>
      <c r="DT92" s="918" t="str" cm="1">
        <f t="array" ref="DT92">[1]!ACAELE_AREACONDPTE(BB92,H92,CA92,$P$5)</f>
        <v/>
      </c>
      <c r="DU92" s="932" t="str" cm="1">
        <f t="array" ref="DU92">[1]!ACAELE_AREATOTAL(BZ92,M92,EO92,N92,DQ92,G92,DR92,DT92,N$20,$P$5)</f>
        <v/>
      </c>
      <c r="DV92" s="933" t="str" cm="1">
        <f t="array" ref="DV92">IF($A$27=1,"",[1]!ACAELE_cablecalculo(BB92,H92,I92,M92,EG92,$P$5))</f>
        <v/>
      </c>
      <c r="DW92" s="934" t="str" cm="1">
        <f t="array" ref="DW92">IF($A$27=1,"",[1]!ACAELE_RESISTENCIA(BB92,H92,M92,I92,CC92,CW92,$P$5))</f>
        <v/>
      </c>
      <c r="DX92" s="926" t="str" cm="1">
        <f t="array" ref="DX92">IF($A$27=1,"",[1]!ACAELE_REACTANCIA(BB92,H92,$F$11,M92,I92,CC92,$P$5))</f>
        <v/>
      </c>
      <c r="DY92" s="935" t="str" cm="1">
        <f t="array" ref="DY92">IF($A$27=1,"",[1]!ACAELE_DIAMECAISLA(BB92,H92,I92,CC92,$P$5))</f>
        <v/>
      </c>
      <c r="DZ92" s="935" t="str" cm="1">
        <f t="array" ref="DZ92">IF($A$27=1,"",[1]!ACAELE_AREACAISLAMIENTO(BB92,H92,DY92,$P$5))</f>
        <v/>
      </c>
      <c r="EA92" s="935" t="str" cm="1">
        <f t="array" ref="EA92">[1]!ACAELE_CAIDAVOLTSFINAL2(BB92,Q92,H92,F92,$A$27,BU92,T92,DW92,DA92,DX92,DB92)</f>
        <v/>
      </c>
      <c r="EB92" s="935" t="str" cm="1">
        <f t="array" ref="EB92">IF($A$27=1,"",[1]!ACAELE_AREACONDPTE(BB92,H92,CF92,$P$5))</f>
        <v/>
      </c>
      <c r="EC92" s="936" t="str" cm="1">
        <f t="array" ref="EC92">[1]!ACAELE_AREATOTAL2(H92,$A$27,DY92,S92,G92,T92,DZ92,U92,EB92)</f>
        <v/>
      </c>
      <c r="ED92" s="937" t="str">
        <f t="shared" si="59"/>
        <v/>
      </c>
      <c r="EE92" s="938" t="str">
        <f t="shared" si="60"/>
        <v/>
      </c>
      <c r="EF92" s="939" t="str">
        <f t="shared" si="61"/>
        <v/>
      </c>
      <c r="EG92" s="940">
        <f t="shared" si="62"/>
        <v>0</v>
      </c>
      <c r="EH92" s="941" t="str">
        <f t="shared" si="63"/>
        <v/>
      </c>
      <c r="EI92" s="942">
        <f t="shared" si="64"/>
        <v>30</v>
      </c>
      <c r="EJ92" s="943" t="str">
        <f t="shared" si="11"/>
        <v/>
      </c>
      <c r="EK92" s="943" t="str">
        <f t="shared" si="12"/>
        <v/>
      </c>
      <c r="EL92" s="943" t="str">
        <f t="shared" si="13"/>
        <v/>
      </c>
      <c r="EM92" s="944" t="str">
        <f t="shared" si="14"/>
        <v/>
      </c>
      <c r="EN92" s="945" t="str" cm="1">
        <f t="array" ref="EN92">[1]!ACAELE_MOTOR(H92,X92:BA92,$X$26:$BA$26,$P$5)</f>
        <v/>
      </c>
      <c r="EO92" s="550" t="str">
        <f t="shared" si="65"/>
        <v/>
      </c>
      <c r="EP92" s="431" t="s">
        <v>1214</v>
      </c>
      <c r="EQ92" s="434" t="str">
        <f t="shared" ca="1" si="66"/>
        <v/>
      </c>
      <c r="ER92" s="32"/>
      <c r="ES92" s="32"/>
      <c r="ET92" s="3" t="str">
        <f t="shared" si="67"/>
        <v/>
      </c>
      <c r="EU92" s="3" t="str">
        <f t="shared" si="68"/>
        <v/>
      </c>
      <c r="EV92" s="3" t="str">
        <f t="shared" si="69"/>
        <v/>
      </c>
      <c r="EW92" s="3" t="str">
        <f t="shared" si="70"/>
        <v/>
      </c>
      <c r="EX92" s="3" t="str">
        <f t="shared" si="71"/>
        <v/>
      </c>
      <c r="EY92" s="3" t="str">
        <f t="shared" si="72"/>
        <v/>
      </c>
      <c r="EZ92" s="3" t="str">
        <f t="shared" si="73"/>
        <v/>
      </c>
      <c r="FA92" s="3" t="str">
        <f t="shared" si="74"/>
        <v/>
      </c>
      <c r="FB92" s="3" t="str">
        <f t="shared" si="75"/>
        <v/>
      </c>
      <c r="FC92" s="3">
        <f t="shared" si="76"/>
        <v>0</v>
      </c>
      <c r="FD92" s="32"/>
      <c r="FE92" s="32"/>
      <c r="FF92" s="103">
        <v>1</v>
      </c>
      <c r="FG92" s="32"/>
      <c r="FH92" s="103"/>
      <c r="FI92" s="32"/>
      <c r="FJ92" s="103"/>
      <c r="FK92" s="3">
        <f t="shared" si="77"/>
        <v>0</v>
      </c>
      <c r="FL92" s="3" t="str" cm="1">
        <f t="array" aca="1" ref="FL92" ca="1">[1]!acaele_DIB_UNIFILAR(BB92,H92,F92,COUNTIF(X92:BA92,1),BW92)</f>
        <v/>
      </c>
      <c r="FM92" s="3" t="str">
        <f>IF(DATOS!$T$4=0,"",IF(DATOS!$T$4=1," (QO)",IF(DATOS!$T$4=2," (QOB)",IF(DATOS!$T$4=3," (EDB)",IF(DATOS!$T$4=4,IF(BW92&lt;151," (H"&amp;FN92&amp;")",IF(BW92&lt;251," (J"&amp;FN92&amp;")", IF(BW92&lt;401," (LA)",IF(BW92&lt;801," (MG)",IF(BW92&lt;5001," (POWERPACK)",""))))))))))</f>
        <v xml:space="preserve"> (QOB)</v>
      </c>
      <c r="FN92" s="3" t="str">
        <f t="shared" si="78"/>
        <v/>
      </c>
      <c r="FO92" s="146"/>
      <c r="FP92" s="146"/>
      <c r="FQ92" s="146"/>
      <c r="FR92" s="146"/>
      <c r="FS92" s="146"/>
      <c r="FT92" s="146"/>
      <c r="FU92" s="146"/>
      <c r="FV92" s="146"/>
      <c r="FW92" s="146"/>
      <c r="FX92" s="146" t="str">
        <f t="shared" si="9"/>
        <v/>
      </c>
      <c r="FY92" s="736"/>
      <c r="FZ92" s="740"/>
      <c r="GA92" s="740"/>
      <c r="GB92" s="717"/>
      <c r="GC92" s="838"/>
      <c r="GD92" s="736"/>
      <c r="GE92" s="146"/>
      <c r="GF92" s="506"/>
      <c r="GG92" s="506"/>
      <c r="GH92" s="506"/>
      <c r="GI92" s="506"/>
      <c r="GJ92" s="506"/>
      <c r="GM92" s="3">
        <f>IF(OR(GN92&gt;TABLERO!$M$19,GO92&gt;TABLERO!$M$19,GP92&gt;TABLERO!$M$19,B92=0,C92=0,D92=0),2,CUADROACAD!A92)</f>
        <v>2</v>
      </c>
      <c r="GN92" s="3">
        <f>IF(TABLERO!B92="",0,TABLERO!B92)</f>
        <v>62</v>
      </c>
      <c r="GO92" s="3">
        <f>IF(TABLERO!C92="",GN92,TABLERO!C92)</f>
        <v>62</v>
      </c>
      <c r="GP92" s="3">
        <f>IF(TABLERO!D92="",GN92,TABLERO!D92)</f>
        <v>62</v>
      </c>
    </row>
    <row r="93" spans="1:198" s="3" customFormat="1">
      <c r="A93" s="706"/>
      <c r="B93" s="869">
        <v>63</v>
      </c>
      <c r="C93" s="870" t="str">
        <f t="shared" si="15"/>
        <v/>
      </c>
      <c r="D93" s="870" t="str">
        <f t="shared" si="16"/>
        <v/>
      </c>
      <c r="E93" s="871"/>
      <c r="F93" s="872">
        <v>1</v>
      </c>
      <c r="G93" s="716">
        <f t="shared" si="17"/>
        <v>2</v>
      </c>
      <c r="H93" s="873" t="s">
        <v>12</v>
      </c>
      <c r="I93" s="874" t="str">
        <f t="shared" si="18"/>
        <v>CU</v>
      </c>
      <c r="J93" s="875">
        <v>6</v>
      </c>
      <c r="K93" s="876">
        <v>10</v>
      </c>
      <c r="L93" s="876">
        <v>3</v>
      </c>
      <c r="M93" s="877">
        <v>1</v>
      </c>
      <c r="N93" s="877">
        <v>1</v>
      </c>
      <c r="O93" s="878">
        <v>1</v>
      </c>
      <c r="P93" s="879">
        <v>4</v>
      </c>
      <c r="Q93" s="880">
        <v>1</v>
      </c>
      <c r="R93" s="880">
        <v>1</v>
      </c>
      <c r="S93" s="881">
        <v>1</v>
      </c>
      <c r="T93" s="881">
        <v>1</v>
      </c>
      <c r="U93" s="882">
        <v>1</v>
      </c>
      <c r="V93" s="883">
        <v>1</v>
      </c>
      <c r="W93" s="874" t="str">
        <f t="shared" si="19"/>
        <v>SI</v>
      </c>
      <c r="X93" s="884"/>
      <c r="Y93" s="885"/>
      <c r="Z93" s="885"/>
      <c r="AA93" s="885"/>
      <c r="AB93" s="885"/>
      <c r="AC93" s="885"/>
      <c r="AD93" s="885"/>
      <c r="AE93" s="885"/>
      <c r="AF93" s="885"/>
      <c r="AG93" s="885"/>
      <c r="AH93" s="885"/>
      <c r="AI93" s="885"/>
      <c r="AJ93" s="885"/>
      <c r="AK93" s="885"/>
      <c r="AL93" s="885"/>
      <c r="AM93" s="885"/>
      <c r="AN93" s="885"/>
      <c r="AO93" s="885"/>
      <c r="AP93" s="885"/>
      <c r="AQ93" s="885"/>
      <c r="AR93" s="885"/>
      <c r="AS93" s="885"/>
      <c r="AT93" s="885"/>
      <c r="AU93" s="885"/>
      <c r="AV93" s="885"/>
      <c r="AW93" s="885"/>
      <c r="AX93" s="885"/>
      <c r="AY93" s="885"/>
      <c r="AZ93" s="885"/>
      <c r="BA93" s="886"/>
      <c r="BB93" s="887">
        <f t="shared" si="20"/>
        <v>0</v>
      </c>
      <c r="BC93" s="888" t="str">
        <f t="shared" si="21"/>
        <v/>
      </c>
      <c r="BD93" s="889" t="str">
        <f t="shared" si="22"/>
        <v/>
      </c>
      <c r="BE93" s="889" t="str">
        <f t="shared" si="23"/>
        <v/>
      </c>
      <c r="BF93" s="889" t="str">
        <f t="shared" si="24"/>
        <v/>
      </c>
      <c r="BG93" s="889" t="str">
        <f t="shared" si="25"/>
        <v/>
      </c>
      <c r="BH93" s="889" t="str">
        <f t="shared" si="26"/>
        <v/>
      </c>
      <c r="BI93" s="890" t="str">
        <f t="shared" si="27"/>
        <v/>
      </c>
      <c r="BJ93" s="891" t="str">
        <f t="shared" si="28"/>
        <v/>
      </c>
      <c r="BK93" s="892" t="str">
        <f t="shared" si="29"/>
        <v/>
      </c>
      <c r="BL93" s="892" t="str">
        <f t="shared" si="30"/>
        <v/>
      </c>
      <c r="BM93" s="892" t="str">
        <f t="shared" si="31"/>
        <v/>
      </c>
      <c r="BN93" s="892" t="str">
        <f t="shared" si="32"/>
        <v/>
      </c>
      <c r="BO93" s="892" t="str">
        <f t="shared" si="33"/>
        <v/>
      </c>
      <c r="BP93" s="893" t="str">
        <f t="shared" si="34"/>
        <v/>
      </c>
      <c r="BQ93" s="894" t="str">
        <f t="shared" si="35"/>
        <v/>
      </c>
      <c r="BR93" s="895" t="str">
        <f t="shared" si="10"/>
        <v/>
      </c>
      <c r="BS93" s="896" t="str">
        <f t="shared" si="36"/>
        <v/>
      </c>
      <c r="BT93" s="897" t="str">
        <f t="shared" si="37"/>
        <v/>
      </c>
      <c r="BU93" s="231" t="str">
        <f t="shared" si="38"/>
        <v/>
      </c>
      <c r="BV93" s="898">
        <f t="shared" si="39"/>
        <v>127</v>
      </c>
      <c r="BW93" s="845" t="str">
        <f t="shared" si="40"/>
        <v/>
      </c>
      <c r="BX93" s="899" t="str">
        <f t="shared" si="41"/>
        <v/>
      </c>
      <c r="BY93" s="900" t="str" cm="1">
        <f t="array" ref="BY93">[1]!ACAELE_CAPACIDADCABLE(BB93,H93,I93,M93,BX93,N93)</f>
        <v/>
      </c>
      <c r="BZ93" s="900" t="str">
        <f t="shared" si="42"/>
        <v/>
      </c>
      <c r="CA93" s="901" t="str" cm="1">
        <f t="array" ref="CA93">[1]!ACAELE_cabledetierra(BZ93,$N$9,I93,BW93,BX93,G93)</f>
        <v/>
      </c>
      <c r="CB93" s="902" t="str" cm="1">
        <f t="array" ref="CB93">[1]!ACAELE_TAMATUBERIA(BX93,DU93,$N$9,M93,I93)</f>
        <v/>
      </c>
      <c r="CC93" s="846" t="str">
        <f t="shared" si="43"/>
        <v/>
      </c>
      <c r="CD93" s="903" t="str" cm="1">
        <f t="array" ref="CD93">[1]!ACAELE_CAPACIDADCABLE(BB93,H93,I93,M93,CC93,N93)</f>
        <v/>
      </c>
      <c r="CE93" s="903" t="str">
        <f t="shared" si="44"/>
        <v/>
      </c>
      <c r="CF93" s="904" t="str" cm="1">
        <f t="array" ref="CF93">[1]!ACAELE_cabledetierra(CE93,$N$9,I93,BW93,CC93,G93)</f>
        <v/>
      </c>
      <c r="CG93" s="905" t="str" cm="1">
        <f t="array" ref="CG93">[1]!ACAELE_TAMATUBERIA(CC93,EC93,$N$9,S93,I93)</f>
        <v/>
      </c>
      <c r="CH93" s="906" t="str">
        <f t="shared" si="45"/>
        <v/>
      </c>
      <c r="CI93" s="510" t="str">
        <f t="shared" si="46"/>
        <v>-</v>
      </c>
      <c r="CJ93" s="511" t="str">
        <f t="shared" si="47"/>
        <v>-</v>
      </c>
      <c r="CK93" s="512" t="str">
        <f t="shared" si="48"/>
        <v>-</v>
      </c>
      <c r="CL93" s="907" t="str">
        <f t="shared" si="49"/>
        <v>-</v>
      </c>
      <c r="CM93" s="908" t="str">
        <f t="shared" si="50"/>
        <v>-</v>
      </c>
      <c r="CN93" s="909" t="str">
        <f t="shared" si="51"/>
        <v>-</v>
      </c>
      <c r="CO93" s="910" t="str" cm="1">
        <f t="array" ref="CO93">[1]!ACAELE_fasecorresponde(B93,$F$10,$P$5)</f>
        <v>B</v>
      </c>
      <c r="CP93" s="910" t="str" cm="1">
        <f t="array" ref="CP93">[1]!ACAELE_fasecorresponde(C93,$F$10,$P$5)</f>
        <v>-</v>
      </c>
      <c r="CQ93" s="910" t="str" cm="1">
        <f t="array" ref="CQ93">[1]!ACAELE_fasecorresponde(D93,$F$10,$P$5)</f>
        <v>-</v>
      </c>
      <c r="CR93" s="911" t="str">
        <f t="shared" si="52"/>
        <v>C</v>
      </c>
      <c r="CS93" s="912">
        <f t="shared" si="53"/>
        <v>1</v>
      </c>
      <c r="CT93" s="913">
        <f t="shared" si="54"/>
        <v>0.8</v>
      </c>
      <c r="CU93" s="914" t="str">
        <f t="shared" si="55"/>
        <v/>
      </c>
      <c r="CV93" s="915">
        <f t="shared" si="56"/>
        <v>0</v>
      </c>
      <c r="CW93" s="916" t="str" cm="1">
        <f t="array" ref="CW93">[1]!ACAELE_Inominal(BB93,F93,BT93,BV93,DA93,G93,V93,$P$5)</f>
        <v/>
      </c>
      <c r="CX93" s="917" t="str" cm="1">
        <f t="array" ref="CX93">[1]!ACAELE_Disparocalculado(BB93,H93,DL93,$N$21,$M$21,$O$21,BV93,$P$5)</f>
        <v/>
      </c>
      <c r="CY93" s="918" t="str" cm="1">
        <f t="array" ref="CY93">[1]!ACAELE_Icorregida($A$27,H93,BB93,BU93,CS93,CT93,$P$5)</f>
        <v/>
      </c>
      <c r="CZ93" s="919" t="str" cm="1">
        <f t="array" ref="CZ93">[1]!ACAELE_Icorregida2($A$27,H93,BB93,BU93,CS93,CU93,$P$5)</f>
        <v/>
      </c>
      <c r="DA93" s="920">
        <f t="shared" si="57"/>
        <v>0.9</v>
      </c>
      <c r="DB93" s="921">
        <f t="shared" si="58"/>
        <v>0.43588989435406728</v>
      </c>
      <c r="DC93" s="922" t="str" cm="1">
        <f t="array" ref="DC93">[1]!ACAELE_CONDPORTCORRIENTE(H93,BB93,I93,M93,CY93,CZ93,N93,$P$5)</f>
        <v/>
      </c>
      <c r="DD93" s="923" t="str" cm="1">
        <f t="array" ref="DD93">[1]!ACAELE_CAPACONDCORRIENTE(BB93,H93,I93,M93,CY93,CZ93,$P$5)</f>
        <v/>
      </c>
      <c r="DE93" s="923" t="str" cm="1">
        <f t="array" ref="DE93">[1]!ACAELE_CAPACIDADCABLE(BB93,H93,I93,M93,DC93,N93,$P$5)</f>
        <v/>
      </c>
      <c r="DF93" s="924" t="str" cm="1">
        <f t="array" ref="DF93">[1]!ACAELE_encontrarcaida(BB93,H93,L93,BV93,F93,BU93,N93,K93)</f>
        <v/>
      </c>
      <c r="DG93" s="925" t="str" cm="1">
        <f t="array" ref="DG93">[1]!ACAELE_Cablecaida(BB93,H93,M93,I93,DF93)</f>
        <v/>
      </c>
      <c r="DH93" s="918" t="str" cm="1">
        <f t="array" ref="DH93">[1]!ACAELE_CAPACIDADCABLE(BB93,H93,I93,M93,DG93,N93,$P$5)</f>
        <v/>
      </c>
      <c r="DI93" s="926" t="str" cm="1">
        <f t="array" ref="DI93">IF($A$27=1,"",[1]!ACAELE_encontrarcaida(BB93,H93,R93,BV93,F93,BU93,T93,Q93,$P$5))</f>
        <v/>
      </c>
      <c r="DJ93" s="914" t="str" cm="1">
        <f t="array" ref="DJ93">IF($A$27=1,"",[1]!ACAELE_Cablecaida2(BB93,Q93,H93,S93,I93,DI93,$P$5))</f>
        <v/>
      </c>
      <c r="DK93" s="919" t="str" cm="1">
        <f t="array" ref="DK93">[1]!ACAELE_CAPACIDADCABLE(BB93,H93,I93,M93,DJ93,N93,$P$5)</f>
        <v/>
      </c>
      <c r="DL93" s="927" t="str" cm="1">
        <f t="array" ref="DL93">[1]!acaele_Iproteccion(BB93,H93,BU93,$F$20,$G$20,$F$19,$G$19,$H$20,$H$19,$P$5)</f>
        <v/>
      </c>
      <c r="DM93" s="928" cm="1">
        <f t="array" ref="DM93">[1]!acaele_ProtCalculada(CX93,H93,BT93,BW93,$G$21,$F$21,$H$21,$P$5)</f>
        <v>0</v>
      </c>
      <c r="DN93" s="929" t="str" cm="1">
        <f t="array" ref="DN93">[1]!ACAELE_cablecalculo(BB93,H93,I93,M93,EF93,$P$5)</f>
        <v/>
      </c>
      <c r="DO93" s="930" t="str" cm="1">
        <f t="array" ref="DO93">[1]!ACAELE_RESISTENCIA(BB93,H93,M93,I93,BX93, CW93,$P$5)</f>
        <v/>
      </c>
      <c r="DP93" s="931" t="str" cm="1">
        <f t="array" ref="DP93">[1]!ACAELE_REACTANCIA(BB93,H93,$F$11,M93,I93,BX93,$P$5)</f>
        <v/>
      </c>
      <c r="DQ93" s="918" t="str" cm="1">
        <f t="array" ref="DQ93">[1]!ACAELE_DIAMECAISLA(BB93,H93,I93,BX93,$P$5)</f>
        <v/>
      </c>
      <c r="DR93" s="918" t="str" cm="1">
        <f t="array" ref="DR93">[1]!ACAELE_AREACAISLAMIENTO(BB93,H93,DQ93,$P$5)</f>
        <v/>
      </c>
      <c r="DS93" s="918" t="str" cm="1">
        <f t="array" ref="DS93">[1]!ACAELE_CAIDAVOLTSFINAL(BB93,H93,F93,K93,BU93,N93,DO93,DA93,DP93,DB93,$P$5)</f>
        <v/>
      </c>
      <c r="DT93" s="918" t="str" cm="1">
        <f t="array" ref="DT93">[1]!ACAELE_AREACONDPTE(BB93,H93,CA93,$P$5)</f>
        <v/>
      </c>
      <c r="DU93" s="932" t="str" cm="1">
        <f t="array" ref="DU93">[1]!ACAELE_AREATOTAL(BZ93,M93,EO93,N93,DQ93,G93,DR93,DT93,N$20,$P$5)</f>
        <v/>
      </c>
      <c r="DV93" s="933" t="str" cm="1">
        <f t="array" ref="DV93">IF($A$27=1,"",[1]!ACAELE_cablecalculo(BB93,H93,I93,M93,EG93,$P$5))</f>
        <v/>
      </c>
      <c r="DW93" s="934" t="str" cm="1">
        <f t="array" ref="DW93">IF($A$27=1,"",[1]!ACAELE_RESISTENCIA(BB93,H93,M93,I93,CC93,CW93,$P$5))</f>
        <v/>
      </c>
      <c r="DX93" s="926" t="str" cm="1">
        <f t="array" ref="DX93">IF($A$27=1,"",[1]!ACAELE_REACTANCIA(BB93,H93,$F$11,M93,I93,CC93,$P$5))</f>
        <v/>
      </c>
      <c r="DY93" s="935" t="str" cm="1">
        <f t="array" ref="DY93">IF($A$27=1,"",[1]!ACAELE_DIAMECAISLA(BB93,H93,I93,CC93,$P$5))</f>
        <v/>
      </c>
      <c r="DZ93" s="935" t="str" cm="1">
        <f t="array" ref="DZ93">IF($A$27=1,"",[1]!ACAELE_AREACAISLAMIENTO(BB93,H93,DY93,$P$5))</f>
        <v/>
      </c>
      <c r="EA93" s="935" t="str" cm="1">
        <f t="array" ref="EA93">[1]!ACAELE_CAIDAVOLTSFINAL2(BB93,Q93,H93,F93,$A$27,BU93,T93,DW93,DA93,DX93,DB93)</f>
        <v/>
      </c>
      <c r="EB93" s="935" t="str" cm="1">
        <f t="array" ref="EB93">IF($A$27=1,"",[1]!ACAELE_AREACONDPTE(BB93,H93,CF93,$P$5))</f>
        <v/>
      </c>
      <c r="EC93" s="936" t="str" cm="1">
        <f t="array" ref="EC93">[1]!ACAELE_AREATOTAL2(H93,$A$27,DY93,S93,G93,T93,DZ93,U93,EB93)</f>
        <v/>
      </c>
      <c r="ED93" s="937" t="str">
        <f t="shared" si="59"/>
        <v/>
      </c>
      <c r="EE93" s="938" t="str">
        <f t="shared" si="60"/>
        <v/>
      </c>
      <c r="EF93" s="939" t="str">
        <f t="shared" si="61"/>
        <v/>
      </c>
      <c r="EG93" s="940">
        <f t="shared" si="62"/>
        <v>0</v>
      </c>
      <c r="EH93" s="941" t="str">
        <f t="shared" si="63"/>
        <v/>
      </c>
      <c r="EI93" s="942">
        <f t="shared" si="64"/>
        <v>30</v>
      </c>
      <c r="EJ93" s="943" t="str">
        <f t="shared" si="11"/>
        <v/>
      </c>
      <c r="EK93" s="943" t="str">
        <f t="shared" si="12"/>
        <v/>
      </c>
      <c r="EL93" s="943" t="str">
        <f t="shared" si="13"/>
        <v/>
      </c>
      <c r="EM93" s="944" t="str">
        <f t="shared" si="14"/>
        <v/>
      </c>
      <c r="EN93" s="945" t="str" cm="1">
        <f t="array" ref="EN93">[1]!ACAELE_MOTOR(H93,X93:BA93,$X$26:$BA$26,$P$5)</f>
        <v/>
      </c>
      <c r="EO93" s="550" t="str">
        <f t="shared" si="65"/>
        <v/>
      </c>
      <c r="EP93" s="431" t="s">
        <v>1214</v>
      </c>
      <c r="EQ93" s="434" t="str">
        <f t="shared" ca="1" si="66"/>
        <v/>
      </c>
      <c r="ER93" s="32"/>
      <c r="ES93" s="32"/>
      <c r="ET93" s="3" t="str">
        <f t="shared" si="67"/>
        <v/>
      </c>
      <c r="EU93" s="3" t="str">
        <f t="shared" si="68"/>
        <v/>
      </c>
      <c r="EV93" s="3" t="str">
        <f t="shared" si="69"/>
        <v/>
      </c>
      <c r="EW93" s="3" t="str">
        <f t="shared" si="70"/>
        <v/>
      </c>
      <c r="EX93" s="3" t="str">
        <f t="shared" si="71"/>
        <v/>
      </c>
      <c r="EY93" s="3" t="str">
        <f t="shared" si="72"/>
        <v/>
      </c>
      <c r="EZ93" s="3" t="str">
        <f t="shared" si="73"/>
        <v/>
      </c>
      <c r="FA93" s="3" t="str">
        <f t="shared" si="74"/>
        <v/>
      </c>
      <c r="FB93" s="3" t="str">
        <f t="shared" si="75"/>
        <v/>
      </c>
      <c r="FC93" s="3">
        <f t="shared" si="76"/>
        <v>0</v>
      </c>
      <c r="FD93" s="32"/>
      <c r="FE93" s="32"/>
      <c r="FF93" s="103">
        <v>1</v>
      </c>
      <c r="FG93" s="32"/>
      <c r="FH93" s="103"/>
      <c r="FI93" s="32"/>
      <c r="FJ93" s="103"/>
      <c r="FK93" s="3">
        <f t="shared" si="77"/>
        <v>0</v>
      </c>
      <c r="FL93" s="3" t="str" cm="1">
        <f t="array" aca="1" ref="FL93" ca="1">[1]!acaele_DIB_UNIFILAR(BB93,H93,F93,COUNTIF(X93:BA93,1),BW93)</f>
        <v/>
      </c>
      <c r="FM93" s="3" t="str">
        <f>IF(DATOS!$T$4=0,"",IF(DATOS!$T$4=1," (QO)",IF(DATOS!$T$4=2," (QOB)",IF(DATOS!$T$4=3," (EDB)",IF(DATOS!$T$4=4,IF(BW93&lt;151," (H"&amp;FN93&amp;")",IF(BW93&lt;251," (J"&amp;FN93&amp;")", IF(BW93&lt;401," (LA)",IF(BW93&lt;801," (MG)",IF(BW93&lt;5001," (POWERPACK)",""))))))))))</f>
        <v xml:space="preserve"> (QOB)</v>
      </c>
      <c r="FN93" s="3" t="str">
        <f t="shared" si="78"/>
        <v/>
      </c>
      <c r="FO93" s="146"/>
      <c r="FP93" s="146"/>
      <c r="FQ93" s="146"/>
      <c r="FR93" s="146"/>
      <c r="FS93" s="146"/>
      <c r="FT93" s="146"/>
      <c r="FU93" s="146"/>
      <c r="FV93" s="146"/>
      <c r="FW93" s="146"/>
      <c r="FX93" s="146" t="str">
        <f t="shared" ref="FX93:FX114" si="79">IF(FY93=GA93,"",1)</f>
        <v/>
      </c>
      <c r="FY93" s="736"/>
      <c r="FZ93" s="740"/>
      <c r="GA93" s="740"/>
      <c r="GB93" s="717"/>
      <c r="GC93" s="838"/>
      <c r="GD93" s="736"/>
      <c r="GE93" s="146"/>
      <c r="GF93" s="506"/>
      <c r="GG93" s="506"/>
      <c r="GH93" s="506"/>
      <c r="GI93" s="506"/>
      <c r="GJ93" s="506"/>
      <c r="GM93" s="3">
        <f>IF(OR(GN93&gt;TABLERO!$M$19,GO93&gt;TABLERO!$M$19,GP93&gt;TABLERO!$M$19,B93=0,C93=0,D93=0),2,CUADROACAD!A93)</f>
        <v>2</v>
      </c>
      <c r="GN93" s="3">
        <f>IF(TABLERO!B93="",0,TABLERO!B93)</f>
        <v>63</v>
      </c>
      <c r="GO93" s="3">
        <f>IF(TABLERO!C93="",GN93,TABLERO!C93)</f>
        <v>63</v>
      </c>
      <c r="GP93" s="3">
        <f>IF(TABLERO!D93="",GN93,TABLERO!D93)</f>
        <v>63</v>
      </c>
    </row>
    <row r="94" spans="1:198" s="3" customFormat="1">
      <c r="A94" s="706"/>
      <c r="B94" s="869">
        <v>64</v>
      </c>
      <c r="C94" s="870" t="str">
        <f t="shared" si="15"/>
        <v/>
      </c>
      <c r="D94" s="870" t="str">
        <f t="shared" si="16"/>
        <v/>
      </c>
      <c r="E94" s="871"/>
      <c r="F94" s="872">
        <v>1</v>
      </c>
      <c r="G94" s="716">
        <f t="shared" si="17"/>
        <v>2</v>
      </c>
      <c r="H94" s="873" t="s">
        <v>12</v>
      </c>
      <c r="I94" s="874" t="str">
        <f t="shared" si="18"/>
        <v>CU</v>
      </c>
      <c r="J94" s="875">
        <v>6</v>
      </c>
      <c r="K94" s="876">
        <v>10</v>
      </c>
      <c r="L94" s="876">
        <v>3</v>
      </c>
      <c r="M94" s="877">
        <v>1</v>
      </c>
      <c r="N94" s="877">
        <v>1</v>
      </c>
      <c r="O94" s="878">
        <v>1</v>
      </c>
      <c r="P94" s="879">
        <v>4</v>
      </c>
      <c r="Q94" s="880">
        <v>1</v>
      </c>
      <c r="R94" s="880">
        <v>1</v>
      </c>
      <c r="S94" s="881">
        <v>1</v>
      </c>
      <c r="T94" s="881">
        <v>1</v>
      </c>
      <c r="U94" s="882">
        <v>1</v>
      </c>
      <c r="V94" s="883">
        <v>1</v>
      </c>
      <c r="W94" s="874" t="str">
        <f t="shared" si="19"/>
        <v>SI</v>
      </c>
      <c r="X94" s="884"/>
      <c r="Y94" s="885"/>
      <c r="Z94" s="885"/>
      <c r="AA94" s="885"/>
      <c r="AB94" s="885"/>
      <c r="AC94" s="885"/>
      <c r="AD94" s="885"/>
      <c r="AE94" s="885"/>
      <c r="AF94" s="885"/>
      <c r="AG94" s="885"/>
      <c r="AH94" s="885"/>
      <c r="AI94" s="885"/>
      <c r="AJ94" s="885"/>
      <c r="AK94" s="885"/>
      <c r="AL94" s="885"/>
      <c r="AM94" s="885"/>
      <c r="AN94" s="885"/>
      <c r="AO94" s="885"/>
      <c r="AP94" s="885"/>
      <c r="AQ94" s="885"/>
      <c r="AR94" s="885"/>
      <c r="AS94" s="885"/>
      <c r="AT94" s="885"/>
      <c r="AU94" s="885"/>
      <c r="AV94" s="885"/>
      <c r="AW94" s="885"/>
      <c r="AX94" s="885"/>
      <c r="AY94" s="885"/>
      <c r="AZ94" s="885"/>
      <c r="BA94" s="886"/>
      <c r="BB94" s="887">
        <f t="shared" si="20"/>
        <v>0</v>
      </c>
      <c r="BC94" s="888" t="str">
        <f t="shared" si="21"/>
        <v/>
      </c>
      <c r="BD94" s="889" t="str">
        <f t="shared" si="22"/>
        <v/>
      </c>
      <c r="BE94" s="889" t="str">
        <f t="shared" si="23"/>
        <v/>
      </c>
      <c r="BF94" s="889" t="str">
        <f t="shared" si="24"/>
        <v/>
      </c>
      <c r="BG94" s="889" t="str">
        <f t="shared" si="25"/>
        <v/>
      </c>
      <c r="BH94" s="889" t="str">
        <f t="shared" si="26"/>
        <v/>
      </c>
      <c r="BI94" s="890" t="str">
        <f t="shared" si="27"/>
        <v/>
      </c>
      <c r="BJ94" s="891" t="str">
        <f t="shared" si="28"/>
        <v/>
      </c>
      <c r="BK94" s="892" t="str">
        <f t="shared" si="29"/>
        <v/>
      </c>
      <c r="BL94" s="892" t="str">
        <f t="shared" si="30"/>
        <v/>
      </c>
      <c r="BM94" s="892" t="str">
        <f t="shared" si="31"/>
        <v/>
      </c>
      <c r="BN94" s="892" t="str">
        <f t="shared" si="32"/>
        <v/>
      </c>
      <c r="BO94" s="892" t="str">
        <f t="shared" si="33"/>
        <v/>
      </c>
      <c r="BP94" s="893" t="str">
        <f t="shared" si="34"/>
        <v/>
      </c>
      <c r="BQ94" s="894" t="str">
        <f t="shared" si="35"/>
        <v/>
      </c>
      <c r="BR94" s="895" t="str">
        <f t="shared" ref="BR94:BR114" si="80">BQ94</f>
        <v/>
      </c>
      <c r="BS94" s="896" t="str">
        <f t="shared" si="36"/>
        <v/>
      </c>
      <c r="BT94" s="897" t="str">
        <f t="shared" si="37"/>
        <v/>
      </c>
      <c r="BU94" s="231" t="str">
        <f t="shared" si="38"/>
        <v/>
      </c>
      <c r="BV94" s="898">
        <f t="shared" si="39"/>
        <v>127</v>
      </c>
      <c r="BW94" s="845" t="str">
        <f t="shared" si="40"/>
        <v/>
      </c>
      <c r="BX94" s="899" t="str">
        <f t="shared" si="41"/>
        <v/>
      </c>
      <c r="BY94" s="900" t="str" cm="1">
        <f t="array" ref="BY94">[1]!ACAELE_CAPACIDADCABLE(BB94,H94,I94,M94,BX94,N94)</f>
        <v/>
      </c>
      <c r="BZ94" s="900" t="str">
        <f t="shared" si="42"/>
        <v/>
      </c>
      <c r="CA94" s="901" t="str" cm="1">
        <f t="array" ref="CA94">[1]!ACAELE_cabledetierra(BZ94,$N$9,I94,BW94,BX94,G94)</f>
        <v/>
      </c>
      <c r="CB94" s="902" t="str" cm="1">
        <f t="array" ref="CB94">[1]!ACAELE_TAMATUBERIA(BX94,DU94,$N$9,M94,I94)</f>
        <v/>
      </c>
      <c r="CC94" s="846" t="str">
        <f t="shared" si="43"/>
        <v/>
      </c>
      <c r="CD94" s="903" t="str" cm="1">
        <f t="array" ref="CD94">[1]!ACAELE_CAPACIDADCABLE(BB94,H94,I94,M94,CC94,N94)</f>
        <v/>
      </c>
      <c r="CE94" s="903" t="str">
        <f t="shared" si="44"/>
        <v/>
      </c>
      <c r="CF94" s="904" t="str" cm="1">
        <f t="array" ref="CF94">[1]!ACAELE_cabledetierra(CE94,$N$9,I94,BW94,CC94,G94)</f>
        <v/>
      </c>
      <c r="CG94" s="905" t="str" cm="1">
        <f t="array" ref="CG94">[1]!ACAELE_TAMATUBERIA(CC94,EC94,$N$9,S94,I94)</f>
        <v/>
      </c>
      <c r="CH94" s="906" t="str">
        <f t="shared" si="45"/>
        <v/>
      </c>
      <c r="CI94" s="510" t="str">
        <f t="shared" si="46"/>
        <v>-</v>
      </c>
      <c r="CJ94" s="511" t="str">
        <f t="shared" si="47"/>
        <v>-</v>
      </c>
      <c r="CK94" s="512" t="str">
        <f t="shared" si="48"/>
        <v>-</v>
      </c>
      <c r="CL94" s="907" t="str">
        <f t="shared" si="49"/>
        <v>-</v>
      </c>
      <c r="CM94" s="908" t="str">
        <f t="shared" si="50"/>
        <v>-</v>
      </c>
      <c r="CN94" s="909" t="str">
        <f t="shared" si="51"/>
        <v>-</v>
      </c>
      <c r="CO94" s="910" t="str" cm="1">
        <f t="array" ref="CO94">[1]!ACAELE_fasecorresponde(B94,$F$10,$P$5)</f>
        <v>B</v>
      </c>
      <c r="CP94" s="910" t="str" cm="1">
        <f t="array" ref="CP94">[1]!ACAELE_fasecorresponde(C94,$F$10,$P$5)</f>
        <v>-</v>
      </c>
      <c r="CQ94" s="910" t="str" cm="1">
        <f t="array" ref="CQ94">[1]!ACAELE_fasecorresponde(D94,$F$10,$P$5)</f>
        <v>-</v>
      </c>
      <c r="CR94" s="911" t="str">
        <f t="shared" si="52"/>
        <v>C</v>
      </c>
      <c r="CS94" s="912">
        <f t="shared" si="53"/>
        <v>1</v>
      </c>
      <c r="CT94" s="913">
        <f t="shared" si="54"/>
        <v>0.8</v>
      </c>
      <c r="CU94" s="914" t="str">
        <f t="shared" si="55"/>
        <v/>
      </c>
      <c r="CV94" s="915">
        <f t="shared" si="56"/>
        <v>0</v>
      </c>
      <c r="CW94" s="916" t="str" cm="1">
        <f t="array" ref="CW94">[1]!ACAELE_Inominal(BB94,F94,BT94,BV94,DA94,G94,V94,$P$5)</f>
        <v/>
      </c>
      <c r="CX94" s="917" t="str" cm="1">
        <f t="array" ref="CX94">[1]!ACAELE_Disparocalculado(BB94,H94,DL94,$N$21,$M$21,$O$21,BV94,$P$5)</f>
        <v/>
      </c>
      <c r="CY94" s="918" t="str" cm="1">
        <f t="array" ref="CY94">[1]!ACAELE_Icorregida($A$27,H94,BB94,BU94,CS94,CT94,$P$5)</f>
        <v/>
      </c>
      <c r="CZ94" s="919" t="str" cm="1">
        <f t="array" ref="CZ94">[1]!ACAELE_Icorregida2($A$27,H94,BB94,BU94,CS94,CU94,$P$5)</f>
        <v/>
      </c>
      <c r="DA94" s="920">
        <f t="shared" si="57"/>
        <v>0.9</v>
      </c>
      <c r="DB94" s="921">
        <f t="shared" si="58"/>
        <v>0.43588989435406728</v>
      </c>
      <c r="DC94" s="922" t="str" cm="1">
        <f t="array" ref="DC94">[1]!ACAELE_CONDPORTCORRIENTE(H94,BB94,I94,M94,CY94,CZ94,N94,$P$5)</f>
        <v/>
      </c>
      <c r="DD94" s="923" t="str" cm="1">
        <f t="array" ref="DD94">[1]!ACAELE_CAPACONDCORRIENTE(BB94,H94,I94,M94,CY94,CZ94,$P$5)</f>
        <v/>
      </c>
      <c r="DE94" s="923" t="str" cm="1">
        <f t="array" ref="DE94">[1]!ACAELE_CAPACIDADCABLE(BB94,H94,I94,M94,DC94,N94,$P$5)</f>
        <v/>
      </c>
      <c r="DF94" s="924" t="str" cm="1">
        <f t="array" ref="DF94">[1]!ACAELE_encontrarcaida(BB94,H94,L94,BV94,F94,BU94,N94,K94)</f>
        <v/>
      </c>
      <c r="DG94" s="925" t="str" cm="1">
        <f t="array" ref="DG94">[1]!ACAELE_Cablecaida(BB94,H94,M94,I94,DF94)</f>
        <v/>
      </c>
      <c r="DH94" s="918" t="str" cm="1">
        <f t="array" ref="DH94">[1]!ACAELE_CAPACIDADCABLE(BB94,H94,I94,M94,DG94,N94,$P$5)</f>
        <v/>
      </c>
      <c r="DI94" s="926" t="str" cm="1">
        <f t="array" ref="DI94">IF($A$27=1,"",[1]!ACAELE_encontrarcaida(BB94,H94,R94,BV94,F94,BU94,T94,Q94,$P$5))</f>
        <v/>
      </c>
      <c r="DJ94" s="914" t="str" cm="1">
        <f t="array" ref="DJ94">IF($A$27=1,"",[1]!ACAELE_Cablecaida2(BB94,Q94,H94,S94,I94,DI94,$P$5))</f>
        <v/>
      </c>
      <c r="DK94" s="919" t="str" cm="1">
        <f t="array" ref="DK94">[1]!ACAELE_CAPACIDADCABLE(BB94,H94,I94,M94,DJ94,N94,$P$5)</f>
        <v/>
      </c>
      <c r="DL94" s="927" t="str" cm="1">
        <f t="array" ref="DL94">[1]!acaele_Iproteccion(BB94,H94,BU94,$F$20,$G$20,$F$19,$G$19,$H$20,$H$19,$P$5)</f>
        <v/>
      </c>
      <c r="DM94" s="928" cm="1">
        <f t="array" ref="DM94">[1]!acaele_ProtCalculada(CX94,H94,BT94,BW94,$G$21,$F$21,$H$21,$P$5)</f>
        <v>0</v>
      </c>
      <c r="DN94" s="929" t="str" cm="1">
        <f t="array" ref="DN94">[1]!ACAELE_cablecalculo(BB94,H94,I94,M94,EF94,$P$5)</f>
        <v/>
      </c>
      <c r="DO94" s="930" t="str" cm="1">
        <f t="array" ref="DO94">[1]!ACAELE_RESISTENCIA(BB94,H94,M94,I94,BX94, CW94,$P$5)</f>
        <v/>
      </c>
      <c r="DP94" s="931" t="str" cm="1">
        <f t="array" ref="DP94">[1]!ACAELE_REACTANCIA(BB94,H94,$F$11,M94,I94,BX94,$P$5)</f>
        <v/>
      </c>
      <c r="DQ94" s="918" t="str" cm="1">
        <f t="array" ref="DQ94">[1]!ACAELE_DIAMECAISLA(BB94,H94,I94,BX94,$P$5)</f>
        <v/>
      </c>
      <c r="DR94" s="918" t="str" cm="1">
        <f t="array" ref="DR94">[1]!ACAELE_AREACAISLAMIENTO(BB94,H94,DQ94,$P$5)</f>
        <v/>
      </c>
      <c r="DS94" s="918" t="str" cm="1">
        <f t="array" ref="DS94">[1]!ACAELE_CAIDAVOLTSFINAL(BB94,H94,F94,K94,BU94,N94,DO94,DA94,DP94,DB94,$P$5)</f>
        <v/>
      </c>
      <c r="DT94" s="918" t="str" cm="1">
        <f t="array" ref="DT94">[1]!ACAELE_AREACONDPTE(BB94,H94,CA94,$P$5)</f>
        <v/>
      </c>
      <c r="DU94" s="932" t="str" cm="1">
        <f t="array" ref="DU94">[1]!ACAELE_AREATOTAL(BZ94,M94,EO94,N94,DQ94,G94,DR94,DT94,N$20,$P$5)</f>
        <v/>
      </c>
      <c r="DV94" s="933" t="str" cm="1">
        <f t="array" ref="DV94">IF($A$27=1,"",[1]!ACAELE_cablecalculo(BB94,H94,I94,M94,EG94,$P$5))</f>
        <v/>
      </c>
      <c r="DW94" s="934" t="str" cm="1">
        <f t="array" ref="DW94">IF($A$27=1,"",[1]!ACAELE_RESISTENCIA(BB94,H94,M94,I94,CC94,CW94,$P$5))</f>
        <v/>
      </c>
      <c r="DX94" s="926" t="str" cm="1">
        <f t="array" ref="DX94">IF($A$27=1,"",[1]!ACAELE_REACTANCIA(BB94,H94,$F$11,M94,I94,CC94,$P$5))</f>
        <v/>
      </c>
      <c r="DY94" s="935" t="str" cm="1">
        <f t="array" ref="DY94">IF($A$27=1,"",[1]!ACAELE_DIAMECAISLA(BB94,H94,I94,CC94,$P$5))</f>
        <v/>
      </c>
      <c r="DZ94" s="935" t="str" cm="1">
        <f t="array" ref="DZ94">IF($A$27=1,"",[1]!ACAELE_AREACAISLAMIENTO(BB94,H94,DY94,$P$5))</f>
        <v/>
      </c>
      <c r="EA94" s="935" t="str" cm="1">
        <f t="array" ref="EA94">[1]!ACAELE_CAIDAVOLTSFINAL2(BB94,Q94,H94,F94,$A$27,BU94,T94,DW94,DA94,DX94,DB94)</f>
        <v/>
      </c>
      <c r="EB94" s="935" t="str" cm="1">
        <f t="array" ref="EB94">IF($A$27=1,"",[1]!ACAELE_AREACONDPTE(BB94,H94,CF94,$P$5))</f>
        <v/>
      </c>
      <c r="EC94" s="936" t="str" cm="1">
        <f t="array" ref="EC94">[1]!ACAELE_AREATOTAL2(H94,$A$27,DY94,S94,G94,T94,DZ94,U94,EB94)</f>
        <v/>
      </c>
      <c r="ED94" s="937" t="str">
        <f t="shared" si="59"/>
        <v/>
      </c>
      <c r="EE94" s="938" t="str">
        <f t="shared" si="60"/>
        <v/>
      </c>
      <c r="EF94" s="939" t="str">
        <f t="shared" si="61"/>
        <v/>
      </c>
      <c r="EG94" s="940">
        <f t="shared" si="62"/>
        <v>0</v>
      </c>
      <c r="EH94" s="941" t="str">
        <f t="shared" si="63"/>
        <v/>
      </c>
      <c r="EI94" s="942">
        <f t="shared" si="64"/>
        <v>30</v>
      </c>
      <c r="EJ94" s="943" t="str">
        <f t="shared" ref="EJ94:EJ114" si="81">IF(X94&gt;0,X$26,IF(Y94&gt;0,Y$26,IF(Z94&gt;0,Z$26,IF(AA94&gt;0,AA$26,IF(AB94&gt;0,AB$26,IF(AC94&gt;0,AC$26,IF(AD94&gt;0,AD$26,IF(AE94&gt;0,AE$26,""))))))))</f>
        <v/>
      </c>
      <c r="EK94" s="943" t="str">
        <f t="shared" ref="EK94:EK114" si="82">IF(AF94&gt;0,AF$26,IF(AG94&gt;0,AG$26,IF(AH94&gt;0,AH$26,IF(AI94&gt;0,AI$26,IF(AJ94&gt;0,AJ$26,IF(AK94&gt;0,AK$26,IF(AL94&gt;0,AL$26,IF(AM94&gt;0,AM$26,""))))))))</f>
        <v/>
      </c>
      <c r="EL94" s="943" t="str">
        <f t="shared" ref="EL94:EL114" si="83">IF(AN94&gt;0,AN$26,IF(AO94&gt;0,AO$26,IF(AP94&gt;0,AP$26,IF(AQ94&gt;0,AQ$26,IF(AR94&gt;0,AR$26,IF(AS94&gt;0,AS$26,IF(AT94&gt;0,AT$26,IF(AU94&gt;0,AU$26,""))))))))</f>
        <v/>
      </c>
      <c r="EM94" s="944" t="str">
        <f t="shared" ref="EM94:EM114" si="84">IF(AV94&gt;0,AV$26,IF(AW94&gt;0,AW$26,IF(AX94&gt;0,AX$26,IF(AY94&gt;0,AY$26,IF(AZ94&gt;0,AZ$26,IF(BA94&gt;0,BA$26,""))))))</f>
        <v/>
      </c>
      <c r="EN94" s="945" t="str" cm="1">
        <f t="array" ref="EN94">[1]!ACAELE_MOTOR(H94,X94:BA94,$X$26:$BA$26,$P$5)</f>
        <v/>
      </c>
      <c r="EO94" s="550" t="str">
        <f t="shared" si="65"/>
        <v/>
      </c>
      <c r="EP94" s="431" t="s">
        <v>1214</v>
      </c>
      <c r="EQ94" s="434" t="str">
        <f t="shared" ca="1" si="66"/>
        <v/>
      </c>
      <c r="ER94" s="32"/>
      <c r="ES94" s="32"/>
      <c r="ET94" s="3" t="str">
        <f t="shared" si="67"/>
        <v/>
      </c>
      <c r="EU94" s="3" t="str">
        <f t="shared" si="68"/>
        <v/>
      </c>
      <c r="EV94" s="3" t="str">
        <f t="shared" si="69"/>
        <v/>
      </c>
      <c r="EW94" s="3" t="str">
        <f t="shared" si="70"/>
        <v/>
      </c>
      <c r="EX94" s="3" t="str">
        <f t="shared" si="71"/>
        <v/>
      </c>
      <c r="EY94" s="3" t="str">
        <f t="shared" si="72"/>
        <v/>
      </c>
      <c r="EZ94" s="3" t="str">
        <f t="shared" si="73"/>
        <v/>
      </c>
      <c r="FA94" s="3" t="str">
        <f t="shared" si="74"/>
        <v/>
      </c>
      <c r="FB94" s="3" t="str">
        <f t="shared" si="75"/>
        <v/>
      </c>
      <c r="FC94" s="3">
        <f t="shared" si="76"/>
        <v>0</v>
      </c>
      <c r="FD94" s="32"/>
      <c r="FE94" s="32"/>
      <c r="FF94" s="103">
        <v>1</v>
      </c>
      <c r="FG94" s="32"/>
      <c r="FH94" s="103"/>
      <c r="FI94" s="32"/>
      <c r="FJ94" s="103"/>
      <c r="FK94" s="3">
        <f t="shared" si="77"/>
        <v>0</v>
      </c>
      <c r="FL94" s="3" t="str" cm="1">
        <f t="array" aca="1" ref="FL94" ca="1">[1]!acaele_DIB_UNIFILAR(BB94,H94,F94,COUNTIF(X94:BA94,1),BW94)</f>
        <v/>
      </c>
      <c r="FM94" s="3" t="str">
        <f>IF(DATOS!$T$4=0,"",IF(DATOS!$T$4=1," (QO)",IF(DATOS!$T$4=2," (QOB)",IF(DATOS!$T$4=3," (EDB)",IF(DATOS!$T$4=4,IF(BW94&lt;151," (H"&amp;FN94&amp;")",IF(BW94&lt;251," (J"&amp;FN94&amp;")", IF(BW94&lt;401," (LA)",IF(BW94&lt;801," (MG)",IF(BW94&lt;5001," (POWERPACK)",""))))))))))</f>
        <v xml:space="preserve"> (QOB)</v>
      </c>
      <c r="FN94" s="3" t="str">
        <f t="shared" si="78"/>
        <v/>
      </c>
      <c r="FO94" s="146"/>
      <c r="FP94" s="146"/>
      <c r="FQ94" s="146"/>
      <c r="FR94" s="146"/>
      <c r="FS94" s="146"/>
      <c r="FT94" s="146"/>
      <c r="FU94" s="146"/>
      <c r="FV94" s="146"/>
      <c r="FW94" s="146"/>
      <c r="FX94" s="146" t="str">
        <f t="shared" si="79"/>
        <v/>
      </c>
      <c r="FY94" s="736"/>
      <c r="FZ94" s="740"/>
      <c r="GA94" s="740"/>
      <c r="GB94" s="717"/>
      <c r="GC94" s="838"/>
      <c r="GD94" s="736"/>
      <c r="GE94" s="146"/>
      <c r="GF94" s="506"/>
      <c r="GG94" s="506"/>
      <c r="GH94" s="506"/>
      <c r="GI94" s="506"/>
      <c r="GJ94" s="506"/>
      <c r="GM94" s="3">
        <f>IF(OR(GN94&gt;TABLERO!$M$19,GO94&gt;TABLERO!$M$19,GP94&gt;TABLERO!$M$19,B94=0,C94=0,D94=0),2,CUADROACAD!A94)</f>
        <v>2</v>
      </c>
      <c r="GN94" s="3">
        <f>IF(TABLERO!B94="",0,TABLERO!B94)</f>
        <v>64</v>
      </c>
      <c r="GO94" s="3">
        <f>IF(TABLERO!C94="",GN94,TABLERO!C94)</f>
        <v>64</v>
      </c>
      <c r="GP94" s="3">
        <f>IF(TABLERO!D94="",GN94,TABLERO!D94)</f>
        <v>64</v>
      </c>
    </row>
    <row r="95" spans="1:198" s="3" customFormat="1">
      <c r="A95" s="706"/>
      <c r="B95" s="869">
        <v>65</v>
      </c>
      <c r="C95" s="870" t="str">
        <f t="shared" ref="C95:C114" si="85">IF(F95&gt;1,B95+2,"")</f>
        <v/>
      </c>
      <c r="D95" s="870" t="str">
        <f t="shared" ref="D95:D114" si="86">IF(F95&gt;2,B95+4,"")</f>
        <v/>
      </c>
      <c r="E95" s="871"/>
      <c r="F95" s="872">
        <v>1</v>
      </c>
      <c r="G95" s="716">
        <f t="shared" ref="G95:G114" si="87">IF(AND(H95="A",F95&gt;1),F95,IF(AND(OR(H95="M",H95="HVAC"),F95&gt;1),F95,IF(AND(H95="TR",F95&gt;1),F95,F95+1)))</f>
        <v>2</v>
      </c>
      <c r="H95" s="873" t="s">
        <v>12</v>
      </c>
      <c r="I95" s="874" t="str">
        <f t="shared" ref="I95:I114" si="88">$F$15</f>
        <v>CU</v>
      </c>
      <c r="J95" s="875">
        <v>6</v>
      </c>
      <c r="K95" s="876">
        <v>10</v>
      </c>
      <c r="L95" s="876">
        <v>3</v>
      </c>
      <c r="M95" s="877">
        <v>1</v>
      </c>
      <c r="N95" s="877">
        <v>1</v>
      </c>
      <c r="O95" s="878">
        <v>1</v>
      </c>
      <c r="P95" s="879">
        <v>4</v>
      </c>
      <c r="Q95" s="880">
        <v>1</v>
      </c>
      <c r="R95" s="880">
        <v>1</v>
      </c>
      <c r="S95" s="881">
        <v>1</v>
      </c>
      <c r="T95" s="881">
        <v>1</v>
      </c>
      <c r="U95" s="882">
        <v>1</v>
      </c>
      <c r="V95" s="883">
        <v>1</v>
      </c>
      <c r="W95" s="874" t="str">
        <f t="shared" ref="W95:W114" si="89">IF(H95&lt;&gt;"BC","SI","NO")</f>
        <v>SI</v>
      </c>
      <c r="X95" s="884"/>
      <c r="Y95" s="885"/>
      <c r="Z95" s="885"/>
      <c r="AA95" s="885"/>
      <c r="AB95" s="885"/>
      <c r="AC95" s="885"/>
      <c r="AD95" s="885"/>
      <c r="AE95" s="885"/>
      <c r="AF95" s="885"/>
      <c r="AG95" s="885"/>
      <c r="AH95" s="885"/>
      <c r="AI95" s="885"/>
      <c r="AJ95" s="885"/>
      <c r="AK95" s="885"/>
      <c r="AL95" s="885"/>
      <c r="AM95" s="885"/>
      <c r="AN95" s="885"/>
      <c r="AO95" s="885"/>
      <c r="AP95" s="885"/>
      <c r="AQ95" s="885"/>
      <c r="AR95" s="885"/>
      <c r="AS95" s="885"/>
      <c r="AT95" s="885"/>
      <c r="AU95" s="885"/>
      <c r="AV95" s="885"/>
      <c r="AW95" s="885"/>
      <c r="AX95" s="885"/>
      <c r="AY95" s="885"/>
      <c r="AZ95" s="885"/>
      <c r="BA95" s="886"/>
      <c r="BB95" s="887">
        <f t="shared" ref="BB95:BB114" si="90">IF(CV95="","",CV95)</f>
        <v>0</v>
      </c>
      <c r="BC95" s="888" t="str">
        <f t="shared" ref="BC95:BC114" si="91">IF(BB95="","",IF(AND(H95="A",CR95&lt;&gt;"N/C",W95&lt;&gt;"NO"),BT95,""))</f>
        <v/>
      </c>
      <c r="BD95" s="889" t="str">
        <f t="shared" ref="BD95:BD114" si="92">IF(BB95="","",IF(AND(H95="R",CR95&lt;&gt;"N/C",W95&lt;&gt;"NO"),BT95,""))</f>
        <v/>
      </c>
      <c r="BE95" s="889" t="str">
        <f t="shared" ref="BE95:BE114" si="93">IF(BB95="","",IF(AND(H95="O",CR95&lt;&gt;"N/C",W95&lt;&gt;"NO"),BT95,""))</f>
        <v/>
      </c>
      <c r="BF95" s="889" t="str">
        <f t="shared" ref="BF95:BF114" si="94">IF(BB95="","",IF(AND(OR(H95="M",H95="MV",H95="HVAC"),CR95&lt;&gt;"N/C",W95&lt;&gt;"NO"),BT95,""))</f>
        <v/>
      </c>
      <c r="BG95" s="889" t="str">
        <f t="shared" ref="BG95:BG114" si="95">IF(BB95="","",IF(AND(H95="TB",CR95&lt;&gt;"N/C",W95&lt;&gt;"NO"),BT95,""))</f>
        <v/>
      </c>
      <c r="BH95" s="889" t="str">
        <f t="shared" ref="BH95:BH114" si="96">IF(BB95="","",IF(AND(OR(H95="TR",H95="PE"),CR95&lt;&gt;"N/C",W95&lt;&gt;"NO"),BT95,""))</f>
        <v/>
      </c>
      <c r="BI95" s="890" t="str">
        <f t="shared" ref="BI95:BI114" si="97">IF(BB95="","",IF(AND(H95="RE",CR95&lt;&gt;"N/C",W95&lt;&gt;"NO"),BT95,""))</f>
        <v/>
      </c>
      <c r="BJ95" s="891" t="str">
        <f t="shared" ref="BJ95:BJ114" si="98">IF(BB95="","",IF(AND(H95="A",CR95="N/C",W95&lt;&gt;"NO"),BT95,""))</f>
        <v/>
      </c>
      <c r="BK95" s="892" t="str">
        <f t="shared" ref="BK95:BK114" si="99">IF(BB95="","",IF(AND(H95="R",CR95="N/C",W95&lt;&gt;"NO"),BT95,IF(AND(H95="UPS",CR95="N/C",W95&lt;&gt;"NO"),BT95,"")))</f>
        <v/>
      </c>
      <c r="BL95" s="892" t="str">
        <f t="shared" ref="BL95:BL114" si="100">IF(BB95="","",IF(AND(H95="O",CR95="N/C",W95&lt;&gt;"NO"),BT95,""))</f>
        <v/>
      </c>
      <c r="BM95" s="892" t="str">
        <f t="shared" ref="BM95:BM114" si="101">IF(BB95="","",IF(AND(OR(H95="M",H95="MV",H95="HVAC"),CR95="N/C",W95&lt;&gt;"NO"),BT95,""))</f>
        <v/>
      </c>
      <c r="BN95" s="892" t="str">
        <f t="shared" ref="BN95:BN114" si="102">IF(BB95="","",IF(AND(H95="TB",CR95="N/C",W95&lt;&gt;"NO"),BT95,""))</f>
        <v/>
      </c>
      <c r="BO95" s="892" t="str">
        <f t="shared" ref="BO95:BO114" si="103">IF(BB95="","",IF(AND(OR(H95="TR",H95="PE"),CR95="N/C",W95&lt;&gt;"NO"),BT95,""))</f>
        <v/>
      </c>
      <c r="BP95" s="893" t="str">
        <f t="shared" ref="BP95:BP114" si="104">IF(BB95="","",IF(AND(H95="RE",CR95="N/C",W95&lt;&gt;"NO"),BT95,""))</f>
        <v/>
      </c>
      <c r="BQ95" s="894" t="str">
        <f t="shared" ref="BQ95:BQ114" si="105">IF(BB95="","",IF(AND(OR(H95="M",H95="MV",,H95="HVAC"),W95&lt;&gt;"NO"),BT95,""))</f>
        <v/>
      </c>
      <c r="BR95" s="895" t="str">
        <f t="shared" si="80"/>
        <v/>
      </c>
      <c r="BS95" s="896" t="str">
        <f t="shared" ref="BS95:BS114" si="106">IF(BB95="","",IF(AND(OR(H95="M",H95="MV",H95="HVAC"),W95&lt;&gt;"NO"),BW95,""))</f>
        <v/>
      </c>
      <c r="BT95" s="897" t="str">
        <f t="shared" ref="BT95:BT114" si="107">IF(BB95=0,"",BB95*V95)</f>
        <v/>
      </c>
      <c r="BU95" s="231" t="str">
        <f t="shared" ref="BU95:BU114" si="108">IF(CW95="","",CW95)</f>
        <v/>
      </c>
      <c r="BV95" s="898">
        <f t="shared" ref="BV95:BV114" si="109">IF(F95="","",IF(F95=1,$H$9,$F$9))</f>
        <v>127</v>
      </c>
      <c r="BW95" s="845" t="str">
        <f t="shared" ref="BW95:BW114" si="110">IF(CX95="","",CX95)</f>
        <v/>
      </c>
      <c r="BX95" s="899" t="str">
        <f t="shared" ref="BX95:BX114" si="111">IF(DN95="","",DN95)</f>
        <v/>
      </c>
      <c r="BY95" s="900" t="str" cm="1">
        <f t="array" ref="BY95">[1]!ACAELE_CAPACIDADCABLE(BB95,H95,I95,M95,BX95,N95)</f>
        <v/>
      </c>
      <c r="BZ95" s="900" t="str">
        <f t="shared" ref="BZ95:BZ114" si="112">IF(OR(BT95=0,BT95="",H95="RE"),"",(DS95/BV95)*100)</f>
        <v/>
      </c>
      <c r="CA95" s="901" t="str" cm="1">
        <f t="array" ref="CA95">[1]!ACAELE_cabledetierra(BZ95,$N$9,I95,BW95,BX95,G95)</f>
        <v/>
      </c>
      <c r="CB95" s="902" t="str" cm="1">
        <f t="array" ref="CB95">[1]!ACAELE_TAMATUBERIA(BX95,DU95,$N$9,M95,I95)</f>
        <v/>
      </c>
      <c r="CC95" s="846" t="str">
        <f t="shared" ref="CC95:CC114" si="113">IF(DV95="","",DV95)</f>
        <v/>
      </c>
      <c r="CD95" s="903" t="str" cm="1">
        <f t="array" ref="CD95">[1]!ACAELE_CAPACIDADCABLE(BB95,H95,I95,M95,CC95,N95)</f>
        <v/>
      </c>
      <c r="CE95" s="903" t="str">
        <f t="shared" ref="CE95:CE114" si="114">IF(OR(BB95=0,Q95="",H95="RE",$A$27=1),"",(EA95/BV95)*100)</f>
        <v/>
      </c>
      <c r="CF95" s="904" t="str" cm="1">
        <f t="array" ref="CF95">[1]!ACAELE_cabledetierra(CE95,$N$9,I95,BW95,CC95,G95)</f>
        <v/>
      </c>
      <c r="CG95" s="905" t="str" cm="1">
        <f t="array" ref="CG95">[1]!ACAELE_TAMATUBERIA(CC95,EC95,$N$9,S95,I95)</f>
        <v/>
      </c>
      <c r="CH95" s="906" t="str">
        <f t="shared" ref="CH95:CH114" si="115">IF(AND(CE95="",BZ95=""),"",IF(CE95="",0,CE95)+IF(BZ95="",0,BZ95))</f>
        <v/>
      </c>
      <c r="CI95" s="510" t="str">
        <f t="shared" ref="CI95:CI114" si="116">IF(CL95="","",CL95)</f>
        <v>-</v>
      </c>
      <c r="CJ95" s="511" t="str">
        <f t="shared" ref="CJ95:CJ114" si="117">IF(CM95="","",CM95)</f>
        <v>-</v>
      </c>
      <c r="CK95" s="512" t="str">
        <f t="shared" ref="CK95:CK114" si="118">IF(CN95="","",CN95)</f>
        <v>-</v>
      </c>
      <c r="CL95" s="907" t="str">
        <f t="shared" ref="CL95:CL114" si="119">IF(W95="NO","-",IF(BB95=0,"-",IF(OR($CO95="A",$CP95="A",$CQ95="A"),(BT95/F95)*1000,"-")))</f>
        <v>-</v>
      </c>
      <c r="CM95" s="908" t="str">
        <f t="shared" ref="CM95:CM114" si="120">IF(W95="NO","-",IF(BB95=0,"-",IF(OR($CO95="B",$CP95="B",$CQ95="B"),(BT95/F95)*1000,"-")))</f>
        <v>-</v>
      </c>
      <c r="CN95" s="909" t="str">
        <f t="shared" ref="CN95:CN114" si="121">IF(W95="NO","-",IF(BB95=0,"-",IF(OR($CO95="C",$CP95="C",$CQ95="C"),(BT95/F95)*1000,"-")))</f>
        <v>-</v>
      </c>
      <c r="CO95" s="910" t="str" cm="1">
        <f t="array" ref="CO95">[1]!ACAELE_fasecorresponde(B95,$F$10,$P$5)</f>
        <v>C</v>
      </c>
      <c r="CP95" s="910" t="str" cm="1">
        <f t="array" ref="CP95">[1]!ACAELE_fasecorresponde(C95,$F$10,$P$5)</f>
        <v>-</v>
      </c>
      <c r="CQ95" s="910" t="str" cm="1">
        <f t="array" ref="CQ95">[1]!ACAELE_fasecorresponde(D95,$F$10,$P$5)</f>
        <v>-</v>
      </c>
      <c r="CR95" s="911" t="str">
        <f t="shared" ref="CR95:CR114" si="122">IF(OR(H95="A",H95="O",H95="M",H95="MV",,H95="HVAC"),"C","N/C")</f>
        <v>C</v>
      </c>
      <c r="CS95" s="912">
        <f t="shared" ref="CS95:CS114" si="123">IF(BU95&gt;100,VLOOKUP($F$13,FCTEMP,3),VLOOKUP($F$13,FCTEMP,2))</f>
        <v>1</v>
      </c>
      <c r="CT95" s="913">
        <f t="shared" ref="CT95:CT114" si="124">IF(H95="RE","",IF(M95=1,VLOOKUP(J95,FCATUBO,2),IF(M95=6,VLOOKUP(J95,FCADUCTO,2),1)))</f>
        <v>0.8</v>
      </c>
      <c r="CU95" s="914" t="str">
        <f t="shared" ref="CU95:CU114" si="125">IF(OR(H95="RE",$A$27=1),"",IF(OR(BB95=0,Q95=""),"",IF(S95=1,VLOOKUP(P95,FCATUBO,2),IF(S95=6,VLOOKUP(P95,FCADUCTO,2),1))))</f>
        <v/>
      </c>
      <c r="CV95" s="915">
        <f t="shared" ref="CV95:CV114" si="126">SUMPRODUCT($X$29:$BA$29,$X95:$BA95/1000)</f>
        <v>0</v>
      </c>
      <c r="CW95" s="916" t="str" cm="1">
        <f t="array" ref="CW95">[1]!ACAELE_Inominal(BB95,F95,BT95,BV95,DA95,G95,V95,$P$5)</f>
        <v/>
      </c>
      <c r="CX95" s="917" t="str" cm="1">
        <f t="array" ref="CX95">[1]!ACAELE_Disparocalculado(BB95,H95,DL95,$N$21,$M$21,$O$21,BV95,$P$5)</f>
        <v/>
      </c>
      <c r="CY95" s="918" t="str" cm="1">
        <f t="array" ref="CY95">[1]!ACAELE_Icorregida($A$27,H95,BB95,BU95,CS95,CT95,$P$5)</f>
        <v/>
      </c>
      <c r="CZ95" s="919" t="str" cm="1">
        <f t="array" ref="CZ95">[1]!ACAELE_Icorregida2($A$27,H95,BB95,BU95,CS95,CU95,$P$5)</f>
        <v/>
      </c>
      <c r="DA95" s="920">
        <f t="shared" ref="DA95:DA114" si="127">IF(OR(H95="O",H95="BC"),$G$14,$F$14)</f>
        <v>0.9</v>
      </c>
      <c r="DB95" s="921">
        <f t="shared" ref="DB95:DB114" si="128">SIN(ACOS(DA95))</f>
        <v>0.43588989435406728</v>
      </c>
      <c r="DC95" s="922" t="str" cm="1">
        <f t="array" ref="DC95">[1]!ACAELE_CONDPORTCORRIENTE(H95,BB95,I95,M95,CY95,CZ95,N95,$P$5)</f>
        <v/>
      </c>
      <c r="DD95" s="923" t="str" cm="1">
        <f t="array" ref="DD95">[1]!ACAELE_CAPACONDCORRIENTE(BB95,H95,I95,M95,CY95,CZ95,$P$5)</f>
        <v/>
      </c>
      <c r="DE95" s="923" t="str" cm="1">
        <f t="array" ref="DE95">[1]!ACAELE_CAPACIDADCABLE(BB95,H95,I95,M95,DC95,N95,$P$5)</f>
        <v/>
      </c>
      <c r="DF95" s="924" t="str" cm="1">
        <f t="array" ref="DF95">[1]!ACAELE_encontrarcaida(BB95,H95,L95,BV95,F95,BU95,N95,K95)</f>
        <v/>
      </c>
      <c r="DG95" s="925" t="str" cm="1">
        <f t="array" ref="DG95">[1]!ACAELE_Cablecaida(BB95,H95,M95,I95,DF95)</f>
        <v/>
      </c>
      <c r="DH95" s="918" t="str" cm="1">
        <f t="array" ref="DH95">[1]!ACAELE_CAPACIDADCABLE(BB95,H95,I95,M95,DG95,N95,$P$5)</f>
        <v/>
      </c>
      <c r="DI95" s="926" t="str" cm="1">
        <f t="array" ref="DI95">IF($A$27=1,"",[1]!ACAELE_encontrarcaida(BB95,H95,R95,BV95,F95,BU95,T95,Q95,$P$5))</f>
        <v/>
      </c>
      <c r="DJ95" s="914" t="str" cm="1">
        <f t="array" ref="DJ95">IF($A$27=1,"",[1]!ACAELE_Cablecaida2(BB95,Q95,H95,S95,I95,DI95,$P$5))</f>
        <v/>
      </c>
      <c r="DK95" s="919" t="str" cm="1">
        <f t="array" ref="DK95">[1]!ACAELE_CAPACIDADCABLE(BB95,H95,I95,M95,DJ95,N95,$P$5)</f>
        <v/>
      </c>
      <c r="DL95" s="927" t="str" cm="1">
        <f t="array" ref="DL95">[1]!acaele_Iproteccion(BB95,H95,BU95,$F$20,$G$20,$F$19,$G$19,$H$20,$H$19,$P$5)</f>
        <v/>
      </c>
      <c r="DM95" s="928" cm="1">
        <f t="array" ref="DM95">[1]!acaele_ProtCalculada(CX95,H95,BT95,BW95,$G$21,$F$21,$H$21,$P$5)</f>
        <v>0</v>
      </c>
      <c r="DN95" s="929" t="str" cm="1">
        <f t="array" ref="DN95">[1]!ACAELE_cablecalculo(BB95,H95,I95,M95,EF95,$P$5)</f>
        <v/>
      </c>
      <c r="DO95" s="930" t="str" cm="1">
        <f t="array" ref="DO95">[1]!ACAELE_RESISTENCIA(BB95,H95,M95,I95,BX95, CW95,$P$5)</f>
        <v/>
      </c>
      <c r="DP95" s="931" t="str" cm="1">
        <f t="array" ref="DP95">[1]!ACAELE_REACTANCIA(BB95,H95,$F$11,M95,I95,BX95,$P$5)</f>
        <v/>
      </c>
      <c r="DQ95" s="918" t="str" cm="1">
        <f t="array" ref="DQ95">[1]!ACAELE_DIAMECAISLA(BB95,H95,I95,BX95,$P$5)</f>
        <v/>
      </c>
      <c r="DR95" s="918" t="str" cm="1">
        <f t="array" ref="DR95">[1]!ACAELE_AREACAISLAMIENTO(BB95,H95,DQ95,$P$5)</f>
        <v/>
      </c>
      <c r="DS95" s="918" t="str" cm="1">
        <f t="array" ref="DS95">[1]!ACAELE_CAIDAVOLTSFINAL(BB95,H95,F95,K95,BU95,N95,DO95,DA95,DP95,DB95,$P$5)</f>
        <v/>
      </c>
      <c r="DT95" s="918" t="str" cm="1">
        <f t="array" ref="DT95">[1]!ACAELE_AREACONDPTE(BB95,H95,CA95,$P$5)</f>
        <v/>
      </c>
      <c r="DU95" s="932" t="str" cm="1">
        <f t="array" ref="DU95">[1]!ACAELE_AREATOTAL(BZ95,M95,EO95,N95,DQ95,G95,DR95,DT95,N$20,$P$5)</f>
        <v/>
      </c>
      <c r="DV95" s="933" t="str" cm="1">
        <f t="array" ref="DV95">IF($A$27=1,"",[1]!ACAELE_cablecalculo(BB95,H95,I95,M95,EG95,$P$5))</f>
        <v/>
      </c>
      <c r="DW95" s="934" t="str" cm="1">
        <f t="array" ref="DW95">IF($A$27=1,"",[1]!ACAELE_RESISTENCIA(BB95,H95,M95,I95,CC95,CW95,$P$5))</f>
        <v/>
      </c>
      <c r="DX95" s="926" t="str" cm="1">
        <f t="array" ref="DX95">IF($A$27=1,"",[1]!ACAELE_REACTANCIA(BB95,H95,$F$11,M95,I95,CC95,$P$5))</f>
        <v/>
      </c>
      <c r="DY95" s="935" t="str" cm="1">
        <f t="array" ref="DY95">IF($A$27=1,"",[1]!ACAELE_DIAMECAISLA(BB95,H95,I95,CC95,$P$5))</f>
        <v/>
      </c>
      <c r="DZ95" s="935" t="str" cm="1">
        <f t="array" ref="DZ95">IF($A$27=1,"",[1]!ACAELE_AREACAISLAMIENTO(BB95,H95,DY95,$P$5))</f>
        <v/>
      </c>
      <c r="EA95" s="935" t="str" cm="1">
        <f t="array" ref="EA95">[1]!ACAELE_CAIDAVOLTSFINAL2(BB95,Q95,H95,F95,$A$27,BU95,T95,DW95,DA95,DX95,DB95)</f>
        <v/>
      </c>
      <c r="EB95" s="935" t="str" cm="1">
        <f t="array" ref="EB95">IF($A$27=1,"",[1]!ACAELE_AREACONDPTE(BB95,H95,CF95,$P$5))</f>
        <v/>
      </c>
      <c r="EC95" s="936" t="str" cm="1">
        <f t="array" ref="EC95">[1]!ACAELE_AREATOTAL2(H95,$A$27,DY95,S95,G95,T95,DZ95,U95,EB95)</f>
        <v/>
      </c>
      <c r="ED95" s="937" t="str">
        <f t="shared" ref="ED95:ED114" si="129">IF(OR(BB95=0,H95="RE"),"",VLOOKUP(BX95,nomenclaturacables,2,0))</f>
        <v/>
      </c>
      <c r="EE95" s="938" t="str">
        <f t="shared" ref="EE95:EE114" si="130">IF(CC95="","",VLOOKUP(CC95,nomenclaturacables,2,0))</f>
        <v/>
      </c>
      <c r="EF95" s="939" t="str">
        <f t="shared" ref="EF95:EF114" si="131">IF(BB95=0,"",IF(OR(H95="M",H95="MV"),MAX(DE95/N95,DH95/N95),MAX(DM95/N95,BW95/N95,IF(DE95="",0,DE95/N95),DH95/N95)))</f>
        <v/>
      </c>
      <c r="EG95" s="940">
        <f t="shared" ref="EG95:EG114" si="132">MAX(DM95,IF(DE95="",0,DE95/N95),DK95)</f>
        <v>0</v>
      </c>
      <c r="EH95" s="941" t="str">
        <f t="shared" ref="EH95:EH114" si="133">IF(OR(H95&lt;&gt;"TB",(SUM(BC95:BP95)&lt;&gt;0)),"",BU95)</f>
        <v/>
      </c>
      <c r="EI95" s="942">
        <f t="shared" ref="EI95:EI114" si="134">$F$13</f>
        <v>30</v>
      </c>
      <c r="EJ95" s="943" t="str">
        <f t="shared" si="81"/>
        <v/>
      </c>
      <c r="EK95" s="943" t="str">
        <f t="shared" si="82"/>
        <v/>
      </c>
      <c r="EL95" s="943" t="str">
        <f t="shared" si="83"/>
        <v/>
      </c>
      <c r="EM95" s="944" t="str">
        <f t="shared" si="84"/>
        <v/>
      </c>
      <c r="EN95" s="945" t="str" cm="1">
        <f t="array" ref="EN95">[1]!ACAELE_MOTOR(H95,X95:BA95,$X$26:$BA$26,$P$5)</f>
        <v/>
      </c>
      <c r="EO95" s="550" t="str">
        <f t="shared" ref="EO95:EO114" si="135">IF(BZ95="","",(G95*N95*DR95)/O95+DT95)</f>
        <v/>
      </c>
      <c r="EP95" s="431" t="s">
        <v>1214</v>
      </c>
      <c r="EQ95" s="434" t="str">
        <f t="shared" ref="EQ95:EQ114" ca="1" si="136">FL95</f>
        <v/>
      </c>
      <c r="ER95" s="32"/>
      <c r="ES95" s="32"/>
      <c r="ET95" s="3" t="str">
        <f t="shared" ref="ET95:ET114" si="137">IF(BW95="","",F95&amp;"P-"&amp;BW95&amp;" A")</f>
        <v/>
      </c>
      <c r="EU95" s="3" t="str">
        <f t="shared" ref="EU95:EU114" si="138">IF(BW95="","",G95*N95&amp;"-"&amp;BX95&amp;", "&amp;O95&amp;"-"&amp;CA95&amp;"T, "&amp;O95&amp;CB95)</f>
        <v/>
      </c>
      <c r="EV95" s="3" t="str">
        <f t="shared" ref="EV95:EV114" si="139">IF(BW95="","",K95)</f>
        <v/>
      </c>
      <c r="EW95" s="3" t="str">
        <f t="shared" ref="EW95:EW114" si="140">IF(BW95="","",G95*N95)</f>
        <v/>
      </c>
      <c r="EX95" s="3" t="str">
        <f t="shared" ref="EX95:EX114" si="141">IF(BW95="","",BX95)</f>
        <v/>
      </c>
      <c r="EY95" s="3" t="str">
        <f t="shared" ref="EY95:EY114" si="142">IF(BW95="","",O95)</f>
        <v/>
      </c>
      <c r="EZ95" s="3" t="str">
        <f t="shared" ref="EZ95:EZ114" si="143">IF(BW95="","",CA95)</f>
        <v/>
      </c>
      <c r="FA95" s="3" t="str">
        <f t="shared" ref="FA95:FA114" si="144">IF(BW95="","",O95)</f>
        <v/>
      </c>
      <c r="FB95" s="3" t="str">
        <f t="shared" ref="FB95:FB114" si="145">IF(BW95="","",CB95)</f>
        <v/>
      </c>
      <c r="FC95" s="3">
        <f t="shared" ref="FC95:FC114" si="146">IF(EV95="",0,EV95)</f>
        <v>0</v>
      </c>
      <c r="FD95" s="32"/>
      <c r="FE95" s="32"/>
      <c r="FF95" s="103">
        <v>1</v>
      </c>
      <c r="FG95" s="32"/>
      <c r="FH95" s="103"/>
      <c r="FI95" s="32"/>
      <c r="FJ95" s="103"/>
      <c r="FK95" s="3">
        <f t="shared" ref="FK95:FK114" si="147">IF(BB95&lt;&gt;0,MAX(B95:D95),0)</f>
        <v>0</v>
      </c>
      <c r="FL95" s="3" t="str" cm="1">
        <f t="array" aca="1" ref="FL95" ca="1">[1]!acaele_DIB_UNIFILAR(BB95,H95,F95,COUNTIF(X95:BA95,1),BW95)</f>
        <v/>
      </c>
      <c r="FM95" s="3" t="str">
        <f>IF(DATOS!$T$4=0,"",IF(DATOS!$T$4=1," (QO)",IF(DATOS!$T$4=2," (QOB)",IF(DATOS!$T$4=3," (EDB)",IF(DATOS!$T$4=4,IF(BW95&lt;151," (H"&amp;FN95&amp;")",IF(BW95&lt;251," (J"&amp;FN95&amp;")", IF(BW95&lt;401," (LA)",IF(BW95&lt;801," (MG)",IF(BW95&lt;5001," (POWERPACK)",""))))))))))</f>
        <v xml:space="preserve"> (QOB)</v>
      </c>
      <c r="FN95" s="3" t="str">
        <f t="shared" ref="FN95:FN114" si="148">IF(BB95=0,"",IF($BW$116&gt;2000,"G",IF($BW$116&gt;1000,"J","D")))</f>
        <v/>
      </c>
      <c r="FO95" s="146"/>
      <c r="FP95" s="146"/>
      <c r="FQ95" s="146"/>
      <c r="FR95" s="146"/>
      <c r="FS95" s="146"/>
      <c r="FT95" s="146"/>
      <c r="FU95" s="146"/>
      <c r="FV95" s="146"/>
      <c r="FW95" s="146"/>
      <c r="FX95" s="146" t="str">
        <f t="shared" si="79"/>
        <v/>
      </c>
      <c r="FY95" s="736"/>
      <c r="FZ95" s="740"/>
      <c r="GA95" s="740"/>
      <c r="GB95" s="717"/>
      <c r="GC95" s="838"/>
      <c r="GD95" s="736"/>
      <c r="GE95" s="146"/>
      <c r="GF95" s="506"/>
      <c r="GG95" s="506"/>
      <c r="GH95" s="506"/>
      <c r="GI95" s="506"/>
      <c r="GJ95" s="506"/>
      <c r="GM95" s="3">
        <f>IF(OR(GN95&gt;TABLERO!$M$19,GO95&gt;TABLERO!$M$19,GP95&gt;TABLERO!$M$19,B95=0,C95=0,D95=0),2,CUADROACAD!A95)</f>
        <v>2</v>
      </c>
      <c r="GN95" s="3">
        <f>IF(TABLERO!B95="",0,TABLERO!B95)</f>
        <v>65</v>
      </c>
      <c r="GO95" s="3">
        <f>IF(TABLERO!C95="",GN95,TABLERO!C95)</f>
        <v>65</v>
      </c>
      <c r="GP95" s="3">
        <f>IF(TABLERO!D95="",GN95,TABLERO!D95)</f>
        <v>65</v>
      </c>
    </row>
    <row r="96" spans="1:198" s="3" customFormat="1">
      <c r="A96" s="706"/>
      <c r="B96" s="869">
        <v>66</v>
      </c>
      <c r="C96" s="870" t="str">
        <f t="shared" si="85"/>
        <v/>
      </c>
      <c r="D96" s="870" t="str">
        <f t="shared" si="86"/>
        <v/>
      </c>
      <c r="E96" s="871"/>
      <c r="F96" s="872">
        <v>1</v>
      </c>
      <c r="G96" s="716">
        <f t="shared" si="87"/>
        <v>2</v>
      </c>
      <c r="H96" s="873" t="s">
        <v>12</v>
      </c>
      <c r="I96" s="874" t="str">
        <f t="shared" si="88"/>
        <v>CU</v>
      </c>
      <c r="J96" s="875">
        <v>6</v>
      </c>
      <c r="K96" s="876">
        <v>10</v>
      </c>
      <c r="L96" s="876">
        <v>3</v>
      </c>
      <c r="M96" s="877">
        <v>1</v>
      </c>
      <c r="N96" s="877">
        <v>1</v>
      </c>
      <c r="O96" s="878">
        <v>1</v>
      </c>
      <c r="P96" s="879">
        <v>4</v>
      </c>
      <c r="Q96" s="880">
        <v>1</v>
      </c>
      <c r="R96" s="880">
        <v>1</v>
      </c>
      <c r="S96" s="881">
        <v>1</v>
      </c>
      <c r="T96" s="881">
        <v>1</v>
      </c>
      <c r="U96" s="882">
        <v>1</v>
      </c>
      <c r="V96" s="883">
        <v>1</v>
      </c>
      <c r="W96" s="874" t="str">
        <f t="shared" si="89"/>
        <v>SI</v>
      </c>
      <c r="X96" s="884"/>
      <c r="Y96" s="885"/>
      <c r="Z96" s="885"/>
      <c r="AA96" s="885"/>
      <c r="AB96" s="885"/>
      <c r="AC96" s="885"/>
      <c r="AD96" s="885"/>
      <c r="AE96" s="885"/>
      <c r="AF96" s="885"/>
      <c r="AG96" s="885"/>
      <c r="AH96" s="885"/>
      <c r="AI96" s="885"/>
      <c r="AJ96" s="885"/>
      <c r="AK96" s="885"/>
      <c r="AL96" s="885"/>
      <c r="AM96" s="885"/>
      <c r="AN96" s="885"/>
      <c r="AO96" s="885"/>
      <c r="AP96" s="885"/>
      <c r="AQ96" s="885"/>
      <c r="AR96" s="885"/>
      <c r="AS96" s="885"/>
      <c r="AT96" s="885"/>
      <c r="AU96" s="885"/>
      <c r="AV96" s="885"/>
      <c r="AW96" s="885"/>
      <c r="AX96" s="885"/>
      <c r="AY96" s="885"/>
      <c r="AZ96" s="885"/>
      <c r="BA96" s="886"/>
      <c r="BB96" s="887">
        <f t="shared" si="90"/>
        <v>0</v>
      </c>
      <c r="BC96" s="888" t="str">
        <f t="shared" si="91"/>
        <v/>
      </c>
      <c r="BD96" s="889" t="str">
        <f t="shared" si="92"/>
        <v/>
      </c>
      <c r="BE96" s="889" t="str">
        <f t="shared" si="93"/>
        <v/>
      </c>
      <c r="BF96" s="889" t="str">
        <f t="shared" si="94"/>
        <v/>
      </c>
      <c r="BG96" s="889" t="str">
        <f t="shared" si="95"/>
        <v/>
      </c>
      <c r="BH96" s="889" t="str">
        <f t="shared" si="96"/>
        <v/>
      </c>
      <c r="BI96" s="890" t="str">
        <f t="shared" si="97"/>
        <v/>
      </c>
      <c r="BJ96" s="891" t="str">
        <f t="shared" si="98"/>
        <v/>
      </c>
      <c r="BK96" s="892" t="str">
        <f t="shared" si="99"/>
        <v/>
      </c>
      <c r="BL96" s="892" t="str">
        <f t="shared" si="100"/>
        <v/>
      </c>
      <c r="BM96" s="892" t="str">
        <f t="shared" si="101"/>
        <v/>
      </c>
      <c r="BN96" s="892" t="str">
        <f t="shared" si="102"/>
        <v/>
      </c>
      <c r="BO96" s="892" t="str">
        <f t="shared" si="103"/>
        <v/>
      </c>
      <c r="BP96" s="893" t="str">
        <f t="shared" si="104"/>
        <v/>
      </c>
      <c r="BQ96" s="894" t="str">
        <f t="shared" si="105"/>
        <v/>
      </c>
      <c r="BR96" s="895" t="str">
        <f t="shared" si="80"/>
        <v/>
      </c>
      <c r="BS96" s="896" t="str">
        <f t="shared" si="106"/>
        <v/>
      </c>
      <c r="BT96" s="897" t="str">
        <f t="shared" si="107"/>
        <v/>
      </c>
      <c r="BU96" s="231" t="str">
        <f t="shared" si="108"/>
        <v/>
      </c>
      <c r="BV96" s="898">
        <f t="shared" si="109"/>
        <v>127</v>
      </c>
      <c r="BW96" s="845" t="str">
        <f t="shared" si="110"/>
        <v/>
      </c>
      <c r="BX96" s="899" t="str">
        <f t="shared" si="111"/>
        <v/>
      </c>
      <c r="BY96" s="900" t="str" cm="1">
        <f t="array" ref="BY96">[1]!ACAELE_CAPACIDADCABLE(BB96,H96,I96,M96,BX96,N96)</f>
        <v/>
      </c>
      <c r="BZ96" s="900" t="str">
        <f t="shared" si="112"/>
        <v/>
      </c>
      <c r="CA96" s="901" t="str" cm="1">
        <f t="array" ref="CA96">[1]!ACAELE_cabledetierra(BZ96,$N$9,I96,BW96,BX96,G96)</f>
        <v/>
      </c>
      <c r="CB96" s="902" t="str" cm="1">
        <f t="array" ref="CB96">[1]!ACAELE_TAMATUBERIA(BX96,DU96,$N$9,M96,I96)</f>
        <v/>
      </c>
      <c r="CC96" s="846" t="str">
        <f t="shared" si="113"/>
        <v/>
      </c>
      <c r="CD96" s="903" t="str" cm="1">
        <f t="array" ref="CD96">[1]!ACAELE_CAPACIDADCABLE(BB96,H96,I96,M96,CC96,N96)</f>
        <v/>
      </c>
      <c r="CE96" s="903" t="str">
        <f t="shared" si="114"/>
        <v/>
      </c>
      <c r="CF96" s="904" t="str" cm="1">
        <f t="array" ref="CF96">[1]!ACAELE_cabledetierra(CE96,$N$9,I96,BW96,CC96,G96)</f>
        <v/>
      </c>
      <c r="CG96" s="905" t="str" cm="1">
        <f t="array" ref="CG96">[1]!ACAELE_TAMATUBERIA(CC96,EC96,$N$9,S96,I96)</f>
        <v/>
      </c>
      <c r="CH96" s="906" t="str">
        <f t="shared" si="115"/>
        <v/>
      </c>
      <c r="CI96" s="510" t="str">
        <f t="shared" si="116"/>
        <v>-</v>
      </c>
      <c r="CJ96" s="511" t="str">
        <f t="shared" si="117"/>
        <v>-</v>
      </c>
      <c r="CK96" s="512" t="str">
        <f t="shared" si="118"/>
        <v>-</v>
      </c>
      <c r="CL96" s="907" t="str">
        <f t="shared" si="119"/>
        <v>-</v>
      </c>
      <c r="CM96" s="908" t="str">
        <f t="shared" si="120"/>
        <v>-</v>
      </c>
      <c r="CN96" s="909" t="str">
        <f t="shared" si="121"/>
        <v>-</v>
      </c>
      <c r="CO96" s="910" t="str" cm="1">
        <f t="array" ref="CO96">[1]!ACAELE_fasecorresponde(B96,$F$10,$P$5)</f>
        <v>C</v>
      </c>
      <c r="CP96" s="910" t="str" cm="1">
        <f t="array" ref="CP96">[1]!ACAELE_fasecorresponde(C96,$F$10,$P$5)</f>
        <v>-</v>
      </c>
      <c r="CQ96" s="910" t="str" cm="1">
        <f t="array" ref="CQ96">[1]!ACAELE_fasecorresponde(D96,$F$10,$P$5)</f>
        <v>-</v>
      </c>
      <c r="CR96" s="911" t="str">
        <f t="shared" si="122"/>
        <v>C</v>
      </c>
      <c r="CS96" s="912">
        <f t="shared" si="123"/>
        <v>1</v>
      </c>
      <c r="CT96" s="913">
        <f t="shared" si="124"/>
        <v>0.8</v>
      </c>
      <c r="CU96" s="914" t="str">
        <f t="shared" si="125"/>
        <v/>
      </c>
      <c r="CV96" s="915">
        <f t="shared" si="126"/>
        <v>0</v>
      </c>
      <c r="CW96" s="916" t="str" cm="1">
        <f t="array" ref="CW96">[1]!ACAELE_Inominal(BB96,F96,BT96,BV96,DA96,G96,V96,$P$5)</f>
        <v/>
      </c>
      <c r="CX96" s="917" t="str" cm="1">
        <f t="array" ref="CX96">[1]!ACAELE_Disparocalculado(BB96,H96,DL96,$N$21,$M$21,$O$21,BV96,$P$5)</f>
        <v/>
      </c>
      <c r="CY96" s="918" t="str" cm="1">
        <f t="array" ref="CY96">[1]!ACAELE_Icorregida($A$27,H96,BB96,BU96,CS96,CT96,$P$5)</f>
        <v/>
      </c>
      <c r="CZ96" s="919" t="str" cm="1">
        <f t="array" ref="CZ96">[1]!ACAELE_Icorregida2($A$27,H96,BB96,BU96,CS96,CU96,$P$5)</f>
        <v/>
      </c>
      <c r="DA96" s="920">
        <f t="shared" si="127"/>
        <v>0.9</v>
      </c>
      <c r="DB96" s="921">
        <f t="shared" si="128"/>
        <v>0.43588989435406728</v>
      </c>
      <c r="DC96" s="922" t="str" cm="1">
        <f t="array" ref="DC96">[1]!ACAELE_CONDPORTCORRIENTE(H96,BB96,I96,M96,CY96,CZ96,N96,$P$5)</f>
        <v/>
      </c>
      <c r="DD96" s="923" t="str" cm="1">
        <f t="array" ref="DD96">[1]!ACAELE_CAPACONDCORRIENTE(BB96,H96,I96,M96,CY96,CZ96,$P$5)</f>
        <v/>
      </c>
      <c r="DE96" s="923" t="str" cm="1">
        <f t="array" ref="DE96">[1]!ACAELE_CAPACIDADCABLE(BB96,H96,I96,M96,DC96,N96,$P$5)</f>
        <v/>
      </c>
      <c r="DF96" s="924" t="str" cm="1">
        <f t="array" ref="DF96">[1]!ACAELE_encontrarcaida(BB96,H96,L96,BV96,F96,BU96,N96,K96)</f>
        <v/>
      </c>
      <c r="DG96" s="925" t="str" cm="1">
        <f t="array" ref="DG96">[1]!ACAELE_Cablecaida(BB96,H96,M96,I96,DF96)</f>
        <v/>
      </c>
      <c r="DH96" s="918" t="str" cm="1">
        <f t="array" ref="DH96">[1]!ACAELE_CAPACIDADCABLE(BB96,H96,I96,M96,DG96,N96,$P$5)</f>
        <v/>
      </c>
      <c r="DI96" s="926" t="str" cm="1">
        <f t="array" ref="DI96">IF($A$27=1,"",[1]!ACAELE_encontrarcaida(BB96,H96,R96,BV96,F96,BU96,T96,Q96,$P$5))</f>
        <v/>
      </c>
      <c r="DJ96" s="914" t="str" cm="1">
        <f t="array" ref="DJ96">IF($A$27=1,"",[1]!ACAELE_Cablecaida2(BB96,Q96,H96,S96,I96,DI96,$P$5))</f>
        <v/>
      </c>
      <c r="DK96" s="919" t="str" cm="1">
        <f t="array" ref="DK96">[1]!ACAELE_CAPACIDADCABLE(BB96,H96,I96,M96,DJ96,N96,$P$5)</f>
        <v/>
      </c>
      <c r="DL96" s="927" t="str" cm="1">
        <f t="array" ref="DL96">[1]!acaele_Iproteccion(BB96,H96,BU96,$F$20,$G$20,$F$19,$G$19,$H$20,$H$19,$P$5)</f>
        <v/>
      </c>
      <c r="DM96" s="928" cm="1">
        <f t="array" ref="DM96">[1]!acaele_ProtCalculada(CX96,H96,BT96,BW96,$G$21,$F$21,$H$21,$P$5)</f>
        <v>0</v>
      </c>
      <c r="DN96" s="929" t="str" cm="1">
        <f t="array" ref="DN96">[1]!ACAELE_cablecalculo(BB96,H96,I96,M96,EF96,$P$5)</f>
        <v/>
      </c>
      <c r="DO96" s="930" t="str" cm="1">
        <f t="array" ref="DO96">[1]!ACAELE_RESISTENCIA(BB96,H96,M96,I96,BX96, CW96,$P$5)</f>
        <v/>
      </c>
      <c r="DP96" s="931" t="str" cm="1">
        <f t="array" ref="DP96">[1]!ACAELE_REACTANCIA(BB96,H96,$F$11,M96,I96,BX96,$P$5)</f>
        <v/>
      </c>
      <c r="DQ96" s="918" t="str" cm="1">
        <f t="array" ref="DQ96">[1]!ACAELE_DIAMECAISLA(BB96,H96,I96,BX96,$P$5)</f>
        <v/>
      </c>
      <c r="DR96" s="918" t="str" cm="1">
        <f t="array" ref="DR96">[1]!ACAELE_AREACAISLAMIENTO(BB96,H96,DQ96,$P$5)</f>
        <v/>
      </c>
      <c r="DS96" s="918" t="str" cm="1">
        <f t="array" ref="DS96">[1]!ACAELE_CAIDAVOLTSFINAL(BB96,H96,F96,K96,BU96,N96,DO96,DA96,DP96,DB96,$P$5)</f>
        <v/>
      </c>
      <c r="DT96" s="918" t="str" cm="1">
        <f t="array" ref="DT96">[1]!ACAELE_AREACONDPTE(BB96,H96,CA96,$P$5)</f>
        <v/>
      </c>
      <c r="DU96" s="932" t="str" cm="1">
        <f t="array" ref="DU96">[1]!ACAELE_AREATOTAL(BZ96,M96,EO96,N96,DQ96,G96,DR96,DT96,N$20,$P$5)</f>
        <v/>
      </c>
      <c r="DV96" s="933" t="str" cm="1">
        <f t="array" ref="DV96">IF($A$27=1,"",[1]!ACAELE_cablecalculo(BB96,H96,I96,M96,EG96,$P$5))</f>
        <v/>
      </c>
      <c r="DW96" s="934" t="str" cm="1">
        <f t="array" ref="DW96">IF($A$27=1,"",[1]!ACAELE_RESISTENCIA(BB96,H96,M96,I96,CC96,CW96,$P$5))</f>
        <v/>
      </c>
      <c r="DX96" s="926" t="str" cm="1">
        <f t="array" ref="DX96">IF($A$27=1,"",[1]!ACAELE_REACTANCIA(BB96,H96,$F$11,M96,I96,CC96,$P$5))</f>
        <v/>
      </c>
      <c r="DY96" s="935" t="str" cm="1">
        <f t="array" ref="DY96">IF($A$27=1,"",[1]!ACAELE_DIAMECAISLA(BB96,H96,I96,CC96,$P$5))</f>
        <v/>
      </c>
      <c r="DZ96" s="935" t="str" cm="1">
        <f t="array" ref="DZ96">IF($A$27=1,"",[1]!ACAELE_AREACAISLAMIENTO(BB96,H96,DY96,$P$5))</f>
        <v/>
      </c>
      <c r="EA96" s="935" t="str" cm="1">
        <f t="array" ref="EA96">[1]!ACAELE_CAIDAVOLTSFINAL2(BB96,Q96,H96,F96,$A$27,BU96,T96,DW96,DA96,DX96,DB96)</f>
        <v/>
      </c>
      <c r="EB96" s="935" t="str" cm="1">
        <f t="array" ref="EB96">IF($A$27=1,"",[1]!ACAELE_AREACONDPTE(BB96,H96,CF96,$P$5))</f>
        <v/>
      </c>
      <c r="EC96" s="936" t="str" cm="1">
        <f t="array" ref="EC96">[1]!ACAELE_AREATOTAL2(H96,$A$27,DY96,S96,G96,T96,DZ96,U96,EB96)</f>
        <v/>
      </c>
      <c r="ED96" s="937" t="str">
        <f t="shared" si="129"/>
        <v/>
      </c>
      <c r="EE96" s="938" t="str">
        <f t="shared" si="130"/>
        <v/>
      </c>
      <c r="EF96" s="939" t="str">
        <f t="shared" si="131"/>
        <v/>
      </c>
      <c r="EG96" s="940">
        <f t="shared" si="132"/>
        <v>0</v>
      </c>
      <c r="EH96" s="941" t="str">
        <f t="shared" si="133"/>
        <v/>
      </c>
      <c r="EI96" s="942">
        <f t="shared" si="134"/>
        <v>30</v>
      </c>
      <c r="EJ96" s="943" t="str">
        <f t="shared" si="81"/>
        <v/>
      </c>
      <c r="EK96" s="943" t="str">
        <f t="shared" si="82"/>
        <v/>
      </c>
      <c r="EL96" s="943" t="str">
        <f t="shared" si="83"/>
        <v/>
      </c>
      <c r="EM96" s="944" t="str">
        <f t="shared" si="84"/>
        <v/>
      </c>
      <c r="EN96" s="945" t="str" cm="1">
        <f t="array" ref="EN96">[1]!ACAELE_MOTOR(H96,X96:BA96,$X$26:$BA$26,$P$5)</f>
        <v/>
      </c>
      <c r="EO96" s="550" t="str">
        <f t="shared" si="135"/>
        <v/>
      </c>
      <c r="EP96" s="431" t="s">
        <v>1214</v>
      </c>
      <c r="EQ96" s="434" t="str">
        <f t="shared" ca="1" si="136"/>
        <v/>
      </c>
      <c r="ER96" s="32"/>
      <c r="ES96" s="32"/>
      <c r="ET96" s="3" t="str">
        <f t="shared" si="137"/>
        <v/>
      </c>
      <c r="EU96" s="3" t="str">
        <f t="shared" si="138"/>
        <v/>
      </c>
      <c r="EV96" s="3" t="str">
        <f t="shared" si="139"/>
        <v/>
      </c>
      <c r="EW96" s="3" t="str">
        <f t="shared" si="140"/>
        <v/>
      </c>
      <c r="EX96" s="3" t="str">
        <f t="shared" si="141"/>
        <v/>
      </c>
      <c r="EY96" s="3" t="str">
        <f t="shared" si="142"/>
        <v/>
      </c>
      <c r="EZ96" s="3" t="str">
        <f t="shared" si="143"/>
        <v/>
      </c>
      <c r="FA96" s="3" t="str">
        <f t="shared" si="144"/>
        <v/>
      </c>
      <c r="FB96" s="3" t="str">
        <f t="shared" si="145"/>
        <v/>
      </c>
      <c r="FC96" s="3">
        <f t="shared" si="146"/>
        <v>0</v>
      </c>
      <c r="FD96" s="32"/>
      <c r="FE96" s="32"/>
      <c r="FF96" s="103">
        <v>1</v>
      </c>
      <c r="FG96" s="32"/>
      <c r="FH96" s="103"/>
      <c r="FI96" s="32"/>
      <c r="FJ96" s="103"/>
      <c r="FK96" s="3">
        <f t="shared" si="147"/>
        <v>0</v>
      </c>
      <c r="FL96" s="3" t="str" cm="1">
        <f t="array" aca="1" ref="FL96" ca="1">[1]!acaele_DIB_UNIFILAR(BB96,H96,F96,COUNTIF(X96:BA96,1),BW96)</f>
        <v/>
      </c>
      <c r="FM96" s="3" t="str">
        <f>IF(DATOS!$T$4=0,"",IF(DATOS!$T$4=1," (QO)",IF(DATOS!$T$4=2," (QOB)",IF(DATOS!$T$4=3," (EDB)",IF(DATOS!$T$4=4,IF(BW96&lt;151," (H"&amp;FN96&amp;")",IF(BW96&lt;251," (J"&amp;FN96&amp;")", IF(BW96&lt;401," (LA)",IF(BW96&lt;801," (MG)",IF(BW96&lt;5001," (POWERPACK)",""))))))))))</f>
        <v xml:space="preserve"> (QOB)</v>
      </c>
      <c r="FN96" s="3" t="str">
        <f t="shared" si="148"/>
        <v/>
      </c>
      <c r="FO96" s="146"/>
      <c r="FP96" s="146"/>
      <c r="FQ96" s="146"/>
      <c r="FR96" s="146"/>
      <c r="FS96" s="146"/>
      <c r="FT96" s="146"/>
      <c r="FU96" s="146"/>
      <c r="FV96" s="146"/>
      <c r="FW96" s="146"/>
      <c r="FX96" s="146" t="str">
        <f t="shared" si="79"/>
        <v/>
      </c>
      <c r="FY96" s="736"/>
      <c r="FZ96" s="740"/>
      <c r="GA96" s="740"/>
      <c r="GB96" s="717"/>
      <c r="GC96" s="838"/>
      <c r="GD96" s="736"/>
      <c r="GE96" s="146"/>
      <c r="GF96" s="506"/>
      <c r="GG96" s="506"/>
      <c r="GH96" s="506"/>
      <c r="GI96" s="506"/>
      <c r="GJ96" s="506"/>
      <c r="GM96" s="3">
        <f>IF(OR(GN96&gt;TABLERO!$M$19,GO96&gt;TABLERO!$M$19,GP96&gt;TABLERO!$M$19,B96=0,C96=0,D96=0),2,CUADROACAD!A96)</f>
        <v>2</v>
      </c>
      <c r="GN96" s="3">
        <f>IF(TABLERO!B96="",0,TABLERO!B96)</f>
        <v>66</v>
      </c>
      <c r="GO96" s="3">
        <f>IF(TABLERO!C96="",GN96,TABLERO!C96)</f>
        <v>66</v>
      </c>
      <c r="GP96" s="3">
        <f>IF(TABLERO!D96="",GN96,TABLERO!D96)</f>
        <v>66</v>
      </c>
    </row>
    <row r="97" spans="1:198" s="3" customFormat="1">
      <c r="A97" s="706"/>
      <c r="B97" s="869">
        <v>67</v>
      </c>
      <c r="C97" s="870" t="str">
        <f t="shared" si="85"/>
        <v/>
      </c>
      <c r="D97" s="870" t="str">
        <f t="shared" si="86"/>
        <v/>
      </c>
      <c r="E97" s="871"/>
      <c r="F97" s="872">
        <v>1</v>
      </c>
      <c r="G97" s="716">
        <f t="shared" si="87"/>
        <v>2</v>
      </c>
      <c r="H97" s="873" t="s">
        <v>12</v>
      </c>
      <c r="I97" s="874" t="str">
        <f t="shared" si="88"/>
        <v>CU</v>
      </c>
      <c r="J97" s="875">
        <v>6</v>
      </c>
      <c r="K97" s="876">
        <v>10</v>
      </c>
      <c r="L97" s="876">
        <v>3</v>
      </c>
      <c r="M97" s="877">
        <v>1</v>
      </c>
      <c r="N97" s="877">
        <v>1</v>
      </c>
      <c r="O97" s="878">
        <v>1</v>
      </c>
      <c r="P97" s="879">
        <v>4</v>
      </c>
      <c r="Q97" s="880">
        <v>1</v>
      </c>
      <c r="R97" s="880">
        <v>1</v>
      </c>
      <c r="S97" s="881">
        <v>1</v>
      </c>
      <c r="T97" s="881">
        <v>1</v>
      </c>
      <c r="U97" s="882">
        <v>1</v>
      </c>
      <c r="V97" s="883">
        <v>1</v>
      </c>
      <c r="W97" s="874" t="str">
        <f t="shared" si="89"/>
        <v>SI</v>
      </c>
      <c r="X97" s="884"/>
      <c r="Y97" s="885"/>
      <c r="Z97" s="885"/>
      <c r="AA97" s="885"/>
      <c r="AB97" s="885"/>
      <c r="AC97" s="885"/>
      <c r="AD97" s="885"/>
      <c r="AE97" s="885"/>
      <c r="AF97" s="885"/>
      <c r="AG97" s="885"/>
      <c r="AH97" s="885"/>
      <c r="AI97" s="885"/>
      <c r="AJ97" s="885"/>
      <c r="AK97" s="885"/>
      <c r="AL97" s="885"/>
      <c r="AM97" s="885"/>
      <c r="AN97" s="885"/>
      <c r="AO97" s="885"/>
      <c r="AP97" s="885"/>
      <c r="AQ97" s="885"/>
      <c r="AR97" s="885"/>
      <c r="AS97" s="885"/>
      <c r="AT97" s="885"/>
      <c r="AU97" s="885"/>
      <c r="AV97" s="885"/>
      <c r="AW97" s="885"/>
      <c r="AX97" s="885"/>
      <c r="AY97" s="885"/>
      <c r="AZ97" s="885"/>
      <c r="BA97" s="886"/>
      <c r="BB97" s="887">
        <f t="shared" si="90"/>
        <v>0</v>
      </c>
      <c r="BC97" s="888" t="str">
        <f t="shared" si="91"/>
        <v/>
      </c>
      <c r="BD97" s="889" t="str">
        <f t="shared" si="92"/>
        <v/>
      </c>
      <c r="BE97" s="889" t="str">
        <f t="shared" si="93"/>
        <v/>
      </c>
      <c r="BF97" s="889" t="str">
        <f t="shared" si="94"/>
        <v/>
      </c>
      <c r="BG97" s="889" t="str">
        <f t="shared" si="95"/>
        <v/>
      </c>
      <c r="BH97" s="889" t="str">
        <f t="shared" si="96"/>
        <v/>
      </c>
      <c r="BI97" s="890" t="str">
        <f t="shared" si="97"/>
        <v/>
      </c>
      <c r="BJ97" s="891" t="str">
        <f t="shared" si="98"/>
        <v/>
      </c>
      <c r="BK97" s="892" t="str">
        <f t="shared" si="99"/>
        <v/>
      </c>
      <c r="BL97" s="892" t="str">
        <f t="shared" si="100"/>
        <v/>
      </c>
      <c r="BM97" s="892" t="str">
        <f t="shared" si="101"/>
        <v/>
      </c>
      <c r="BN97" s="892" t="str">
        <f t="shared" si="102"/>
        <v/>
      </c>
      <c r="BO97" s="892" t="str">
        <f t="shared" si="103"/>
        <v/>
      </c>
      <c r="BP97" s="893" t="str">
        <f t="shared" si="104"/>
        <v/>
      </c>
      <c r="BQ97" s="894" t="str">
        <f t="shared" si="105"/>
        <v/>
      </c>
      <c r="BR97" s="895" t="str">
        <f t="shared" si="80"/>
        <v/>
      </c>
      <c r="BS97" s="896" t="str">
        <f t="shared" si="106"/>
        <v/>
      </c>
      <c r="BT97" s="897" t="str">
        <f t="shared" si="107"/>
        <v/>
      </c>
      <c r="BU97" s="231" t="str">
        <f t="shared" si="108"/>
        <v/>
      </c>
      <c r="BV97" s="898">
        <f t="shared" si="109"/>
        <v>127</v>
      </c>
      <c r="BW97" s="845" t="str">
        <f t="shared" si="110"/>
        <v/>
      </c>
      <c r="BX97" s="899" t="str">
        <f t="shared" si="111"/>
        <v/>
      </c>
      <c r="BY97" s="900" t="str" cm="1">
        <f t="array" ref="BY97">[1]!ACAELE_CAPACIDADCABLE(BB97,H97,I97,M97,BX97,N97)</f>
        <v/>
      </c>
      <c r="BZ97" s="900" t="str">
        <f t="shared" si="112"/>
        <v/>
      </c>
      <c r="CA97" s="901" t="str" cm="1">
        <f t="array" ref="CA97">[1]!ACAELE_cabledetierra(BZ97,$N$9,I97,BW97,BX97,G97)</f>
        <v/>
      </c>
      <c r="CB97" s="902" t="str" cm="1">
        <f t="array" ref="CB97">[1]!ACAELE_TAMATUBERIA(BX97,DU97,$N$9,M97,I97)</f>
        <v/>
      </c>
      <c r="CC97" s="846" t="str">
        <f t="shared" si="113"/>
        <v/>
      </c>
      <c r="CD97" s="903" t="str" cm="1">
        <f t="array" ref="CD97">[1]!ACAELE_CAPACIDADCABLE(BB97,H97,I97,M97,CC97,N97)</f>
        <v/>
      </c>
      <c r="CE97" s="903" t="str">
        <f t="shared" si="114"/>
        <v/>
      </c>
      <c r="CF97" s="904" t="str" cm="1">
        <f t="array" ref="CF97">[1]!ACAELE_cabledetierra(CE97,$N$9,I97,BW97,CC97,G97)</f>
        <v/>
      </c>
      <c r="CG97" s="905" t="str" cm="1">
        <f t="array" ref="CG97">[1]!ACAELE_TAMATUBERIA(CC97,EC97,$N$9,S97,I97)</f>
        <v/>
      </c>
      <c r="CH97" s="906" t="str">
        <f t="shared" si="115"/>
        <v/>
      </c>
      <c r="CI97" s="510" t="str">
        <f t="shared" si="116"/>
        <v>-</v>
      </c>
      <c r="CJ97" s="511" t="str">
        <f t="shared" si="117"/>
        <v>-</v>
      </c>
      <c r="CK97" s="512" t="str">
        <f t="shared" si="118"/>
        <v>-</v>
      </c>
      <c r="CL97" s="907" t="str">
        <f t="shared" si="119"/>
        <v>-</v>
      </c>
      <c r="CM97" s="908" t="str">
        <f t="shared" si="120"/>
        <v>-</v>
      </c>
      <c r="CN97" s="909" t="str">
        <f t="shared" si="121"/>
        <v>-</v>
      </c>
      <c r="CO97" s="910" t="str" cm="1">
        <f t="array" ref="CO97">[1]!ACAELE_fasecorresponde(B97,$F$10,$P$5)</f>
        <v>A</v>
      </c>
      <c r="CP97" s="910" t="str" cm="1">
        <f t="array" ref="CP97">[1]!ACAELE_fasecorresponde(C97,$F$10,$P$5)</f>
        <v>-</v>
      </c>
      <c r="CQ97" s="910" t="str" cm="1">
        <f t="array" ref="CQ97">[1]!ACAELE_fasecorresponde(D97,$F$10,$P$5)</f>
        <v>-</v>
      </c>
      <c r="CR97" s="911" t="str">
        <f t="shared" si="122"/>
        <v>C</v>
      </c>
      <c r="CS97" s="912">
        <f t="shared" si="123"/>
        <v>1</v>
      </c>
      <c r="CT97" s="913">
        <f t="shared" si="124"/>
        <v>0.8</v>
      </c>
      <c r="CU97" s="914" t="str">
        <f t="shared" si="125"/>
        <v/>
      </c>
      <c r="CV97" s="915">
        <f t="shared" si="126"/>
        <v>0</v>
      </c>
      <c r="CW97" s="916" t="str" cm="1">
        <f t="array" ref="CW97">[1]!ACAELE_Inominal(BB97,F97,BT97,BV97,DA97,G97,V97,$P$5)</f>
        <v/>
      </c>
      <c r="CX97" s="917" t="str" cm="1">
        <f t="array" ref="CX97">[1]!ACAELE_Disparocalculado(BB97,H97,DL97,$N$21,$M$21,$O$21,BV97,$P$5)</f>
        <v/>
      </c>
      <c r="CY97" s="918" t="str" cm="1">
        <f t="array" ref="CY97">[1]!ACAELE_Icorregida($A$27,H97,BB97,BU97,CS97,CT97,$P$5)</f>
        <v/>
      </c>
      <c r="CZ97" s="919" t="str" cm="1">
        <f t="array" ref="CZ97">[1]!ACAELE_Icorregida2($A$27,H97,BB97,BU97,CS97,CU97,$P$5)</f>
        <v/>
      </c>
      <c r="DA97" s="920">
        <f t="shared" si="127"/>
        <v>0.9</v>
      </c>
      <c r="DB97" s="921">
        <f t="shared" si="128"/>
        <v>0.43588989435406728</v>
      </c>
      <c r="DC97" s="922" t="str" cm="1">
        <f t="array" ref="DC97">[1]!ACAELE_CONDPORTCORRIENTE(H97,BB97,I97,M97,CY97,CZ97,N97,$P$5)</f>
        <v/>
      </c>
      <c r="DD97" s="923" t="str" cm="1">
        <f t="array" ref="DD97">[1]!ACAELE_CAPACONDCORRIENTE(BB97,H97,I97,M97,CY97,CZ97,$P$5)</f>
        <v/>
      </c>
      <c r="DE97" s="923" t="str" cm="1">
        <f t="array" ref="DE97">[1]!ACAELE_CAPACIDADCABLE(BB97,H97,I97,M97,DC97,N97,$P$5)</f>
        <v/>
      </c>
      <c r="DF97" s="924" t="str" cm="1">
        <f t="array" ref="DF97">[1]!ACAELE_encontrarcaida(BB97,H97,L97,BV97,F97,BU97,N97,K97)</f>
        <v/>
      </c>
      <c r="DG97" s="925" t="str" cm="1">
        <f t="array" ref="DG97">[1]!ACAELE_Cablecaida(BB97,H97,M97,I97,DF97)</f>
        <v/>
      </c>
      <c r="DH97" s="918" t="str" cm="1">
        <f t="array" ref="DH97">[1]!ACAELE_CAPACIDADCABLE(BB97,H97,I97,M97,DG97,N97,$P$5)</f>
        <v/>
      </c>
      <c r="DI97" s="926" t="str" cm="1">
        <f t="array" ref="DI97">IF($A$27=1,"",[1]!ACAELE_encontrarcaida(BB97,H97,R97,BV97,F97,BU97,T97,Q97,$P$5))</f>
        <v/>
      </c>
      <c r="DJ97" s="914" t="str" cm="1">
        <f t="array" ref="DJ97">IF($A$27=1,"",[1]!ACAELE_Cablecaida2(BB97,Q97,H97,S97,I97,DI97,$P$5))</f>
        <v/>
      </c>
      <c r="DK97" s="919" t="str" cm="1">
        <f t="array" ref="DK97">[1]!ACAELE_CAPACIDADCABLE(BB97,H97,I97,M97,DJ97,N97,$P$5)</f>
        <v/>
      </c>
      <c r="DL97" s="927" t="str" cm="1">
        <f t="array" ref="DL97">[1]!acaele_Iproteccion(BB97,H97,BU97,$F$20,$G$20,$F$19,$G$19,$H$20,$H$19,$P$5)</f>
        <v/>
      </c>
      <c r="DM97" s="928" cm="1">
        <f t="array" ref="DM97">[1]!acaele_ProtCalculada(CX97,H97,BT97,BW97,$G$21,$F$21,$H$21,$P$5)</f>
        <v>0</v>
      </c>
      <c r="DN97" s="929" t="str" cm="1">
        <f t="array" ref="DN97">[1]!ACAELE_cablecalculo(BB97,H97,I97,M97,EF97,$P$5)</f>
        <v/>
      </c>
      <c r="DO97" s="930" t="str" cm="1">
        <f t="array" ref="DO97">[1]!ACAELE_RESISTENCIA(BB97,H97,M97,I97,BX97, CW97,$P$5)</f>
        <v/>
      </c>
      <c r="DP97" s="931" t="str" cm="1">
        <f t="array" ref="DP97">[1]!ACAELE_REACTANCIA(BB97,H97,$F$11,M97,I97,BX97,$P$5)</f>
        <v/>
      </c>
      <c r="DQ97" s="918" t="str" cm="1">
        <f t="array" ref="DQ97">[1]!ACAELE_DIAMECAISLA(BB97,H97,I97,BX97,$P$5)</f>
        <v/>
      </c>
      <c r="DR97" s="918" t="str" cm="1">
        <f t="array" ref="DR97">[1]!ACAELE_AREACAISLAMIENTO(BB97,H97,DQ97,$P$5)</f>
        <v/>
      </c>
      <c r="DS97" s="918" t="str" cm="1">
        <f t="array" ref="DS97">[1]!ACAELE_CAIDAVOLTSFINAL(BB97,H97,F97,K97,BU97,N97,DO97,DA97,DP97,DB97,$P$5)</f>
        <v/>
      </c>
      <c r="DT97" s="918" t="str" cm="1">
        <f t="array" ref="DT97">[1]!ACAELE_AREACONDPTE(BB97,H97,CA97,$P$5)</f>
        <v/>
      </c>
      <c r="DU97" s="932" t="str" cm="1">
        <f t="array" ref="DU97">[1]!ACAELE_AREATOTAL(BZ97,M97,EO97,N97,DQ97,G97,DR97,DT97,N$20,$P$5)</f>
        <v/>
      </c>
      <c r="DV97" s="933" t="str" cm="1">
        <f t="array" ref="DV97">IF($A$27=1,"",[1]!ACAELE_cablecalculo(BB97,H97,I97,M97,EG97,$P$5))</f>
        <v/>
      </c>
      <c r="DW97" s="934" t="str" cm="1">
        <f t="array" ref="DW97">IF($A$27=1,"",[1]!ACAELE_RESISTENCIA(BB97,H97,M97,I97,CC97,CW97,$P$5))</f>
        <v/>
      </c>
      <c r="DX97" s="926" t="str" cm="1">
        <f t="array" ref="DX97">IF($A$27=1,"",[1]!ACAELE_REACTANCIA(BB97,H97,$F$11,M97,I97,CC97,$P$5))</f>
        <v/>
      </c>
      <c r="DY97" s="935" t="str" cm="1">
        <f t="array" ref="DY97">IF($A$27=1,"",[1]!ACAELE_DIAMECAISLA(BB97,H97,I97,CC97,$P$5))</f>
        <v/>
      </c>
      <c r="DZ97" s="935" t="str" cm="1">
        <f t="array" ref="DZ97">IF($A$27=1,"",[1]!ACAELE_AREACAISLAMIENTO(BB97,H97,DY97,$P$5))</f>
        <v/>
      </c>
      <c r="EA97" s="935" t="str" cm="1">
        <f t="array" ref="EA97">[1]!ACAELE_CAIDAVOLTSFINAL2(BB97,Q97,H97,F97,$A$27,BU97,T97,DW97,DA97,DX97,DB97)</f>
        <v/>
      </c>
      <c r="EB97" s="935" t="str" cm="1">
        <f t="array" ref="EB97">IF($A$27=1,"",[1]!ACAELE_AREACONDPTE(BB97,H97,CF97,$P$5))</f>
        <v/>
      </c>
      <c r="EC97" s="936" t="str" cm="1">
        <f t="array" ref="EC97">[1]!ACAELE_AREATOTAL2(H97,$A$27,DY97,S97,G97,T97,DZ97,U97,EB97)</f>
        <v/>
      </c>
      <c r="ED97" s="937" t="str">
        <f t="shared" si="129"/>
        <v/>
      </c>
      <c r="EE97" s="938" t="str">
        <f t="shared" si="130"/>
        <v/>
      </c>
      <c r="EF97" s="939" t="str">
        <f t="shared" si="131"/>
        <v/>
      </c>
      <c r="EG97" s="940">
        <f t="shared" si="132"/>
        <v>0</v>
      </c>
      <c r="EH97" s="941" t="str">
        <f t="shared" si="133"/>
        <v/>
      </c>
      <c r="EI97" s="942">
        <f t="shared" si="134"/>
        <v>30</v>
      </c>
      <c r="EJ97" s="943" t="str">
        <f t="shared" si="81"/>
        <v/>
      </c>
      <c r="EK97" s="943" t="str">
        <f t="shared" si="82"/>
        <v/>
      </c>
      <c r="EL97" s="943" t="str">
        <f t="shared" si="83"/>
        <v/>
      </c>
      <c r="EM97" s="944" t="str">
        <f t="shared" si="84"/>
        <v/>
      </c>
      <c r="EN97" s="945" t="str" cm="1">
        <f t="array" ref="EN97">[1]!ACAELE_MOTOR(H97,X97:BA97,$X$26:$BA$26,$P$5)</f>
        <v/>
      </c>
      <c r="EO97" s="550" t="str">
        <f t="shared" si="135"/>
        <v/>
      </c>
      <c r="EP97" s="431" t="s">
        <v>1214</v>
      </c>
      <c r="EQ97" s="434" t="str">
        <f t="shared" ca="1" si="136"/>
        <v/>
      </c>
      <c r="ER97" s="32"/>
      <c r="ES97" s="32"/>
      <c r="ET97" s="3" t="str">
        <f t="shared" si="137"/>
        <v/>
      </c>
      <c r="EU97" s="3" t="str">
        <f t="shared" si="138"/>
        <v/>
      </c>
      <c r="EV97" s="3" t="str">
        <f t="shared" si="139"/>
        <v/>
      </c>
      <c r="EW97" s="3" t="str">
        <f t="shared" si="140"/>
        <v/>
      </c>
      <c r="EX97" s="3" t="str">
        <f t="shared" si="141"/>
        <v/>
      </c>
      <c r="EY97" s="3" t="str">
        <f t="shared" si="142"/>
        <v/>
      </c>
      <c r="EZ97" s="3" t="str">
        <f t="shared" si="143"/>
        <v/>
      </c>
      <c r="FA97" s="3" t="str">
        <f t="shared" si="144"/>
        <v/>
      </c>
      <c r="FB97" s="3" t="str">
        <f t="shared" si="145"/>
        <v/>
      </c>
      <c r="FC97" s="3">
        <f t="shared" si="146"/>
        <v>0</v>
      </c>
      <c r="FD97" s="32"/>
      <c r="FE97" s="32"/>
      <c r="FF97" s="103">
        <v>1</v>
      </c>
      <c r="FG97" s="32"/>
      <c r="FH97" s="103"/>
      <c r="FI97" s="32"/>
      <c r="FJ97" s="103"/>
      <c r="FK97" s="3">
        <f t="shared" si="147"/>
        <v>0</v>
      </c>
      <c r="FL97" s="3" t="str" cm="1">
        <f t="array" aca="1" ref="FL97" ca="1">[1]!acaele_DIB_UNIFILAR(BB97,H97,F97,COUNTIF(X97:BA97,1),BW97)</f>
        <v/>
      </c>
      <c r="FM97" s="3" t="str">
        <f>IF(DATOS!$T$4=0,"",IF(DATOS!$T$4=1," (QO)",IF(DATOS!$T$4=2," (QOB)",IF(DATOS!$T$4=3," (EDB)",IF(DATOS!$T$4=4,IF(BW97&lt;151," (H"&amp;FN97&amp;")",IF(BW97&lt;251," (J"&amp;FN97&amp;")", IF(BW97&lt;401," (LA)",IF(BW97&lt;801," (MG)",IF(BW97&lt;5001," (POWERPACK)",""))))))))))</f>
        <v xml:space="preserve"> (QOB)</v>
      </c>
      <c r="FN97" s="3" t="str">
        <f t="shared" si="148"/>
        <v/>
      </c>
      <c r="FO97" s="146"/>
      <c r="FP97" s="146"/>
      <c r="FQ97" s="146"/>
      <c r="FR97" s="146"/>
      <c r="FS97" s="146"/>
      <c r="FT97" s="146"/>
      <c r="FU97" s="146"/>
      <c r="FV97" s="146"/>
      <c r="FW97" s="146"/>
      <c r="FX97" s="146" t="str">
        <f t="shared" si="79"/>
        <v/>
      </c>
      <c r="FY97" s="736"/>
      <c r="FZ97" s="740"/>
      <c r="GA97" s="740"/>
      <c r="GB97" s="717"/>
      <c r="GC97" s="838"/>
      <c r="GD97" s="736"/>
      <c r="GE97" s="146"/>
      <c r="GF97" s="506"/>
      <c r="GG97" s="506"/>
      <c r="GH97" s="506"/>
      <c r="GI97" s="506"/>
      <c r="GJ97" s="506"/>
      <c r="GM97" s="3">
        <f>IF(OR(GN97&gt;TABLERO!$M$19,GO97&gt;TABLERO!$M$19,GP97&gt;TABLERO!$M$19,B97=0,C97=0,D97=0),2,CUADROACAD!A97)</f>
        <v>2</v>
      </c>
      <c r="GN97" s="3">
        <f>IF(TABLERO!B97="",0,TABLERO!B97)</f>
        <v>67</v>
      </c>
      <c r="GO97" s="3">
        <f>IF(TABLERO!C97="",GN97,TABLERO!C97)</f>
        <v>67</v>
      </c>
      <c r="GP97" s="3">
        <f>IF(TABLERO!D97="",GN97,TABLERO!D97)</f>
        <v>67</v>
      </c>
    </row>
    <row r="98" spans="1:198" s="3" customFormat="1">
      <c r="A98" s="706"/>
      <c r="B98" s="869">
        <v>68</v>
      </c>
      <c r="C98" s="870" t="str">
        <f t="shared" si="85"/>
        <v/>
      </c>
      <c r="D98" s="870" t="str">
        <f t="shared" si="86"/>
        <v/>
      </c>
      <c r="E98" s="871"/>
      <c r="F98" s="872">
        <v>1</v>
      </c>
      <c r="G98" s="716">
        <f t="shared" si="87"/>
        <v>2</v>
      </c>
      <c r="H98" s="873" t="s">
        <v>12</v>
      </c>
      <c r="I98" s="874" t="str">
        <f t="shared" si="88"/>
        <v>CU</v>
      </c>
      <c r="J98" s="875">
        <v>6</v>
      </c>
      <c r="K98" s="876">
        <v>10</v>
      </c>
      <c r="L98" s="876">
        <v>3</v>
      </c>
      <c r="M98" s="877">
        <v>1</v>
      </c>
      <c r="N98" s="877">
        <v>1</v>
      </c>
      <c r="O98" s="878">
        <v>1</v>
      </c>
      <c r="P98" s="879">
        <v>4</v>
      </c>
      <c r="Q98" s="880">
        <v>1</v>
      </c>
      <c r="R98" s="880">
        <v>1</v>
      </c>
      <c r="S98" s="881">
        <v>1</v>
      </c>
      <c r="T98" s="881">
        <v>1</v>
      </c>
      <c r="U98" s="882">
        <v>1</v>
      </c>
      <c r="V98" s="883">
        <v>1</v>
      </c>
      <c r="W98" s="874" t="str">
        <f t="shared" si="89"/>
        <v>SI</v>
      </c>
      <c r="X98" s="884"/>
      <c r="Y98" s="885"/>
      <c r="Z98" s="885"/>
      <c r="AA98" s="885"/>
      <c r="AB98" s="885"/>
      <c r="AC98" s="885"/>
      <c r="AD98" s="885"/>
      <c r="AE98" s="885"/>
      <c r="AF98" s="885"/>
      <c r="AG98" s="885"/>
      <c r="AH98" s="885"/>
      <c r="AI98" s="885"/>
      <c r="AJ98" s="885"/>
      <c r="AK98" s="885"/>
      <c r="AL98" s="885"/>
      <c r="AM98" s="885"/>
      <c r="AN98" s="885"/>
      <c r="AO98" s="885"/>
      <c r="AP98" s="885"/>
      <c r="AQ98" s="885"/>
      <c r="AR98" s="885"/>
      <c r="AS98" s="885"/>
      <c r="AT98" s="885"/>
      <c r="AU98" s="885"/>
      <c r="AV98" s="885"/>
      <c r="AW98" s="885"/>
      <c r="AX98" s="885"/>
      <c r="AY98" s="885"/>
      <c r="AZ98" s="885"/>
      <c r="BA98" s="886"/>
      <c r="BB98" s="887">
        <f t="shared" si="90"/>
        <v>0</v>
      </c>
      <c r="BC98" s="888" t="str">
        <f t="shared" si="91"/>
        <v/>
      </c>
      <c r="BD98" s="889" t="str">
        <f t="shared" si="92"/>
        <v/>
      </c>
      <c r="BE98" s="889" t="str">
        <f t="shared" si="93"/>
        <v/>
      </c>
      <c r="BF98" s="889" t="str">
        <f t="shared" si="94"/>
        <v/>
      </c>
      <c r="BG98" s="889" t="str">
        <f t="shared" si="95"/>
        <v/>
      </c>
      <c r="BH98" s="889" t="str">
        <f t="shared" si="96"/>
        <v/>
      </c>
      <c r="BI98" s="890" t="str">
        <f t="shared" si="97"/>
        <v/>
      </c>
      <c r="BJ98" s="891" t="str">
        <f t="shared" si="98"/>
        <v/>
      </c>
      <c r="BK98" s="892" t="str">
        <f t="shared" si="99"/>
        <v/>
      </c>
      <c r="BL98" s="892" t="str">
        <f t="shared" si="100"/>
        <v/>
      </c>
      <c r="BM98" s="892" t="str">
        <f t="shared" si="101"/>
        <v/>
      </c>
      <c r="BN98" s="892" t="str">
        <f t="shared" si="102"/>
        <v/>
      </c>
      <c r="BO98" s="892" t="str">
        <f t="shared" si="103"/>
        <v/>
      </c>
      <c r="BP98" s="893" t="str">
        <f t="shared" si="104"/>
        <v/>
      </c>
      <c r="BQ98" s="894" t="str">
        <f t="shared" si="105"/>
        <v/>
      </c>
      <c r="BR98" s="895" t="str">
        <f t="shared" si="80"/>
        <v/>
      </c>
      <c r="BS98" s="896" t="str">
        <f t="shared" si="106"/>
        <v/>
      </c>
      <c r="BT98" s="897" t="str">
        <f t="shared" si="107"/>
        <v/>
      </c>
      <c r="BU98" s="231" t="str">
        <f t="shared" si="108"/>
        <v/>
      </c>
      <c r="BV98" s="898">
        <f t="shared" si="109"/>
        <v>127</v>
      </c>
      <c r="BW98" s="845" t="str">
        <f t="shared" si="110"/>
        <v/>
      </c>
      <c r="BX98" s="899" t="str">
        <f t="shared" si="111"/>
        <v/>
      </c>
      <c r="BY98" s="900" t="str" cm="1">
        <f t="array" ref="BY98">[1]!ACAELE_CAPACIDADCABLE(BB98,H98,I98,M98,BX98,N98)</f>
        <v/>
      </c>
      <c r="BZ98" s="900" t="str">
        <f t="shared" si="112"/>
        <v/>
      </c>
      <c r="CA98" s="901" t="str" cm="1">
        <f t="array" ref="CA98">[1]!ACAELE_cabledetierra(BZ98,$N$9,I98,BW98,BX98,G98)</f>
        <v/>
      </c>
      <c r="CB98" s="902" t="str" cm="1">
        <f t="array" ref="CB98">[1]!ACAELE_TAMATUBERIA(BX98,DU98,$N$9,M98,I98)</f>
        <v/>
      </c>
      <c r="CC98" s="846" t="str">
        <f t="shared" si="113"/>
        <v/>
      </c>
      <c r="CD98" s="903" t="str" cm="1">
        <f t="array" ref="CD98">[1]!ACAELE_CAPACIDADCABLE(BB98,H98,I98,M98,CC98,N98)</f>
        <v/>
      </c>
      <c r="CE98" s="903" t="str">
        <f t="shared" si="114"/>
        <v/>
      </c>
      <c r="CF98" s="904" t="str" cm="1">
        <f t="array" ref="CF98">[1]!ACAELE_cabledetierra(CE98,$N$9,I98,BW98,CC98,G98)</f>
        <v/>
      </c>
      <c r="CG98" s="905" t="str" cm="1">
        <f t="array" ref="CG98">[1]!ACAELE_TAMATUBERIA(CC98,EC98,$N$9,S98,I98)</f>
        <v/>
      </c>
      <c r="CH98" s="906" t="str">
        <f t="shared" si="115"/>
        <v/>
      </c>
      <c r="CI98" s="510" t="str">
        <f t="shared" si="116"/>
        <v>-</v>
      </c>
      <c r="CJ98" s="511" t="str">
        <f t="shared" si="117"/>
        <v>-</v>
      </c>
      <c r="CK98" s="512" t="str">
        <f t="shared" si="118"/>
        <v>-</v>
      </c>
      <c r="CL98" s="907" t="str">
        <f t="shared" si="119"/>
        <v>-</v>
      </c>
      <c r="CM98" s="908" t="str">
        <f t="shared" si="120"/>
        <v>-</v>
      </c>
      <c r="CN98" s="909" t="str">
        <f t="shared" si="121"/>
        <v>-</v>
      </c>
      <c r="CO98" s="910" t="str" cm="1">
        <f t="array" ref="CO98">[1]!ACAELE_fasecorresponde(B98,$F$10,$P$5)</f>
        <v>A</v>
      </c>
      <c r="CP98" s="910" t="str" cm="1">
        <f t="array" ref="CP98">[1]!ACAELE_fasecorresponde(C98,$F$10,$P$5)</f>
        <v>-</v>
      </c>
      <c r="CQ98" s="910" t="str" cm="1">
        <f t="array" ref="CQ98">[1]!ACAELE_fasecorresponde(D98,$F$10,$P$5)</f>
        <v>-</v>
      </c>
      <c r="CR98" s="911" t="str">
        <f t="shared" si="122"/>
        <v>C</v>
      </c>
      <c r="CS98" s="912">
        <f t="shared" si="123"/>
        <v>1</v>
      </c>
      <c r="CT98" s="913">
        <f t="shared" si="124"/>
        <v>0.8</v>
      </c>
      <c r="CU98" s="914" t="str">
        <f t="shared" si="125"/>
        <v/>
      </c>
      <c r="CV98" s="915">
        <f t="shared" si="126"/>
        <v>0</v>
      </c>
      <c r="CW98" s="916" t="str" cm="1">
        <f t="array" ref="CW98">[1]!ACAELE_Inominal(BB98,F98,BT98,BV98,DA98,G98,V98,$P$5)</f>
        <v/>
      </c>
      <c r="CX98" s="917" t="str" cm="1">
        <f t="array" ref="CX98">[1]!ACAELE_Disparocalculado(BB98,H98,DL98,$N$21,$M$21,$O$21,BV98,$P$5)</f>
        <v/>
      </c>
      <c r="CY98" s="918" t="str" cm="1">
        <f t="array" ref="CY98">[1]!ACAELE_Icorregida($A$27,H98,BB98,BU98,CS98,CT98,$P$5)</f>
        <v/>
      </c>
      <c r="CZ98" s="919" t="str" cm="1">
        <f t="array" ref="CZ98">[1]!ACAELE_Icorregida2($A$27,H98,BB98,BU98,CS98,CU98,$P$5)</f>
        <v/>
      </c>
      <c r="DA98" s="920">
        <f t="shared" si="127"/>
        <v>0.9</v>
      </c>
      <c r="DB98" s="921">
        <f t="shared" si="128"/>
        <v>0.43588989435406728</v>
      </c>
      <c r="DC98" s="922" t="str" cm="1">
        <f t="array" ref="DC98">[1]!ACAELE_CONDPORTCORRIENTE(H98,BB98,I98,M98,CY98,CZ98,N98,$P$5)</f>
        <v/>
      </c>
      <c r="DD98" s="923" t="str" cm="1">
        <f t="array" ref="DD98">[1]!ACAELE_CAPACONDCORRIENTE(BB98,H98,I98,M98,CY98,CZ98,$P$5)</f>
        <v/>
      </c>
      <c r="DE98" s="923" t="str" cm="1">
        <f t="array" ref="DE98">[1]!ACAELE_CAPACIDADCABLE(BB98,H98,I98,M98,DC98,N98,$P$5)</f>
        <v/>
      </c>
      <c r="DF98" s="924" t="str" cm="1">
        <f t="array" ref="DF98">[1]!ACAELE_encontrarcaida(BB98,H98,L98,BV98,F98,BU98,N98,K98)</f>
        <v/>
      </c>
      <c r="DG98" s="925" t="str" cm="1">
        <f t="array" ref="DG98">[1]!ACAELE_Cablecaida(BB98,H98,M98,I98,DF98)</f>
        <v/>
      </c>
      <c r="DH98" s="918" t="str" cm="1">
        <f t="array" ref="DH98">[1]!ACAELE_CAPACIDADCABLE(BB98,H98,I98,M98,DG98,N98,$P$5)</f>
        <v/>
      </c>
      <c r="DI98" s="926" t="str" cm="1">
        <f t="array" ref="DI98">IF($A$27=1,"",[1]!ACAELE_encontrarcaida(BB98,H98,R98,BV98,F98,BU98,T98,Q98,$P$5))</f>
        <v/>
      </c>
      <c r="DJ98" s="914" t="str" cm="1">
        <f t="array" ref="DJ98">IF($A$27=1,"",[1]!ACAELE_Cablecaida2(BB98,Q98,H98,S98,I98,DI98,$P$5))</f>
        <v/>
      </c>
      <c r="DK98" s="919" t="str" cm="1">
        <f t="array" ref="DK98">[1]!ACAELE_CAPACIDADCABLE(BB98,H98,I98,M98,DJ98,N98,$P$5)</f>
        <v/>
      </c>
      <c r="DL98" s="927" t="str" cm="1">
        <f t="array" ref="DL98">[1]!acaele_Iproteccion(BB98,H98,BU98,$F$20,$G$20,$F$19,$G$19,$H$20,$H$19,$P$5)</f>
        <v/>
      </c>
      <c r="DM98" s="928" cm="1">
        <f t="array" ref="DM98">[1]!acaele_ProtCalculada(CX98,H98,BT98,BW98,$G$21,$F$21,$H$21,$P$5)</f>
        <v>0</v>
      </c>
      <c r="DN98" s="929" t="str" cm="1">
        <f t="array" ref="DN98">[1]!ACAELE_cablecalculo(BB98,H98,I98,M98,EF98,$P$5)</f>
        <v/>
      </c>
      <c r="DO98" s="930" t="str" cm="1">
        <f t="array" ref="DO98">[1]!ACAELE_RESISTENCIA(BB98,H98,M98,I98,BX98, CW98,$P$5)</f>
        <v/>
      </c>
      <c r="DP98" s="931" t="str" cm="1">
        <f t="array" ref="DP98">[1]!ACAELE_REACTANCIA(BB98,H98,$F$11,M98,I98,BX98,$P$5)</f>
        <v/>
      </c>
      <c r="DQ98" s="918" t="str" cm="1">
        <f t="array" ref="DQ98">[1]!ACAELE_DIAMECAISLA(BB98,H98,I98,BX98,$P$5)</f>
        <v/>
      </c>
      <c r="DR98" s="918" t="str" cm="1">
        <f t="array" ref="DR98">[1]!ACAELE_AREACAISLAMIENTO(BB98,H98,DQ98,$P$5)</f>
        <v/>
      </c>
      <c r="DS98" s="918" t="str" cm="1">
        <f t="array" ref="DS98">[1]!ACAELE_CAIDAVOLTSFINAL(BB98,H98,F98,K98,BU98,N98,DO98,DA98,DP98,DB98,$P$5)</f>
        <v/>
      </c>
      <c r="DT98" s="918" t="str" cm="1">
        <f t="array" ref="DT98">[1]!ACAELE_AREACONDPTE(BB98,H98,CA98,$P$5)</f>
        <v/>
      </c>
      <c r="DU98" s="932" t="str" cm="1">
        <f t="array" ref="DU98">[1]!ACAELE_AREATOTAL(BZ98,M98,EO98,N98,DQ98,G98,DR98,DT98,N$20,$P$5)</f>
        <v/>
      </c>
      <c r="DV98" s="933" t="str" cm="1">
        <f t="array" ref="DV98">IF($A$27=1,"",[1]!ACAELE_cablecalculo(BB98,H98,I98,M98,EG98,$P$5))</f>
        <v/>
      </c>
      <c r="DW98" s="934" t="str" cm="1">
        <f t="array" ref="DW98">IF($A$27=1,"",[1]!ACAELE_RESISTENCIA(BB98,H98,M98,I98,CC98,CW98,$P$5))</f>
        <v/>
      </c>
      <c r="DX98" s="926" t="str" cm="1">
        <f t="array" ref="DX98">IF($A$27=1,"",[1]!ACAELE_REACTANCIA(BB98,H98,$F$11,M98,I98,CC98,$P$5))</f>
        <v/>
      </c>
      <c r="DY98" s="935" t="str" cm="1">
        <f t="array" ref="DY98">IF($A$27=1,"",[1]!ACAELE_DIAMECAISLA(BB98,H98,I98,CC98,$P$5))</f>
        <v/>
      </c>
      <c r="DZ98" s="935" t="str" cm="1">
        <f t="array" ref="DZ98">IF($A$27=1,"",[1]!ACAELE_AREACAISLAMIENTO(BB98,H98,DY98,$P$5))</f>
        <v/>
      </c>
      <c r="EA98" s="935" t="str" cm="1">
        <f t="array" ref="EA98">[1]!ACAELE_CAIDAVOLTSFINAL2(BB98,Q98,H98,F98,$A$27,BU98,T98,DW98,DA98,DX98,DB98)</f>
        <v/>
      </c>
      <c r="EB98" s="935" t="str" cm="1">
        <f t="array" ref="EB98">IF($A$27=1,"",[1]!ACAELE_AREACONDPTE(BB98,H98,CF98,$P$5))</f>
        <v/>
      </c>
      <c r="EC98" s="936" t="str" cm="1">
        <f t="array" ref="EC98">[1]!ACAELE_AREATOTAL2(H98,$A$27,DY98,S98,G98,T98,DZ98,U98,EB98)</f>
        <v/>
      </c>
      <c r="ED98" s="937" t="str">
        <f t="shared" si="129"/>
        <v/>
      </c>
      <c r="EE98" s="938" t="str">
        <f t="shared" si="130"/>
        <v/>
      </c>
      <c r="EF98" s="939" t="str">
        <f t="shared" si="131"/>
        <v/>
      </c>
      <c r="EG98" s="940">
        <f t="shared" si="132"/>
        <v>0</v>
      </c>
      <c r="EH98" s="941" t="str">
        <f t="shared" si="133"/>
        <v/>
      </c>
      <c r="EI98" s="942">
        <f t="shared" si="134"/>
        <v>30</v>
      </c>
      <c r="EJ98" s="943" t="str">
        <f t="shared" si="81"/>
        <v/>
      </c>
      <c r="EK98" s="943" t="str">
        <f t="shared" si="82"/>
        <v/>
      </c>
      <c r="EL98" s="943" t="str">
        <f t="shared" si="83"/>
        <v/>
      </c>
      <c r="EM98" s="944" t="str">
        <f t="shared" si="84"/>
        <v/>
      </c>
      <c r="EN98" s="945" t="str" cm="1">
        <f t="array" ref="EN98">[1]!ACAELE_MOTOR(H98,X98:BA98,$X$26:$BA$26,$P$5)</f>
        <v/>
      </c>
      <c r="EO98" s="550" t="str">
        <f t="shared" si="135"/>
        <v/>
      </c>
      <c r="EP98" s="431" t="s">
        <v>1214</v>
      </c>
      <c r="EQ98" s="434" t="str">
        <f t="shared" ca="1" si="136"/>
        <v/>
      </c>
      <c r="ER98" s="32"/>
      <c r="ES98" s="32"/>
      <c r="ET98" s="3" t="str">
        <f t="shared" si="137"/>
        <v/>
      </c>
      <c r="EU98" s="3" t="str">
        <f t="shared" si="138"/>
        <v/>
      </c>
      <c r="EV98" s="3" t="str">
        <f t="shared" si="139"/>
        <v/>
      </c>
      <c r="EW98" s="3" t="str">
        <f t="shared" si="140"/>
        <v/>
      </c>
      <c r="EX98" s="3" t="str">
        <f t="shared" si="141"/>
        <v/>
      </c>
      <c r="EY98" s="3" t="str">
        <f t="shared" si="142"/>
        <v/>
      </c>
      <c r="EZ98" s="3" t="str">
        <f t="shared" si="143"/>
        <v/>
      </c>
      <c r="FA98" s="3" t="str">
        <f t="shared" si="144"/>
        <v/>
      </c>
      <c r="FB98" s="3" t="str">
        <f t="shared" si="145"/>
        <v/>
      </c>
      <c r="FC98" s="3">
        <f t="shared" si="146"/>
        <v>0</v>
      </c>
      <c r="FD98" s="32"/>
      <c r="FE98" s="32"/>
      <c r="FF98" s="103">
        <v>1</v>
      </c>
      <c r="FG98" s="32"/>
      <c r="FH98" s="103"/>
      <c r="FI98" s="32"/>
      <c r="FJ98" s="103"/>
      <c r="FK98" s="3">
        <f t="shared" si="147"/>
        <v>0</v>
      </c>
      <c r="FL98" s="3" t="str" cm="1">
        <f t="array" aca="1" ref="FL98" ca="1">[1]!acaele_DIB_UNIFILAR(BB98,H98,F98,COUNTIF(X98:BA98,1),BW98)</f>
        <v/>
      </c>
      <c r="FM98" s="3" t="str">
        <f>IF(DATOS!$T$4=0,"",IF(DATOS!$T$4=1," (QO)",IF(DATOS!$T$4=2," (QOB)",IF(DATOS!$T$4=3," (EDB)",IF(DATOS!$T$4=4,IF(BW98&lt;151," (H"&amp;FN98&amp;")",IF(BW98&lt;251," (J"&amp;FN98&amp;")", IF(BW98&lt;401," (LA)",IF(BW98&lt;801," (MG)",IF(BW98&lt;5001," (POWERPACK)",""))))))))))</f>
        <v xml:space="preserve"> (QOB)</v>
      </c>
      <c r="FN98" s="3" t="str">
        <f t="shared" si="148"/>
        <v/>
      </c>
      <c r="FO98" s="146"/>
      <c r="FP98" s="146"/>
      <c r="FQ98" s="146"/>
      <c r="FR98" s="146"/>
      <c r="FS98" s="146"/>
      <c r="FT98" s="146"/>
      <c r="FU98" s="146"/>
      <c r="FV98" s="146"/>
      <c r="FW98" s="146"/>
      <c r="FX98" s="146" t="str">
        <f t="shared" si="79"/>
        <v/>
      </c>
      <c r="FY98" s="736"/>
      <c r="FZ98" s="740"/>
      <c r="GA98" s="740"/>
      <c r="GB98" s="717"/>
      <c r="GC98" s="838"/>
      <c r="GD98" s="736"/>
      <c r="GE98" s="146"/>
      <c r="GF98" s="506"/>
      <c r="GG98" s="506"/>
      <c r="GH98" s="506"/>
      <c r="GI98" s="506"/>
      <c r="GJ98" s="506"/>
      <c r="GM98" s="3">
        <f>IF(OR(GN98&gt;TABLERO!$M$19,GO98&gt;TABLERO!$M$19,GP98&gt;TABLERO!$M$19,B98=0,C98=0,D98=0),2,CUADROACAD!A98)</f>
        <v>2</v>
      </c>
      <c r="GN98" s="3">
        <f>IF(TABLERO!B98="",0,TABLERO!B98)</f>
        <v>68</v>
      </c>
      <c r="GO98" s="3">
        <f>IF(TABLERO!C98="",GN98,TABLERO!C98)</f>
        <v>68</v>
      </c>
      <c r="GP98" s="3">
        <f>IF(TABLERO!D98="",GN98,TABLERO!D98)</f>
        <v>68</v>
      </c>
    </row>
    <row r="99" spans="1:198" s="3" customFormat="1">
      <c r="A99" s="706"/>
      <c r="B99" s="869">
        <v>69</v>
      </c>
      <c r="C99" s="870" t="str">
        <f t="shared" si="85"/>
        <v/>
      </c>
      <c r="D99" s="870" t="str">
        <f t="shared" si="86"/>
        <v/>
      </c>
      <c r="E99" s="871"/>
      <c r="F99" s="872">
        <v>1</v>
      </c>
      <c r="G99" s="716">
        <f t="shared" si="87"/>
        <v>2</v>
      </c>
      <c r="H99" s="873" t="s">
        <v>12</v>
      </c>
      <c r="I99" s="874" t="str">
        <f t="shared" si="88"/>
        <v>CU</v>
      </c>
      <c r="J99" s="875">
        <v>6</v>
      </c>
      <c r="K99" s="876">
        <v>10</v>
      </c>
      <c r="L99" s="876">
        <v>3</v>
      </c>
      <c r="M99" s="877">
        <v>1</v>
      </c>
      <c r="N99" s="877">
        <v>1</v>
      </c>
      <c r="O99" s="878">
        <v>1</v>
      </c>
      <c r="P99" s="879">
        <v>4</v>
      </c>
      <c r="Q99" s="880">
        <v>1</v>
      </c>
      <c r="R99" s="880">
        <v>1</v>
      </c>
      <c r="S99" s="881">
        <v>1</v>
      </c>
      <c r="T99" s="881">
        <v>1</v>
      </c>
      <c r="U99" s="882">
        <v>1</v>
      </c>
      <c r="V99" s="883">
        <v>1</v>
      </c>
      <c r="W99" s="874" t="str">
        <f t="shared" si="89"/>
        <v>SI</v>
      </c>
      <c r="X99" s="884"/>
      <c r="Y99" s="885"/>
      <c r="Z99" s="885"/>
      <c r="AA99" s="885"/>
      <c r="AB99" s="885"/>
      <c r="AC99" s="885"/>
      <c r="AD99" s="885"/>
      <c r="AE99" s="885"/>
      <c r="AF99" s="885"/>
      <c r="AG99" s="885"/>
      <c r="AH99" s="885"/>
      <c r="AI99" s="885"/>
      <c r="AJ99" s="885"/>
      <c r="AK99" s="885"/>
      <c r="AL99" s="885"/>
      <c r="AM99" s="885"/>
      <c r="AN99" s="885"/>
      <c r="AO99" s="885"/>
      <c r="AP99" s="885"/>
      <c r="AQ99" s="885"/>
      <c r="AR99" s="885"/>
      <c r="AS99" s="885"/>
      <c r="AT99" s="885"/>
      <c r="AU99" s="885"/>
      <c r="AV99" s="885"/>
      <c r="AW99" s="885"/>
      <c r="AX99" s="885"/>
      <c r="AY99" s="885"/>
      <c r="AZ99" s="885"/>
      <c r="BA99" s="886"/>
      <c r="BB99" s="887">
        <f t="shared" si="90"/>
        <v>0</v>
      </c>
      <c r="BC99" s="888" t="str">
        <f t="shared" si="91"/>
        <v/>
      </c>
      <c r="BD99" s="889" t="str">
        <f t="shared" si="92"/>
        <v/>
      </c>
      <c r="BE99" s="889" t="str">
        <f t="shared" si="93"/>
        <v/>
      </c>
      <c r="BF99" s="889" t="str">
        <f t="shared" si="94"/>
        <v/>
      </c>
      <c r="BG99" s="889" t="str">
        <f t="shared" si="95"/>
        <v/>
      </c>
      <c r="BH99" s="889" t="str">
        <f t="shared" si="96"/>
        <v/>
      </c>
      <c r="BI99" s="890" t="str">
        <f t="shared" si="97"/>
        <v/>
      </c>
      <c r="BJ99" s="891" t="str">
        <f t="shared" si="98"/>
        <v/>
      </c>
      <c r="BK99" s="892" t="str">
        <f t="shared" si="99"/>
        <v/>
      </c>
      <c r="BL99" s="892" t="str">
        <f t="shared" si="100"/>
        <v/>
      </c>
      <c r="BM99" s="892" t="str">
        <f t="shared" si="101"/>
        <v/>
      </c>
      <c r="BN99" s="892" t="str">
        <f t="shared" si="102"/>
        <v/>
      </c>
      <c r="BO99" s="892" t="str">
        <f t="shared" si="103"/>
        <v/>
      </c>
      <c r="BP99" s="893" t="str">
        <f t="shared" si="104"/>
        <v/>
      </c>
      <c r="BQ99" s="894" t="str">
        <f t="shared" si="105"/>
        <v/>
      </c>
      <c r="BR99" s="895" t="str">
        <f t="shared" si="80"/>
        <v/>
      </c>
      <c r="BS99" s="896" t="str">
        <f t="shared" si="106"/>
        <v/>
      </c>
      <c r="BT99" s="897" t="str">
        <f t="shared" si="107"/>
        <v/>
      </c>
      <c r="BU99" s="231" t="str">
        <f t="shared" si="108"/>
        <v/>
      </c>
      <c r="BV99" s="898">
        <f t="shared" si="109"/>
        <v>127</v>
      </c>
      <c r="BW99" s="845" t="str">
        <f t="shared" si="110"/>
        <v/>
      </c>
      <c r="BX99" s="899" t="str">
        <f t="shared" si="111"/>
        <v/>
      </c>
      <c r="BY99" s="900" t="str" cm="1">
        <f t="array" ref="BY99">[1]!ACAELE_CAPACIDADCABLE(BB99,H99,I99,M99,BX99,N99)</f>
        <v/>
      </c>
      <c r="BZ99" s="900" t="str">
        <f t="shared" si="112"/>
        <v/>
      </c>
      <c r="CA99" s="901" t="str" cm="1">
        <f t="array" ref="CA99">[1]!ACAELE_cabledetierra(BZ99,$N$9,I99,BW99,BX99,G99)</f>
        <v/>
      </c>
      <c r="CB99" s="902" t="str" cm="1">
        <f t="array" ref="CB99">[1]!ACAELE_TAMATUBERIA(BX99,DU99,$N$9,M99,I99)</f>
        <v/>
      </c>
      <c r="CC99" s="846" t="str">
        <f t="shared" si="113"/>
        <v/>
      </c>
      <c r="CD99" s="903" t="str" cm="1">
        <f t="array" ref="CD99">[1]!ACAELE_CAPACIDADCABLE(BB99,H99,I99,M99,CC99,N99)</f>
        <v/>
      </c>
      <c r="CE99" s="903" t="str">
        <f t="shared" si="114"/>
        <v/>
      </c>
      <c r="CF99" s="904" t="str" cm="1">
        <f t="array" ref="CF99">[1]!ACAELE_cabledetierra(CE99,$N$9,I99,BW99,CC99,G99)</f>
        <v/>
      </c>
      <c r="CG99" s="905" t="str" cm="1">
        <f t="array" ref="CG99">[1]!ACAELE_TAMATUBERIA(CC99,EC99,$N$9,S99,I99)</f>
        <v/>
      </c>
      <c r="CH99" s="906" t="str">
        <f t="shared" si="115"/>
        <v/>
      </c>
      <c r="CI99" s="510" t="str">
        <f t="shared" si="116"/>
        <v>-</v>
      </c>
      <c r="CJ99" s="511" t="str">
        <f t="shared" si="117"/>
        <v>-</v>
      </c>
      <c r="CK99" s="512" t="str">
        <f t="shared" si="118"/>
        <v>-</v>
      </c>
      <c r="CL99" s="907" t="str">
        <f t="shared" si="119"/>
        <v>-</v>
      </c>
      <c r="CM99" s="908" t="str">
        <f t="shared" si="120"/>
        <v>-</v>
      </c>
      <c r="CN99" s="909" t="str">
        <f t="shared" si="121"/>
        <v>-</v>
      </c>
      <c r="CO99" s="910" t="str" cm="1">
        <f t="array" ref="CO99">[1]!ACAELE_fasecorresponde(B99,$F$10,$P$5)</f>
        <v>B</v>
      </c>
      <c r="CP99" s="910" t="str" cm="1">
        <f t="array" ref="CP99">[1]!ACAELE_fasecorresponde(C99,$F$10,$P$5)</f>
        <v>-</v>
      </c>
      <c r="CQ99" s="910" t="str" cm="1">
        <f t="array" ref="CQ99">[1]!ACAELE_fasecorresponde(D99,$F$10,$P$5)</f>
        <v>-</v>
      </c>
      <c r="CR99" s="911" t="str">
        <f t="shared" si="122"/>
        <v>C</v>
      </c>
      <c r="CS99" s="912">
        <f t="shared" si="123"/>
        <v>1</v>
      </c>
      <c r="CT99" s="913">
        <f t="shared" si="124"/>
        <v>0.8</v>
      </c>
      <c r="CU99" s="914" t="str">
        <f t="shared" si="125"/>
        <v/>
      </c>
      <c r="CV99" s="915">
        <f t="shared" si="126"/>
        <v>0</v>
      </c>
      <c r="CW99" s="916" t="str" cm="1">
        <f t="array" ref="CW99">[1]!ACAELE_Inominal(BB99,F99,BT99,BV99,DA99,G99,V99,$P$5)</f>
        <v/>
      </c>
      <c r="CX99" s="917" t="str" cm="1">
        <f t="array" ref="CX99">[1]!ACAELE_Disparocalculado(BB99,H99,DL99,$N$21,$M$21,$O$21,BV99,$P$5)</f>
        <v/>
      </c>
      <c r="CY99" s="918" t="str" cm="1">
        <f t="array" ref="CY99">[1]!ACAELE_Icorregida($A$27,H99,BB99,BU99,CS99,CT99,$P$5)</f>
        <v/>
      </c>
      <c r="CZ99" s="919" t="str" cm="1">
        <f t="array" ref="CZ99">[1]!ACAELE_Icorregida2($A$27,H99,BB99,BU99,CS99,CU99,$P$5)</f>
        <v/>
      </c>
      <c r="DA99" s="920">
        <f t="shared" si="127"/>
        <v>0.9</v>
      </c>
      <c r="DB99" s="921">
        <f t="shared" si="128"/>
        <v>0.43588989435406728</v>
      </c>
      <c r="DC99" s="922" t="str" cm="1">
        <f t="array" ref="DC99">[1]!ACAELE_CONDPORTCORRIENTE(H99,BB99,I99,M99,CY99,CZ99,N99,$P$5)</f>
        <v/>
      </c>
      <c r="DD99" s="923" t="str" cm="1">
        <f t="array" ref="DD99">[1]!ACAELE_CAPACONDCORRIENTE(BB99,H99,I99,M99,CY99,CZ99,$P$5)</f>
        <v/>
      </c>
      <c r="DE99" s="923" t="str" cm="1">
        <f t="array" ref="DE99">[1]!ACAELE_CAPACIDADCABLE(BB99,H99,I99,M99,DC99,N99,$P$5)</f>
        <v/>
      </c>
      <c r="DF99" s="924" t="str" cm="1">
        <f t="array" ref="DF99">[1]!ACAELE_encontrarcaida(BB99,H99,L99,BV99,F99,BU99,N99,K99)</f>
        <v/>
      </c>
      <c r="DG99" s="925" t="str" cm="1">
        <f t="array" ref="DG99">[1]!ACAELE_Cablecaida(BB99,H99,M99,I99,DF99)</f>
        <v/>
      </c>
      <c r="DH99" s="918" t="str" cm="1">
        <f t="array" ref="DH99">[1]!ACAELE_CAPACIDADCABLE(BB99,H99,I99,M99,DG99,N99,$P$5)</f>
        <v/>
      </c>
      <c r="DI99" s="926" t="str" cm="1">
        <f t="array" ref="DI99">IF($A$27=1,"",[1]!ACAELE_encontrarcaida(BB99,H99,R99,BV99,F99,BU99,T99,Q99,$P$5))</f>
        <v/>
      </c>
      <c r="DJ99" s="914" t="str" cm="1">
        <f t="array" ref="DJ99">IF($A$27=1,"",[1]!ACAELE_Cablecaida2(BB99,Q99,H99,S99,I99,DI99,$P$5))</f>
        <v/>
      </c>
      <c r="DK99" s="919" t="str" cm="1">
        <f t="array" ref="DK99">[1]!ACAELE_CAPACIDADCABLE(BB99,H99,I99,M99,DJ99,N99,$P$5)</f>
        <v/>
      </c>
      <c r="DL99" s="927" t="str" cm="1">
        <f t="array" ref="DL99">[1]!acaele_Iproteccion(BB99,H99,BU99,$F$20,$G$20,$F$19,$G$19,$H$20,$H$19,$P$5)</f>
        <v/>
      </c>
      <c r="DM99" s="928" cm="1">
        <f t="array" ref="DM99">[1]!acaele_ProtCalculada(CX99,H99,BT99,BW99,$G$21,$F$21,$H$21,$P$5)</f>
        <v>0</v>
      </c>
      <c r="DN99" s="929" t="str" cm="1">
        <f t="array" ref="DN99">[1]!ACAELE_cablecalculo(BB99,H99,I99,M99,EF99,$P$5)</f>
        <v/>
      </c>
      <c r="DO99" s="930" t="str" cm="1">
        <f t="array" ref="DO99">[1]!ACAELE_RESISTENCIA(BB99,H99,M99,I99,BX99, CW99,$P$5)</f>
        <v/>
      </c>
      <c r="DP99" s="931" t="str" cm="1">
        <f t="array" ref="DP99">[1]!ACAELE_REACTANCIA(BB99,H99,$F$11,M99,I99,BX99,$P$5)</f>
        <v/>
      </c>
      <c r="DQ99" s="918" t="str" cm="1">
        <f t="array" ref="DQ99">[1]!ACAELE_DIAMECAISLA(BB99,H99,I99,BX99,$P$5)</f>
        <v/>
      </c>
      <c r="DR99" s="918" t="str" cm="1">
        <f t="array" ref="DR99">[1]!ACAELE_AREACAISLAMIENTO(BB99,H99,DQ99,$P$5)</f>
        <v/>
      </c>
      <c r="DS99" s="918" t="str" cm="1">
        <f t="array" ref="DS99">[1]!ACAELE_CAIDAVOLTSFINAL(BB99,H99,F99,K99,BU99,N99,DO99,DA99,DP99,DB99,$P$5)</f>
        <v/>
      </c>
      <c r="DT99" s="918" t="str" cm="1">
        <f t="array" ref="DT99">[1]!ACAELE_AREACONDPTE(BB99,H99,CA99,$P$5)</f>
        <v/>
      </c>
      <c r="DU99" s="932" t="str" cm="1">
        <f t="array" ref="DU99">[1]!ACAELE_AREATOTAL(BZ99,M99,EO99,N99,DQ99,G99,DR99,DT99,N$20,$P$5)</f>
        <v/>
      </c>
      <c r="DV99" s="933" t="str" cm="1">
        <f t="array" ref="DV99">IF($A$27=1,"",[1]!ACAELE_cablecalculo(BB99,H99,I99,M99,EG99,$P$5))</f>
        <v/>
      </c>
      <c r="DW99" s="934" t="str" cm="1">
        <f t="array" ref="DW99">IF($A$27=1,"",[1]!ACAELE_RESISTENCIA(BB99,H99,M99,I99,CC99,CW99,$P$5))</f>
        <v/>
      </c>
      <c r="DX99" s="926" t="str" cm="1">
        <f t="array" ref="DX99">IF($A$27=1,"",[1]!ACAELE_REACTANCIA(BB99,H99,$F$11,M99,I99,CC99,$P$5))</f>
        <v/>
      </c>
      <c r="DY99" s="935" t="str" cm="1">
        <f t="array" ref="DY99">IF($A$27=1,"",[1]!ACAELE_DIAMECAISLA(BB99,H99,I99,CC99,$P$5))</f>
        <v/>
      </c>
      <c r="DZ99" s="935" t="str" cm="1">
        <f t="array" ref="DZ99">IF($A$27=1,"",[1]!ACAELE_AREACAISLAMIENTO(BB99,H99,DY99,$P$5))</f>
        <v/>
      </c>
      <c r="EA99" s="935" t="str" cm="1">
        <f t="array" ref="EA99">[1]!ACAELE_CAIDAVOLTSFINAL2(BB99,Q99,H99,F99,$A$27,BU99,T99,DW99,DA99,DX99,DB99)</f>
        <v/>
      </c>
      <c r="EB99" s="935" t="str" cm="1">
        <f t="array" ref="EB99">IF($A$27=1,"",[1]!ACAELE_AREACONDPTE(BB99,H99,CF99,$P$5))</f>
        <v/>
      </c>
      <c r="EC99" s="936" t="str" cm="1">
        <f t="array" ref="EC99">[1]!ACAELE_AREATOTAL2(H99,$A$27,DY99,S99,G99,T99,DZ99,U99,EB99)</f>
        <v/>
      </c>
      <c r="ED99" s="937" t="str">
        <f t="shared" si="129"/>
        <v/>
      </c>
      <c r="EE99" s="938" t="str">
        <f t="shared" si="130"/>
        <v/>
      </c>
      <c r="EF99" s="939" t="str">
        <f t="shared" si="131"/>
        <v/>
      </c>
      <c r="EG99" s="940">
        <f t="shared" si="132"/>
        <v>0</v>
      </c>
      <c r="EH99" s="941" t="str">
        <f t="shared" si="133"/>
        <v/>
      </c>
      <c r="EI99" s="942">
        <f t="shared" si="134"/>
        <v>30</v>
      </c>
      <c r="EJ99" s="943" t="str">
        <f t="shared" si="81"/>
        <v/>
      </c>
      <c r="EK99" s="943" t="str">
        <f t="shared" si="82"/>
        <v/>
      </c>
      <c r="EL99" s="943" t="str">
        <f t="shared" si="83"/>
        <v/>
      </c>
      <c r="EM99" s="944" t="str">
        <f t="shared" si="84"/>
        <v/>
      </c>
      <c r="EN99" s="945" t="str" cm="1">
        <f t="array" ref="EN99">[1]!ACAELE_MOTOR(H99,X99:BA99,$X$26:$BA$26,$P$5)</f>
        <v/>
      </c>
      <c r="EO99" s="550" t="str">
        <f t="shared" si="135"/>
        <v/>
      </c>
      <c r="EP99" s="431" t="s">
        <v>1214</v>
      </c>
      <c r="EQ99" s="434" t="str">
        <f t="shared" ca="1" si="136"/>
        <v/>
      </c>
      <c r="ER99" s="32"/>
      <c r="ES99" s="32"/>
      <c r="ET99" s="3" t="str">
        <f t="shared" si="137"/>
        <v/>
      </c>
      <c r="EU99" s="3" t="str">
        <f t="shared" si="138"/>
        <v/>
      </c>
      <c r="EV99" s="3" t="str">
        <f t="shared" si="139"/>
        <v/>
      </c>
      <c r="EW99" s="3" t="str">
        <f t="shared" si="140"/>
        <v/>
      </c>
      <c r="EX99" s="3" t="str">
        <f t="shared" si="141"/>
        <v/>
      </c>
      <c r="EY99" s="3" t="str">
        <f t="shared" si="142"/>
        <v/>
      </c>
      <c r="EZ99" s="3" t="str">
        <f t="shared" si="143"/>
        <v/>
      </c>
      <c r="FA99" s="3" t="str">
        <f t="shared" si="144"/>
        <v/>
      </c>
      <c r="FB99" s="3" t="str">
        <f t="shared" si="145"/>
        <v/>
      </c>
      <c r="FC99" s="3">
        <f t="shared" si="146"/>
        <v>0</v>
      </c>
      <c r="FD99" s="32"/>
      <c r="FE99" s="32"/>
      <c r="FF99" s="103">
        <v>1</v>
      </c>
      <c r="FG99" s="32"/>
      <c r="FH99" s="103"/>
      <c r="FI99" s="32"/>
      <c r="FJ99" s="103"/>
      <c r="FK99" s="3">
        <f t="shared" si="147"/>
        <v>0</v>
      </c>
      <c r="FL99" s="3" t="str" cm="1">
        <f t="array" aca="1" ref="FL99" ca="1">[1]!acaele_DIB_UNIFILAR(BB99,H99,F99,COUNTIF(X99:BA99,1),BW99)</f>
        <v/>
      </c>
      <c r="FM99" s="3" t="str">
        <f>IF(DATOS!$T$4=0,"",IF(DATOS!$T$4=1," (QO)",IF(DATOS!$T$4=2," (QOB)",IF(DATOS!$T$4=3," (EDB)",IF(DATOS!$T$4=4,IF(BW99&lt;151," (H"&amp;FN99&amp;")",IF(BW99&lt;251," (J"&amp;FN99&amp;")", IF(BW99&lt;401," (LA)",IF(BW99&lt;801," (MG)",IF(BW99&lt;5001," (POWERPACK)",""))))))))))</f>
        <v xml:space="preserve"> (QOB)</v>
      </c>
      <c r="FN99" s="3" t="str">
        <f t="shared" si="148"/>
        <v/>
      </c>
      <c r="FO99" s="146"/>
      <c r="FP99" s="146"/>
      <c r="FQ99" s="146"/>
      <c r="FR99" s="146"/>
      <c r="FS99" s="146"/>
      <c r="FT99" s="146"/>
      <c r="FU99" s="146"/>
      <c r="FV99" s="146"/>
      <c r="FW99" s="146"/>
      <c r="FX99" s="146" t="str">
        <f t="shared" si="79"/>
        <v/>
      </c>
      <c r="FY99" s="736"/>
      <c r="FZ99" s="740"/>
      <c r="GA99" s="740"/>
      <c r="GB99" s="717"/>
      <c r="GC99" s="838"/>
      <c r="GD99" s="736"/>
      <c r="GE99" s="146"/>
      <c r="GF99" s="506"/>
      <c r="GG99" s="506"/>
      <c r="GH99" s="506"/>
      <c r="GI99" s="506"/>
      <c r="GJ99" s="506"/>
      <c r="GM99" s="3">
        <f>IF(OR(GN99&gt;TABLERO!$M$19,GO99&gt;TABLERO!$M$19,GP99&gt;TABLERO!$M$19,B99=0,C99=0,D99=0),2,CUADROACAD!A99)</f>
        <v>2</v>
      </c>
      <c r="GN99" s="3">
        <f>IF(TABLERO!B99="",0,TABLERO!B99)</f>
        <v>69</v>
      </c>
      <c r="GO99" s="3">
        <f>IF(TABLERO!C99="",GN99,TABLERO!C99)</f>
        <v>69</v>
      </c>
      <c r="GP99" s="3">
        <f>IF(TABLERO!D99="",GN99,TABLERO!D99)</f>
        <v>69</v>
      </c>
    </row>
    <row r="100" spans="1:198" s="3" customFormat="1">
      <c r="A100" s="706"/>
      <c r="B100" s="869">
        <v>70</v>
      </c>
      <c r="C100" s="870" t="str">
        <f t="shared" si="85"/>
        <v/>
      </c>
      <c r="D100" s="870" t="str">
        <f t="shared" si="86"/>
        <v/>
      </c>
      <c r="E100" s="871"/>
      <c r="F100" s="872">
        <v>1</v>
      </c>
      <c r="G100" s="716">
        <f t="shared" si="87"/>
        <v>2</v>
      </c>
      <c r="H100" s="873" t="s">
        <v>12</v>
      </c>
      <c r="I100" s="874" t="str">
        <f t="shared" si="88"/>
        <v>CU</v>
      </c>
      <c r="J100" s="875">
        <v>6</v>
      </c>
      <c r="K100" s="876">
        <v>10</v>
      </c>
      <c r="L100" s="876">
        <v>3</v>
      </c>
      <c r="M100" s="877">
        <v>1</v>
      </c>
      <c r="N100" s="877">
        <v>1</v>
      </c>
      <c r="O100" s="878">
        <v>1</v>
      </c>
      <c r="P100" s="879">
        <v>4</v>
      </c>
      <c r="Q100" s="880">
        <v>1</v>
      </c>
      <c r="R100" s="880">
        <v>1</v>
      </c>
      <c r="S100" s="881">
        <v>1</v>
      </c>
      <c r="T100" s="881">
        <v>1</v>
      </c>
      <c r="U100" s="882">
        <v>1</v>
      </c>
      <c r="V100" s="883">
        <v>1</v>
      </c>
      <c r="W100" s="874" t="str">
        <f t="shared" si="89"/>
        <v>SI</v>
      </c>
      <c r="X100" s="884"/>
      <c r="Y100" s="885"/>
      <c r="Z100" s="885"/>
      <c r="AA100" s="885"/>
      <c r="AB100" s="885"/>
      <c r="AC100" s="885"/>
      <c r="AD100" s="885"/>
      <c r="AE100" s="885"/>
      <c r="AF100" s="885"/>
      <c r="AG100" s="885"/>
      <c r="AH100" s="885"/>
      <c r="AI100" s="885"/>
      <c r="AJ100" s="885"/>
      <c r="AK100" s="885"/>
      <c r="AL100" s="885"/>
      <c r="AM100" s="885"/>
      <c r="AN100" s="885"/>
      <c r="AO100" s="885"/>
      <c r="AP100" s="885"/>
      <c r="AQ100" s="885"/>
      <c r="AR100" s="885"/>
      <c r="AS100" s="885"/>
      <c r="AT100" s="885"/>
      <c r="AU100" s="885"/>
      <c r="AV100" s="885"/>
      <c r="AW100" s="885"/>
      <c r="AX100" s="885"/>
      <c r="AY100" s="885"/>
      <c r="AZ100" s="885"/>
      <c r="BA100" s="886"/>
      <c r="BB100" s="887">
        <f t="shared" si="90"/>
        <v>0</v>
      </c>
      <c r="BC100" s="888" t="str">
        <f t="shared" si="91"/>
        <v/>
      </c>
      <c r="BD100" s="889" t="str">
        <f t="shared" si="92"/>
        <v/>
      </c>
      <c r="BE100" s="889" t="str">
        <f t="shared" si="93"/>
        <v/>
      </c>
      <c r="BF100" s="889" t="str">
        <f t="shared" si="94"/>
        <v/>
      </c>
      <c r="BG100" s="889" t="str">
        <f t="shared" si="95"/>
        <v/>
      </c>
      <c r="BH100" s="889" t="str">
        <f t="shared" si="96"/>
        <v/>
      </c>
      <c r="BI100" s="890" t="str">
        <f t="shared" si="97"/>
        <v/>
      </c>
      <c r="BJ100" s="891" t="str">
        <f t="shared" si="98"/>
        <v/>
      </c>
      <c r="BK100" s="892" t="str">
        <f t="shared" si="99"/>
        <v/>
      </c>
      <c r="BL100" s="892" t="str">
        <f t="shared" si="100"/>
        <v/>
      </c>
      <c r="BM100" s="892" t="str">
        <f t="shared" si="101"/>
        <v/>
      </c>
      <c r="BN100" s="892" t="str">
        <f t="shared" si="102"/>
        <v/>
      </c>
      <c r="BO100" s="892" t="str">
        <f t="shared" si="103"/>
        <v/>
      </c>
      <c r="BP100" s="893" t="str">
        <f t="shared" si="104"/>
        <v/>
      </c>
      <c r="BQ100" s="894" t="str">
        <f t="shared" si="105"/>
        <v/>
      </c>
      <c r="BR100" s="895" t="str">
        <f t="shared" si="80"/>
        <v/>
      </c>
      <c r="BS100" s="896" t="str">
        <f t="shared" si="106"/>
        <v/>
      </c>
      <c r="BT100" s="897" t="str">
        <f t="shared" si="107"/>
        <v/>
      </c>
      <c r="BU100" s="231" t="str">
        <f t="shared" si="108"/>
        <v/>
      </c>
      <c r="BV100" s="898">
        <f t="shared" si="109"/>
        <v>127</v>
      </c>
      <c r="BW100" s="845" t="str">
        <f t="shared" si="110"/>
        <v/>
      </c>
      <c r="BX100" s="899" t="str">
        <f t="shared" si="111"/>
        <v/>
      </c>
      <c r="BY100" s="900" t="str" cm="1">
        <f t="array" ref="BY100">[1]!ACAELE_CAPACIDADCABLE(BB100,H100,I100,M100,BX100,N100)</f>
        <v/>
      </c>
      <c r="BZ100" s="900" t="str">
        <f t="shared" si="112"/>
        <v/>
      </c>
      <c r="CA100" s="901" t="str" cm="1">
        <f t="array" ref="CA100">[1]!ACAELE_cabledetierra(BZ100,$N$9,I100,BW100,BX100,G100)</f>
        <v/>
      </c>
      <c r="CB100" s="902" t="str" cm="1">
        <f t="array" ref="CB100">[1]!ACAELE_TAMATUBERIA(BX100,DU100,$N$9,M100,I100)</f>
        <v/>
      </c>
      <c r="CC100" s="846" t="str">
        <f t="shared" si="113"/>
        <v/>
      </c>
      <c r="CD100" s="903" t="str" cm="1">
        <f t="array" ref="CD100">[1]!ACAELE_CAPACIDADCABLE(BB100,H100,I100,M100,CC100,N100)</f>
        <v/>
      </c>
      <c r="CE100" s="903" t="str">
        <f t="shared" si="114"/>
        <v/>
      </c>
      <c r="CF100" s="904" t="str" cm="1">
        <f t="array" ref="CF100">[1]!ACAELE_cabledetierra(CE100,$N$9,I100,BW100,CC100,G100)</f>
        <v/>
      </c>
      <c r="CG100" s="905" t="str" cm="1">
        <f t="array" ref="CG100">[1]!ACAELE_TAMATUBERIA(CC100,EC100,$N$9,S100,I100)</f>
        <v/>
      </c>
      <c r="CH100" s="906" t="str">
        <f t="shared" si="115"/>
        <v/>
      </c>
      <c r="CI100" s="510" t="str">
        <f t="shared" si="116"/>
        <v>-</v>
      </c>
      <c r="CJ100" s="511" t="str">
        <f t="shared" si="117"/>
        <v>-</v>
      </c>
      <c r="CK100" s="512" t="str">
        <f t="shared" si="118"/>
        <v>-</v>
      </c>
      <c r="CL100" s="907" t="str">
        <f t="shared" si="119"/>
        <v>-</v>
      </c>
      <c r="CM100" s="908" t="str">
        <f t="shared" si="120"/>
        <v>-</v>
      </c>
      <c r="CN100" s="909" t="str">
        <f t="shared" si="121"/>
        <v>-</v>
      </c>
      <c r="CO100" s="910" t="str" cm="1">
        <f t="array" ref="CO100">[1]!ACAELE_fasecorresponde(B100,$F$10,$P$5)</f>
        <v>B</v>
      </c>
      <c r="CP100" s="910" t="str" cm="1">
        <f t="array" ref="CP100">[1]!ACAELE_fasecorresponde(C100,$F$10,$P$5)</f>
        <v>-</v>
      </c>
      <c r="CQ100" s="910" t="str" cm="1">
        <f t="array" ref="CQ100">[1]!ACAELE_fasecorresponde(D100,$F$10,$P$5)</f>
        <v>-</v>
      </c>
      <c r="CR100" s="911" t="str">
        <f t="shared" si="122"/>
        <v>C</v>
      </c>
      <c r="CS100" s="912">
        <f t="shared" si="123"/>
        <v>1</v>
      </c>
      <c r="CT100" s="913">
        <f t="shared" si="124"/>
        <v>0.8</v>
      </c>
      <c r="CU100" s="914" t="str">
        <f t="shared" si="125"/>
        <v/>
      </c>
      <c r="CV100" s="915">
        <f t="shared" si="126"/>
        <v>0</v>
      </c>
      <c r="CW100" s="916" t="str" cm="1">
        <f t="array" ref="CW100">[1]!ACAELE_Inominal(BB100,F100,BT100,BV100,DA100,G100,V100,$P$5)</f>
        <v/>
      </c>
      <c r="CX100" s="917" t="str" cm="1">
        <f t="array" ref="CX100">[1]!ACAELE_Disparocalculado(BB100,H100,DL100,$N$21,$M$21,$O$21,BV100,$P$5)</f>
        <v/>
      </c>
      <c r="CY100" s="918" t="str" cm="1">
        <f t="array" ref="CY100">[1]!ACAELE_Icorregida($A$27,H100,BB100,BU100,CS100,CT100,$P$5)</f>
        <v/>
      </c>
      <c r="CZ100" s="919" t="str" cm="1">
        <f t="array" ref="CZ100">[1]!ACAELE_Icorregida2($A$27,H100,BB100,BU100,CS100,CU100,$P$5)</f>
        <v/>
      </c>
      <c r="DA100" s="920">
        <f t="shared" si="127"/>
        <v>0.9</v>
      </c>
      <c r="DB100" s="921">
        <f t="shared" si="128"/>
        <v>0.43588989435406728</v>
      </c>
      <c r="DC100" s="922" t="str" cm="1">
        <f t="array" ref="DC100">[1]!ACAELE_CONDPORTCORRIENTE(H100,BB100,I100,M100,CY100,CZ100,N100,$P$5)</f>
        <v/>
      </c>
      <c r="DD100" s="923" t="str" cm="1">
        <f t="array" ref="DD100">[1]!ACAELE_CAPACONDCORRIENTE(BB100,H100,I100,M100,CY100,CZ100,$P$5)</f>
        <v/>
      </c>
      <c r="DE100" s="923" t="str" cm="1">
        <f t="array" ref="DE100">[1]!ACAELE_CAPACIDADCABLE(BB100,H100,I100,M100,DC100,N100,$P$5)</f>
        <v/>
      </c>
      <c r="DF100" s="924" t="str" cm="1">
        <f t="array" ref="DF100">[1]!ACAELE_encontrarcaida(BB100,H100,L100,BV100,F100,BU100,N100,K100)</f>
        <v/>
      </c>
      <c r="DG100" s="925" t="str" cm="1">
        <f t="array" ref="DG100">[1]!ACAELE_Cablecaida(BB100,H100,M100,I100,DF100)</f>
        <v/>
      </c>
      <c r="DH100" s="918" t="str" cm="1">
        <f t="array" ref="DH100">[1]!ACAELE_CAPACIDADCABLE(BB100,H100,I100,M100,DG100,N100,$P$5)</f>
        <v/>
      </c>
      <c r="DI100" s="926" t="str" cm="1">
        <f t="array" ref="DI100">IF($A$27=1,"",[1]!ACAELE_encontrarcaida(BB100,H100,R100,BV100,F100,BU100,T100,Q100,$P$5))</f>
        <v/>
      </c>
      <c r="DJ100" s="914" t="str" cm="1">
        <f t="array" ref="DJ100">IF($A$27=1,"",[1]!ACAELE_Cablecaida2(BB100,Q100,H100,S100,I100,DI100,$P$5))</f>
        <v/>
      </c>
      <c r="DK100" s="919" t="str" cm="1">
        <f t="array" ref="DK100">[1]!ACAELE_CAPACIDADCABLE(BB100,H100,I100,M100,DJ100,N100,$P$5)</f>
        <v/>
      </c>
      <c r="DL100" s="927" t="str" cm="1">
        <f t="array" ref="DL100">[1]!acaele_Iproteccion(BB100,H100,BU100,$F$20,$G$20,$F$19,$G$19,$H$20,$H$19,$P$5)</f>
        <v/>
      </c>
      <c r="DM100" s="928" cm="1">
        <f t="array" ref="DM100">[1]!acaele_ProtCalculada(CX100,H100,BT100,BW100,$G$21,$F$21,$H$21,$P$5)</f>
        <v>0</v>
      </c>
      <c r="DN100" s="929" t="str" cm="1">
        <f t="array" ref="DN100">[1]!ACAELE_cablecalculo(BB100,H100,I100,M100,EF100,$P$5)</f>
        <v/>
      </c>
      <c r="DO100" s="930" t="str" cm="1">
        <f t="array" ref="DO100">[1]!ACAELE_RESISTENCIA(BB100,H100,M100,I100,BX100, CW100,$P$5)</f>
        <v/>
      </c>
      <c r="DP100" s="931" t="str" cm="1">
        <f t="array" ref="DP100">[1]!ACAELE_REACTANCIA(BB100,H100,$F$11,M100,I100,BX100,$P$5)</f>
        <v/>
      </c>
      <c r="DQ100" s="918" t="str" cm="1">
        <f t="array" ref="DQ100">[1]!ACAELE_DIAMECAISLA(BB100,H100,I100,BX100,$P$5)</f>
        <v/>
      </c>
      <c r="DR100" s="918" t="str" cm="1">
        <f t="array" ref="DR100">[1]!ACAELE_AREACAISLAMIENTO(BB100,H100,DQ100,$P$5)</f>
        <v/>
      </c>
      <c r="DS100" s="918" t="str" cm="1">
        <f t="array" ref="DS100">[1]!ACAELE_CAIDAVOLTSFINAL(BB100,H100,F100,K100,BU100,N100,DO100,DA100,DP100,DB100,$P$5)</f>
        <v/>
      </c>
      <c r="DT100" s="918" t="str" cm="1">
        <f t="array" ref="DT100">[1]!ACAELE_AREACONDPTE(BB100,H100,CA100,$P$5)</f>
        <v/>
      </c>
      <c r="DU100" s="932" t="str" cm="1">
        <f t="array" ref="DU100">[1]!ACAELE_AREATOTAL(BZ100,M100,EO100,N100,DQ100,G100,DR100,DT100,N$20,$P$5)</f>
        <v/>
      </c>
      <c r="DV100" s="933" t="str" cm="1">
        <f t="array" ref="DV100">IF($A$27=1,"",[1]!ACAELE_cablecalculo(BB100,H100,I100,M100,EG100,$P$5))</f>
        <v/>
      </c>
      <c r="DW100" s="934" t="str" cm="1">
        <f t="array" ref="DW100">IF($A$27=1,"",[1]!ACAELE_RESISTENCIA(BB100,H100,M100,I100,CC100,CW100,$P$5))</f>
        <v/>
      </c>
      <c r="DX100" s="926" t="str" cm="1">
        <f t="array" ref="DX100">IF($A$27=1,"",[1]!ACAELE_REACTANCIA(BB100,H100,$F$11,M100,I100,CC100,$P$5))</f>
        <v/>
      </c>
      <c r="DY100" s="935" t="str" cm="1">
        <f t="array" ref="DY100">IF($A$27=1,"",[1]!ACAELE_DIAMECAISLA(BB100,H100,I100,CC100,$P$5))</f>
        <v/>
      </c>
      <c r="DZ100" s="935" t="str" cm="1">
        <f t="array" ref="DZ100">IF($A$27=1,"",[1]!ACAELE_AREACAISLAMIENTO(BB100,H100,DY100,$P$5))</f>
        <v/>
      </c>
      <c r="EA100" s="935" t="str" cm="1">
        <f t="array" ref="EA100">[1]!ACAELE_CAIDAVOLTSFINAL2(BB100,Q100,H100,F100,$A$27,BU100,T100,DW100,DA100,DX100,DB100)</f>
        <v/>
      </c>
      <c r="EB100" s="935" t="str" cm="1">
        <f t="array" ref="EB100">IF($A$27=1,"",[1]!ACAELE_AREACONDPTE(BB100,H100,CF100,$P$5))</f>
        <v/>
      </c>
      <c r="EC100" s="936" t="str" cm="1">
        <f t="array" ref="EC100">[1]!ACAELE_AREATOTAL2(H100,$A$27,DY100,S100,G100,T100,DZ100,U100,EB100)</f>
        <v/>
      </c>
      <c r="ED100" s="937" t="str">
        <f t="shared" si="129"/>
        <v/>
      </c>
      <c r="EE100" s="938" t="str">
        <f t="shared" si="130"/>
        <v/>
      </c>
      <c r="EF100" s="939" t="str">
        <f t="shared" si="131"/>
        <v/>
      </c>
      <c r="EG100" s="940">
        <f t="shared" si="132"/>
        <v>0</v>
      </c>
      <c r="EH100" s="941" t="str">
        <f t="shared" si="133"/>
        <v/>
      </c>
      <c r="EI100" s="942">
        <f t="shared" si="134"/>
        <v>30</v>
      </c>
      <c r="EJ100" s="943" t="str">
        <f t="shared" si="81"/>
        <v/>
      </c>
      <c r="EK100" s="943" t="str">
        <f t="shared" si="82"/>
        <v/>
      </c>
      <c r="EL100" s="943" t="str">
        <f t="shared" si="83"/>
        <v/>
      </c>
      <c r="EM100" s="944" t="str">
        <f t="shared" si="84"/>
        <v/>
      </c>
      <c r="EN100" s="945" t="str" cm="1">
        <f t="array" ref="EN100">[1]!ACAELE_MOTOR(H100,X100:BA100,$X$26:$BA$26,$P$5)</f>
        <v/>
      </c>
      <c r="EO100" s="550" t="str">
        <f t="shared" si="135"/>
        <v/>
      </c>
      <c r="EP100" s="431" t="s">
        <v>1214</v>
      </c>
      <c r="EQ100" s="434" t="str">
        <f t="shared" ca="1" si="136"/>
        <v/>
      </c>
      <c r="ER100" s="32"/>
      <c r="ES100" s="32"/>
      <c r="ET100" s="3" t="str">
        <f t="shared" si="137"/>
        <v/>
      </c>
      <c r="EU100" s="3" t="str">
        <f t="shared" si="138"/>
        <v/>
      </c>
      <c r="EV100" s="3" t="str">
        <f t="shared" si="139"/>
        <v/>
      </c>
      <c r="EW100" s="3" t="str">
        <f t="shared" si="140"/>
        <v/>
      </c>
      <c r="EX100" s="3" t="str">
        <f t="shared" si="141"/>
        <v/>
      </c>
      <c r="EY100" s="3" t="str">
        <f t="shared" si="142"/>
        <v/>
      </c>
      <c r="EZ100" s="3" t="str">
        <f t="shared" si="143"/>
        <v/>
      </c>
      <c r="FA100" s="3" t="str">
        <f t="shared" si="144"/>
        <v/>
      </c>
      <c r="FB100" s="3" t="str">
        <f t="shared" si="145"/>
        <v/>
      </c>
      <c r="FC100" s="3">
        <f t="shared" si="146"/>
        <v>0</v>
      </c>
      <c r="FD100" s="32"/>
      <c r="FE100" s="32"/>
      <c r="FF100" s="103">
        <v>1</v>
      </c>
      <c r="FG100" s="32"/>
      <c r="FH100" s="103"/>
      <c r="FI100" s="32"/>
      <c r="FJ100" s="103"/>
      <c r="FK100" s="3">
        <f t="shared" si="147"/>
        <v>0</v>
      </c>
      <c r="FL100" s="3" t="str" cm="1">
        <f t="array" aca="1" ref="FL100" ca="1">[1]!acaele_DIB_UNIFILAR(BB100,H100,F100,COUNTIF(X100:BA100,1),BW100)</f>
        <v/>
      </c>
      <c r="FM100" s="3" t="str">
        <f>IF(DATOS!$T$4=0,"",IF(DATOS!$T$4=1," (QO)",IF(DATOS!$T$4=2," (QOB)",IF(DATOS!$T$4=3," (EDB)",IF(DATOS!$T$4=4,IF(BW100&lt;151," (H"&amp;FN100&amp;")",IF(BW100&lt;251," (J"&amp;FN100&amp;")", IF(BW100&lt;401," (LA)",IF(BW100&lt;801," (MG)",IF(BW100&lt;5001," (POWERPACK)",""))))))))))</f>
        <v xml:space="preserve"> (QOB)</v>
      </c>
      <c r="FN100" s="3" t="str">
        <f t="shared" si="148"/>
        <v/>
      </c>
      <c r="FO100" s="146"/>
      <c r="FP100" s="146"/>
      <c r="FQ100" s="146"/>
      <c r="FR100" s="146"/>
      <c r="FS100" s="146"/>
      <c r="FT100" s="146"/>
      <c r="FU100" s="146"/>
      <c r="FV100" s="146"/>
      <c r="FW100" s="146"/>
      <c r="FX100" s="146" t="str">
        <f t="shared" si="79"/>
        <v/>
      </c>
      <c r="FY100" s="736"/>
      <c r="FZ100" s="740"/>
      <c r="GA100" s="740"/>
      <c r="GB100" s="717"/>
      <c r="GC100" s="838"/>
      <c r="GD100" s="736"/>
      <c r="GE100" s="146"/>
      <c r="GF100" s="506"/>
      <c r="GG100" s="506"/>
      <c r="GH100" s="506"/>
      <c r="GI100" s="506"/>
      <c r="GJ100" s="506"/>
      <c r="GM100" s="3">
        <f>IF(OR(GN100&gt;TABLERO!$M$19,GO100&gt;TABLERO!$M$19,GP100&gt;TABLERO!$M$19,B100=0,C100=0,D100=0),2,CUADROACAD!A100)</f>
        <v>2</v>
      </c>
      <c r="GN100" s="3">
        <f>IF(TABLERO!B100="",0,TABLERO!B100)</f>
        <v>70</v>
      </c>
      <c r="GO100" s="3">
        <f>IF(TABLERO!C100="",GN100,TABLERO!C100)</f>
        <v>70</v>
      </c>
      <c r="GP100" s="3">
        <f>IF(TABLERO!D100="",GN100,TABLERO!D100)</f>
        <v>70</v>
      </c>
    </row>
    <row r="101" spans="1:198" s="3" customFormat="1">
      <c r="A101" s="706"/>
      <c r="B101" s="869">
        <v>71</v>
      </c>
      <c r="C101" s="870" t="str">
        <f t="shared" si="85"/>
        <v/>
      </c>
      <c r="D101" s="870" t="str">
        <f t="shared" si="86"/>
        <v/>
      </c>
      <c r="E101" s="871"/>
      <c r="F101" s="872">
        <v>1</v>
      </c>
      <c r="G101" s="716">
        <f t="shared" si="87"/>
        <v>2</v>
      </c>
      <c r="H101" s="873" t="s">
        <v>12</v>
      </c>
      <c r="I101" s="874" t="str">
        <f t="shared" si="88"/>
        <v>CU</v>
      </c>
      <c r="J101" s="875">
        <v>6</v>
      </c>
      <c r="K101" s="876">
        <v>10</v>
      </c>
      <c r="L101" s="876">
        <v>3</v>
      </c>
      <c r="M101" s="877">
        <v>1</v>
      </c>
      <c r="N101" s="877">
        <v>1</v>
      </c>
      <c r="O101" s="878">
        <v>1</v>
      </c>
      <c r="P101" s="879">
        <v>4</v>
      </c>
      <c r="Q101" s="880">
        <v>1</v>
      </c>
      <c r="R101" s="880">
        <v>1</v>
      </c>
      <c r="S101" s="881">
        <v>1</v>
      </c>
      <c r="T101" s="881">
        <v>1</v>
      </c>
      <c r="U101" s="882">
        <v>1</v>
      </c>
      <c r="V101" s="883">
        <v>1</v>
      </c>
      <c r="W101" s="874" t="str">
        <f t="shared" si="89"/>
        <v>SI</v>
      </c>
      <c r="X101" s="884"/>
      <c r="Y101" s="885"/>
      <c r="Z101" s="885"/>
      <c r="AA101" s="885"/>
      <c r="AB101" s="885"/>
      <c r="AC101" s="885"/>
      <c r="AD101" s="885"/>
      <c r="AE101" s="885"/>
      <c r="AF101" s="885"/>
      <c r="AG101" s="885"/>
      <c r="AH101" s="885"/>
      <c r="AI101" s="885"/>
      <c r="AJ101" s="885"/>
      <c r="AK101" s="885"/>
      <c r="AL101" s="885"/>
      <c r="AM101" s="885"/>
      <c r="AN101" s="885"/>
      <c r="AO101" s="885"/>
      <c r="AP101" s="885"/>
      <c r="AQ101" s="885"/>
      <c r="AR101" s="885"/>
      <c r="AS101" s="885"/>
      <c r="AT101" s="885"/>
      <c r="AU101" s="885"/>
      <c r="AV101" s="885"/>
      <c r="AW101" s="885"/>
      <c r="AX101" s="885"/>
      <c r="AY101" s="885"/>
      <c r="AZ101" s="885"/>
      <c r="BA101" s="886"/>
      <c r="BB101" s="887">
        <f t="shared" si="90"/>
        <v>0</v>
      </c>
      <c r="BC101" s="888" t="str">
        <f t="shared" si="91"/>
        <v/>
      </c>
      <c r="BD101" s="889" t="str">
        <f t="shared" si="92"/>
        <v/>
      </c>
      <c r="BE101" s="889" t="str">
        <f t="shared" si="93"/>
        <v/>
      </c>
      <c r="BF101" s="889" t="str">
        <f t="shared" si="94"/>
        <v/>
      </c>
      <c r="BG101" s="889" t="str">
        <f t="shared" si="95"/>
        <v/>
      </c>
      <c r="BH101" s="889" t="str">
        <f t="shared" si="96"/>
        <v/>
      </c>
      <c r="BI101" s="890" t="str">
        <f t="shared" si="97"/>
        <v/>
      </c>
      <c r="BJ101" s="891" t="str">
        <f t="shared" si="98"/>
        <v/>
      </c>
      <c r="BK101" s="892" t="str">
        <f t="shared" si="99"/>
        <v/>
      </c>
      <c r="BL101" s="892" t="str">
        <f t="shared" si="100"/>
        <v/>
      </c>
      <c r="BM101" s="892" t="str">
        <f t="shared" si="101"/>
        <v/>
      </c>
      <c r="BN101" s="892" t="str">
        <f t="shared" si="102"/>
        <v/>
      </c>
      <c r="BO101" s="892" t="str">
        <f t="shared" si="103"/>
        <v/>
      </c>
      <c r="BP101" s="893" t="str">
        <f t="shared" si="104"/>
        <v/>
      </c>
      <c r="BQ101" s="894" t="str">
        <f t="shared" si="105"/>
        <v/>
      </c>
      <c r="BR101" s="895" t="str">
        <f t="shared" si="80"/>
        <v/>
      </c>
      <c r="BS101" s="896" t="str">
        <f t="shared" si="106"/>
        <v/>
      </c>
      <c r="BT101" s="897" t="str">
        <f t="shared" si="107"/>
        <v/>
      </c>
      <c r="BU101" s="231" t="str">
        <f t="shared" si="108"/>
        <v/>
      </c>
      <c r="BV101" s="898">
        <f t="shared" si="109"/>
        <v>127</v>
      </c>
      <c r="BW101" s="845" t="str">
        <f t="shared" si="110"/>
        <v/>
      </c>
      <c r="BX101" s="899" t="str">
        <f t="shared" si="111"/>
        <v/>
      </c>
      <c r="BY101" s="900" t="str" cm="1">
        <f t="array" ref="BY101">[1]!ACAELE_CAPACIDADCABLE(BB101,H101,I101,M101,BX101,N101)</f>
        <v/>
      </c>
      <c r="BZ101" s="900" t="str">
        <f t="shared" si="112"/>
        <v/>
      </c>
      <c r="CA101" s="901" t="str" cm="1">
        <f t="array" ref="CA101">[1]!ACAELE_cabledetierra(BZ101,$N$9,I101,BW101,BX101,G101)</f>
        <v/>
      </c>
      <c r="CB101" s="902" t="str" cm="1">
        <f t="array" ref="CB101">[1]!ACAELE_TAMATUBERIA(BX101,DU101,$N$9,M101,I101)</f>
        <v/>
      </c>
      <c r="CC101" s="846" t="str">
        <f t="shared" si="113"/>
        <v/>
      </c>
      <c r="CD101" s="903" t="str" cm="1">
        <f t="array" ref="CD101">[1]!ACAELE_CAPACIDADCABLE(BB101,H101,I101,M101,CC101,N101)</f>
        <v/>
      </c>
      <c r="CE101" s="903" t="str">
        <f t="shared" si="114"/>
        <v/>
      </c>
      <c r="CF101" s="904" t="str" cm="1">
        <f t="array" ref="CF101">[1]!ACAELE_cabledetierra(CE101,$N$9,I101,BW101,CC101,G101)</f>
        <v/>
      </c>
      <c r="CG101" s="905" t="str" cm="1">
        <f t="array" ref="CG101">[1]!ACAELE_TAMATUBERIA(CC101,EC101,$N$9,S101,I101)</f>
        <v/>
      </c>
      <c r="CH101" s="906" t="str">
        <f t="shared" si="115"/>
        <v/>
      </c>
      <c r="CI101" s="510" t="str">
        <f t="shared" si="116"/>
        <v>-</v>
      </c>
      <c r="CJ101" s="511" t="str">
        <f t="shared" si="117"/>
        <v>-</v>
      </c>
      <c r="CK101" s="512" t="str">
        <f t="shared" si="118"/>
        <v>-</v>
      </c>
      <c r="CL101" s="907" t="str">
        <f t="shared" si="119"/>
        <v>-</v>
      </c>
      <c r="CM101" s="908" t="str">
        <f t="shared" si="120"/>
        <v>-</v>
      </c>
      <c r="CN101" s="909" t="str">
        <f t="shared" si="121"/>
        <v>-</v>
      </c>
      <c r="CO101" s="910" t="str" cm="1">
        <f t="array" ref="CO101">[1]!ACAELE_fasecorresponde(B101,$F$10,$P$5)</f>
        <v>C</v>
      </c>
      <c r="CP101" s="910" t="str" cm="1">
        <f t="array" ref="CP101">[1]!ACAELE_fasecorresponde(C101,$F$10,$P$5)</f>
        <v>-</v>
      </c>
      <c r="CQ101" s="910" t="str" cm="1">
        <f t="array" ref="CQ101">[1]!ACAELE_fasecorresponde(D101,$F$10,$P$5)</f>
        <v>-</v>
      </c>
      <c r="CR101" s="911" t="str">
        <f t="shared" si="122"/>
        <v>C</v>
      </c>
      <c r="CS101" s="912">
        <f t="shared" si="123"/>
        <v>1</v>
      </c>
      <c r="CT101" s="913">
        <f t="shared" si="124"/>
        <v>0.8</v>
      </c>
      <c r="CU101" s="914" t="str">
        <f t="shared" si="125"/>
        <v/>
      </c>
      <c r="CV101" s="915">
        <f t="shared" si="126"/>
        <v>0</v>
      </c>
      <c r="CW101" s="916" t="str" cm="1">
        <f t="array" ref="CW101">[1]!ACAELE_Inominal(BB101,F101,BT101,BV101,DA101,G101,V101,$P$5)</f>
        <v/>
      </c>
      <c r="CX101" s="917" t="str" cm="1">
        <f t="array" ref="CX101">[1]!ACAELE_Disparocalculado(BB101,H101,DL101,$N$21,$M$21,$O$21,BV101,$P$5)</f>
        <v/>
      </c>
      <c r="CY101" s="918" t="str" cm="1">
        <f t="array" ref="CY101">[1]!ACAELE_Icorregida($A$27,H101,BB101,BU101,CS101,CT101,$P$5)</f>
        <v/>
      </c>
      <c r="CZ101" s="919" t="str" cm="1">
        <f t="array" ref="CZ101">[1]!ACAELE_Icorregida2($A$27,H101,BB101,BU101,CS101,CU101,$P$5)</f>
        <v/>
      </c>
      <c r="DA101" s="920">
        <f t="shared" si="127"/>
        <v>0.9</v>
      </c>
      <c r="DB101" s="921">
        <f t="shared" si="128"/>
        <v>0.43588989435406728</v>
      </c>
      <c r="DC101" s="922" t="str" cm="1">
        <f t="array" ref="DC101">[1]!ACAELE_CONDPORTCORRIENTE(H101,BB101,I101,M101,CY101,CZ101,N101,$P$5)</f>
        <v/>
      </c>
      <c r="DD101" s="923" t="str" cm="1">
        <f t="array" ref="DD101">[1]!ACAELE_CAPACONDCORRIENTE(BB101,H101,I101,M101,CY101,CZ101,$P$5)</f>
        <v/>
      </c>
      <c r="DE101" s="923" t="str" cm="1">
        <f t="array" ref="DE101">[1]!ACAELE_CAPACIDADCABLE(BB101,H101,I101,M101,DC101,N101,$P$5)</f>
        <v/>
      </c>
      <c r="DF101" s="924" t="str" cm="1">
        <f t="array" ref="DF101">[1]!ACAELE_encontrarcaida(BB101,H101,L101,BV101,F101,BU101,N101,K101)</f>
        <v/>
      </c>
      <c r="DG101" s="925" t="str" cm="1">
        <f t="array" ref="DG101">[1]!ACAELE_Cablecaida(BB101,H101,M101,I101,DF101)</f>
        <v/>
      </c>
      <c r="DH101" s="918" t="str" cm="1">
        <f t="array" ref="DH101">[1]!ACAELE_CAPACIDADCABLE(BB101,H101,I101,M101,DG101,N101,$P$5)</f>
        <v/>
      </c>
      <c r="DI101" s="926" t="str" cm="1">
        <f t="array" ref="DI101">IF($A$27=1,"",[1]!ACAELE_encontrarcaida(BB101,H101,R101,BV101,F101,BU101,T101,Q101,$P$5))</f>
        <v/>
      </c>
      <c r="DJ101" s="914" t="str" cm="1">
        <f t="array" ref="DJ101">IF($A$27=1,"",[1]!ACAELE_Cablecaida2(BB101,Q101,H101,S101,I101,DI101,$P$5))</f>
        <v/>
      </c>
      <c r="DK101" s="919" t="str" cm="1">
        <f t="array" ref="DK101">[1]!ACAELE_CAPACIDADCABLE(BB101,H101,I101,M101,DJ101,N101,$P$5)</f>
        <v/>
      </c>
      <c r="DL101" s="927" t="str" cm="1">
        <f t="array" ref="DL101">[1]!acaele_Iproteccion(BB101,H101,BU101,$F$20,$G$20,$F$19,$G$19,$H$20,$H$19,$P$5)</f>
        <v/>
      </c>
      <c r="DM101" s="928" cm="1">
        <f t="array" ref="DM101">[1]!acaele_ProtCalculada(CX101,H101,BT101,BW101,$G$21,$F$21,$H$21,$P$5)</f>
        <v>0</v>
      </c>
      <c r="DN101" s="929" t="str" cm="1">
        <f t="array" ref="DN101">[1]!ACAELE_cablecalculo(BB101,H101,I101,M101,EF101,$P$5)</f>
        <v/>
      </c>
      <c r="DO101" s="930" t="str" cm="1">
        <f t="array" ref="DO101">[1]!ACAELE_RESISTENCIA(BB101,H101,M101,I101,BX101, CW101,$P$5)</f>
        <v/>
      </c>
      <c r="DP101" s="931" t="str" cm="1">
        <f t="array" ref="DP101">[1]!ACAELE_REACTANCIA(BB101,H101,$F$11,M101,I101,BX101,$P$5)</f>
        <v/>
      </c>
      <c r="DQ101" s="918" t="str" cm="1">
        <f t="array" ref="DQ101">[1]!ACAELE_DIAMECAISLA(BB101,H101,I101,BX101,$P$5)</f>
        <v/>
      </c>
      <c r="DR101" s="918" t="str" cm="1">
        <f t="array" ref="DR101">[1]!ACAELE_AREACAISLAMIENTO(BB101,H101,DQ101,$P$5)</f>
        <v/>
      </c>
      <c r="DS101" s="918" t="str" cm="1">
        <f t="array" ref="DS101">[1]!ACAELE_CAIDAVOLTSFINAL(BB101,H101,F101,K101,BU101,N101,DO101,DA101,DP101,DB101,$P$5)</f>
        <v/>
      </c>
      <c r="DT101" s="918" t="str" cm="1">
        <f t="array" ref="DT101">[1]!ACAELE_AREACONDPTE(BB101,H101,CA101,$P$5)</f>
        <v/>
      </c>
      <c r="DU101" s="932" t="str" cm="1">
        <f t="array" ref="DU101">[1]!ACAELE_AREATOTAL(BZ101,M101,EO101,N101,DQ101,G101,DR101,DT101,N$20,$P$5)</f>
        <v/>
      </c>
      <c r="DV101" s="933" t="str" cm="1">
        <f t="array" ref="DV101">IF($A$27=1,"",[1]!ACAELE_cablecalculo(BB101,H101,I101,M101,EG101,$P$5))</f>
        <v/>
      </c>
      <c r="DW101" s="934" t="str" cm="1">
        <f t="array" ref="DW101">IF($A$27=1,"",[1]!ACAELE_RESISTENCIA(BB101,H101,M101,I101,CC101,CW101,$P$5))</f>
        <v/>
      </c>
      <c r="DX101" s="926" t="str" cm="1">
        <f t="array" ref="DX101">IF($A$27=1,"",[1]!ACAELE_REACTANCIA(BB101,H101,$F$11,M101,I101,CC101,$P$5))</f>
        <v/>
      </c>
      <c r="DY101" s="935" t="str" cm="1">
        <f t="array" ref="DY101">IF($A$27=1,"",[1]!ACAELE_DIAMECAISLA(BB101,H101,I101,CC101,$P$5))</f>
        <v/>
      </c>
      <c r="DZ101" s="935" t="str" cm="1">
        <f t="array" ref="DZ101">IF($A$27=1,"",[1]!ACAELE_AREACAISLAMIENTO(BB101,H101,DY101,$P$5))</f>
        <v/>
      </c>
      <c r="EA101" s="935" t="str" cm="1">
        <f t="array" ref="EA101">[1]!ACAELE_CAIDAVOLTSFINAL2(BB101,Q101,H101,F101,$A$27,BU101,T101,DW101,DA101,DX101,DB101)</f>
        <v/>
      </c>
      <c r="EB101" s="935" t="str" cm="1">
        <f t="array" ref="EB101">IF($A$27=1,"",[1]!ACAELE_AREACONDPTE(BB101,H101,CF101,$P$5))</f>
        <v/>
      </c>
      <c r="EC101" s="936" t="str" cm="1">
        <f t="array" ref="EC101">[1]!ACAELE_AREATOTAL2(H101,$A$27,DY101,S101,G101,T101,DZ101,U101,EB101)</f>
        <v/>
      </c>
      <c r="ED101" s="937" t="str">
        <f t="shared" si="129"/>
        <v/>
      </c>
      <c r="EE101" s="938" t="str">
        <f t="shared" si="130"/>
        <v/>
      </c>
      <c r="EF101" s="939" t="str">
        <f t="shared" si="131"/>
        <v/>
      </c>
      <c r="EG101" s="940">
        <f t="shared" si="132"/>
        <v>0</v>
      </c>
      <c r="EH101" s="941" t="str">
        <f t="shared" si="133"/>
        <v/>
      </c>
      <c r="EI101" s="942">
        <f t="shared" si="134"/>
        <v>30</v>
      </c>
      <c r="EJ101" s="943" t="str">
        <f t="shared" si="81"/>
        <v/>
      </c>
      <c r="EK101" s="943" t="str">
        <f t="shared" si="82"/>
        <v/>
      </c>
      <c r="EL101" s="943" t="str">
        <f t="shared" si="83"/>
        <v/>
      </c>
      <c r="EM101" s="944" t="str">
        <f t="shared" si="84"/>
        <v/>
      </c>
      <c r="EN101" s="945" t="str" cm="1">
        <f t="array" ref="EN101">[1]!ACAELE_MOTOR(H101,X101:BA101,$X$26:$BA$26,$P$5)</f>
        <v/>
      </c>
      <c r="EO101" s="550" t="str">
        <f t="shared" si="135"/>
        <v/>
      </c>
      <c r="EP101" s="431" t="s">
        <v>1214</v>
      </c>
      <c r="EQ101" s="434" t="str">
        <f t="shared" ca="1" si="136"/>
        <v/>
      </c>
      <c r="ER101" s="32"/>
      <c r="ES101" s="32"/>
      <c r="ET101" s="3" t="str">
        <f t="shared" si="137"/>
        <v/>
      </c>
      <c r="EU101" s="3" t="str">
        <f t="shared" si="138"/>
        <v/>
      </c>
      <c r="EV101" s="3" t="str">
        <f t="shared" si="139"/>
        <v/>
      </c>
      <c r="EW101" s="3" t="str">
        <f t="shared" si="140"/>
        <v/>
      </c>
      <c r="EX101" s="3" t="str">
        <f t="shared" si="141"/>
        <v/>
      </c>
      <c r="EY101" s="3" t="str">
        <f t="shared" si="142"/>
        <v/>
      </c>
      <c r="EZ101" s="3" t="str">
        <f t="shared" si="143"/>
        <v/>
      </c>
      <c r="FA101" s="3" t="str">
        <f t="shared" si="144"/>
        <v/>
      </c>
      <c r="FB101" s="3" t="str">
        <f t="shared" si="145"/>
        <v/>
      </c>
      <c r="FC101" s="3">
        <f t="shared" si="146"/>
        <v>0</v>
      </c>
      <c r="FD101" s="32"/>
      <c r="FE101" s="32"/>
      <c r="FF101" s="103">
        <v>1</v>
      </c>
      <c r="FG101" s="32"/>
      <c r="FH101" s="103"/>
      <c r="FI101" s="32"/>
      <c r="FJ101" s="103"/>
      <c r="FK101" s="3">
        <f t="shared" si="147"/>
        <v>0</v>
      </c>
      <c r="FL101" s="3" t="str" cm="1">
        <f t="array" aca="1" ref="FL101" ca="1">[1]!acaele_DIB_UNIFILAR(BB101,H101,F101,COUNTIF(X101:BA101,1),BW101)</f>
        <v/>
      </c>
      <c r="FM101" s="3" t="str">
        <f>IF(DATOS!$T$4=0,"",IF(DATOS!$T$4=1," (QO)",IF(DATOS!$T$4=2," (QOB)",IF(DATOS!$T$4=3," (EDB)",IF(DATOS!$T$4=4,IF(BW101&lt;151," (H"&amp;FN101&amp;")",IF(BW101&lt;251," (J"&amp;FN101&amp;")", IF(BW101&lt;401," (LA)",IF(BW101&lt;801," (MG)",IF(BW101&lt;5001," (POWERPACK)",""))))))))))</f>
        <v xml:space="preserve"> (QOB)</v>
      </c>
      <c r="FN101" s="3" t="str">
        <f t="shared" si="148"/>
        <v/>
      </c>
      <c r="FO101" s="146"/>
      <c r="FP101" s="146"/>
      <c r="FQ101" s="146"/>
      <c r="FR101" s="146"/>
      <c r="FS101" s="146"/>
      <c r="FT101" s="146"/>
      <c r="FU101" s="146"/>
      <c r="FV101" s="146"/>
      <c r="FW101" s="146"/>
      <c r="FX101" s="146" t="str">
        <f t="shared" si="79"/>
        <v/>
      </c>
      <c r="FY101" s="736"/>
      <c r="FZ101" s="740"/>
      <c r="GA101" s="740"/>
      <c r="GB101" s="717"/>
      <c r="GC101" s="838"/>
      <c r="GD101" s="736"/>
      <c r="GE101" s="146"/>
      <c r="GF101" s="506"/>
      <c r="GG101" s="506"/>
      <c r="GH101" s="506"/>
      <c r="GI101" s="506"/>
      <c r="GJ101" s="506"/>
      <c r="GM101" s="3">
        <f>IF(OR(GN101&gt;TABLERO!$M$19,GO101&gt;TABLERO!$M$19,GP101&gt;TABLERO!$M$19,B101=0,C101=0,D101=0),2,CUADROACAD!A101)</f>
        <v>2</v>
      </c>
      <c r="GN101" s="3">
        <f>IF(TABLERO!B101="",0,TABLERO!B101)</f>
        <v>71</v>
      </c>
      <c r="GO101" s="3">
        <f>IF(TABLERO!C101="",GN101,TABLERO!C101)</f>
        <v>71</v>
      </c>
      <c r="GP101" s="3">
        <f>IF(TABLERO!D101="",GN101,TABLERO!D101)</f>
        <v>71</v>
      </c>
    </row>
    <row r="102" spans="1:198" s="3" customFormat="1">
      <c r="A102" s="706"/>
      <c r="B102" s="869">
        <v>72</v>
      </c>
      <c r="C102" s="870" t="str">
        <f t="shared" si="85"/>
        <v/>
      </c>
      <c r="D102" s="870" t="str">
        <f t="shared" si="86"/>
        <v/>
      </c>
      <c r="E102" s="871"/>
      <c r="F102" s="872">
        <v>1</v>
      </c>
      <c r="G102" s="716">
        <f t="shared" si="87"/>
        <v>2</v>
      </c>
      <c r="H102" s="873" t="s">
        <v>12</v>
      </c>
      <c r="I102" s="874" t="str">
        <f t="shared" si="88"/>
        <v>CU</v>
      </c>
      <c r="J102" s="875">
        <v>6</v>
      </c>
      <c r="K102" s="876">
        <v>10</v>
      </c>
      <c r="L102" s="876">
        <v>3</v>
      </c>
      <c r="M102" s="877">
        <v>1</v>
      </c>
      <c r="N102" s="877">
        <v>1</v>
      </c>
      <c r="O102" s="878">
        <v>1</v>
      </c>
      <c r="P102" s="879">
        <v>4</v>
      </c>
      <c r="Q102" s="880">
        <v>1</v>
      </c>
      <c r="R102" s="880">
        <v>1</v>
      </c>
      <c r="S102" s="881">
        <v>1</v>
      </c>
      <c r="T102" s="881">
        <v>1</v>
      </c>
      <c r="U102" s="882">
        <v>1</v>
      </c>
      <c r="V102" s="883">
        <v>1</v>
      </c>
      <c r="W102" s="874" t="str">
        <f t="shared" si="89"/>
        <v>SI</v>
      </c>
      <c r="X102" s="884"/>
      <c r="Y102" s="885"/>
      <c r="Z102" s="885"/>
      <c r="AA102" s="885"/>
      <c r="AB102" s="885"/>
      <c r="AC102" s="885"/>
      <c r="AD102" s="885"/>
      <c r="AE102" s="885"/>
      <c r="AF102" s="885"/>
      <c r="AG102" s="885"/>
      <c r="AH102" s="885"/>
      <c r="AI102" s="885"/>
      <c r="AJ102" s="885"/>
      <c r="AK102" s="885"/>
      <c r="AL102" s="885"/>
      <c r="AM102" s="885"/>
      <c r="AN102" s="885"/>
      <c r="AO102" s="885"/>
      <c r="AP102" s="885"/>
      <c r="AQ102" s="885"/>
      <c r="AR102" s="885"/>
      <c r="AS102" s="885"/>
      <c r="AT102" s="885"/>
      <c r="AU102" s="885"/>
      <c r="AV102" s="885"/>
      <c r="AW102" s="885"/>
      <c r="AX102" s="885"/>
      <c r="AY102" s="885"/>
      <c r="AZ102" s="885"/>
      <c r="BA102" s="886"/>
      <c r="BB102" s="887">
        <f t="shared" si="90"/>
        <v>0</v>
      </c>
      <c r="BC102" s="888" t="str">
        <f t="shared" si="91"/>
        <v/>
      </c>
      <c r="BD102" s="889" t="str">
        <f t="shared" si="92"/>
        <v/>
      </c>
      <c r="BE102" s="889" t="str">
        <f t="shared" si="93"/>
        <v/>
      </c>
      <c r="BF102" s="889" t="str">
        <f t="shared" si="94"/>
        <v/>
      </c>
      <c r="BG102" s="889" t="str">
        <f t="shared" si="95"/>
        <v/>
      </c>
      <c r="BH102" s="889" t="str">
        <f t="shared" si="96"/>
        <v/>
      </c>
      <c r="BI102" s="890" t="str">
        <f t="shared" si="97"/>
        <v/>
      </c>
      <c r="BJ102" s="891" t="str">
        <f t="shared" si="98"/>
        <v/>
      </c>
      <c r="BK102" s="892" t="str">
        <f t="shared" si="99"/>
        <v/>
      </c>
      <c r="BL102" s="892" t="str">
        <f t="shared" si="100"/>
        <v/>
      </c>
      <c r="BM102" s="892" t="str">
        <f t="shared" si="101"/>
        <v/>
      </c>
      <c r="BN102" s="892" t="str">
        <f t="shared" si="102"/>
        <v/>
      </c>
      <c r="BO102" s="892" t="str">
        <f t="shared" si="103"/>
        <v/>
      </c>
      <c r="BP102" s="893" t="str">
        <f t="shared" si="104"/>
        <v/>
      </c>
      <c r="BQ102" s="894" t="str">
        <f t="shared" si="105"/>
        <v/>
      </c>
      <c r="BR102" s="895" t="str">
        <f t="shared" si="80"/>
        <v/>
      </c>
      <c r="BS102" s="896" t="str">
        <f t="shared" si="106"/>
        <v/>
      </c>
      <c r="BT102" s="897" t="str">
        <f t="shared" si="107"/>
        <v/>
      </c>
      <c r="BU102" s="231" t="str">
        <f t="shared" si="108"/>
        <v/>
      </c>
      <c r="BV102" s="898">
        <f t="shared" si="109"/>
        <v>127</v>
      </c>
      <c r="BW102" s="845" t="str">
        <f t="shared" si="110"/>
        <v/>
      </c>
      <c r="BX102" s="899" t="str">
        <f t="shared" si="111"/>
        <v/>
      </c>
      <c r="BY102" s="900" t="str" cm="1">
        <f t="array" ref="BY102">[1]!ACAELE_CAPACIDADCABLE(BB102,H102,I102,M102,BX102,N102)</f>
        <v/>
      </c>
      <c r="BZ102" s="900" t="str">
        <f t="shared" si="112"/>
        <v/>
      </c>
      <c r="CA102" s="901" t="str" cm="1">
        <f t="array" ref="CA102">[1]!ACAELE_cabledetierra(BZ102,$N$9,I102,BW102,BX102,G102)</f>
        <v/>
      </c>
      <c r="CB102" s="902" t="str" cm="1">
        <f t="array" ref="CB102">[1]!ACAELE_TAMATUBERIA(BX102,DU102,$N$9,M102,I102)</f>
        <v/>
      </c>
      <c r="CC102" s="846" t="str">
        <f t="shared" si="113"/>
        <v/>
      </c>
      <c r="CD102" s="903" t="str" cm="1">
        <f t="array" ref="CD102">[1]!ACAELE_CAPACIDADCABLE(BB102,H102,I102,M102,CC102,N102)</f>
        <v/>
      </c>
      <c r="CE102" s="903" t="str">
        <f t="shared" si="114"/>
        <v/>
      </c>
      <c r="CF102" s="904" t="str" cm="1">
        <f t="array" ref="CF102">[1]!ACAELE_cabledetierra(CE102,$N$9,I102,BW102,CC102,G102)</f>
        <v/>
      </c>
      <c r="CG102" s="905" t="str" cm="1">
        <f t="array" ref="CG102">[1]!ACAELE_TAMATUBERIA(CC102,EC102,$N$9,S102,I102)</f>
        <v/>
      </c>
      <c r="CH102" s="906" t="str">
        <f t="shared" si="115"/>
        <v/>
      </c>
      <c r="CI102" s="510" t="str">
        <f t="shared" si="116"/>
        <v>-</v>
      </c>
      <c r="CJ102" s="511" t="str">
        <f t="shared" si="117"/>
        <v>-</v>
      </c>
      <c r="CK102" s="512" t="str">
        <f t="shared" si="118"/>
        <v>-</v>
      </c>
      <c r="CL102" s="907" t="str">
        <f t="shared" si="119"/>
        <v>-</v>
      </c>
      <c r="CM102" s="908" t="str">
        <f t="shared" si="120"/>
        <v>-</v>
      </c>
      <c r="CN102" s="909" t="str">
        <f t="shared" si="121"/>
        <v>-</v>
      </c>
      <c r="CO102" s="910" t="str" cm="1">
        <f t="array" ref="CO102">[1]!ACAELE_fasecorresponde(B102,$F$10,$P$5)</f>
        <v>C</v>
      </c>
      <c r="CP102" s="910" t="str" cm="1">
        <f t="array" ref="CP102">[1]!ACAELE_fasecorresponde(C102,$F$10,$P$5)</f>
        <v>-</v>
      </c>
      <c r="CQ102" s="910" t="str" cm="1">
        <f t="array" ref="CQ102">[1]!ACAELE_fasecorresponde(D102,$F$10,$P$5)</f>
        <v>-</v>
      </c>
      <c r="CR102" s="911" t="str">
        <f t="shared" si="122"/>
        <v>C</v>
      </c>
      <c r="CS102" s="912">
        <f t="shared" si="123"/>
        <v>1</v>
      </c>
      <c r="CT102" s="913">
        <f t="shared" si="124"/>
        <v>0.8</v>
      </c>
      <c r="CU102" s="914" t="str">
        <f t="shared" si="125"/>
        <v/>
      </c>
      <c r="CV102" s="915">
        <f t="shared" si="126"/>
        <v>0</v>
      </c>
      <c r="CW102" s="916" t="str" cm="1">
        <f t="array" ref="CW102">[1]!ACAELE_Inominal(BB102,F102,BT102,BV102,DA102,G102,V102,$P$5)</f>
        <v/>
      </c>
      <c r="CX102" s="917" t="str" cm="1">
        <f t="array" ref="CX102">[1]!ACAELE_Disparocalculado(BB102,H102,DL102,$N$21,$M$21,$O$21,BV102,$P$5)</f>
        <v/>
      </c>
      <c r="CY102" s="918" t="str" cm="1">
        <f t="array" ref="CY102">[1]!ACAELE_Icorregida($A$27,H102,BB102,BU102,CS102,CT102,$P$5)</f>
        <v/>
      </c>
      <c r="CZ102" s="919" t="str" cm="1">
        <f t="array" ref="CZ102">[1]!ACAELE_Icorregida2($A$27,H102,BB102,BU102,CS102,CU102,$P$5)</f>
        <v/>
      </c>
      <c r="DA102" s="920">
        <f t="shared" si="127"/>
        <v>0.9</v>
      </c>
      <c r="DB102" s="921">
        <f t="shared" si="128"/>
        <v>0.43588989435406728</v>
      </c>
      <c r="DC102" s="922" t="str" cm="1">
        <f t="array" ref="DC102">[1]!ACAELE_CONDPORTCORRIENTE(H102,BB102,I102,M102,CY102,CZ102,N102,$P$5)</f>
        <v/>
      </c>
      <c r="DD102" s="923" t="str" cm="1">
        <f t="array" ref="DD102">[1]!ACAELE_CAPACONDCORRIENTE(BB102,H102,I102,M102,CY102,CZ102,$P$5)</f>
        <v/>
      </c>
      <c r="DE102" s="923" t="str" cm="1">
        <f t="array" ref="DE102">[1]!ACAELE_CAPACIDADCABLE(BB102,H102,I102,M102,DC102,N102,$P$5)</f>
        <v/>
      </c>
      <c r="DF102" s="924" t="str" cm="1">
        <f t="array" ref="DF102">[1]!ACAELE_encontrarcaida(BB102,H102,L102,BV102,F102,BU102,N102,K102)</f>
        <v/>
      </c>
      <c r="DG102" s="925" t="str" cm="1">
        <f t="array" ref="DG102">[1]!ACAELE_Cablecaida(BB102,H102,M102,I102,DF102)</f>
        <v/>
      </c>
      <c r="DH102" s="918" t="str" cm="1">
        <f t="array" ref="DH102">[1]!ACAELE_CAPACIDADCABLE(BB102,H102,I102,M102,DG102,N102,$P$5)</f>
        <v/>
      </c>
      <c r="DI102" s="926" t="str" cm="1">
        <f t="array" ref="DI102">IF($A$27=1,"",[1]!ACAELE_encontrarcaida(BB102,H102,R102,BV102,F102,BU102,T102,Q102,$P$5))</f>
        <v/>
      </c>
      <c r="DJ102" s="914" t="str" cm="1">
        <f t="array" ref="DJ102">IF($A$27=1,"",[1]!ACAELE_Cablecaida2(BB102,Q102,H102,S102,I102,DI102,$P$5))</f>
        <v/>
      </c>
      <c r="DK102" s="919" t="str" cm="1">
        <f t="array" ref="DK102">[1]!ACAELE_CAPACIDADCABLE(BB102,H102,I102,M102,DJ102,N102,$P$5)</f>
        <v/>
      </c>
      <c r="DL102" s="927" t="str" cm="1">
        <f t="array" ref="DL102">[1]!acaele_Iproteccion(BB102,H102,BU102,$F$20,$G$20,$F$19,$G$19,$H$20,$H$19,$P$5)</f>
        <v/>
      </c>
      <c r="DM102" s="928" cm="1">
        <f t="array" ref="DM102">[1]!acaele_ProtCalculada(CX102,H102,BT102,BW102,$G$21,$F$21,$H$21,$P$5)</f>
        <v>0</v>
      </c>
      <c r="DN102" s="929" t="str" cm="1">
        <f t="array" ref="DN102">[1]!ACAELE_cablecalculo(BB102,H102,I102,M102,EF102,$P$5)</f>
        <v/>
      </c>
      <c r="DO102" s="930" t="str" cm="1">
        <f t="array" ref="DO102">[1]!ACAELE_RESISTENCIA(BB102,H102,M102,I102,BX102, CW102,$P$5)</f>
        <v/>
      </c>
      <c r="DP102" s="931" t="str" cm="1">
        <f t="array" ref="DP102">[1]!ACAELE_REACTANCIA(BB102,H102,$F$11,M102,I102,BX102,$P$5)</f>
        <v/>
      </c>
      <c r="DQ102" s="918" t="str" cm="1">
        <f t="array" ref="DQ102">[1]!ACAELE_DIAMECAISLA(BB102,H102,I102,BX102,$P$5)</f>
        <v/>
      </c>
      <c r="DR102" s="918" t="str" cm="1">
        <f t="array" ref="DR102">[1]!ACAELE_AREACAISLAMIENTO(BB102,H102,DQ102,$P$5)</f>
        <v/>
      </c>
      <c r="DS102" s="918" t="str" cm="1">
        <f t="array" ref="DS102">[1]!ACAELE_CAIDAVOLTSFINAL(BB102,H102,F102,K102,BU102,N102,DO102,DA102,DP102,DB102,$P$5)</f>
        <v/>
      </c>
      <c r="DT102" s="918" t="str" cm="1">
        <f t="array" ref="DT102">[1]!ACAELE_AREACONDPTE(BB102,H102,CA102,$P$5)</f>
        <v/>
      </c>
      <c r="DU102" s="932" t="str" cm="1">
        <f t="array" ref="DU102">[1]!ACAELE_AREATOTAL(BZ102,M102,EO102,N102,DQ102,G102,DR102,DT102,N$20,$P$5)</f>
        <v/>
      </c>
      <c r="DV102" s="933" t="str" cm="1">
        <f t="array" ref="DV102">IF($A$27=1,"",[1]!ACAELE_cablecalculo(BB102,H102,I102,M102,EG102,$P$5))</f>
        <v/>
      </c>
      <c r="DW102" s="934" t="str" cm="1">
        <f t="array" ref="DW102">IF($A$27=1,"",[1]!ACAELE_RESISTENCIA(BB102,H102,M102,I102,CC102,CW102,$P$5))</f>
        <v/>
      </c>
      <c r="DX102" s="926" t="str" cm="1">
        <f t="array" ref="DX102">IF($A$27=1,"",[1]!ACAELE_REACTANCIA(BB102,H102,$F$11,M102,I102,CC102,$P$5))</f>
        <v/>
      </c>
      <c r="DY102" s="935" t="str" cm="1">
        <f t="array" ref="DY102">IF($A$27=1,"",[1]!ACAELE_DIAMECAISLA(BB102,H102,I102,CC102,$P$5))</f>
        <v/>
      </c>
      <c r="DZ102" s="935" t="str" cm="1">
        <f t="array" ref="DZ102">IF($A$27=1,"",[1]!ACAELE_AREACAISLAMIENTO(BB102,H102,DY102,$P$5))</f>
        <v/>
      </c>
      <c r="EA102" s="935" t="str" cm="1">
        <f t="array" ref="EA102">[1]!ACAELE_CAIDAVOLTSFINAL2(BB102,Q102,H102,F102,$A$27,BU102,T102,DW102,DA102,DX102,DB102)</f>
        <v/>
      </c>
      <c r="EB102" s="935" t="str" cm="1">
        <f t="array" ref="EB102">IF($A$27=1,"",[1]!ACAELE_AREACONDPTE(BB102,H102,CF102,$P$5))</f>
        <v/>
      </c>
      <c r="EC102" s="936" t="str" cm="1">
        <f t="array" ref="EC102">[1]!ACAELE_AREATOTAL2(H102,$A$27,DY102,S102,G102,T102,DZ102,U102,EB102)</f>
        <v/>
      </c>
      <c r="ED102" s="937" t="str">
        <f t="shared" si="129"/>
        <v/>
      </c>
      <c r="EE102" s="938" t="str">
        <f t="shared" si="130"/>
        <v/>
      </c>
      <c r="EF102" s="939" t="str">
        <f t="shared" si="131"/>
        <v/>
      </c>
      <c r="EG102" s="940">
        <f t="shared" si="132"/>
        <v>0</v>
      </c>
      <c r="EH102" s="941" t="str">
        <f t="shared" si="133"/>
        <v/>
      </c>
      <c r="EI102" s="942">
        <f t="shared" si="134"/>
        <v>30</v>
      </c>
      <c r="EJ102" s="943" t="str">
        <f t="shared" si="81"/>
        <v/>
      </c>
      <c r="EK102" s="943" t="str">
        <f t="shared" si="82"/>
        <v/>
      </c>
      <c r="EL102" s="943" t="str">
        <f t="shared" si="83"/>
        <v/>
      </c>
      <c r="EM102" s="944" t="str">
        <f t="shared" si="84"/>
        <v/>
      </c>
      <c r="EN102" s="945" t="str" cm="1">
        <f t="array" ref="EN102">[1]!ACAELE_MOTOR(H102,X102:BA102,$X$26:$BA$26,$P$5)</f>
        <v/>
      </c>
      <c r="EO102" s="550" t="str">
        <f t="shared" si="135"/>
        <v/>
      </c>
      <c r="EP102" s="431" t="s">
        <v>1214</v>
      </c>
      <c r="EQ102" s="434" t="str">
        <f t="shared" ca="1" si="136"/>
        <v/>
      </c>
      <c r="ER102" s="32"/>
      <c r="ES102" s="32"/>
      <c r="ET102" s="3" t="str">
        <f t="shared" si="137"/>
        <v/>
      </c>
      <c r="EU102" s="3" t="str">
        <f t="shared" si="138"/>
        <v/>
      </c>
      <c r="EV102" s="3" t="str">
        <f t="shared" si="139"/>
        <v/>
      </c>
      <c r="EW102" s="3" t="str">
        <f t="shared" si="140"/>
        <v/>
      </c>
      <c r="EX102" s="3" t="str">
        <f t="shared" si="141"/>
        <v/>
      </c>
      <c r="EY102" s="3" t="str">
        <f t="shared" si="142"/>
        <v/>
      </c>
      <c r="EZ102" s="3" t="str">
        <f t="shared" si="143"/>
        <v/>
      </c>
      <c r="FA102" s="3" t="str">
        <f t="shared" si="144"/>
        <v/>
      </c>
      <c r="FB102" s="3" t="str">
        <f t="shared" si="145"/>
        <v/>
      </c>
      <c r="FC102" s="3">
        <f t="shared" si="146"/>
        <v>0</v>
      </c>
      <c r="FD102" s="32"/>
      <c r="FE102" s="32"/>
      <c r="FF102" s="103">
        <v>1</v>
      </c>
      <c r="FG102" s="32"/>
      <c r="FH102" s="103"/>
      <c r="FI102" s="32"/>
      <c r="FJ102" s="103"/>
      <c r="FK102" s="3">
        <f t="shared" si="147"/>
        <v>0</v>
      </c>
      <c r="FL102" s="3" t="str" cm="1">
        <f t="array" aca="1" ref="FL102" ca="1">[1]!acaele_DIB_UNIFILAR(BB102,H102,F102,COUNTIF(X102:BA102,1),BW102)</f>
        <v/>
      </c>
      <c r="FM102" s="3" t="str">
        <f>IF(DATOS!$T$4=0,"",IF(DATOS!$T$4=1," (QO)",IF(DATOS!$T$4=2," (QOB)",IF(DATOS!$T$4=3," (EDB)",IF(DATOS!$T$4=4,IF(BW102&lt;151," (H"&amp;FN102&amp;")",IF(BW102&lt;251," (J"&amp;FN102&amp;")", IF(BW102&lt;401," (LA)",IF(BW102&lt;801," (MG)",IF(BW102&lt;5001," (POWERPACK)",""))))))))))</f>
        <v xml:space="preserve"> (QOB)</v>
      </c>
      <c r="FN102" s="3" t="str">
        <f t="shared" si="148"/>
        <v/>
      </c>
      <c r="FO102" s="146"/>
      <c r="FP102" s="146"/>
      <c r="FQ102" s="146"/>
      <c r="FR102" s="146"/>
      <c r="FS102" s="146"/>
      <c r="FT102" s="146"/>
      <c r="FU102" s="146"/>
      <c r="FV102" s="146"/>
      <c r="FW102" s="146"/>
      <c r="FX102" s="146" t="str">
        <f t="shared" si="79"/>
        <v/>
      </c>
      <c r="FY102" s="736"/>
      <c r="FZ102" s="740"/>
      <c r="GA102" s="740"/>
      <c r="GB102" s="717"/>
      <c r="GC102" s="838"/>
      <c r="GD102" s="736"/>
      <c r="GE102" s="146"/>
      <c r="GF102" s="506"/>
      <c r="GG102" s="506"/>
      <c r="GH102" s="506"/>
      <c r="GI102" s="506"/>
      <c r="GJ102" s="506"/>
      <c r="GM102" s="3">
        <f>IF(OR(GN102&gt;TABLERO!$M$19,GO102&gt;TABLERO!$M$19,GP102&gt;TABLERO!$M$19,B102=0,C102=0,D102=0),2,CUADROACAD!A102)</f>
        <v>2</v>
      </c>
      <c r="GN102" s="3">
        <f>IF(TABLERO!B102="",0,TABLERO!B102)</f>
        <v>72</v>
      </c>
      <c r="GO102" s="3">
        <f>IF(TABLERO!C102="",GN102,TABLERO!C102)</f>
        <v>72</v>
      </c>
      <c r="GP102" s="3">
        <f>IF(TABLERO!D102="",GN102,TABLERO!D102)</f>
        <v>72</v>
      </c>
    </row>
    <row r="103" spans="1:198" s="3" customFormat="1">
      <c r="A103" s="706"/>
      <c r="B103" s="869">
        <v>73</v>
      </c>
      <c r="C103" s="870" t="str">
        <f t="shared" si="85"/>
        <v/>
      </c>
      <c r="D103" s="870" t="str">
        <f t="shared" si="86"/>
        <v/>
      </c>
      <c r="E103" s="871"/>
      <c r="F103" s="872">
        <v>1</v>
      </c>
      <c r="G103" s="716">
        <f t="shared" si="87"/>
        <v>2</v>
      </c>
      <c r="H103" s="873" t="s">
        <v>12</v>
      </c>
      <c r="I103" s="874" t="str">
        <f t="shared" si="88"/>
        <v>CU</v>
      </c>
      <c r="J103" s="875">
        <v>6</v>
      </c>
      <c r="K103" s="876">
        <v>10</v>
      </c>
      <c r="L103" s="876">
        <v>3</v>
      </c>
      <c r="M103" s="877">
        <v>1</v>
      </c>
      <c r="N103" s="877">
        <v>1</v>
      </c>
      <c r="O103" s="878">
        <v>1</v>
      </c>
      <c r="P103" s="879">
        <v>4</v>
      </c>
      <c r="Q103" s="880">
        <v>1</v>
      </c>
      <c r="R103" s="880">
        <v>1</v>
      </c>
      <c r="S103" s="881">
        <v>1</v>
      </c>
      <c r="T103" s="881">
        <v>1</v>
      </c>
      <c r="U103" s="882">
        <v>1</v>
      </c>
      <c r="V103" s="883">
        <v>1</v>
      </c>
      <c r="W103" s="874" t="str">
        <f t="shared" si="89"/>
        <v>SI</v>
      </c>
      <c r="X103" s="884"/>
      <c r="Y103" s="885"/>
      <c r="Z103" s="885"/>
      <c r="AA103" s="885"/>
      <c r="AB103" s="885"/>
      <c r="AC103" s="885"/>
      <c r="AD103" s="885"/>
      <c r="AE103" s="885"/>
      <c r="AF103" s="885"/>
      <c r="AG103" s="885"/>
      <c r="AH103" s="885"/>
      <c r="AI103" s="885"/>
      <c r="AJ103" s="885"/>
      <c r="AK103" s="885"/>
      <c r="AL103" s="885"/>
      <c r="AM103" s="885"/>
      <c r="AN103" s="885"/>
      <c r="AO103" s="885"/>
      <c r="AP103" s="885"/>
      <c r="AQ103" s="885"/>
      <c r="AR103" s="885"/>
      <c r="AS103" s="885"/>
      <c r="AT103" s="885"/>
      <c r="AU103" s="885"/>
      <c r="AV103" s="885"/>
      <c r="AW103" s="885"/>
      <c r="AX103" s="885"/>
      <c r="AY103" s="885"/>
      <c r="AZ103" s="885"/>
      <c r="BA103" s="886"/>
      <c r="BB103" s="887">
        <f t="shared" si="90"/>
        <v>0</v>
      </c>
      <c r="BC103" s="888" t="str">
        <f t="shared" si="91"/>
        <v/>
      </c>
      <c r="BD103" s="889" t="str">
        <f t="shared" si="92"/>
        <v/>
      </c>
      <c r="BE103" s="889" t="str">
        <f t="shared" si="93"/>
        <v/>
      </c>
      <c r="BF103" s="889" t="str">
        <f t="shared" si="94"/>
        <v/>
      </c>
      <c r="BG103" s="889" t="str">
        <f t="shared" si="95"/>
        <v/>
      </c>
      <c r="BH103" s="889" t="str">
        <f t="shared" si="96"/>
        <v/>
      </c>
      <c r="BI103" s="890" t="str">
        <f t="shared" si="97"/>
        <v/>
      </c>
      <c r="BJ103" s="891" t="str">
        <f t="shared" si="98"/>
        <v/>
      </c>
      <c r="BK103" s="892" t="str">
        <f t="shared" si="99"/>
        <v/>
      </c>
      <c r="BL103" s="892" t="str">
        <f t="shared" si="100"/>
        <v/>
      </c>
      <c r="BM103" s="892" t="str">
        <f t="shared" si="101"/>
        <v/>
      </c>
      <c r="BN103" s="892" t="str">
        <f t="shared" si="102"/>
        <v/>
      </c>
      <c r="BO103" s="892" t="str">
        <f t="shared" si="103"/>
        <v/>
      </c>
      <c r="BP103" s="893" t="str">
        <f t="shared" si="104"/>
        <v/>
      </c>
      <c r="BQ103" s="894" t="str">
        <f t="shared" si="105"/>
        <v/>
      </c>
      <c r="BR103" s="895" t="str">
        <f t="shared" si="80"/>
        <v/>
      </c>
      <c r="BS103" s="896" t="str">
        <f t="shared" si="106"/>
        <v/>
      </c>
      <c r="BT103" s="897" t="str">
        <f t="shared" si="107"/>
        <v/>
      </c>
      <c r="BU103" s="231" t="str">
        <f t="shared" si="108"/>
        <v/>
      </c>
      <c r="BV103" s="898">
        <f t="shared" si="109"/>
        <v>127</v>
      </c>
      <c r="BW103" s="845" t="str">
        <f t="shared" si="110"/>
        <v/>
      </c>
      <c r="BX103" s="899" t="str">
        <f t="shared" si="111"/>
        <v/>
      </c>
      <c r="BY103" s="900" t="str" cm="1">
        <f t="array" ref="BY103">[1]!ACAELE_CAPACIDADCABLE(BB103,H103,I103,M103,BX103,N103)</f>
        <v/>
      </c>
      <c r="BZ103" s="900" t="str">
        <f t="shared" si="112"/>
        <v/>
      </c>
      <c r="CA103" s="901" t="str" cm="1">
        <f t="array" ref="CA103">[1]!ACAELE_cabledetierra(BZ103,$N$9,I103,BW103,BX103,G103)</f>
        <v/>
      </c>
      <c r="CB103" s="902" t="str" cm="1">
        <f t="array" ref="CB103">[1]!ACAELE_TAMATUBERIA(BX103,DU103,$N$9,M103,I103)</f>
        <v/>
      </c>
      <c r="CC103" s="846" t="str">
        <f t="shared" si="113"/>
        <v/>
      </c>
      <c r="CD103" s="903" t="str" cm="1">
        <f t="array" ref="CD103">[1]!ACAELE_CAPACIDADCABLE(BB103,H103,I103,M103,CC103,N103)</f>
        <v/>
      </c>
      <c r="CE103" s="903" t="str">
        <f t="shared" si="114"/>
        <v/>
      </c>
      <c r="CF103" s="904" t="str" cm="1">
        <f t="array" ref="CF103">[1]!ACAELE_cabledetierra(CE103,$N$9,I103,BW103,CC103,G103)</f>
        <v/>
      </c>
      <c r="CG103" s="905" t="str" cm="1">
        <f t="array" ref="CG103">[1]!ACAELE_TAMATUBERIA(CC103,EC103,$N$9,S103,I103)</f>
        <v/>
      </c>
      <c r="CH103" s="906" t="str">
        <f t="shared" si="115"/>
        <v/>
      </c>
      <c r="CI103" s="510" t="str">
        <f t="shared" si="116"/>
        <v>-</v>
      </c>
      <c r="CJ103" s="511" t="str">
        <f t="shared" si="117"/>
        <v>-</v>
      </c>
      <c r="CK103" s="512" t="str">
        <f t="shared" si="118"/>
        <v>-</v>
      </c>
      <c r="CL103" s="907" t="str">
        <f t="shared" si="119"/>
        <v>-</v>
      </c>
      <c r="CM103" s="908" t="str">
        <f t="shared" si="120"/>
        <v>-</v>
      </c>
      <c r="CN103" s="909" t="str">
        <f t="shared" si="121"/>
        <v>-</v>
      </c>
      <c r="CO103" s="910" t="str" cm="1">
        <f t="array" ref="CO103">[1]!ACAELE_fasecorresponde(B103,$F$10,$P$5)</f>
        <v>A</v>
      </c>
      <c r="CP103" s="910" t="str" cm="1">
        <f t="array" ref="CP103">[1]!ACAELE_fasecorresponde(C103,$F$10,$P$5)</f>
        <v>-</v>
      </c>
      <c r="CQ103" s="910" t="str" cm="1">
        <f t="array" ref="CQ103">[1]!ACAELE_fasecorresponde(D103,$F$10,$P$5)</f>
        <v>-</v>
      </c>
      <c r="CR103" s="911" t="str">
        <f t="shared" si="122"/>
        <v>C</v>
      </c>
      <c r="CS103" s="912">
        <f t="shared" si="123"/>
        <v>1</v>
      </c>
      <c r="CT103" s="913">
        <f t="shared" si="124"/>
        <v>0.8</v>
      </c>
      <c r="CU103" s="914" t="str">
        <f t="shared" si="125"/>
        <v/>
      </c>
      <c r="CV103" s="915">
        <f t="shared" si="126"/>
        <v>0</v>
      </c>
      <c r="CW103" s="916" t="str" cm="1">
        <f t="array" ref="CW103">[1]!ACAELE_Inominal(BB103,F103,BT103,BV103,DA103,G103,V103,$P$5)</f>
        <v/>
      </c>
      <c r="CX103" s="917" t="str" cm="1">
        <f t="array" ref="CX103">[1]!ACAELE_Disparocalculado(BB103,H103,DL103,$N$21,$M$21,$O$21,BV103,$P$5)</f>
        <v/>
      </c>
      <c r="CY103" s="918" t="str" cm="1">
        <f t="array" ref="CY103">[1]!ACAELE_Icorregida($A$27,H103,BB103,BU103,CS103,CT103,$P$5)</f>
        <v/>
      </c>
      <c r="CZ103" s="919" t="str" cm="1">
        <f t="array" ref="CZ103">[1]!ACAELE_Icorregida2($A$27,H103,BB103,BU103,CS103,CU103,$P$5)</f>
        <v/>
      </c>
      <c r="DA103" s="920">
        <f t="shared" si="127"/>
        <v>0.9</v>
      </c>
      <c r="DB103" s="921">
        <f t="shared" si="128"/>
        <v>0.43588989435406728</v>
      </c>
      <c r="DC103" s="922" t="str" cm="1">
        <f t="array" ref="DC103">[1]!ACAELE_CONDPORTCORRIENTE(H103,BB103,I103,M103,CY103,CZ103,N103,$P$5)</f>
        <v/>
      </c>
      <c r="DD103" s="923" t="str" cm="1">
        <f t="array" ref="DD103">[1]!ACAELE_CAPACONDCORRIENTE(BB103,H103,I103,M103,CY103,CZ103,$P$5)</f>
        <v/>
      </c>
      <c r="DE103" s="923" t="str" cm="1">
        <f t="array" ref="DE103">[1]!ACAELE_CAPACIDADCABLE(BB103,H103,I103,M103,DC103,N103,$P$5)</f>
        <v/>
      </c>
      <c r="DF103" s="924" t="str" cm="1">
        <f t="array" ref="DF103">[1]!ACAELE_encontrarcaida(BB103,H103,L103,BV103,F103,BU103,N103,K103)</f>
        <v/>
      </c>
      <c r="DG103" s="925" t="str" cm="1">
        <f t="array" ref="DG103">[1]!ACAELE_Cablecaida(BB103,H103,M103,I103,DF103)</f>
        <v/>
      </c>
      <c r="DH103" s="918" t="str" cm="1">
        <f t="array" ref="DH103">[1]!ACAELE_CAPACIDADCABLE(BB103,H103,I103,M103,DG103,N103,$P$5)</f>
        <v/>
      </c>
      <c r="DI103" s="926" t="str" cm="1">
        <f t="array" ref="DI103">IF($A$27=1,"",[1]!ACAELE_encontrarcaida(BB103,H103,R103,BV103,F103,BU103,T103,Q103,$P$5))</f>
        <v/>
      </c>
      <c r="DJ103" s="914" t="str" cm="1">
        <f t="array" ref="DJ103">IF($A$27=1,"",[1]!ACAELE_Cablecaida2(BB103,Q103,H103,S103,I103,DI103,$P$5))</f>
        <v/>
      </c>
      <c r="DK103" s="919" t="str" cm="1">
        <f t="array" ref="DK103">[1]!ACAELE_CAPACIDADCABLE(BB103,H103,I103,M103,DJ103,N103,$P$5)</f>
        <v/>
      </c>
      <c r="DL103" s="927" t="str" cm="1">
        <f t="array" ref="DL103">[1]!acaele_Iproteccion(BB103,H103,BU103,$F$20,$G$20,$F$19,$G$19,$H$20,$H$19,$P$5)</f>
        <v/>
      </c>
      <c r="DM103" s="928" cm="1">
        <f t="array" ref="DM103">[1]!acaele_ProtCalculada(CX103,H103,BT103,BW103,$G$21,$F$21,$H$21,$P$5)</f>
        <v>0</v>
      </c>
      <c r="DN103" s="929" t="str" cm="1">
        <f t="array" ref="DN103">[1]!ACAELE_cablecalculo(BB103,H103,I103,M103,EF103,$P$5)</f>
        <v/>
      </c>
      <c r="DO103" s="930" t="str" cm="1">
        <f t="array" ref="DO103">[1]!ACAELE_RESISTENCIA(BB103,H103,M103,I103,BX103, CW103,$P$5)</f>
        <v/>
      </c>
      <c r="DP103" s="931" t="str" cm="1">
        <f t="array" ref="DP103">[1]!ACAELE_REACTANCIA(BB103,H103,$F$11,M103,I103,BX103,$P$5)</f>
        <v/>
      </c>
      <c r="DQ103" s="918" t="str" cm="1">
        <f t="array" ref="DQ103">[1]!ACAELE_DIAMECAISLA(BB103,H103,I103,BX103,$P$5)</f>
        <v/>
      </c>
      <c r="DR103" s="918" t="str" cm="1">
        <f t="array" ref="DR103">[1]!ACAELE_AREACAISLAMIENTO(BB103,H103,DQ103,$P$5)</f>
        <v/>
      </c>
      <c r="DS103" s="918" t="str" cm="1">
        <f t="array" ref="DS103">[1]!ACAELE_CAIDAVOLTSFINAL(BB103,H103,F103,K103,BU103,N103,DO103,DA103,DP103,DB103,$P$5)</f>
        <v/>
      </c>
      <c r="DT103" s="918" t="str" cm="1">
        <f t="array" ref="DT103">[1]!ACAELE_AREACONDPTE(BB103,H103,CA103,$P$5)</f>
        <v/>
      </c>
      <c r="DU103" s="932" t="str" cm="1">
        <f t="array" ref="DU103">[1]!ACAELE_AREATOTAL(BZ103,M103,EO103,N103,DQ103,G103,DR103,DT103,N$20,$P$5)</f>
        <v/>
      </c>
      <c r="DV103" s="933" t="str" cm="1">
        <f t="array" ref="DV103">IF($A$27=1,"",[1]!ACAELE_cablecalculo(BB103,H103,I103,M103,EG103,$P$5))</f>
        <v/>
      </c>
      <c r="DW103" s="934" t="str" cm="1">
        <f t="array" ref="DW103">IF($A$27=1,"",[1]!ACAELE_RESISTENCIA(BB103,H103,M103,I103,CC103,CW103,$P$5))</f>
        <v/>
      </c>
      <c r="DX103" s="926" t="str" cm="1">
        <f t="array" ref="DX103">IF($A$27=1,"",[1]!ACAELE_REACTANCIA(BB103,H103,$F$11,M103,I103,CC103,$P$5))</f>
        <v/>
      </c>
      <c r="DY103" s="935" t="str" cm="1">
        <f t="array" ref="DY103">IF($A$27=1,"",[1]!ACAELE_DIAMECAISLA(BB103,H103,I103,CC103,$P$5))</f>
        <v/>
      </c>
      <c r="DZ103" s="935" t="str" cm="1">
        <f t="array" ref="DZ103">IF($A$27=1,"",[1]!ACAELE_AREACAISLAMIENTO(BB103,H103,DY103,$P$5))</f>
        <v/>
      </c>
      <c r="EA103" s="935" t="str" cm="1">
        <f t="array" ref="EA103">[1]!ACAELE_CAIDAVOLTSFINAL2(BB103,Q103,H103,F103,$A$27,BU103,T103,DW103,DA103,DX103,DB103)</f>
        <v/>
      </c>
      <c r="EB103" s="935" t="str" cm="1">
        <f t="array" ref="EB103">IF($A$27=1,"",[1]!ACAELE_AREACONDPTE(BB103,H103,CF103,$P$5))</f>
        <v/>
      </c>
      <c r="EC103" s="936" t="str" cm="1">
        <f t="array" ref="EC103">[1]!ACAELE_AREATOTAL2(H103,$A$27,DY103,S103,G103,T103,DZ103,U103,EB103)</f>
        <v/>
      </c>
      <c r="ED103" s="937" t="str">
        <f t="shared" si="129"/>
        <v/>
      </c>
      <c r="EE103" s="938" t="str">
        <f t="shared" si="130"/>
        <v/>
      </c>
      <c r="EF103" s="939" t="str">
        <f t="shared" si="131"/>
        <v/>
      </c>
      <c r="EG103" s="940">
        <f t="shared" si="132"/>
        <v>0</v>
      </c>
      <c r="EH103" s="941" t="str">
        <f t="shared" si="133"/>
        <v/>
      </c>
      <c r="EI103" s="942">
        <f t="shared" si="134"/>
        <v>30</v>
      </c>
      <c r="EJ103" s="943" t="str">
        <f t="shared" si="81"/>
        <v/>
      </c>
      <c r="EK103" s="943" t="str">
        <f t="shared" si="82"/>
        <v/>
      </c>
      <c r="EL103" s="943" t="str">
        <f t="shared" si="83"/>
        <v/>
      </c>
      <c r="EM103" s="944" t="str">
        <f t="shared" si="84"/>
        <v/>
      </c>
      <c r="EN103" s="945" t="str" cm="1">
        <f t="array" ref="EN103">[1]!ACAELE_MOTOR(H103,X103:BA103,$X$26:$BA$26,$P$5)</f>
        <v/>
      </c>
      <c r="EO103" s="550" t="str">
        <f t="shared" si="135"/>
        <v/>
      </c>
      <c r="EP103" s="431" t="s">
        <v>1214</v>
      </c>
      <c r="EQ103" s="434" t="str">
        <f t="shared" ca="1" si="136"/>
        <v/>
      </c>
      <c r="ER103" s="32"/>
      <c r="ES103" s="32"/>
      <c r="ET103" s="3" t="str">
        <f t="shared" si="137"/>
        <v/>
      </c>
      <c r="EU103" s="3" t="str">
        <f t="shared" si="138"/>
        <v/>
      </c>
      <c r="EV103" s="3" t="str">
        <f t="shared" si="139"/>
        <v/>
      </c>
      <c r="EW103" s="3" t="str">
        <f t="shared" si="140"/>
        <v/>
      </c>
      <c r="EX103" s="3" t="str">
        <f t="shared" si="141"/>
        <v/>
      </c>
      <c r="EY103" s="3" t="str">
        <f t="shared" si="142"/>
        <v/>
      </c>
      <c r="EZ103" s="3" t="str">
        <f t="shared" si="143"/>
        <v/>
      </c>
      <c r="FA103" s="3" t="str">
        <f t="shared" si="144"/>
        <v/>
      </c>
      <c r="FB103" s="3" t="str">
        <f t="shared" si="145"/>
        <v/>
      </c>
      <c r="FC103" s="3">
        <f t="shared" si="146"/>
        <v>0</v>
      </c>
      <c r="FD103" s="32"/>
      <c r="FE103" s="32"/>
      <c r="FF103" s="103">
        <v>1</v>
      </c>
      <c r="FG103" s="32"/>
      <c r="FH103" s="103"/>
      <c r="FI103" s="32"/>
      <c r="FJ103" s="103"/>
      <c r="FK103" s="3">
        <f t="shared" si="147"/>
        <v>0</v>
      </c>
      <c r="FL103" s="3" t="str" cm="1">
        <f t="array" aca="1" ref="FL103" ca="1">[1]!acaele_DIB_UNIFILAR(BB103,H103,F103,COUNTIF(X103:BA103,1),BW103)</f>
        <v/>
      </c>
      <c r="FM103" s="3" t="str">
        <f>IF(DATOS!$T$4=0,"",IF(DATOS!$T$4=1," (QO)",IF(DATOS!$T$4=2," (QOB)",IF(DATOS!$T$4=3," (EDB)",IF(DATOS!$T$4=4,IF(BW103&lt;151," (H"&amp;FN103&amp;")",IF(BW103&lt;251," (J"&amp;FN103&amp;")", IF(BW103&lt;401," (LA)",IF(BW103&lt;801," (MG)",IF(BW103&lt;5001," (POWERPACK)",""))))))))))</f>
        <v xml:space="preserve"> (QOB)</v>
      </c>
      <c r="FN103" s="3" t="str">
        <f t="shared" si="148"/>
        <v/>
      </c>
      <c r="FO103" s="146"/>
      <c r="FP103" s="146"/>
      <c r="FQ103" s="146"/>
      <c r="FR103" s="146"/>
      <c r="FS103" s="146"/>
      <c r="FT103" s="146"/>
      <c r="FU103" s="146"/>
      <c r="FV103" s="146"/>
      <c r="FW103" s="146"/>
      <c r="FX103" s="146" t="str">
        <f t="shared" si="79"/>
        <v/>
      </c>
      <c r="FY103" s="736"/>
      <c r="FZ103" s="740"/>
      <c r="GA103" s="740"/>
      <c r="GB103" s="717"/>
      <c r="GC103" s="838"/>
      <c r="GD103" s="736"/>
      <c r="GE103" s="146"/>
      <c r="GF103" s="506"/>
      <c r="GG103" s="506"/>
      <c r="GH103" s="506"/>
      <c r="GI103" s="506"/>
      <c r="GJ103" s="506"/>
      <c r="GM103" s="3">
        <f>IF(OR(GN103&gt;TABLERO!$M$19,GO103&gt;TABLERO!$M$19,GP103&gt;TABLERO!$M$19,B103=0,C103=0,D103=0),2,CUADROACAD!A103)</f>
        <v>2</v>
      </c>
      <c r="GN103" s="3">
        <f>IF(TABLERO!B103="",0,TABLERO!B103)</f>
        <v>73</v>
      </c>
      <c r="GO103" s="3">
        <f>IF(TABLERO!C103="",GN103,TABLERO!C103)</f>
        <v>73</v>
      </c>
      <c r="GP103" s="3">
        <f>IF(TABLERO!D103="",GN103,TABLERO!D103)</f>
        <v>73</v>
      </c>
    </row>
    <row r="104" spans="1:198" s="3" customFormat="1">
      <c r="A104" s="706"/>
      <c r="B104" s="869">
        <v>74</v>
      </c>
      <c r="C104" s="870" t="str">
        <f t="shared" si="85"/>
        <v/>
      </c>
      <c r="D104" s="870" t="str">
        <f t="shared" si="86"/>
        <v/>
      </c>
      <c r="E104" s="871"/>
      <c r="F104" s="872">
        <v>1</v>
      </c>
      <c r="G104" s="716">
        <f t="shared" si="87"/>
        <v>2</v>
      </c>
      <c r="H104" s="873" t="s">
        <v>12</v>
      </c>
      <c r="I104" s="874" t="str">
        <f t="shared" si="88"/>
        <v>CU</v>
      </c>
      <c r="J104" s="875">
        <v>6</v>
      </c>
      <c r="K104" s="876">
        <v>10</v>
      </c>
      <c r="L104" s="876">
        <v>3</v>
      </c>
      <c r="M104" s="877">
        <v>1</v>
      </c>
      <c r="N104" s="877">
        <v>1</v>
      </c>
      <c r="O104" s="878">
        <v>1</v>
      </c>
      <c r="P104" s="879">
        <v>4</v>
      </c>
      <c r="Q104" s="880">
        <v>1</v>
      </c>
      <c r="R104" s="880">
        <v>1</v>
      </c>
      <c r="S104" s="881">
        <v>1</v>
      </c>
      <c r="T104" s="881">
        <v>1</v>
      </c>
      <c r="U104" s="882">
        <v>1</v>
      </c>
      <c r="V104" s="883">
        <v>1</v>
      </c>
      <c r="W104" s="874" t="str">
        <f t="shared" si="89"/>
        <v>SI</v>
      </c>
      <c r="X104" s="884"/>
      <c r="Y104" s="885"/>
      <c r="Z104" s="885"/>
      <c r="AA104" s="885"/>
      <c r="AB104" s="885"/>
      <c r="AC104" s="885"/>
      <c r="AD104" s="885"/>
      <c r="AE104" s="885"/>
      <c r="AF104" s="885"/>
      <c r="AG104" s="885"/>
      <c r="AH104" s="885"/>
      <c r="AI104" s="885"/>
      <c r="AJ104" s="885"/>
      <c r="AK104" s="885"/>
      <c r="AL104" s="885"/>
      <c r="AM104" s="885"/>
      <c r="AN104" s="885"/>
      <c r="AO104" s="885"/>
      <c r="AP104" s="885"/>
      <c r="AQ104" s="885"/>
      <c r="AR104" s="885"/>
      <c r="AS104" s="885"/>
      <c r="AT104" s="885"/>
      <c r="AU104" s="885"/>
      <c r="AV104" s="885"/>
      <c r="AW104" s="885"/>
      <c r="AX104" s="885"/>
      <c r="AY104" s="885"/>
      <c r="AZ104" s="885"/>
      <c r="BA104" s="886"/>
      <c r="BB104" s="887">
        <f t="shared" si="90"/>
        <v>0</v>
      </c>
      <c r="BC104" s="888" t="str">
        <f t="shared" si="91"/>
        <v/>
      </c>
      <c r="BD104" s="889" t="str">
        <f t="shared" si="92"/>
        <v/>
      </c>
      <c r="BE104" s="889" t="str">
        <f t="shared" si="93"/>
        <v/>
      </c>
      <c r="BF104" s="889" t="str">
        <f t="shared" si="94"/>
        <v/>
      </c>
      <c r="BG104" s="889" t="str">
        <f t="shared" si="95"/>
        <v/>
      </c>
      <c r="BH104" s="889" t="str">
        <f t="shared" si="96"/>
        <v/>
      </c>
      <c r="BI104" s="890" t="str">
        <f t="shared" si="97"/>
        <v/>
      </c>
      <c r="BJ104" s="891" t="str">
        <f t="shared" si="98"/>
        <v/>
      </c>
      <c r="BK104" s="892" t="str">
        <f t="shared" si="99"/>
        <v/>
      </c>
      <c r="BL104" s="892" t="str">
        <f t="shared" si="100"/>
        <v/>
      </c>
      <c r="BM104" s="892" t="str">
        <f t="shared" si="101"/>
        <v/>
      </c>
      <c r="BN104" s="892" t="str">
        <f t="shared" si="102"/>
        <v/>
      </c>
      <c r="BO104" s="892" t="str">
        <f t="shared" si="103"/>
        <v/>
      </c>
      <c r="BP104" s="893" t="str">
        <f t="shared" si="104"/>
        <v/>
      </c>
      <c r="BQ104" s="894" t="str">
        <f t="shared" si="105"/>
        <v/>
      </c>
      <c r="BR104" s="895" t="str">
        <f t="shared" si="80"/>
        <v/>
      </c>
      <c r="BS104" s="896" t="str">
        <f t="shared" si="106"/>
        <v/>
      </c>
      <c r="BT104" s="897" t="str">
        <f t="shared" si="107"/>
        <v/>
      </c>
      <c r="BU104" s="231" t="str">
        <f t="shared" si="108"/>
        <v/>
      </c>
      <c r="BV104" s="898">
        <f t="shared" si="109"/>
        <v>127</v>
      </c>
      <c r="BW104" s="845" t="str">
        <f t="shared" si="110"/>
        <v/>
      </c>
      <c r="BX104" s="899" t="str">
        <f t="shared" si="111"/>
        <v/>
      </c>
      <c r="BY104" s="900" t="str" cm="1">
        <f t="array" ref="BY104">[1]!ACAELE_CAPACIDADCABLE(BB104,H104,I104,M104,BX104,N104)</f>
        <v/>
      </c>
      <c r="BZ104" s="900" t="str">
        <f t="shared" si="112"/>
        <v/>
      </c>
      <c r="CA104" s="901" t="str" cm="1">
        <f t="array" ref="CA104">[1]!ACAELE_cabledetierra(BZ104,$N$9,I104,BW104,BX104,G104)</f>
        <v/>
      </c>
      <c r="CB104" s="902" t="str" cm="1">
        <f t="array" ref="CB104">[1]!ACAELE_TAMATUBERIA(BX104,DU104,$N$9,M104,I104)</f>
        <v/>
      </c>
      <c r="CC104" s="846" t="str">
        <f t="shared" si="113"/>
        <v/>
      </c>
      <c r="CD104" s="903" t="str" cm="1">
        <f t="array" ref="CD104">[1]!ACAELE_CAPACIDADCABLE(BB104,H104,I104,M104,CC104,N104)</f>
        <v/>
      </c>
      <c r="CE104" s="903" t="str">
        <f t="shared" si="114"/>
        <v/>
      </c>
      <c r="CF104" s="904" t="str" cm="1">
        <f t="array" ref="CF104">[1]!ACAELE_cabledetierra(CE104,$N$9,I104,BW104,CC104,G104)</f>
        <v/>
      </c>
      <c r="CG104" s="905" t="str" cm="1">
        <f t="array" ref="CG104">[1]!ACAELE_TAMATUBERIA(CC104,EC104,$N$9,S104,I104)</f>
        <v/>
      </c>
      <c r="CH104" s="906" t="str">
        <f t="shared" si="115"/>
        <v/>
      </c>
      <c r="CI104" s="510" t="str">
        <f t="shared" si="116"/>
        <v>-</v>
      </c>
      <c r="CJ104" s="511" t="str">
        <f t="shared" si="117"/>
        <v>-</v>
      </c>
      <c r="CK104" s="512" t="str">
        <f t="shared" si="118"/>
        <v>-</v>
      </c>
      <c r="CL104" s="907" t="str">
        <f t="shared" si="119"/>
        <v>-</v>
      </c>
      <c r="CM104" s="908" t="str">
        <f t="shared" si="120"/>
        <v>-</v>
      </c>
      <c r="CN104" s="909" t="str">
        <f t="shared" si="121"/>
        <v>-</v>
      </c>
      <c r="CO104" s="910" t="str" cm="1">
        <f t="array" ref="CO104">[1]!ACAELE_fasecorresponde(B104,$F$10,$P$5)</f>
        <v>A</v>
      </c>
      <c r="CP104" s="910" t="str" cm="1">
        <f t="array" ref="CP104">[1]!ACAELE_fasecorresponde(C104,$F$10,$P$5)</f>
        <v>-</v>
      </c>
      <c r="CQ104" s="910" t="str" cm="1">
        <f t="array" ref="CQ104">[1]!ACAELE_fasecorresponde(D104,$F$10,$P$5)</f>
        <v>-</v>
      </c>
      <c r="CR104" s="911" t="str">
        <f t="shared" si="122"/>
        <v>C</v>
      </c>
      <c r="CS104" s="912">
        <f t="shared" si="123"/>
        <v>1</v>
      </c>
      <c r="CT104" s="913">
        <f t="shared" si="124"/>
        <v>0.8</v>
      </c>
      <c r="CU104" s="914" t="str">
        <f t="shared" si="125"/>
        <v/>
      </c>
      <c r="CV104" s="915">
        <f t="shared" si="126"/>
        <v>0</v>
      </c>
      <c r="CW104" s="916" t="str" cm="1">
        <f t="array" ref="CW104">[1]!ACAELE_Inominal(BB104,F104,BT104,BV104,DA104,G104,V104,$P$5)</f>
        <v/>
      </c>
      <c r="CX104" s="917" t="str" cm="1">
        <f t="array" ref="CX104">[1]!ACAELE_Disparocalculado(BB104,H104,DL104,$N$21,$M$21,$O$21,BV104,$P$5)</f>
        <v/>
      </c>
      <c r="CY104" s="918" t="str" cm="1">
        <f t="array" ref="CY104">[1]!ACAELE_Icorregida($A$27,H104,BB104,BU104,CS104,CT104,$P$5)</f>
        <v/>
      </c>
      <c r="CZ104" s="919" t="str" cm="1">
        <f t="array" ref="CZ104">[1]!ACAELE_Icorregida2($A$27,H104,BB104,BU104,CS104,CU104,$P$5)</f>
        <v/>
      </c>
      <c r="DA104" s="920">
        <f t="shared" si="127"/>
        <v>0.9</v>
      </c>
      <c r="DB104" s="921">
        <f t="shared" si="128"/>
        <v>0.43588989435406728</v>
      </c>
      <c r="DC104" s="922" t="str" cm="1">
        <f t="array" ref="DC104">[1]!ACAELE_CONDPORTCORRIENTE(H104,BB104,I104,M104,CY104,CZ104,N104,$P$5)</f>
        <v/>
      </c>
      <c r="DD104" s="923" t="str" cm="1">
        <f t="array" ref="DD104">[1]!ACAELE_CAPACONDCORRIENTE(BB104,H104,I104,M104,CY104,CZ104,$P$5)</f>
        <v/>
      </c>
      <c r="DE104" s="923" t="str" cm="1">
        <f t="array" ref="DE104">[1]!ACAELE_CAPACIDADCABLE(BB104,H104,I104,M104,DC104,N104,$P$5)</f>
        <v/>
      </c>
      <c r="DF104" s="924" t="str" cm="1">
        <f t="array" ref="DF104">[1]!ACAELE_encontrarcaida(BB104,H104,L104,BV104,F104,BU104,N104,K104)</f>
        <v/>
      </c>
      <c r="DG104" s="925" t="str" cm="1">
        <f t="array" ref="DG104">[1]!ACAELE_Cablecaida(BB104,H104,M104,I104,DF104)</f>
        <v/>
      </c>
      <c r="DH104" s="918" t="str" cm="1">
        <f t="array" ref="DH104">[1]!ACAELE_CAPACIDADCABLE(BB104,H104,I104,M104,DG104,N104,$P$5)</f>
        <v/>
      </c>
      <c r="DI104" s="926" t="str" cm="1">
        <f t="array" ref="DI104">IF($A$27=1,"",[1]!ACAELE_encontrarcaida(BB104,H104,R104,BV104,F104,BU104,T104,Q104,$P$5))</f>
        <v/>
      </c>
      <c r="DJ104" s="914" t="str" cm="1">
        <f t="array" ref="DJ104">IF($A$27=1,"",[1]!ACAELE_Cablecaida2(BB104,Q104,H104,S104,I104,DI104,$P$5))</f>
        <v/>
      </c>
      <c r="DK104" s="919" t="str" cm="1">
        <f t="array" ref="DK104">[1]!ACAELE_CAPACIDADCABLE(BB104,H104,I104,M104,DJ104,N104,$P$5)</f>
        <v/>
      </c>
      <c r="DL104" s="927" t="str" cm="1">
        <f t="array" ref="DL104">[1]!acaele_Iproteccion(BB104,H104,BU104,$F$20,$G$20,$F$19,$G$19,$H$20,$H$19,$P$5)</f>
        <v/>
      </c>
      <c r="DM104" s="928" cm="1">
        <f t="array" ref="DM104">[1]!acaele_ProtCalculada(CX104,H104,BT104,BW104,$G$21,$F$21,$H$21,$P$5)</f>
        <v>0</v>
      </c>
      <c r="DN104" s="929" t="str" cm="1">
        <f t="array" ref="DN104">[1]!ACAELE_cablecalculo(BB104,H104,I104,M104,EF104,$P$5)</f>
        <v/>
      </c>
      <c r="DO104" s="930" t="str" cm="1">
        <f t="array" ref="DO104">[1]!ACAELE_RESISTENCIA(BB104,H104,M104,I104,BX104, CW104,$P$5)</f>
        <v/>
      </c>
      <c r="DP104" s="931" t="str" cm="1">
        <f t="array" ref="DP104">[1]!ACAELE_REACTANCIA(BB104,H104,$F$11,M104,I104,BX104,$P$5)</f>
        <v/>
      </c>
      <c r="DQ104" s="918" t="str" cm="1">
        <f t="array" ref="DQ104">[1]!ACAELE_DIAMECAISLA(BB104,H104,I104,BX104,$P$5)</f>
        <v/>
      </c>
      <c r="DR104" s="918" t="str" cm="1">
        <f t="array" ref="DR104">[1]!ACAELE_AREACAISLAMIENTO(BB104,H104,DQ104,$P$5)</f>
        <v/>
      </c>
      <c r="DS104" s="918" t="str" cm="1">
        <f t="array" ref="DS104">[1]!ACAELE_CAIDAVOLTSFINAL(BB104,H104,F104,K104,BU104,N104,DO104,DA104,DP104,DB104,$P$5)</f>
        <v/>
      </c>
      <c r="DT104" s="918" t="str" cm="1">
        <f t="array" ref="DT104">[1]!ACAELE_AREACONDPTE(BB104,H104,CA104,$P$5)</f>
        <v/>
      </c>
      <c r="DU104" s="932" t="str" cm="1">
        <f t="array" ref="DU104">[1]!ACAELE_AREATOTAL(BZ104,M104,EO104,N104,DQ104,G104,DR104,DT104,N$20,$P$5)</f>
        <v/>
      </c>
      <c r="DV104" s="933" t="str" cm="1">
        <f t="array" ref="DV104">IF($A$27=1,"",[1]!ACAELE_cablecalculo(BB104,H104,I104,M104,EG104,$P$5))</f>
        <v/>
      </c>
      <c r="DW104" s="934" t="str" cm="1">
        <f t="array" ref="DW104">IF($A$27=1,"",[1]!ACAELE_RESISTENCIA(BB104,H104,M104,I104,CC104,CW104,$P$5))</f>
        <v/>
      </c>
      <c r="DX104" s="926" t="str" cm="1">
        <f t="array" ref="DX104">IF($A$27=1,"",[1]!ACAELE_REACTANCIA(BB104,H104,$F$11,M104,I104,CC104,$P$5))</f>
        <v/>
      </c>
      <c r="DY104" s="935" t="str" cm="1">
        <f t="array" ref="DY104">IF($A$27=1,"",[1]!ACAELE_DIAMECAISLA(BB104,H104,I104,CC104,$P$5))</f>
        <v/>
      </c>
      <c r="DZ104" s="935" t="str" cm="1">
        <f t="array" ref="DZ104">IF($A$27=1,"",[1]!ACAELE_AREACAISLAMIENTO(BB104,H104,DY104,$P$5))</f>
        <v/>
      </c>
      <c r="EA104" s="935" t="str" cm="1">
        <f t="array" ref="EA104">[1]!ACAELE_CAIDAVOLTSFINAL2(BB104,Q104,H104,F104,$A$27,BU104,T104,DW104,DA104,DX104,DB104)</f>
        <v/>
      </c>
      <c r="EB104" s="935" t="str" cm="1">
        <f t="array" ref="EB104">IF($A$27=1,"",[1]!ACAELE_AREACONDPTE(BB104,H104,CF104,$P$5))</f>
        <v/>
      </c>
      <c r="EC104" s="936" t="str" cm="1">
        <f t="array" ref="EC104">[1]!ACAELE_AREATOTAL2(H104,$A$27,DY104,S104,G104,T104,DZ104,U104,EB104)</f>
        <v/>
      </c>
      <c r="ED104" s="937" t="str">
        <f t="shared" si="129"/>
        <v/>
      </c>
      <c r="EE104" s="938" t="str">
        <f t="shared" si="130"/>
        <v/>
      </c>
      <c r="EF104" s="939" t="str">
        <f t="shared" si="131"/>
        <v/>
      </c>
      <c r="EG104" s="940">
        <f t="shared" si="132"/>
        <v>0</v>
      </c>
      <c r="EH104" s="941" t="str">
        <f t="shared" si="133"/>
        <v/>
      </c>
      <c r="EI104" s="942">
        <f t="shared" si="134"/>
        <v>30</v>
      </c>
      <c r="EJ104" s="943" t="str">
        <f t="shared" si="81"/>
        <v/>
      </c>
      <c r="EK104" s="943" t="str">
        <f t="shared" si="82"/>
        <v/>
      </c>
      <c r="EL104" s="943" t="str">
        <f t="shared" si="83"/>
        <v/>
      </c>
      <c r="EM104" s="944" t="str">
        <f t="shared" si="84"/>
        <v/>
      </c>
      <c r="EN104" s="945" t="str" cm="1">
        <f t="array" ref="EN104">[1]!ACAELE_MOTOR(H104,X104:BA104,$X$26:$BA$26,$P$5)</f>
        <v/>
      </c>
      <c r="EO104" s="550" t="str">
        <f t="shared" si="135"/>
        <v/>
      </c>
      <c r="EP104" s="431" t="s">
        <v>1214</v>
      </c>
      <c r="EQ104" s="434" t="str">
        <f t="shared" ca="1" si="136"/>
        <v/>
      </c>
      <c r="ER104" s="32"/>
      <c r="ES104" s="32"/>
      <c r="ET104" s="3" t="str">
        <f t="shared" si="137"/>
        <v/>
      </c>
      <c r="EU104" s="3" t="str">
        <f t="shared" si="138"/>
        <v/>
      </c>
      <c r="EV104" s="3" t="str">
        <f t="shared" si="139"/>
        <v/>
      </c>
      <c r="EW104" s="3" t="str">
        <f t="shared" si="140"/>
        <v/>
      </c>
      <c r="EX104" s="3" t="str">
        <f t="shared" si="141"/>
        <v/>
      </c>
      <c r="EY104" s="3" t="str">
        <f t="shared" si="142"/>
        <v/>
      </c>
      <c r="EZ104" s="3" t="str">
        <f t="shared" si="143"/>
        <v/>
      </c>
      <c r="FA104" s="3" t="str">
        <f t="shared" si="144"/>
        <v/>
      </c>
      <c r="FB104" s="3" t="str">
        <f t="shared" si="145"/>
        <v/>
      </c>
      <c r="FC104" s="3">
        <f t="shared" si="146"/>
        <v>0</v>
      </c>
      <c r="FD104" s="32"/>
      <c r="FE104" s="32"/>
      <c r="FF104" s="103">
        <v>1</v>
      </c>
      <c r="FG104" s="32"/>
      <c r="FH104" s="103"/>
      <c r="FI104" s="32"/>
      <c r="FJ104" s="103"/>
      <c r="FK104" s="3">
        <f t="shared" si="147"/>
        <v>0</v>
      </c>
      <c r="FL104" s="3" t="str" cm="1">
        <f t="array" aca="1" ref="FL104" ca="1">[1]!acaele_DIB_UNIFILAR(BB104,H104,F104,COUNTIF(X104:BA104,1),BW104)</f>
        <v/>
      </c>
      <c r="FM104" s="3" t="str">
        <f>IF(DATOS!$T$4=0,"",IF(DATOS!$T$4=1," (QO)",IF(DATOS!$T$4=2," (QOB)",IF(DATOS!$T$4=3," (EDB)",IF(DATOS!$T$4=4,IF(BW104&lt;151," (H"&amp;FN104&amp;")",IF(BW104&lt;251," (J"&amp;FN104&amp;")", IF(BW104&lt;401," (LA)",IF(BW104&lt;801," (MG)",IF(BW104&lt;5001," (POWERPACK)",""))))))))))</f>
        <v xml:space="preserve"> (QOB)</v>
      </c>
      <c r="FN104" s="3" t="str">
        <f t="shared" si="148"/>
        <v/>
      </c>
      <c r="FO104" s="146"/>
      <c r="FP104" s="146"/>
      <c r="FQ104" s="146"/>
      <c r="FR104" s="146"/>
      <c r="FS104" s="146"/>
      <c r="FT104" s="146"/>
      <c r="FU104" s="146"/>
      <c r="FV104" s="146"/>
      <c r="FW104" s="146"/>
      <c r="FX104" s="146" t="str">
        <f t="shared" si="79"/>
        <v/>
      </c>
      <c r="FY104" s="736"/>
      <c r="FZ104" s="740"/>
      <c r="GA104" s="740"/>
      <c r="GB104" s="717"/>
      <c r="GC104" s="838"/>
      <c r="GD104" s="736"/>
      <c r="GE104" s="146"/>
      <c r="GF104" s="506"/>
      <c r="GG104" s="506"/>
      <c r="GH104" s="506"/>
      <c r="GI104" s="506"/>
      <c r="GJ104" s="506"/>
      <c r="GM104" s="3">
        <f>IF(OR(GN104&gt;TABLERO!$M$19,GO104&gt;TABLERO!$M$19,GP104&gt;TABLERO!$M$19,B104=0,C104=0,D104=0),2,CUADROACAD!A104)</f>
        <v>2</v>
      </c>
      <c r="GN104" s="3">
        <f>IF(TABLERO!B104="",0,TABLERO!B104)</f>
        <v>74</v>
      </c>
      <c r="GO104" s="3">
        <f>IF(TABLERO!C104="",GN104,TABLERO!C104)</f>
        <v>74</v>
      </c>
      <c r="GP104" s="3">
        <f>IF(TABLERO!D104="",GN104,TABLERO!D104)</f>
        <v>74</v>
      </c>
    </row>
    <row r="105" spans="1:198" s="3" customFormat="1">
      <c r="A105" s="706"/>
      <c r="B105" s="869">
        <v>75</v>
      </c>
      <c r="C105" s="870" t="str">
        <f t="shared" si="85"/>
        <v/>
      </c>
      <c r="D105" s="870" t="str">
        <f t="shared" si="86"/>
        <v/>
      </c>
      <c r="E105" s="871"/>
      <c r="F105" s="872">
        <v>1</v>
      </c>
      <c r="G105" s="716">
        <f t="shared" si="87"/>
        <v>2</v>
      </c>
      <c r="H105" s="873" t="s">
        <v>12</v>
      </c>
      <c r="I105" s="874" t="str">
        <f t="shared" si="88"/>
        <v>CU</v>
      </c>
      <c r="J105" s="875">
        <v>6</v>
      </c>
      <c r="K105" s="876">
        <v>10</v>
      </c>
      <c r="L105" s="876">
        <v>3</v>
      </c>
      <c r="M105" s="877">
        <v>1</v>
      </c>
      <c r="N105" s="877">
        <v>1</v>
      </c>
      <c r="O105" s="878">
        <v>1</v>
      </c>
      <c r="P105" s="879">
        <v>4</v>
      </c>
      <c r="Q105" s="880">
        <v>1</v>
      </c>
      <c r="R105" s="880">
        <v>1</v>
      </c>
      <c r="S105" s="881">
        <v>1</v>
      </c>
      <c r="T105" s="881">
        <v>1</v>
      </c>
      <c r="U105" s="882">
        <v>1</v>
      </c>
      <c r="V105" s="883">
        <v>1</v>
      </c>
      <c r="W105" s="874" t="str">
        <f t="shared" si="89"/>
        <v>SI</v>
      </c>
      <c r="X105" s="884"/>
      <c r="Y105" s="885"/>
      <c r="Z105" s="885"/>
      <c r="AA105" s="885"/>
      <c r="AB105" s="885"/>
      <c r="AC105" s="885"/>
      <c r="AD105" s="885"/>
      <c r="AE105" s="885"/>
      <c r="AF105" s="885"/>
      <c r="AG105" s="885"/>
      <c r="AH105" s="885"/>
      <c r="AI105" s="885"/>
      <c r="AJ105" s="885"/>
      <c r="AK105" s="885"/>
      <c r="AL105" s="885"/>
      <c r="AM105" s="885"/>
      <c r="AN105" s="885"/>
      <c r="AO105" s="885"/>
      <c r="AP105" s="885"/>
      <c r="AQ105" s="885"/>
      <c r="AR105" s="885"/>
      <c r="AS105" s="885"/>
      <c r="AT105" s="885"/>
      <c r="AU105" s="885"/>
      <c r="AV105" s="885"/>
      <c r="AW105" s="885"/>
      <c r="AX105" s="885"/>
      <c r="AY105" s="885"/>
      <c r="AZ105" s="885"/>
      <c r="BA105" s="886"/>
      <c r="BB105" s="887">
        <f t="shared" si="90"/>
        <v>0</v>
      </c>
      <c r="BC105" s="888" t="str">
        <f t="shared" si="91"/>
        <v/>
      </c>
      <c r="BD105" s="889" t="str">
        <f t="shared" si="92"/>
        <v/>
      </c>
      <c r="BE105" s="889" t="str">
        <f t="shared" si="93"/>
        <v/>
      </c>
      <c r="BF105" s="889" t="str">
        <f t="shared" si="94"/>
        <v/>
      </c>
      <c r="BG105" s="889" t="str">
        <f t="shared" si="95"/>
        <v/>
      </c>
      <c r="BH105" s="889" t="str">
        <f t="shared" si="96"/>
        <v/>
      </c>
      <c r="BI105" s="890" t="str">
        <f t="shared" si="97"/>
        <v/>
      </c>
      <c r="BJ105" s="891" t="str">
        <f t="shared" si="98"/>
        <v/>
      </c>
      <c r="BK105" s="892" t="str">
        <f t="shared" si="99"/>
        <v/>
      </c>
      <c r="BL105" s="892" t="str">
        <f t="shared" si="100"/>
        <v/>
      </c>
      <c r="BM105" s="892" t="str">
        <f t="shared" si="101"/>
        <v/>
      </c>
      <c r="BN105" s="892" t="str">
        <f t="shared" si="102"/>
        <v/>
      </c>
      <c r="BO105" s="892" t="str">
        <f t="shared" si="103"/>
        <v/>
      </c>
      <c r="BP105" s="893" t="str">
        <f t="shared" si="104"/>
        <v/>
      </c>
      <c r="BQ105" s="894" t="str">
        <f t="shared" si="105"/>
        <v/>
      </c>
      <c r="BR105" s="895" t="str">
        <f t="shared" si="80"/>
        <v/>
      </c>
      <c r="BS105" s="896" t="str">
        <f t="shared" si="106"/>
        <v/>
      </c>
      <c r="BT105" s="897" t="str">
        <f t="shared" si="107"/>
        <v/>
      </c>
      <c r="BU105" s="231" t="str">
        <f t="shared" si="108"/>
        <v/>
      </c>
      <c r="BV105" s="898">
        <f t="shared" si="109"/>
        <v>127</v>
      </c>
      <c r="BW105" s="845" t="str">
        <f t="shared" si="110"/>
        <v/>
      </c>
      <c r="BX105" s="899" t="str">
        <f t="shared" si="111"/>
        <v/>
      </c>
      <c r="BY105" s="900" t="str" cm="1">
        <f t="array" ref="BY105">[1]!ACAELE_CAPACIDADCABLE(BB105,H105,I105,M105,BX105,N105)</f>
        <v/>
      </c>
      <c r="BZ105" s="900" t="str">
        <f t="shared" si="112"/>
        <v/>
      </c>
      <c r="CA105" s="901" t="str" cm="1">
        <f t="array" ref="CA105">[1]!ACAELE_cabledetierra(BZ105,$N$9,I105,BW105,BX105,G105)</f>
        <v/>
      </c>
      <c r="CB105" s="902" t="str" cm="1">
        <f t="array" ref="CB105">[1]!ACAELE_TAMATUBERIA(BX105,DU105,$N$9,M105,I105)</f>
        <v/>
      </c>
      <c r="CC105" s="846" t="str">
        <f t="shared" si="113"/>
        <v/>
      </c>
      <c r="CD105" s="903" t="str" cm="1">
        <f t="array" ref="CD105">[1]!ACAELE_CAPACIDADCABLE(BB105,H105,I105,M105,CC105,N105)</f>
        <v/>
      </c>
      <c r="CE105" s="903" t="str">
        <f t="shared" si="114"/>
        <v/>
      </c>
      <c r="CF105" s="904" t="str" cm="1">
        <f t="array" ref="CF105">[1]!ACAELE_cabledetierra(CE105,$N$9,I105,BW105,CC105,G105)</f>
        <v/>
      </c>
      <c r="CG105" s="905" t="str" cm="1">
        <f t="array" ref="CG105">[1]!ACAELE_TAMATUBERIA(CC105,EC105,$N$9,S105,I105)</f>
        <v/>
      </c>
      <c r="CH105" s="906" t="str">
        <f t="shared" si="115"/>
        <v/>
      </c>
      <c r="CI105" s="510" t="str">
        <f t="shared" si="116"/>
        <v>-</v>
      </c>
      <c r="CJ105" s="511" t="str">
        <f t="shared" si="117"/>
        <v>-</v>
      </c>
      <c r="CK105" s="512" t="str">
        <f t="shared" si="118"/>
        <v>-</v>
      </c>
      <c r="CL105" s="907" t="str">
        <f t="shared" si="119"/>
        <v>-</v>
      </c>
      <c r="CM105" s="908" t="str">
        <f t="shared" si="120"/>
        <v>-</v>
      </c>
      <c r="CN105" s="909" t="str">
        <f t="shared" si="121"/>
        <v>-</v>
      </c>
      <c r="CO105" s="910" t="str" cm="1">
        <f t="array" ref="CO105">[1]!ACAELE_fasecorresponde(B105,$F$10,$P$5)</f>
        <v>B</v>
      </c>
      <c r="CP105" s="910" t="str" cm="1">
        <f t="array" ref="CP105">[1]!ACAELE_fasecorresponde(C105,$F$10,$P$5)</f>
        <v>-</v>
      </c>
      <c r="CQ105" s="910" t="str" cm="1">
        <f t="array" ref="CQ105">[1]!ACAELE_fasecorresponde(D105,$F$10,$P$5)</f>
        <v>-</v>
      </c>
      <c r="CR105" s="911" t="str">
        <f t="shared" si="122"/>
        <v>C</v>
      </c>
      <c r="CS105" s="912">
        <f t="shared" si="123"/>
        <v>1</v>
      </c>
      <c r="CT105" s="913">
        <f t="shared" si="124"/>
        <v>0.8</v>
      </c>
      <c r="CU105" s="914" t="str">
        <f t="shared" si="125"/>
        <v/>
      </c>
      <c r="CV105" s="915">
        <f t="shared" si="126"/>
        <v>0</v>
      </c>
      <c r="CW105" s="916" t="str" cm="1">
        <f t="array" ref="CW105">[1]!ACAELE_Inominal(BB105,F105,BT105,BV105,DA105,G105,V105,$P$5)</f>
        <v/>
      </c>
      <c r="CX105" s="917" t="str" cm="1">
        <f t="array" ref="CX105">[1]!ACAELE_Disparocalculado(BB105,H105,DL105,$N$21,$M$21,$O$21,BV105,$P$5)</f>
        <v/>
      </c>
      <c r="CY105" s="918" t="str" cm="1">
        <f t="array" ref="CY105">[1]!ACAELE_Icorregida($A$27,H105,BB105,BU105,CS105,CT105,$P$5)</f>
        <v/>
      </c>
      <c r="CZ105" s="919" t="str" cm="1">
        <f t="array" ref="CZ105">[1]!ACAELE_Icorregida2($A$27,H105,BB105,BU105,CS105,CU105,$P$5)</f>
        <v/>
      </c>
      <c r="DA105" s="920">
        <f t="shared" si="127"/>
        <v>0.9</v>
      </c>
      <c r="DB105" s="921">
        <f t="shared" si="128"/>
        <v>0.43588989435406728</v>
      </c>
      <c r="DC105" s="922" t="str" cm="1">
        <f t="array" ref="DC105">[1]!ACAELE_CONDPORTCORRIENTE(H105,BB105,I105,M105,CY105,CZ105,N105,$P$5)</f>
        <v/>
      </c>
      <c r="DD105" s="923" t="str" cm="1">
        <f t="array" ref="DD105">[1]!ACAELE_CAPACONDCORRIENTE(BB105,H105,I105,M105,CY105,CZ105,$P$5)</f>
        <v/>
      </c>
      <c r="DE105" s="923" t="str" cm="1">
        <f t="array" ref="DE105">[1]!ACAELE_CAPACIDADCABLE(BB105,H105,I105,M105,DC105,N105,$P$5)</f>
        <v/>
      </c>
      <c r="DF105" s="924" t="str" cm="1">
        <f t="array" ref="DF105">[1]!ACAELE_encontrarcaida(BB105,H105,L105,BV105,F105,BU105,N105,K105)</f>
        <v/>
      </c>
      <c r="DG105" s="925" t="str" cm="1">
        <f t="array" ref="DG105">[1]!ACAELE_Cablecaida(BB105,H105,M105,I105,DF105)</f>
        <v/>
      </c>
      <c r="DH105" s="918" t="str" cm="1">
        <f t="array" ref="DH105">[1]!ACAELE_CAPACIDADCABLE(BB105,H105,I105,M105,DG105,N105,$P$5)</f>
        <v/>
      </c>
      <c r="DI105" s="926" t="str" cm="1">
        <f t="array" ref="DI105">IF($A$27=1,"",[1]!ACAELE_encontrarcaida(BB105,H105,R105,BV105,F105,BU105,T105,Q105,$P$5))</f>
        <v/>
      </c>
      <c r="DJ105" s="914" t="str" cm="1">
        <f t="array" ref="DJ105">IF($A$27=1,"",[1]!ACAELE_Cablecaida2(BB105,Q105,H105,S105,I105,DI105,$P$5))</f>
        <v/>
      </c>
      <c r="DK105" s="919" t="str" cm="1">
        <f t="array" ref="DK105">[1]!ACAELE_CAPACIDADCABLE(BB105,H105,I105,M105,DJ105,N105,$P$5)</f>
        <v/>
      </c>
      <c r="DL105" s="927" t="str" cm="1">
        <f t="array" ref="DL105">[1]!acaele_Iproteccion(BB105,H105,BU105,$F$20,$G$20,$F$19,$G$19,$H$20,$H$19,$P$5)</f>
        <v/>
      </c>
      <c r="DM105" s="928" cm="1">
        <f t="array" ref="DM105">[1]!acaele_ProtCalculada(CX105,H105,BT105,BW105,$G$21,$F$21,$H$21,$P$5)</f>
        <v>0</v>
      </c>
      <c r="DN105" s="929" t="str" cm="1">
        <f t="array" ref="DN105">[1]!ACAELE_cablecalculo(BB105,H105,I105,M105,EF105,$P$5)</f>
        <v/>
      </c>
      <c r="DO105" s="930" t="str" cm="1">
        <f t="array" ref="DO105">[1]!ACAELE_RESISTENCIA(BB105,H105,M105,I105,BX105, CW105,$P$5)</f>
        <v/>
      </c>
      <c r="DP105" s="931" t="str" cm="1">
        <f t="array" ref="DP105">[1]!ACAELE_REACTANCIA(BB105,H105,$F$11,M105,I105,BX105,$P$5)</f>
        <v/>
      </c>
      <c r="DQ105" s="918" t="str" cm="1">
        <f t="array" ref="DQ105">[1]!ACAELE_DIAMECAISLA(BB105,H105,I105,BX105,$P$5)</f>
        <v/>
      </c>
      <c r="DR105" s="918" t="str" cm="1">
        <f t="array" ref="DR105">[1]!ACAELE_AREACAISLAMIENTO(BB105,H105,DQ105,$P$5)</f>
        <v/>
      </c>
      <c r="DS105" s="918" t="str" cm="1">
        <f t="array" ref="DS105">[1]!ACAELE_CAIDAVOLTSFINAL(BB105,H105,F105,K105,BU105,N105,DO105,DA105,DP105,DB105,$P$5)</f>
        <v/>
      </c>
      <c r="DT105" s="918" t="str" cm="1">
        <f t="array" ref="DT105">[1]!ACAELE_AREACONDPTE(BB105,H105,CA105,$P$5)</f>
        <v/>
      </c>
      <c r="DU105" s="932" t="str" cm="1">
        <f t="array" ref="DU105">[1]!ACAELE_AREATOTAL(BZ105,M105,EO105,N105,DQ105,G105,DR105,DT105,N$20,$P$5)</f>
        <v/>
      </c>
      <c r="DV105" s="933" t="str" cm="1">
        <f t="array" ref="DV105">IF($A$27=1,"",[1]!ACAELE_cablecalculo(BB105,H105,I105,M105,EG105,$P$5))</f>
        <v/>
      </c>
      <c r="DW105" s="934" t="str" cm="1">
        <f t="array" ref="DW105">IF($A$27=1,"",[1]!ACAELE_RESISTENCIA(BB105,H105,M105,I105,CC105,CW105,$P$5))</f>
        <v/>
      </c>
      <c r="DX105" s="926" t="str" cm="1">
        <f t="array" ref="DX105">IF($A$27=1,"",[1]!ACAELE_REACTANCIA(BB105,H105,$F$11,M105,I105,CC105,$P$5))</f>
        <v/>
      </c>
      <c r="DY105" s="935" t="str" cm="1">
        <f t="array" ref="DY105">IF($A$27=1,"",[1]!ACAELE_DIAMECAISLA(BB105,H105,I105,CC105,$P$5))</f>
        <v/>
      </c>
      <c r="DZ105" s="935" t="str" cm="1">
        <f t="array" ref="DZ105">IF($A$27=1,"",[1]!ACAELE_AREACAISLAMIENTO(BB105,H105,DY105,$P$5))</f>
        <v/>
      </c>
      <c r="EA105" s="935" t="str" cm="1">
        <f t="array" ref="EA105">[1]!ACAELE_CAIDAVOLTSFINAL2(BB105,Q105,H105,F105,$A$27,BU105,T105,DW105,DA105,DX105,DB105)</f>
        <v/>
      </c>
      <c r="EB105" s="935" t="str" cm="1">
        <f t="array" ref="EB105">IF($A$27=1,"",[1]!ACAELE_AREACONDPTE(BB105,H105,CF105,$P$5))</f>
        <v/>
      </c>
      <c r="EC105" s="936" t="str" cm="1">
        <f t="array" ref="EC105">[1]!ACAELE_AREATOTAL2(H105,$A$27,DY105,S105,G105,T105,DZ105,U105,EB105)</f>
        <v/>
      </c>
      <c r="ED105" s="937" t="str">
        <f t="shared" si="129"/>
        <v/>
      </c>
      <c r="EE105" s="938" t="str">
        <f t="shared" si="130"/>
        <v/>
      </c>
      <c r="EF105" s="939" t="str">
        <f t="shared" si="131"/>
        <v/>
      </c>
      <c r="EG105" s="940">
        <f t="shared" si="132"/>
        <v>0</v>
      </c>
      <c r="EH105" s="941" t="str">
        <f t="shared" si="133"/>
        <v/>
      </c>
      <c r="EI105" s="942">
        <f t="shared" si="134"/>
        <v>30</v>
      </c>
      <c r="EJ105" s="943" t="str">
        <f t="shared" si="81"/>
        <v/>
      </c>
      <c r="EK105" s="943" t="str">
        <f t="shared" si="82"/>
        <v/>
      </c>
      <c r="EL105" s="943" t="str">
        <f t="shared" si="83"/>
        <v/>
      </c>
      <c r="EM105" s="944" t="str">
        <f t="shared" si="84"/>
        <v/>
      </c>
      <c r="EN105" s="945" t="str" cm="1">
        <f t="array" ref="EN105">[1]!ACAELE_MOTOR(H105,X105:BA105,$X$26:$BA$26,$P$5)</f>
        <v/>
      </c>
      <c r="EO105" s="550" t="str">
        <f t="shared" si="135"/>
        <v/>
      </c>
      <c r="EP105" s="431" t="s">
        <v>1214</v>
      </c>
      <c r="EQ105" s="434" t="str">
        <f t="shared" ca="1" si="136"/>
        <v/>
      </c>
      <c r="ER105" s="32"/>
      <c r="ES105" s="32"/>
      <c r="ET105" s="3" t="str">
        <f t="shared" si="137"/>
        <v/>
      </c>
      <c r="EU105" s="3" t="str">
        <f t="shared" si="138"/>
        <v/>
      </c>
      <c r="EV105" s="3" t="str">
        <f t="shared" si="139"/>
        <v/>
      </c>
      <c r="EW105" s="3" t="str">
        <f t="shared" si="140"/>
        <v/>
      </c>
      <c r="EX105" s="3" t="str">
        <f t="shared" si="141"/>
        <v/>
      </c>
      <c r="EY105" s="3" t="str">
        <f t="shared" si="142"/>
        <v/>
      </c>
      <c r="EZ105" s="3" t="str">
        <f t="shared" si="143"/>
        <v/>
      </c>
      <c r="FA105" s="3" t="str">
        <f t="shared" si="144"/>
        <v/>
      </c>
      <c r="FB105" s="3" t="str">
        <f t="shared" si="145"/>
        <v/>
      </c>
      <c r="FC105" s="3">
        <f t="shared" si="146"/>
        <v>0</v>
      </c>
      <c r="FD105" s="32"/>
      <c r="FE105" s="32"/>
      <c r="FF105" s="103">
        <v>1</v>
      </c>
      <c r="FG105" s="32"/>
      <c r="FH105" s="103"/>
      <c r="FI105" s="32"/>
      <c r="FJ105" s="103"/>
      <c r="FK105" s="3">
        <f t="shared" si="147"/>
        <v>0</v>
      </c>
      <c r="FL105" s="3" t="str" cm="1">
        <f t="array" aca="1" ref="FL105" ca="1">[1]!acaele_DIB_UNIFILAR(BB105,H105,F105,COUNTIF(X105:BA105,1),BW105)</f>
        <v/>
      </c>
      <c r="FM105" s="3" t="str">
        <f>IF(DATOS!$T$4=0,"",IF(DATOS!$T$4=1," (QO)",IF(DATOS!$T$4=2," (QOB)",IF(DATOS!$T$4=3," (EDB)",IF(DATOS!$T$4=4,IF(BW105&lt;151," (H"&amp;FN105&amp;")",IF(BW105&lt;251," (J"&amp;FN105&amp;")", IF(BW105&lt;401," (LA)",IF(BW105&lt;801," (MG)",IF(BW105&lt;5001," (POWERPACK)",""))))))))))</f>
        <v xml:space="preserve"> (QOB)</v>
      </c>
      <c r="FN105" s="3" t="str">
        <f t="shared" si="148"/>
        <v/>
      </c>
      <c r="FO105" s="146"/>
      <c r="FP105" s="146"/>
      <c r="FQ105" s="146"/>
      <c r="FR105" s="146"/>
      <c r="FS105" s="146"/>
      <c r="FT105" s="146"/>
      <c r="FU105" s="146"/>
      <c r="FV105" s="146"/>
      <c r="FW105" s="146"/>
      <c r="FX105" s="146" t="str">
        <f t="shared" si="79"/>
        <v/>
      </c>
      <c r="FY105" s="736"/>
      <c r="FZ105" s="740"/>
      <c r="GA105" s="740"/>
      <c r="GB105" s="717"/>
      <c r="GC105" s="838"/>
      <c r="GD105" s="736"/>
      <c r="GE105" s="146"/>
      <c r="GF105" s="506"/>
      <c r="GG105" s="506"/>
      <c r="GH105" s="506"/>
      <c r="GI105" s="506"/>
      <c r="GJ105" s="506"/>
      <c r="GM105" s="3">
        <f>IF(OR(GN105&gt;TABLERO!$M$19,GO105&gt;TABLERO!$M$19,GP105&gt;TABLERO!$M$19,B105=0,C105=0,D105=0),2,CUADROACAD!A105)</f>
        <v>2</v>
      </c>
      <c r="GN105" s="3">
        <f>IF(TABLERO!B105="",0,TABLERO!B105)</f>
        <v>75</v>
      </c>
      <c r="GO105" s="3">
        <f>IF(TABLERO!C105="",GN105,TABLERO!C105)</f>
        <v>75</v>
      </c>
      <c r="GP105" s="3">
        <f>IF(TABLERO!D105="",GN105,TABLERO!D105)</f>
        <v>75</v>
      </c>
    </row>
    <row r="106" spans="1:198" s="3" customFormat="1">
      <c r="A106" s="706"/>
      <c r="B106" s="869">
        <v>76</v>
      </c>
      <c r="C106" s="870" t="str">
        <f t="shared" si="85"/>
        <v/>
      </c>
      <c r="D106" s="870" t="str">
        <f t="shared" si="86"/>
        <v/>
      </c>
      <c r="E106" s="871"/>
      <c r="F106" s="872">
        <v>1</v>
      </c>
      <c r="G106" s="716">
        <f t="shared" si="87"/>
        <v>2</v>
      </c>
      <c r="H106" s="873" t="s">
        <v>12</v>
      </c>
      <c r="I106" s="874" t="str">
        <f t="shared" si="88"/>
        <v>CU</v>
      </c>
      <c r="J106" s="875">
        <v>6</v>
      </c>
      <c r="K106" s="876">
        <v>10</v>
      </c>
      <c r="L106" s="876">
        <v>3</v>
      </c>
      <c r="M106" s="877">
        <v>1</v>
      </c>
      <c r="N106" s="877">
        <v>1</v>
      </c>
      <c r="O106" s="878">
        <v>1</v>
      </c>
      <c r="P106" s="879">
        <v>4</v>
      </c>
      <c r="Q106" s="880">
        <v>1</v>
      </c>
      <c r="R106" s="880">
        <v>1</v>
      </c>
      <c r="S106" s="881">
        <v>1</v>
      </c>
      <c r="T106" s="881">
        <v>1</v>
      </c>
      <c r="U106" s="882">
        <v>1</v>
      </c>
      <c r="V106" s="883">
        <v>1</v>
      </c>
      <c r="W106" s="874" t="str">
        <f t="shared" si="89"/>
        <v>SI</v>
      </c>
      <c r="X106" s="884"/>
      <c r="Y106" s="885"/>
      <c r="Z106" s="885"/>
      <c r="AA106" s="885"/>
      <c r="AB106" s="885"/>
      <c r="AC106" s="885"/>
      <c r="AD106" s="885"/>
      <c r="AE106" s="885"/>
      <c r="AF106" s="885"/>
      <c r="AG106" s="885"/>
      <c r="AH106" s="885"/>
      <c r="AI106" s="885"/>
      <c r="AJ106" s="885"/>
      <c r="AK106" s="885"/>
      <c r="AL106" s="885"/>
      <c r="AM106" s="885"/>
      <c r="AN106" s="885"/>
      <c r="AO106" s="885"/>
      <c r="AP106" s="885"/>
      <c r="AQ106" s="885"/>
      <c r="AR106" s="885"/>
      <c r="AS106" s="885"/>
      <c r="AT106" s="885"/>
      <c r="AU106" s="885"/>
      <c r="AV106" s="885"/>
      <c r="AW106" s="885"/>
      <c r="AX106" s="885"/>
      <c r="AY106" s="885"/>
      <c r="AZ106" s="885"/>
      <c r="BA106" s="886"/>
      <c r="BB106" s="887">
        <f t="shared" si="90"/>
        <v>0</v>
      </c>
      <c r="BC106" s="888" t="str">
        <f t="shared" si="91"/>
        <v/>
      </c>
      <c r="BD106" s="889" t="str">
        <f t="shared" si="92"/>
        <v/>
      </c>
      <c r="BE106" s="889" t="str">
        <f t="shared" si="93"/>
        <v/>
      </c>
      <c r="BF106" s="889" t="str">
        <f t="shared" si="94"/>
        <v/>
      </c>
      <c r="BG106" s="889" t="str">
        <f t="shared" si="95"/>
        <v/>
      </c>
      <c r="BH106" s="889" t="str">
        <f t="shared" si="96"/>
        <v/>
      </c>
      <c r="BI106" s="890" t="str">
        <f t="shared" si="97"/>
        <v/>
      </c>
      <c r="BJ106" s="891" t="str">
        <f t="shared" si="98"/>
        <v/>
      </c>
      <c r="BK106" s="892" t="str">
        <f t="shared" si="99"/>
        <v/>
      </c>
      <c r="BL106" s="892" t="str">
        <f t="shared" si="100"/>
        <v/>
      </c>
      <c r="BM106" s="892" t="str">
        <f t="shared" si="101"/>
        <v/>
      </c>
      <c r="BN106" s="892" t="str">
        <f t="shared" si="102"/>
        <v/>
      </c>
      <c r="BO106" s="892" t="str">
        <f t="shared" si="103"/>
        <v/>
      </c>
      <c r="BP106" s="893" t="str">
        <f t="shared" si="104"/>
        <v/>
      </c>
      <c r="BQ106" s="894" t="str">
        <f t="shared" si="105"/>
        <v/>
      </c>
      <c r="BR106" s="895" t="str">
        <f t="shared" si="80"/>
        <v/>
      </c>
      <c r="BS106" s="896" t="str">
        <f t="shared" si="106"/>
        <v/>
      </c>
      <c r="BT106" s="897" t="str">
        <f t="shared" si="107"/>
        <v/>
      </c>
      <c r="BU106" s="231" t="str">
        <f t="shared" si="108"/>
        <v/>
      </c>
      <c r="BV106" s="898">
        <f t="shared" si="109"/>
        <v>127</v>
      </c>
      <c r="BW106" s="845" t="str">
        <f t="shared" si="110"/>
        <v/>
      </c>
      <c r="BX106" s="899" t="str">
        <f t="shared" si="111"/>
        <v/>
      </c>
      <c r="BY106" s="900" t="str" cm="1">
        <f t="array" ref="BY106">[1]!ACAELE_CAPACIDADCABLE(BB106,H106,I106,M106,BX106,N106)</f>
        <v/>
      </c>
      <c r="BZ106" s="900" t="str">
        <f t="shared" si="112"/>
        <v/>
      </c>
      <c r="CA106" s="901" t="str" cm="1">
        <f t="array" ref="CA106">[1]!ACAELE_cabledetierra(BZ106,$N$9,I106,BW106,BX106,G106)</f>
        <v/>
      </c>
      <c r="CB106" s="902" t="str" cm="1">
        <f t="array" ref="CB106">[1]!ACAELE_TAMATUBERIA(BX106,DU106,$N$9,M106,I106)</f>
        <v/>
      </c>
      <c r="CC106" s="846" t="str">
        <f t="shared" si="113"/>
        <v/>
      </c>
      <c r="CD106" s="903" t="str" cm="1">
        <f t="array" ref="CD106">[1]!ACAELE_CAPACIDADCABLE(BB106,H106,I106,M106,CC106,N106)</f>
        <v/>
      </c>
      <c r="CE106" s="903" t="str">
        <f t="shared" si="114"/>
        <v/>
      </c>
      <c r="CF106" s="904" t="str" cm="1">
        <f t="array" ref="CF106">[1]!ACAELE_cabledetierra(CE106,$N$9,I106,BW106,CC106,G106)</f>
        <v/>
      </c>
      <c r="CG106" s="905" t="str" cm="1">
        <f t="array" ref="CG106">[1]!ACAELE_TAMATUBERIA(CC106,EC106,$N$9,S106,I106)</f>
        <v/>
      </c>
      <c r="CH106" s="906" t="str">
        <f t="shared" si="115"/>
        <v/>
      </c>
      <c r="CI106" s="510" t="str">
        <f t="shared" si="116"/>
        <v>-</v>
      </c>
      <c r="CJ106" s="511" t="str">
        <f t="shared" si="117"/>
        <v>-</v>
      </c>
      <c r="CK106" s="512" t="str">
        <f t="shared" si="118"/>
        <v>-</v>
      </c>
      <c r="CL106" s="907" t="str">
        <f t="shared" si="119"/>
        <v>-</v>
      </c>
      <c r="CM106" s="908" t="str">
        <f t="shared" si="120"/>
        <v>-</v>
      </c>
      <c r="CN106" s="909" t="str">
        <f t="shared" si="121"/>
        <v>-</v>
      </c>
      <c r="CO106" s="910" t="str" cm="1">
        <f t="array" ref="CO106">[1]!ACAELE_fasecorresponde(B106,$F$10,$P$5)</f>
        <v>B</v>
      </c>
      <c r="CP106" s="910" t="str" cm="1">
        <f t="array" ref="CP106">[1]!ACAELE_fasecorresponde(C106,$F$10,$P$5)</f>
        <v>-</v>
      </c>
      <c r="CQ106" s="910" t="str" cm="1">
        <f t="array" ref="CQ106">[1]!ACAELE_fasecorresponde(D106,$F$10,$P$5)</f>
        <v>-</v>
      </c>
      <c r="CR106" s="911" t="str">
        <f t="shared" si="122"/>
        <v>C</v>
      </c>
      <c r="CS106" s="912">
        <f t="shared" si="123"/>
        <v>1</v>
      </c>
      <c r="CT106" s="913">
        <f t="shared" si="124"/>
        <v>0.8</v>
      </c>
      <c r="CU106" s="914" t="str">
        <f t="shared" si="125"/>
        <v/>
      </c>
      <c r="CV106" s="915">
        <f t="shared" si="126"/>
        <v>0</v>
      </c>
      <c r="CW106" s="916" t="str" cm="1">
        <f t="array" ref="CW106">[1]!ACAELE_Inominal(BB106,F106,BT106,BV106,DA106,G106,V106,$P$5)</f>
        <v/>
      </c>
      <c r="CX106" s="917" t="str" cm="1">
        <f t="array" ref="CX106">[1]!ACAELE_Disparocalculado(BB106,H106,DL106,$N$21,$M$21,$O$21,BV106,$P$5)</f>
        <v/>
      </c>
      <c r="CY106" s="918" t="str" cm="1">
        <f t="array" ref="CY106">[1]!ACAELE_Icorregida($A$27,H106,BB106,BU106,CS106,CT106,$P$5)</f>
        <v/>
      </c>
      <c r="CZ106" s="919" t="str" cm="1">
        <f t="array" ref="CZ106">[1]!ACAELE_Icorregida2($A$27,H106,BB106,BU106,CS106,CU106,$P$5)</f>
        <v/>
      </c>
      <c r="DA106" s="920">
        <f t="shared" si="127"/>
        <v>0.9</v>
      </c>
      <c r="DB106" s="921">
        <f t="shared" si="128"/>
        <v>0.43588989435406728</v>
      </c>
      <c r="DC106" s="922" t="str" cm="1">
        <f t="array" ref="DC106">[1]!ACAELE_CONDPORTCORRIENTE(H106,BB106,I106,M106,CY106,CZ106,N106,$P$5)</f>
        <v/>
      </c>
      <c r="DD106" s="923" t="str" cm="1">
        <f t="array" ref="DD106">[1]!ACAELE_CAPACONDCORRIENTE(BB106,H106,I106,M106,CY106,CZ106,$P$5)</f>
        <v/>
      </c>
      <c r="DE106" s="923" t="str" cm="1">
        <f t="array" ref="DE106">[1]!ACAELE_CAPACIDADCABLE(BB106,H106,I106,M106,DC106,N106,$P$5)</f>
        <v/>
      </c>
      <c r="DF106" s="924" t="str" cm="1">
        <f t="array" ref="DF106">[1]!ACAELE_encontrarcaida(BB106,H106,L106,BV106,F106,BU106,N106,K106)</f>
        <v/>
      </c>
      <c r="DG106" s="925" t="str" cm="1">
        <f t="array" ref="DG106">[1]!ACAELE_Cablecaida(BB106,H106,M106,I106,DF106)</f>
        <v/>
      </c>
      <c r="DH106" s="918" t="str" cm="1">
        <f t="array" ref="DH106">[1]!ACAELE_CAPACIDADCABLE(BB106,H106,I106,M106,DG106,N106,$P$5)</f>
        <v/>
      </c>
      <c r="DI106" s="926" t="str" cm="1">
        <f t="array" ref="DI106">IF($A$27=1,"",[1]!ACAELE_encontrarcaida(BB106,H106,R106,BV106,F106,BU106,T106,Q106,$P$5))</f>
        <v/>
      </c>
      <c r="DJ106" s="914" t="str" cm="1">
        <f t="array" ref="DJ106">IF($A$27=1,"",[1]!ACAELE_Cablecaida2(BB106,Q106,H106,S106,I106,DI106,$P$5))</f>
        <v/>
      </c>
      <c r="DK106" s="919" t="str" cm="1">
        <f t="array" ref="DK106">[1]!ACAELE_CAPACIDADCABLE(BB106,H106,I106,M106,DJ106,N106,$P$5)</f>
        <v/>
      </c>
      <c r="DL106" s="927" t="str" cm="1">
        <f t="array" ref="DL106">[1]!acaele_Iproteccion(BB106,H106,BU106,$F$20,$G$20,$F$19,$G$19,$H$20,$H$19,$P$5)</f>
        <v/>
      </c>
      <c r="DM106" s="928" cm="1">
        <f t="array" ref="DM106">[1]!acaele_ProtCalculada(CX106,H106,BT106,BW106,$G$21,$F$21,$H$21,$P$5)</f>
        <v>0</v>
      </c>
      <c r="DN106" s="929" t="str" cm="1">
        <f t="array" ref="DN106">[1]!ACAELE_cablecalculo(BB106,H106,I106,M106,EF106,$P$5)</f>
        <v/>
      </c>
      <c r="DO106" s="930" t="str" cm="1">
        <f t="array" ref="DO106">[1]!ACAELE_RESISTENCIA(BB106,H106,M106,I106,BX106, CW106,$P$5)</f>
        <v/>
      </c>
      <c r="DP106" s="931" t="str" cm="1">
        <f t="array" ref="DP106">[1]!ACAELE_REACTANCIA(BB106,H106,$F$11,M106,I106,BX106,$P$5)</f>
        <v/>
      </c>
      <c r="DQ106" s="918" t="str" cm="1">
        <f t="array" ref="DQ106">[1]!ACAELE_DIAMECAISLA(BB106,H106,I106,BX106,$P$5)</f>
        <v/>
      </c>
      <c r="DR106" s="918" t="str" cm="1">
        <f t="array" ref="DR106">[1]!ACAELE_AREACAISLAMIENTO(BB106,H106,DQ106,$P$5)</f>
        <v/>
      </c>
      <c r="DS106" s="918" t="str" cm="1">
        <f t="array" ref="DS106">[1]!ACAELE_CAIDAVOLTSFINAL(BB106,H106,F106,K106,BU106,N106,DO106,DA106,DP106,DB106,$P$5)</f>
        <v/>
      </c>
      <c r="DT106" s="918" t="str" cm="1">
        <f t="array" ref="DT106">[1]!ACAELE_AREACONDPTE(BB106,H106,CA106,$P$5)</f>
        <v/>
      </c>
      <c r="DU106" s="932" t="str" cm="1">
        <f t="array" ref="DU106">[1]!ACAELE_AREATOTAL(BZ106,M106,EO106,N106,DQ106,G106,DR106,DT106,N$20,$P$5)</f>
        <v/>
      </c>
      <c r="DV106" s="933" t="str" cm="1">
        <f t="array" ref="DV106">IF($A$27=1,"",[1]!ACAELE_cablecalculo(BB106,H106,I106,M106,EG106,$P$5))</f>
        <v/>
      </c>
      <c r="DW106" s="934" t="str" cm="1">
        <f t="array" ref="DW106">IF($A$27=1,"",[1]!ACAELE_RESISTENCIA(BB106,H106,M106,I106,CC106,CW106,$P$5))</f>
        <v/>
      </c>
      <c r="DX106" s="926" t="str" cm="1">
        <f t="array" ref="DX106">IF($A$27=1,"",[1]!ACAELE_REACTANCIA(BB106,H106,$F$11,M106,I106,CC106,$P$5))</f>
        <v/>
      </c>
      <c r="DY106" s="935" t="str" cm="1">
        <f t="array" ref="DY106">IF($A$27=1,"",[1]!ACAELE_DIAMECAISLA(BB106,H106,I106,CC106,$P$5))</f>
        <v/>
      </c>
      <c r="DZ106" s="935" t="str" cm="1">
        <f t="array" ref="DZ106">IF($A$27=1,"",[1]!ACAELE_AREACAISLAMIENTO(BB106,H106,DY106,$P$5))</f>
        <v/>
      </c>
      <c r="EA106" s="935" t="str" cm="1">
        <f t="array" ref="EA106">[1]!ACAELE_CAIDAVOLTSFINAL2(BB106,Q106,H106,F106,$A$27,BU106,T106,DW106,DA106,DX106,DB106)</f>
        <v/>
      </c>
      <c r="EB106" s="935" t="str" cm="1">
        <f t="array" ref="EB106">IF($A$27=1,"",[1]!ACAELE_AREACONDPTE(BB106,H106,CF106,$P$5))</f>
        <v/>
      </c>
      <c r="EC106" s="936" t="str" cm="1">
        <f t="array" ref="EC106">[1]!ACAELE_AREATOTAL2(H106,$A$27,DY106,S106,G106,T106,DZ106,U106,EB106)</f>
        <v/>
      </c>
      <c r="ED106" s="937" t="str">
        <f t="shared" si="129"/>
        <v/>
      </c>
      <c r="EE106" s="938" t="str">
        <f t="shared" si="130"/>
        <v/>
      </c>
      <c r="EF106" s="939" t="str">
        <f t="shared" si="131"/>
        <v/>
      </c>
      <c r="EG106" s="940">
        <f t="shared" si="132"/>
        <v>0</v>
      </c>
      <c r="EH106" s="941" t="str">
        <f t="shared" si="133"/>
        <v/>
      </c>
      <c r="EI106" s="942">
        <f t="shared" si="134"/>
        <v>30</v>
      </c>
      <c r="EJ106" s="943" t="str">
        <f t="shared" si="81"/>
        <v/>
      </c>
      <c r="EK106" s="943" t="str">
        <f t="shared" si="82"/>
        <v/>
      </c>
      <c r="EL106" s="943" t="str">
        <f t="shared" si="83"/>
        <v/>
      </c>
      <c r="EM106" s="944" t="str">
        <f t="shared" si="84"/>
        <v/>
      </c>
      <c r="EN106" s="945" t="str" cm="1">
        <f t="array" ref="EN106">[1]!ACAELE_MOTOR(H106,X106:BA106,$X$26:$BA$26,$P$5)</f>
        <v/>
      </c>
      <c r="EO106" s="550" t="str">
        <f t="shared" si="135"/>
        <v/>
      </c>
      <c r="EP106" s="431" t="s">
        <v>1214</v>
      </c>
      <c r="EQ106" s="434" t="str">
        <f t="shared" ca="1" si="136"/>
        <v/>
      </c>
      <c r="ER106" s="32"/>
      <c r="ES106" s="32"/>
      <c r="ET106" s="3" t="str">
        <f t="shared" si="137"/>
        <v/>
      </c>
      <c r="EU106" s="3" t="str">
        <f t="shared" si="138"/>
        <v/>
      </c>
      <c r="EV106" s="3" t="str">
        <f t="shared" si="139"/>
        <v/>
      </c>
      <c r="EW106" s="3" t="str">
        <f t="shared" si="140"/>
        <v/>
      </c>
      <c r="EX106" s="3" t="str">
        <f t="shared" si="141"/>
        <v/>
      </c>
      <c r="EY106" s="3" t="str">
        <f t="shared" si="142"/>
        <v/>
      </c>
      <c r="EZ106" s="3" t="str">
        <f t="shared" si="143"/>
        <v/>
      </c>
      <c r="FA106" s="3" t="str">
        <f t="shared" si="144"/>
        <v/>
      </c>
      <c r="FB106" s="3" t="str">
        <f t="shared" si="145"/>
        <v/>
      </c>
      <c r="FC106" s="3">
        <f t="shared" si="146"/>
        <v>0</v>
      </c>
      <c r="FD106" s="32"/>
      <c r="FE106" s="32"/>
      <c r="FF106" s="103">
        <v>1</v>
      </c>
      <c r="FG106" s="32"/>
      <c r="FH106" s="103"/>
      <c r="FI106" s="32"/>
      <c r="FJ106" s="103"/>
      <c r="FK106" s="3">
        <f t="shared" si="147"/>
        <v>0</v>
      </c>
      <c r="FL106" s="3" t="str" cm="1">
        <f t="array" aca="1" ref="FL106" ca="1">[1]!acaele_DIB_UNIFILAR(BB106,H106,F106,COUNTIF(X106:BA106,1),BW106)</f>
        <v/>
      </c>
      <c r="FM106" s="3" t="str">
        <f>IF(DATOS!$T$4=0,"",IF(DATOS!$T$4=1," (QO)",IF(DATOS!$T$4=2," (QOB)",IF(DATOS!$T$4=3," (EDB)",IF(DATOS!$T$4=4,IF(BW106&lt;151," (H"&amp;FN106&amp;")",IF(BW106&lt;251," (J"&amp;FN106&amp;")", IF(BW106&lt;401," (LA)",IF(BW106&lt;801," (MG)",IF(BW106&lt;5001," (POWERPACK)",""))))))))))</f>
        <v xml:space="preserve"> (QOB)</v>
      </c>
      <c r="FN106" s="3" t="str">
        <f t="shared" si="148"/>
        <v/>
      </c>
      <c r="FO106" s="146"/>
      <c r="FP106" s="146"/>
      <c r="FQ106" s="146"/>
      <c r="FR106" s="146"/>
      <c r="FS106" s="146"/>
      <c r="FT106" s="146"/>
      <c r="FU106" s="146"/>
      <c r="FV106" s="146"/>
      <c r="FW106" s="146"/>
      <c r="FX106" s="146" t="str">
        <f t="shared" si="79"/>
        <v/>
      </c>
      <c r="FY106" s="736"/>
      <c r="FZ106" s="740"/>
      <c r="GA106" s="740"/>
      <c r="GB106" s="717"/>
      <c r="GC106" s="838"/>
      <c r="GD106" s="736"/>
      <c r="GE106" s="146"/>
      <c r="GF106" s="506"/>
      <c r="GG106" s="506"/>
      <c r="GH106" s="506"/>
      <c r="GI106" s="506"/>
      <c r="GJ106" s="506"/>
      <c r="GM106" s="3">
        <f>IF(OR(GN106&gt;TABLERO!$M$19,GO106&gt;TABLERO!$M$19,GP106&gt;TABLERO!$M$19,B106=0,C106=0,D106=0),2,CUADROACAD!A106)</f>
        <v>2</v>
      </c>
      <c r="GN106" s="3">
        <f>IF(TABLERO!B106="",0,TABLERO!B106)</f>
        <v>76</v>
      </c>
      <c r="GO106" s="3">
        <f>IF(TABLERO!C106="",GN106,TABLERO!C106)</f>
        <v>76</v>
      </c>
      <c r="GP106" s="3">
        <f>IF(TABLERO!D106="",GN106,TABLERO!D106)</f>
        <v>76</v>
      </c>
    </row>
    <row r="107" spans="1:198" s="3" customFormat="1">
      <c r="A107" s="706"/>
      <c r="B107" s="869">
        <v>77</v>
      </c>
      <c r="C107" s="870" t="str">
        <f t="shared" si="85"/>
        <v/>
      </c>
      <c r="D107" s="870" t="str">
        <f t="shared" si="86"/>
        <v/>
      </c>
      <c r="E107" s="871"/>
      <c r="F107" s="872">
        <v>1</v>
      </c>
      <c r="G107" s="716">
        <f t="shared" si="87"/>
        <v>2</v>
      </c>
      <c r="H107" s="873" t="s">
        <v>12</v>
      </c>
      <c r="I107" s="874" t="str">
        <f t="shared" si="88"/>
        <v>CU</v>
      </c>
      <c r="J107" s="875">
        <v>6</v>
      </c>
      <c r="K107" s="876">
        <v>10</v>
      </c>
      <c r="L107" s="876">
        <v>3</v>
      </c>
      <c r="M107" s="877">
        <v>1</v>
      </c>
      <c r="N107" s="877">
        <v>1</v>
      </c>
      <c r="O107" s="878">
        <v>1</v>
      </c>
      <c r="P107" s="879">
        <v>4</v>
      </c>
      <c r="Q107" s="880">
        <v>1</v>
      </c>
      <c r="R107" s="880">
        <v>1</v>
      </c>
      <c r="S107" s="881">
        <v>1</v>
      </c>
      <c r="T107" s="881">
        <v>1</v>
      </c>
      <c r="U107" s="882">
        <v>1</v>
      </c>
      <c r="V107" s="883">
        <v>1</v>
      </c>
      <c r="W107" s="874" t="str">
        <f t="shared" si="89"/>
        <v>SI</v>
      </c>
      <c r="X107" s="884"/>
      <c r="Y107" s="885"/>
      <c r="Z107" s="885"/>
      <c r="AA107" s="885"/>
      <c r="AB107" s="885"/>
      <c r="AC107" s="885"/>
      <c r="AD107" s="885"/>
      <c r="AE107" s="885"/>
      <c r="AF107" s="885"/>
      <c r="AG107" s="885"/>
      <c r="AH107" s="885"/>
      <c r="AI107" s="885"/>
      <c r="AJ107" s="885"/>
      <c r="AK107" s="885"/>
      <c r="AL107" s="885"/>
      <c r="AM107" s="885"/>
      <c r="AN107" s="885"/>
      <c r="AO107" s="885"/>
      <c r="AP107" s="885"/>
      <c r="AQ107" s="885"/>
      <c r="AR107" s="885"/>
      <c r="AS107" s="885"/>
      <c r="AT107" s="885"/>
      <c r="AU107" s="885"/>
      <c r="AV107" s="885"/>
      <c r="AW107" s="885"/>
      <c r="AX107" s="885"/>
      <c r="AY107" s="885"/>
      <c r="AZ107" s="885"/>
      <c r="BA107" s="886"/>
      <c r="BB107" s="887">
        <f t="shared" si="90"/>
        <v>0</v>
      </c>
      <c r="BC107" s="888" t="str">
        <f t="shared" si="91"/>
        <v/>
      </c>
      <c r="BD107" s="889" t="str">
        <f t="shared" si="92"/>
        <v/>
      </c>
      <c r="BE107" s="889" t="str">
        <f t="shared" si="93"/>
        <v/>
      </c>
      <c r="BF107" s="889" t="str">
        <f t="shared" si="94"/>
        <v/>
      </c>
      <c r="BG107" s="889" t="str">
        <f t="shared" si="95"/>
        <v/>
      </c>
      <c r="BH107" s="889" t="str">
        <f t="shared" si="96"/>
        <v/>
      </c>
      <c r="BI107" s="890" t="str">
        <f t="shared" si="97"/>
        <v/>
      </c>
      <c r="BJ107" s="891" t="str">
        <f t="shared" si="98"/>
        <v/>
      </c>
      <c r="BK107" s="892" t="str">
        <f t="shared" si="99"/>
        <v/>
      </c>
      <c r="BL107" s="892" t="str">
        <f t="shared" si="100"/>
        <v/>
      </c>
      <c r="BM107" s="892" t="str">
        <f t="shared" si="101"/>
        <v/>
      </c>
      <c r="BN107" s="892" t="str">
        <f t="shared" si="102"/>
        <v/>
      </c>
      <c r="BO107" s="892" t="str">
        <f t="shared" si="103"/>
        <v/>
      </c>
      <c r="BP107" s="893" t="str">
        <f t="shared" si="104"/>
        <v/>
      </c>
      <c r="BQ107" s="894" t="str">
        <f t="shared" si="105"/>
        <v/>
      </c>
      <c r="BR107" s="895" t="str">
        <f t="shared" si="80"/>
        <v/>
      </c>
      <c r="BS107" s="896" t="str">
        <f t="shared" si="106"/>
        <v/>
      </c>
      <c r="BT107" s="897" t="str">
        <f t="shared" si="107"/>
        <v/>
      </c>
      <c r="BU107" s="231" t="str">
        <f t="shared" si="108"/>
        <v/>
      </c>
      <c r="BV107" s="898">
        <f t="shared" si="109"/>
        <v>127</v>
      </c>
      <c r="BW107" s="845" t="str">
        <f t="shared" si="110"/>
        <v/>
      </c>
      <c r="BX107" s="899" t="str">
        <f t="shared" si="111"/>
        <v/>
      </c>
      <c r="BY107" s="900" t="str" cm="1">
        <f t="array" ref="BY107">[1]!ACAELE_CAPACIDADCABLE(BB107,H107,I107,M107,BX107,N107)</f>
        <v/>
      </c>
      <c r="BZ107" s="900" t="str">
        <f t="shared" si="112"/>
        <v/>
      </c>
      <c r="CA107" s="901" t="str" cm="1">
        <f t="array" ref="CA107">[1]!ACAELE_cabledetierra(BZ107,$N$9,I107,BW107,BX107,G107)</f>
        <v/>
      </c>
      <c r="CB107" s="902" t="str" cm="1">
        <f t="array" ref="CB107">[1]!ACAELE_TAMATUBERIA(BX107,DU107,$N$9,M107,I107)</f>
        <v/>
      </c>
      <c r="CC107" s="846" t="str">
        <f t="shared" si="113"/>
        <v/>
      </c>
      <c r="CD107" s="903" t="str" cm="1">
        <f t="array" ref="CD107">[1]!ACAELE_CAPACIDADCABLE(BB107,H107,I107,M107,CC107,N107)</f>
        <v/>
      </c>
      <c r="CE107" s="903" t="str">
        <f t="shared" si="114"/>
        <v/>
      </c>
      <c r="CF107" s="904" t="str" cm="1">
        <f t="array" ref="CF107">[1]!ACAELE_cabledetierra(CE107,$N$9,I107,BW107,CC107,G107)</f>
        <v/>
      </c>
      <c r="CG107" s="905" t="str" cm="1">
        <f t="array" ref="CG107">[1]!ACAELE_TAMATUBERIA(CC107,EC107,$N$9,S107,I107)</f>
        <v/>
      </c>
      <c r="CH107" s="906" t="str">
        <f t="shared" si="115"/>
        <v/>
      </c>
      <c r="CI107" s="510" t="str">
        <f t="shared" si="116"/>
        <v>-</v>
      </c>
      <c r="CJ107" s="511" t="str">
        <f t="shared" si="117"/>
        <v>-</v>
      </c>
      <c r="CK107" s="512" t="str">
        <f t="shared" si="118"/>
        <v>-</v>
      </c>
      <c r="CL107" s="907" t="str">
        <f t="shared" si="119"/>
        <v>-</v>
      </c>
      <c r="CM107" s="908" t="str">
        <f t="shared" si="120"/>
        <v>-</v>
      </c>
      <c r="CN107" s="909" t="str">
        <f t="shared" si="121"/>
        <v>-</v>
      </c>
      <c r="CO107" s="910" t="str" cm="1">
        <f t="array" ref="CO107">[1]!ACAELE_fasecorresponde(B107,$F$10,$P$5)</f>
        <v>C</v>
      </c>
      <c r="CP107" s="910" t="str" cm="1">
        <f t="array" ref="CP107">[1]!ACAELE_fasecorresponde(C107,$F$10,$P$5)</f>
        <v>-</v>
      </c>
      <c r="CQ107" s="910" t="str" cm="1">
        <f t="array" ref="CQ107">[1]!ACAELE_fasecorresponde(D107,$F$10,$P$5)</f>
        <v>-</v>
      </c>
      <c r="CR107" s="911" t="str">
        <f t="shared" si="122"/>
        <v>C</v>
      </c>
      <c r="CS107" s="912">
        <f t="shared" si="123"/>
        <v>1</v>
      </c>
      <c r="CT107" s="913">
        <f t="shared" si="124"/>
        <v>0.8</v>
      </c>
      <c r="CU107" s="914" t="str">
        <f t="shared" si="125"/>
        <v/>
      </c>
      <c r="CV107" s="915">
        <f t="shared" si="126"/>
        <v>0</v>
      </c>
      <c r="CW107" s="916" t="str" cm="1">
        <f t="array" ref="CW107">[1]!ACAELE_Inominal(BB107,F107,BT107,BV107,DA107,G107,V107,$P$5)</f>
        <v/>
      </c>
      <c r="CX107" s="917" t="str" cm="1">
        <f t="array" ref="CX107">[1]!ACAELE_Disparocalculado(BB107,H107,DL107,$N$21,$M$21,$O$21,BV107,$P$5)</f>
        <v/>
      </c>
      <c r="CY107" s="918" t="str" cm="1">
        <f t="array" ref="CY107">[1]!ACAELE_Icorregida($A$27,H107,BB107,BU107,CS107,CT107,$P$5)</f>
        <v/>
      </c>
      <c r="CZ107" s="919" t="str" cm="1">
        <f t="array" ref="CZ107">[1]!ACAELE_Icorregida2($A$27,H107,BB107,BU107,CS107,CU107,$P$5)</f>
        <v/>
      </c>
      <c r="DA107" s="920">
        <f t="shared" si="127"/>
        <v>0.9</v>
      </c>
      <c r="DB107" s="921">
        <f t="shared" si="128"/>
        <v>0.43588989435406728</v>
      </c>
      <c r="DC107" s="922" t="str" cm="1">
        <f t="array" ref="DC107">[1]!ACAELE_CONDPORTCORRIENTE(H107,BB107,I107,M107,CY107,CZ107,N107,$P$5)</f>
        <v/>
      </c>
      <c r="DD107" s="923" t="str" cm="1">
        <f t="array" ref="DD107">[1]!ACAELE_CAPACONDCORRIENTE(BB107,H107,I107,M107,CY107,CZ107,$P$5)</f>
        <v/>
      </c>
      <c r="DE107" s="923" t="str" cm="1">
        <f t="array" ref="DE107">[1]!ACAELE_CAPACIDADCABLE(BB107,H107,I107,M107,DC107,N107,$P$5)</f>
        <v/>
      </c>
      <c r="DF107" s="924" t="str" cm="1">
        <f t="array" ref="DF107">[1]!ACAELE_encontrarcaida(BB107,H107,L107,BV107,F107,BU107,N107,K107)</f>
        <v/>
      </c>
      <c r="DG107" s="925" t="str" cm="1">
        <f t="array" ref="DG107">[1]!ACAELE_Cablecaida(BB107,H107,M107,I107,DF107)</f>
        <v/>
      </c>
      <c r="DH107" s="918" t="str" cm="1">
        <f t="array" ref="DH107">[1]!ACAELE_CAPACIDADCABLE(BB107,H107,I107,M107,DG107,N107,$P$5)</f>
        <v/>
      </c>
      <c r="DI107" s="926" t="str" cm="1">
        <f t="array" ref="DI107">IF($A$27=1,"",[1]!ACAELE_encontrarcaida(BB107,H107,R107,BV107,F107,BU107,T107,Q107,$P$5))</f>
        <v/>
      </c>
      <c r="DJ107" s="914" t="str" cm="1">
        <f t="array" ref="DJ107">IF($A$27=1,"",[1]!ACAELE_Cablecaida2(BB107,Q107,H107,S107,I107,DI107,$P$5))</f>
        <v/>
      </c>
      <c r="DK107" s="919" t="str" cm="1">
        <f t="array" ref="DK107">[1]!ACAELE_CAPACIDADCABLE(BB107,H107,I107,M107,DJ107,N107,$P$5)</f>
        <v/>
      </c>
      <c r="DL107" s="927" t="str" cm="1">
        <f t="array" ref="DL107">[1]!acaele_Iproteccion(BB107,H107,BU107,$F$20,$G$20,$F$19,$G$19,$H$20,$H$19,$P$5)</f>
        <v/>
      </c>
      <c r="DM107" s="928" cm="1">
        <f t="array" ref="DM107">[1]!acaele_ProtCalculada(CX107,H107,BT107,BW107,$G$21,$F$21,$H$21,$P$5)</f>
        <v>0</v>
      </c>
      <c r="DN107" s="929" t="str" cm="1">
        <f t="array" ref="DN107">[1]!ACAELE_cablecalculo(BB107,H107,I107,M107,EF107,$P$5)</f>
        <v/>
      </c>
      <c r="DO107" s="930" t="str" cm="1">
        <f t="array" ref="DO107">[1]!ACAELE_RESISTENCIA(BB107,H107,M107,I107,BX107, CW107,$P$5)</f>
        <v/>
      </c>
      <c r="DP107" s="931" t="str" cm="1">
        <f t="array" ref="DP107">[1]!ACAELE_REACTANCIA(BB107,H107,$F$11,M107,I107,BX107,$P$5)</f>
        <v/>
      </c>
      <c r="DQ107" s="918" t="str" cm="1">
        <f t="array" ref="DQ107">[1]!ACAELE_DIAMECAISLA(BB107,H107,I107,BX107,$P$5)</f>
        <v/>
      </c>
      <c r="DR107" s="918" t="str" cm="1">
        <f t="array" ref="DR107">[1]!ACAELE_AREACAISLAMIENTO(BB107,H107,DQ107,$P$5)</f>
        <v/>
      </c>
      <c r="DS107" s="918" t="str" cm="1">
        <f t="array" ref="DS107">[1]!ACAELE_CAIDAVOLTSFINAL(BB107,H107,F107,K107,BU107,N107,DO107,DA107,DP107,DB107,$P$5)</f>
        <v/>
      </c>
      <c r="DT107" s="918" t="str" cm="1">
        <f t="array" ref="DT107">[1]!ACAELE_AREACONDPTE(BB107,H107,CA107,$P$5)</f>
        <v/>
      </c>
      <c r="DU107" s="932" t="str" cm="1">
        <f t="array" ref="DU107">[1]!ACAELE_AREATOTAL(BZ107,M107,EO107,N107,DQ107,G107,DR107,DT107,N$20,$P$5)</f>
        <v/>
      </c>
      <c r="DV107" s="933" t="str" cm="1">
        <f t="array" ref="DV107">IF($A$27=1,"",[1]!ACAELE_cablecalculo(BB107,H107,I107,M107,EG107,$P$5))</f>
        <v/>
      </c>
      <c r="DW107" s="934" t="str" cm="1">
        <f t="array" ref="DW107">IF($A$27=1,"",[1]!ACAELE_RESISTENCIA(BB107,H107,M107,I107,CC107,CW107,$P$5))</f>
        <v/>
      </c>
      <c r="DX107" s="926" t="str" cm="1">
        <f t="array" ref="DX107">IF($A$27=1,"",[1]!ACAELE_REACTANCIA(BB107,H107,$F$11,M107,I107,CC107,$P$5))</f>
        <v/>
      </c>
      <c r="DY107" s="935" t="str" cm="1">
        <f t="array" ref="DY107">IF($A$27=1,"",[1]!ACAELE_DIAMECAISLA(BB107,H107,I107,CC107,$P$5))</f>
        <v/>
      </c>
      <c r="DZ107" s="935" t="str" cm="1">
        <f t="array" ref="DZ107">IF($A$27=1,"",[1]!ACAELE_AREACAISLAMIENTO(BB107,H107,DY107,$P$5))</f>
        <v/>
      </c>
      <c r="EA107" s="935" t="str" cm="1">
        <f t="array" ref="EA107">[1]!ACAELE_CAIDAVOLTSFINAL2(BB107,Q107,H107,F107,$A$27,BU107,T107,DW107,DA107,DX107,DB107)</f>
        <v/>
      </c>
      <c r="EB107" s="935" t="str" cm="1">
        <f t="array" ref="EB107">IF($A$27=1,"",[1]!ACAELE_AREACONDPTE(BB107,H107,CF107,$P$5))</f>
        <v/>
      </c>
      <c r="EC107" s="936" t="str" cm="1">
        <f t="array" ref="EC107">[1]!ACAELE_AREATOTAL2(H107,$A$27,DY107,S107,G107,T107,DZ107,U107,EB107)</f>
        <v/>
      </c>
      <c r="ED107" s="937" t="str">
        <f t="shared" si="129"/>
        <v/>
      </c>
      <c r="EE107" s="938" t="str">
        <f t="shared" si="130"/>
        <v/>
      </c>
      <c r="EF107" s="939" t="str">
        <f t="shared" si="131"/>
        <v/>
      </c>
      <c r="EG107" s="940">
        <f t="shared" si="132"/>
        <v>0</v>
      </c>
      <c r="EH107" s="941" t="str">
        <f t="shared" si="133"/>
        <v/>
      </c>
      <c r="EI107" s="942">
        <f t="shared" si="134"/>
        <v>30</v>
      </c>
      <c r="EJ107" s="943" t="str">
        <f t="shared" si="81"/>
        <v/>
      </c>
      <c r="EK107" s="943" t="str">
        <f t="shared" si="82"/>
        <v/>
      </c>
      <c r="EL107" s="943" t="str">
        <f t="shared" si="83"/>
        <v/>
      </c>
      <c r="EM107" s="944" t="str">
        <f t="shared" si="84"/>
        <v/>
      </c>
      <c r="EN107" s="945" t="str" cm="1">
        <f t="array" ref="EN107">[1]!ACAELE_MOTOR(H107,X107:BA107,$X$26:$BA$26,$P$5)</f>
        <v/>
      </c>
      <c r="EO107" s="550" t="str">
        <f t="shared" si="135"/>
        <v/>
      </c>
      <c r="EP107" s="431" t="s">
        <v>1214</v>
      </c>
      <c r="EQ107" s="434" t="str">
        <f t="shared" ca="1" si="136"/>
        <v/>
      </c>
      <c r="ER107" s="32"/>
      <c r="ES107" s="32"/>
      <c r="ET107" s="3" t="str">
        <f t="shared" si="137"/>
        <v/>
      </c>
      <c r="EU107" s="3" t="str">
        <f t="shared" si="138"/>
        <v/>
      </c>
      <c r="EV107" s="3" t="str">
        <f t="shared" si="139"/>
        <v/>
      </c>
      <c r="EW107" s="3" t="str">
        <f t="shared" si="140"/>
        <v/>
      </c>
      <c r="EX107" s="3" t="str">
        <f t="shared" si="141"/>
        <v/>
      </c>
      <c r="EY107" s="3" t="str">
        <f t="shared" si="142"/>
        <v/>
      </c>
      <c r="EZ107" s="3" t="str">
        <f t="shared" si="143"/>
        <v/>
      </c>
      <c r="FA107" s="3" t="str">
        <f t="shared" si="144"/>
        <v/>
      </c>
      <c r="FB107" s="3" t="str">
        <f t="shared" si="145"/>
        <v/>
      </c>
      <c r="FC107" s="3">
        <f t="shared" si="146"/>
        <v>0</v>
      </c>
      <c r="FD107" s="32"/>
      <c r="FE107" s="32"/>
      <c r="FF107" s="103">
        <v>1</v>
      </c>
      <c r="FG107" s="32"/>
      <c r="FH107" s="103"/>
      <c r="FI107" s="32"/>
      <c r="FJ107" s="103"/>
      <c r="FK107" s="3">
        <f t="shared" si="147"/>
        <v>0</v>
      </c>
      <c r="FL107" s="3" t="str" cm="1">
        <f t="array" aca="1" ref="FL107" ca="1">[1]!acaele_DIB_UNIFILAR(BB107,H107,F107,COUNTIF(X107:BA107,1),BW107)</f>
        <v/>
      </c>
      <c r="FM107" s="3" t="str">
        <f>IF(DATOS!$T$4=0,"",IF(DATOS!$T$4=1," (QO)",IF(DATOS!$T$4=2," (QOB)",IF(DATOS!$T$4=3," (EDB)",IF(DATOS!$T$4=4,IF(BW107&lt;151," (H"&amp;FN107&amp;")",IF(BW107&lt;251," (J"&amp;FN107&amp;")", IF(BW107&lt;401," (LA)",IF(BW107&lt;801," (MG)",IF(BW107&lt;5001," (POWERPACK)",""))))))))))</f>
        <v xml:space="preserve"> (QOB)</v>
      </c>
      <c r="FN107" s="3" t="str">
        <f t="shared" si="148"/>
        <v/>
      </c>
      <c r="FO107" s="146"/>
      <c r="FP107" s="146"/>
      <c r="FQ107" s="146"/>
      <c r="FR107" s="146"/>
      <c r="FS107" s="146"/>
      <c r="FT107" s="146"/>
      <c r="FU107" s="146"/>
      <c r="FV107" s="146"/>
      <c r="FW107" s="146"/>
      <c r="FX107" s="146" t="str">
        <f t="shared" si="79"/>
        <v/>
      </c>
      <c r="FY107" s="736"/>
      <c r="FZ107" s="740"/>
      <c r="GA107" s="740"/>
      <c r="GB107" s="717"/>
      <c r="GC107" s="838"/>
      <c r="GD107" s="736"/>
      <c r="GE107" s="146"/>
      <c r="GF107" s="506"/>
      <c r="GG107" s="506"/>
      <c r="GH107" s="506"/>
      <c r="GI107" s="506"/>
      <c r="GJ107" s="506"/>
      <c r="GM107" s="3">
        <f>IF(OR(GN107&gt;TABLERO!$M$19,GO107&gt;TABLERO!$M$19,GP107&gt;TABLERO!$M$19,B107=0,C107=0,D107=0),2,CUADROACAD!A107)</f>
        <v>2</v>
      </c>
      <c r="GN107" s="3">
        <f>IF(TABLERO!B107="",0,TABLERO!B107)</f>
        <v>77</v>
      </c>
      <c r="GO107" s="3">
        <f>IF(TABLERO!C107="",GN107,TABLERO!C107)</f>
        <v>77</v>
      </c>
      <c r="GP107" s="3">
        <f>IF(TABLERO!D107="",GN107,TABLERO!D107)</f>
        <v>77</v>
      </c>
    </row>
    <row r="108" spans="1:198" s="3" customFormat="1">
      <c r="A108" s="706"/>
      <c r="B108" s="869">
        <v>78</v>
      </c>
      <c r="C108" s="870" t="str">
        <f t="shared" si="85"/>
        <v/>
      </c>
      <c r="D108" s="870" t="str">
        <f t="shared" si="86"/>
        <v/>
      </c>
      <c r="E108" s="871"/>
      <c r="F108" s="872">
        <v>1</v>
      </c>
      <c r="G108" s="716">
        <f t="shared" si="87"/>
        <v>2</v>
      </c>
      <c r="H108" s="873" t="s">
        <v>12</v>
      </c>
      <c r="I108" s="874" t="str">
        <f t="shared" si="88"/>
        <v>CU</v>
      </c>
      <c r="J108" s="875">
        <v>6</v>
      </c>
      <c r="K108" s="876">
        <v>10</v>
      </c>
      <c r="L108" s="876">
        <v>3</v>
      </c>
      <c r="M108" s="877">
        <v>1</v>
      </c>
      <c r="N108" s="877">
        <v>1</v>
      </c>
      <c r="O108" s="878">
        <v>1</v>
      </c>
      <c r="P108" s="879">
        <v>4</v>
      </c>
      <c r="Q108" s="880">
        <v>1</v>
      </c>
      <c r="R108" s="880">
        <v>1</v>
      </c>
      <c r="S108" s="881">
        <v>1</v>
      </c>
      <c r="T108" s="881">
        <v>1</v>
      </c>
      <c r="U108" s="882">
        <v>1</v>
      </c>
      <c r="V108" s="883">
        <v>1</v>
      </c>
      <c r="W108" s="874" t="str">
        <f t="shared" si="89"/>
        <v>SI</v>
      </c>
      <c r="X108" s="884"/>
      <c r="Y108" s="885"/>
      <c r="Z108" s="885"/>
      <c r="AA108" s="885"/>
      <c r="AB108" s="885"/>
      <c r="AC108" s="885"/>
      <c r="AD108" s="885"/>
      <c r="AE108" s="885"/>
      <c r="AF108" s="885"/>
      <c r="AG108" s="885"/>
      <c r="AH108" s="885"/>
      <c r="AI108" s="885"/>
      <c r="AJ108" s="885"/>
      <c r="AK108" s="885"/>
      <c r="AL108" s="885"/>
      <c r="AM108" s="885"/>
      <c r="AN108" s="885"/>
      <c r="AO108" s="885"/>
      <c r="AP108" s="885"/>
      <c r="AQ108" s="885"/>
      <c r="AR108" s="885"/>
      <c r="AS108" s="885"/>
      <c r="AT108" s="885"/>
      <c r="AU108" s="885"/>
      <c r="AV108" s="885"/>
      <c r="AW108" s="885"/>
      <c r="AX108" s="885"/>
      <c r="AY108" s="885"/>
      <c r="AZ108" s="885"/>
      <c r="BA108" s="886"/>
      <c r="BB108" s="887">
        <f t="shared" si="90"/>
        <v>0</v>
      </c>
      <c r="BC108" s="888" t="str">
        <f t="shared" si="91"/>
        <v/>
      </c>
      <c r="BD108" s="889" t="str">
        <f t="shared" si="92"/>
        <v/>
      </c>
      <c r="BE108" s="889" t="str">
        <f t="shared" si="93"/>
        <v/>
      </c>
      <c r="BF108" s="889" t="str">
        <f t="shared" si="94"/>
        <v/>
      </c>
      <c r="BG108" s="889" t="str">
        <f t="shared" si="95"/>
        <v/>
      </c>
      <c r="BH108" s="889" t="str">
        <f t="shared" si="96"/>
        <v/>
      </c>
      <c r="BI108" s="890" t="str">
        <f t="shared" si="97"/>
        <v/>
      </c>
      <c r="BJ108" s="891" t="str">
        <f t="shared" si="98"/>
        <v/>
      </c>
      <c r="BK108" s="892" t="str">
        <f t="shared" si="99"/>
        <v/>
      </c>
      <c r="BL108" s="892" t="str">
        <f t="shared" si="100"/>
        <v/>
      </c>
      <c r="BM108" s="892" t="str">
        <f t="shared" si="101"/>
        <v/>
      </c>
      <c r="BN108" s="892" t="str">
        <f t="shared" si="102"/>
        <v/>
      </c>
      <c r="BO108" s="892" t="str">
        <f t="shared" si="103"/>
        <v/>
      </c>
      <c r="BP108" s="893" t="str">
        <f t="shared" si="104"/>
        <v/>
      </c>
      <c r="BQ108" s="894" t="str">
        <f t="shared" si="105"/>
        <v/>
      </c>
      <c r="BR108" s="895" t="str">
        <f t="shared" si="80"/>
        <v/>
      </c>
      <c r="BS108" s="896" t="str">
        <f t="shared" si="106"/>
        <v/>
      </c>
      <c r="BT108" s="897" t="str">
        <f t="shared" si="107"/>
        <v/>
      </c>
      <c r="BU108" s="231" t="str">
        <f t="shared" si="108"/>
        <v/>
      </c>
      <c r="BV108" s="898">
        <f t="shared" si="109"/>
        <v>127</v>
      </c>
      <c r="BW108" s="845" t="str">
        <f t="shared" si="110"/>
        <v/>
      </c>
      <c r="BX108" s="899" t="str">
        <f t="shared" si="111"/>
        <v/>
      </c>
      <c r="BY108" s="900" t="str" cm="1">
        <f t="array" ref="BY108">[1]!ACAELE_CAPACIDADCABLE(BB108,H108,I108,M108,BX108,N108)</f>
        <v/>
      </c>
      <c r="BZ108" s="900" t="str">
        <f t="shared" si="112"/>
        <v/>
      </c>
      <c r="CA108" s="901" t="str" cm="1">
        <f t="array" ref="CA108">[1]!ACAELE_cabledetierra(BZ108,$N$9,I108,BW108,BX108,G108)</f>
        <v/>
      </c>
      <c r="CB108" s="902" t="str" cm="1">
        <f t="array" ref="CB108">[1]!ACAELE_TAMATUBERIA(BX108,DU108,$N$9,M108,I108)</f>
        <v/>
      </c>
      <c r="CC108" s="846" t="str">
        <f t="shared" si="113"/>
        <v/>
      </c>
      <c r="CD108" s="903" t="str" cm="1">
        <f t="array" ref="CD108">[1]!ACAELE_CAPACIDADCABLE(BB108,H108,I108,M108,CC108,N108)</f>
        <v/>
      </c>
      <c r="CE108" s="903" t="str">
        <f t="shared" si="114"/>
        <v/>
      </c>
      <c r="CF108" s="904" t="str" cm="1">
        <f t="array" ref="CF108">[1]!ACAELE_cabledetierra(CE108,$N$9,I108,BW108,CC108,G108)</f>
        <v/>
      </c>
      <c r="CG108" s="905" t="str" cm="1">
        <f t="array" ref="CG108">[1]!ACAELE_TAMATUBERIA(CC108,EC108,$N$9,S108,I108)</f>
        <v/>
      </c>
      <c r="CH108" s="906" t="str">
        <f t="shared" si="115"/>
        <v/>
      </c>
      <c r="CI108" s="510" t="str">
        <f t="shared" si="116"/>
        <v>-</v>
      </c>
      <c r="CJ108" s="511" t="str">
        <f t="shared" si="117"/>
        <v>-</v>
      </c>
      <c r="CK108" s="512" t="str">
        <f t="shared" si="118"/>
        <v>-</v>
      </c>
      <c r="CL108" s="907" t="str">
        <f t="shared" si="119"/>
        <v>-</v>
      </c>
      <c r="CM108" s="908" t="str">
        <f t="shared" si="120"/>
        <v>-</v>
      </c>
      <c r="CN108" s="909" t="str">
        <f t="shared" si="121"/>
        <v>-</v>
      </c>
      <c r="CO108" s="910" t="str" cm="1">
        <f t="array" ref="CO108">[1]!ACAELE_fasecorresponde(B108,$F$10,$P$5)</f>
        <v>C</v>
      </c>
      <c r="CP108" s="910" t="str" cm="1">
        <f t="array" ref="CP108">[1]!ACAELE_fasecorresponde(C108,$F$10,$P$5)</f>
        <v>-</v>
      </c>
      <c r="CQ108" s="910" t="str" cm="1">
        <f t="array" ref="CQ108">[1]!ACAELE_fasecorresponde(D108,$F$10,$P$5)</f>
        <v>-</v>
      </c>
      <c r="CR108" s="911" t="str">
        <f t="shared" si="122"/>
        <v>C</v>
      </c>
      <c r="CS108" s="912">
        <f t="shared" si="123"/>
        <v>1</v>
      </c>
      <c r="CT108" s="913">
        <f t="shared" si="124"/>
        <v>0.8</v>
      </c>
      <c r="CU108" s="914" t="str">
        <f t="shared" si="125"/>
        <v/>
      </c>
      <c r="CV108" s="915">
        <f t="shared" si="126"/>
        <v>0</v>
      </c>
      <c r="CW108" s="916" t="str" cm="1">
        <f t="array" ref="CW108">[1]!ACAELE_Inominal(BB108,F108,BT108,BV108,DA108,G108,V108,$P$5)</f>
        <v/>
      </c>
      <c r="CX108" s="917" t="str" cm="1">
        <f t="array" ref="CX108">[1]!ACAELE_Disparocalculado(BB108,H108,DL108,$N$21,$M$21,$O$21,BV108,$P$5)</f>
        <v/>
      </c>
      <c r="CY108" s="918" t="str" cm="1">
        <f t="array" ref="CY108">[1]!ACAELE_Icorregida($A$27,H108,BB108,BU108,CS108,CT108,$P$5)</f>
        <v/>
      </c>
      <c r="CZ108" s="919" t="str" cm="1">
        <f t="array" ref="CZ108">[1]!ACAELE_Icorregida2($A$27,H108,BB108,BU108,CS108,CU108,$P$5)</f>
        <v/>
      </c>
      <c r="DA108" s="920">
        <f t="shared" si="127"/>
        <v>0.9</v>
      </c>
      <c r="DB108" s="921">
        <f t="shared" si="128"/>
        <v>0.43588989435406728</v>
      </c>
      <c r="DC108" s="922" t="str" cm="1">
        <f t="array" ref="DC108">[1]!ACAELE_CONDPORTCORRIENTE(H108,BB108,I108,M108,CY108,CZ108,N108,$P$5)</f>
        <v/>
      </c>
      <c r="DD108" s="923" t="str" cm="1">
        <f t="array" ref="DD108">[1]!ACAELE_CAPACONDCORRIENTE(BB108,H108,I108,M108,CY108,CZ108,$P$5)</f>
        <v/>
      </c>
      <c r="DE108" s="923" t="str" cm="1">
        <f t="array" ref="DE108">[1]!ACAELE_CAPACIDADCABLE(BB108,H108,I108,M108,DC108,N108,$P$5)</f>
        <v/>
      </c>
      <c r="DF108" s="924" t="str" cm="1">
        <f t="array" ref="DF108">[1]!ACAELE_encontrarcaida(BB108,H108,L108,BV108,F108,BU108,N108,K108)</f>
        <v/>
      </c>
      <c r="DG108" s="925" t="str" cm="1">
        <f t="array" ref="DG108">[1]!ACAELE_Cablecaida(BB108,H108,M108,I108,DF108)</f>
        <v/>
      </c>
      <c r="DH108" s="918" t="str" cm="1">
        <f t="array" ref="DH108">[1]!ACAELE_CAPACIDADCABLE(BB108,H108,I108,M108,DG108,N108,$P$5)</f>
        <v/>
      </c>
      <c r="DI108" s="926" t="str" cm="1">
        <f t="array" ref="DI108">IF($A$27=1,"",[1]!ACAELE_encontrarcaida(BB108,H108,R108,BV108,F108,BU108,T108,Q108,$P$5))</f>
        <v/>
      </c>
      <c r="DJ108" s="914" t="str" cm="1">
        <f t="array" ref="DJ108">IF($A$27=1,"",[1]!ACAELE_Cablecaida2(BB108,Q108,H108,S108,I108,DI108,$P$5))</f>
        <v/>
      </c>
      <c r="DK108" s="919" t="str" cm="1">
        <f t="array" ref="DK108">[1]!ACAELE_CAPACIDADCABLE(BB108,H108,I108,M108,DJ108,N108,$P$5)</f>
        <v/>
      </c>
      <c r="DL108" s="927" t="str" cm="1">
        <f t="array" ref="DL108">[1]!acaele_Iproteccion(BB108,H108,BU108,$F$20,$G$20,$F$19,$G$19,$H$20,$H$19,$P$5)</f>
        <v/>
      </c>
      <c r="DM108" s="928" cm="1">
        <f t="array" ref="DM108">[1]!acaele_ProtCalculada(CX108,H108,BT108,BW108,$G$21,$F$21,$H$21,$P$5)</f>
        <v>0</v>
      </c>
      <c r="DN108" s="929" t="str" cm="1">
        <f t="array" ref="DN108">[1]!ACAELE_cablecalculo(BB108,H108,I108,M108,EF108,$P$5)</f>
        <v/>
      </c>
      <c r="DO108" s="930" t="str" cm="1">
        <f t="array" ref="DO108">[1]!ACAELE_RESISTENCIA(BB108,H108,M108,I108,BX108, CW108,$P$5)</f>
        <v/>
      </c>
      <c r="DP108" s="931" t="str" cm="1">
        <f t="array" ref="DP108">[1]!ACAELE_REACTANCIA(BB108,H108,$F$11,M108,I108,BX108,$P$5)</f>
        <v/>
      </c>
      <c r="DQ108" s="918" t="str" cm="1">
        <f t="array" ref="DQ108">[1]!ACAELE_DIAMECAISLA(BB108,H108,I108,BX108,$P$5)</f>
        <v/>
      </c>
      <c r="DR108" s="918" t="str" cm="1">
        <f t="array" ref="DR108">[1]!ACAELE_AREACAISLAMIENTO(BB108,H108,DQ108,$P$5)</f>
        <v/>
      </c>
      <c r="DS108" s="918" t="str" cm="1">
        <f t="array" ref="DS108">[1]!ACAELE_CAIDAVOLTSFINAL(BB108,H108,F108,K108,BU108,N108,DO108,DA108,DP108,DB108,$P$5)</f>
        <v/>
      </c>
      <c r="DT108" s="918" t="str" cm="1">
        <f t="array" ref="DT108">[1]!ACAELE_AREACONDPTE(BB108,H108,CA108,$P$5)</f>
        <v/>
      </c>
      <c r="DU108" s="932" t="str" cm="1">
        <f t="array" ref="DU108">[1]!ACAELE_AREATOTAL(BZ108,M108,EO108,N108,DQ108,G108,DR108,DT108,N$20,$P$5)</f>
        <v/>
      </c>
      <c r="DV108" s="933" t="str" cm="1">
        <f t="array" ref="DV108">IF($A$27=1,"",[1]!ACAELE_cablecalculo(BB108,H108,I108,M108,EG108,$P$5))</f>
        <v/>
      </c>
      <c r="DW108" s="934" t="str" cm="1">
        <f t="array" ref="DW108">IF($A$27=1,"",[1]!ACAELE_RESISTENCIA(BB108,H108,M108,I108,CC108,CW108,$P$5))</f>
        <v/>
      </c>
      <c r="DX108" s="926" t="str" cm="1">
        <f t="array" ref="DX108">IF($A$27=1,"",[1]!ACAELE_REACTANCIA(BB108,H108,$F$11,M108,I108,CC108,$P$5))</f>
        <v/>
      </c>
      <c r="DY108" s="935" t="str" cm="1">
        <f t="array" ref="DY108">IF($A$27=1,"",[1]!ACAELE_DIAMECAISLA(BB108,H108,I108,CC108,$P$5))</f>
        <v/>
      </c>
      <c r="DZ108" s="935" t="str" cm="1">
        <f t="array" ref="DZ108">IF($A$27=1,"",[1]!ACAELE_AREACAISLAMIENTO(BB108,H108,DY108,$P$5))</f>
        <v/>
      </c>
      <c r="EA108" s="935" t="str" cm="1">
        <f t="array" ref="EA108">[1]!ACAELE_CAIDAVOLTSFINAL2(BB108,Q108,H108,F108,$A$27,BU108,T108,DW108,DA108,DX108,DB108)</f>
        <v/>
      </c>
      <c r="EB108" s="935" t="str" cm="1">
        <f t="array" ref="EB108">IF($A$27=1,"",[1]!ACAELE_AREACONDPTE(BB108,H108,CF108,$P$5))</f>
        <v/>
      </c>
      <c r="EC108" s="936" t="str" cm="1">
        <f t="array" ref="EC108">[1]!ACAELE_AREATOTAL2(H108,$A$27,DY108,S108,G108,T108,DZ108,U108,EB108)</f>
        <v/>
      </c>
      <c r="ED108" s="937" t="str">
        <f t="shared" si="129"/>
        <v/>
      </c>
      <c r="EE108" s="938" t="str">
        <f t="shared" si="130"/>
        <v/>
      </c>
      <c r="EF108" s="939" t="str">
        <f t="shared" si="131"/>
        <v/>
      </c>
      <c r="EG108" s="940">
        <f t="shared" si="132"/>
        <v>0</v>
      </c>
      <c r="EH108" s="941" t="str">
        <f t="shared" si="133"/>
        <v/>
      </c>
      <c r="EI108" s="942">
        <f t="shared" si="134"/>
        <v>30</v>
      </c>
      <c r="EJ108" s="943" t="str">
        <f t="shared" si="81"/>
        <v/>
      </c>
      <c r="EK108" s="943" t="str">
        <f t="shared" si="82"/>
        <v/>
      </c>
      <c r="EL108" s="943" t="str">
        <f t="shared" si="83"/>
        <v/>
      </c>
      <c r="EM108" s="944" t="str">
        <f t="shared" si="84"/>
        <v/>
      </c>
      <c r="EN108" s="945" t="str" cm="1">
        <f t="array" ref="EN108">[1]!ACAELE_MOTOR(H108,X108:BA108,$X$26:$BA$26,$P$5)</f>
        <v/>
      </c>
      <c r="EO108" s="550" t="str">
        <f t="shared" si="135"/>
        <v/>
      </c>
      <c r="EP108" s="431" t="s">
        <v>1214</v>
      </c>
      <c r="EQ108" s="434" t="str">
        <f t="shared" ca="1" si="136"/>
        <v/>
      </c>
      <c r="ER108" s="32"/>
      <c r="ES108" s="32"/>
      <c r="ET108" s="3" t="str">
        <f t="shared" si="137"/>
        <v/>
      </c>
      <c r="EU108" s="3" t="str">
        <f t="shared" si="138"/>
        <v/>
      </c>
      <c r="EV108" s="3" t="str">
        <f t="shared" si="139"/>
        <v/>
      </c>
      <c r="EW108" s="3" t="str">
        <f t="shared" si="140"/>
        <v/>
      </c>
      <c r="EX108" s="3" t="str">
        <f t="shared" si="141"/>
        <v/>
      </c>
      <c r="EY108" s="3" t="str">
        <f t="shared" si="142"/>
        <v/>
      </c>
      <c r="EZ108" s="3" t="str">
        <f t="shared" si="143"/>
        <v/>
      </c>
      <c r="FA108" s="3" t="str">
        <f t="shared" si="144"/>
        <v/>
      </c>
      <c r="FB108" s="3" t="str">
        <f t="shared" si="145"/>
        <v/>
      </c>
      <c r="FC108" s="3">
        <f t="shared" si="146"/>
        <v>0</v>
      </c>
      <c r="FD108" s="32"/>
      <c r="FE108" s="32"/>
      <c r="FF108" s="103">
        <v>1</v>
      </c>
      <c r="FG108" s="32"/>
      <c r="FH108" s="103"/>
      <c r="FI108" s="32"/>
      <c r="FJ108" s="103"/>
      <c r="FK108" s="3">
        <f t="shared" si="147"/>
        <v>0</v>
      </c>
      <c r="FL108" s="3" t="str" cm="1">
        <f t="array" aca="1" ref="FL108" ca="1">[1]!acaele_DIB_UNIFILAR(BB108,H108,F108,COUNTIF(X108:BA108,1),BW108)</f>
        <v/>
      </c>
      <c r="FM108" s="3" t="str">
        <f>IF(DATOS!$T$4=0,"",IF(DATOS!$T$4=1," (QO)",IF(DATOS!$T$4=2," (QOB)",IF(DATOS!$T$4=3," (EDB)",IF(DATOS!$T$4=4,IF(BW108&lt;151," (H"&amp;FN108&amp;")",IF(BW108&lt;251," (J"&amp;FN108&amp;")", IF(BW108&lt;401," (LA)",IF(BW108&lt;801," (MG)",IF(BW108&lt;5001," (POWERPACK)",""))))))))))</f>
        <v xml:space="preserve"> (QOB)</v>
      </c>
      <c r="FN108" s="3" t="str">
        <f t="shared" si="148"/>
        <v/>
      </c>
      <c r="FO108" s="146"/>
      <c r="FP108" s="146"/>
      <c r="FQ108" s="146"/>
      <c r="FR108" s="146"/>
      <c r="FS108" s="146"/>
      <c r="FT108" s="146"/>
      <c r="FU108" s="146"/>
      <c r="FV108" s="146"/>
      <c r="FW108" s="146"/>
      <c r="FX108" s="146" t="str">
        <f t="shared" si="79"/>
        <v/>
      </c>
      <c r="FY108" s="736"/>
      <c r="FZ108" s="740"/>
      <c r="GA108" s="740"/>
      <c r="GB108" s="717"/>
      <c r="GC108" s="838"/>
      <c r="GD108" s="736"/>
      <c r="GE108" s="146"/>
      <c r="GF108" s="506"/>
      <c r="GG108" s="506"/>
      <c r="GH108" s="506"/>
      <c r="GI108" s="506"/>
      <c r="GJ108" s="506"/>
      <c r="GM108" s="3">
        <f>IF(OR(GN108&gt;TABLERO!$M$19,GO108&gt;TABLERO!$M$19,GP108&gt;TABLERO!$M$19,B108=0,C108=0,D108=0),2,CUADROACAD!A108)</f>
        <v>2</v>
      </c>
      <c r="GN108" s="3">
        <f>IF(TABLERO!B108="",0,TABLERO!B108)</f>
        <v>78</v>
      </c>
      <c r="GO108" s="3">
        <f>IF(TABLERO!C108="",GN108,TABLERO!C108)</f>
        <v>78</v>
      </c>
      <c r="GP108" s="3">
        <f>IF(TABLERO!D108="",GN108,TABLERO!D108)</f>
        <v>78</v>
      </c>
    </row>
    <row r="109" spans="1:198" s="3" customFormat="1">
      <c r="A109" s="706"/>
      <c r="B109" s="869">
        <v>79</v>
      </c>
      <c r="C109" s="870" t="str">
        <f t="shared" si="85"/>
        <v/>
      </c>
      <c r="D109" s="870" t="str">
        <f t="shared" si="86"/>
        <v/>
      </c>
      <c r="E109" s="871"/>
      <c r="F109" s="872">
        <v>1</v>
      </c>
      <c r="G109" s="716">
        <f t="shared" si="87"/>
        <v>2</v>
      </c>
      <c r="H109" s="873" t="s">
        <v>12</v>
      </c>
      <c r="I109" s="874" t="str">
        <f t="shared" si="88"/>
        <v>CU</v>
      </c>
      <c r="J109" s="875">
        <v>6</v>
      </c>
      <c r="K109" s="876">
        <v>10</v>
      </c>
      <c r="L109" s="876">
        <v>3</v>
      </c>
      <c r="M109" s="877">
        <v>1</v>
      </c>
      <c r="N109" s="877">
        <v>1</v>
      </c>
      <c r="O109" s="878">
        <v>1</v>
      </c>
      <c r="P109" s="879">
        <v>4</v>
      </c>
      <c r="Q109" s="880">
        <v>1</v>
      </c>
      <c r="R109" s="880">
        <v>1</v>
      </c>
      <c r="S109" s="881">
        <v>1</v>
      </c>
      <c r="T109" s="881">
        <v>1</v>
      </c>
      <c r="U109" s="882">
        <v>1</v>
      </c>
      <c r="V109" s="883">
        <v>1</v>
      </c>
      <c r="W109" s="874" t="str">
        <f t="shared" si="89"/>
        <v>SI</v>
      </c>
      <c r="X109" s="884"/>
      <c r="Y109" s="885"/>
      <c r="Z109" s="885"/>
      <c r="AA109" s="885"/>
      <c r="AB109" s="885"/>
      <c r="AC109" s="885"/>
      <c r="AD109" s="885"/>
      <c r="AE109" s="885"/>
      <c r="AF109" s="885"/>
      <c r="AG109" s="885"/>
      <c r="AH109" s="885"/>
      <c r="AI109" s="885"/>
      <c r="AJ109" s="885"/>
      <c r="AK109" s="885"/>
      <c r="AL109" s="885"/>
      <c r="AM109" s="885"/>
      <c r="AN109" s="885"/>
      <c r="AO109" s="885"/>
      <c r="AP109" s="885"/>
      <c r="AQ109" s="885"/>
      <c r="AR109" s="885"/>
      <c r="AS109" s="885"/>
      <c r="AT109" s="885"/>
      <c r="AU109" s="885"/>
      <c r="AV109" s="885"/>
      <c r="AW109" s="885"/>
      <c r="AX109" s="885"/>
      <c r="AY109" s="885"/>
      <c r="AZ109" s="885"/>
      <c r="BA109" s="886"/>
      <c r="BB109" s="887">
        <f t="shared" si="90"/>
        <v>0</v>
      </c>
      <c r="BC109" s="888" t="str">
        <f t="shared" si="91"/>
        <v/>
      </c>
      <c r="BD109" s="889" t="str">
        <f t="shared" si="92"/>
        <v/>
      </c>
      <c r="BE109" s="889" t="str">
        <f t="shared" si="93"/>
        <v/>
      </c>
      <c r="BF109" s="889" t="str">
        <f t="shared" si="94"/>
        <v/>
      </c>
      <c r="BG109" s="889" t="str">
        <f t="shared" si="95"/>
        <v/>
      </c>
      <c r="BH109" s="889" t="str">
        <f t="shared" si="96"/>
        <v/>
      </c>
      <c r="BI109" s="890" t="str">
        <f t="shared" si="97"/>
        <v/>
      </c>
      <c r="BJ109" s="891" t="str">
        <f t="shared" si="98"/>
        <v/>
      </c>
      <c r="BK109" s="892" t="str">
        <f t="shared" si="99"/>
        <v/>
      </c>
      <c r="BL109" s="892" t="str">
        <f t="shared" si="100"/>
        <v/>
      </c>
      <c r="BM109" s="892" t="str">
        <f t="shared" si="101"/>
        <v/>
      </c>
      <c r="BN109" s="892" t="str">
        <f t="shared" si="102"/>
        <v/>
      </c>
      <c r="BO109" s="892" t="str">
        <f t="shared" si="103"/>
        <v/>
      </c>
      <c r="BP109" s="893" t="str">
        <f t="shared" si="104"/>
        <v/>
      </c>
      <c r="BQ109" s="894" t="str">
        <f t="shared" si="105"/>
        <v/>
      </c>
      <c r="BR109" s="895" t="str">
        <f t="shared" si="80"/>
        <v/>
      </c>
      <c r="BS109" s="896" t="str">
        <f t="shared" si="106"/>
        <v/>
      </c>
      <c r="BT109" s="897" t="str">
        <f t="shared" si="107"/>
        <v/>
      </c>
      <c r="BU109" s="231" t="str">
        <f t="shared" si="108"/>
        <v/>
      </c>
      <c r="BV109" s="898">
        <f t="shared" si="109"/>
        <v>127</v>
      </c>
      <c r="BW109" s="845" t="str">
        <f t="shared" si="110"/>
        <v/>
      </c>
      <c r="BX109" s="899" t="str">
        <f t="shared" si="111"/>
        <v/>
      </c>
      <c r="BY109" s="900" t="str" cm="1">
        <f t="array" ref="BY109">[1]!ACAELE_CAPACIDADCABLE(BB109,H109,I109,M109,BX109,N109)</f>
        <v/>
      </c>
      <c r="BZ109" s="900" t="str">
        <f t="shared" si="112"/>
        <v/>
      </c>
      <c r="CA109" s="901" t="str" cm="1">
        <f t="array" ref="CA109">[1]!ACAELE_cabledetierra(BZ109,$N$9,I109,BW109,BX109,G109)</f>
        <v/>
      </c>
      <c r="CB109" s="902" t="str" cm="1">
        <f t="array" ref="CB109">[1]!ACAELE_TAMATUBERIA(BX109,DU109,$N$9,M109,I109)</f>
        <v/>
      </c>
      <c r="CC109" s="846" t="str">
        <f t="shared" si="113"/>
        <v/>
      </c>
      <c r="CD109" s="903" t="str" cm="1">
        <f t="array" ref="CD109">[1]!ACAELE_CAPACIDADCABLE(BB109,H109,I109,M109,CC109,N109)</f>
        <v/>
      </c>
      <c r="CE109" s="903" t="str">
        <f t="shared" si="114"/>
        <v/>
      </c>
      <c r="CF109" s="904" t="str" cm="1">
        <f t="array" ref="CF109">[1]!ACAELE_cabledetierra(CE109,$N$9,I109,BW109,CC109,G109)</f>
        <v/>
      </c>
      <c r="CG109" s="905" t="str" cm="1">
        <f t="array" ref="CG109">[1]!ACAELE_TAMATUBERIA(CC109,EC109,$N$9,S109,I109)</f>
        <v/>
      </c>
      <c r="CH109" s="906" t="str">
        <f t="shared" si="115"/>
        <v/>
      </c>
      <c r="CI109" s="510" t="str">
        <f t="shared" si="116"/>
        <v>-</v>
      </c>
      <c r="CJ109" s="511" t="str">
        <f t="shared" si="117"/>
        <v>-</v>
      </c>
      <c r="CK109" s="512" t="str">
        <f t="shared" si="118"/>
        <v>-</v>
      </c>
      <c r="CL109" s="907" t="str">
        <f t="shared" si="119"/>
        <v>-</v>
      </c>
      <c r="CM109" s="908" t="str">
        <f t="shared" si="120"/>
        <v>-</v>
      </c>
      <c r="CN109" s="909" t="str">
        <f t="shared" si="121"/>
        <v>-</v>
      </c>
      <c r="CO109" s="910" t="str" cm="1">
        <f t="array" ref="CO109">[1]!ACAELE_fasecorresponde(B109,$F$10,$P$5)</f>
        <v>A</v>
      </c>
      <c r="CP109" s="910" t="str" cm="1">
        <f t="array" ref="CP109">[1]!ACAELE_fasecorresponde(C109,$F$10,$P$5)</f>
        <v>-</v>
      </c>
      <c r="CQ109" s="910" t="str" cm="1">
        <f t="array" ref="CQ109">[1]!ACAELE_fasecorresponde(D109,$F$10,$P$5)</f>
        <v>-</v>
      </c>
      <c r="CR109" s="911" t="str">
        <f t="shared" si="122"/>
        <v>C</v>
      </c>
      <c r="CS109" s="912">
        <f t="shared" si="123"/>
        <v>1</v>
      </c>
      <c r="CT109" s="913">
        <f t="shared" si="124"/>
        <v>0.8</v>
      </c>
      <c r="CU109" s="914" t="str">
        <f t="shared" si="125"/>
        <v/>
      </c>
      <c r="CV109" s="915">
        <f t="shared" si="126"/>
        <v>0</v>
      </c>
      <c r="CW109" s="916" t="str" cm="1">
        <f t="array" ref="CW109">[1]!ACAELE_Inominal(BB109,F109,BT109,BV109,DA109,G109,V109,$P$5)</f>
        <v/>
      </c>
      <c r="CX109" s="917" t="str" cm="1">
        <f t="array" ref="CX109">[1]!ACAELE_Disparocalculado(BB109,H109,DL109,$N$21,$M$21,$O$21,BV109,$P$5)</f>
        <v/>
      </c>
      <c r="CY109" s="918" t="str" cm="1">
        <f t="array" ref="CY109">[1]!ACAELE_Icorregida($A$27,H109,BB109,BU109,CS109,CT109,$P$5)</f>
        <v/>
      </c>
      <c r="CZ109" s="919" t="str" cm="1">
        <f t="array" ref="CZ109">[1]!ACAELE_Icorregida2($A$27,H109,BB109,BU109,CS109,CU109,$P$5)</f>
        <v/>
      </c>
      <c r="DA109" s="920">
        <f t="shared" si="127"/>
        <v>0.9</v>
      </c>
      <c r="DB109" s="921">
        <f t="shared" si="128"/>
        <v>0.43588989435406728</v>
      </c>
      <c r="DC109" s="922" t="str" cm="1">
        <f t="array" ref="DC109">[1]!ACAELE_CONDPORTCORRIENTE(H109,BB109,I109,M109,CY109,CZ109,N109,$P$5)</f>
        <v/>
      </c>
      <c r="DD109" s="923" t="str" cm="1">
        <f t="array" ref="DD109">[1]!ACAELE_CAPACONDCORRIENTE(BB109,H109,I109,M109,CY109,CZ109,$P$5)</f>
        <v/>
      </c>
      <c r="DE109" s="923" t="str" cm="1">
        <f t="array" ref="DE109">[1]!ACAELE_CAPACIDADCABLE(BB109,H109,I109,M109,DC109,N109,$P$5)</f>
        <v/>
      </c>
      <c r="DF109" s="924" t="str" cm="1">
        <f t="array" ref="DF109">[1]!ACAELE_encontrarcaida(BB109,H109,L109,BV109,F109,BU109,N109,K109)</f>
        <v/>
      </c>
      <c r="DG109" s="925" t="str" cm="1">
        <f t="array" ref="DG109">[1]!ACAELE_Cablecaida(BB109,H109,M109,I109,DF109)</f>
        <v/>
      </c>
      <c r="DH109" s="918" t="str" cm="1">
        <f t="array" ref="DH109">[1]!ACAELE_CAPACIDADCABLE(BB109,H109,I109,M109,DG109,N109,$P$5)</f>
        <v/>
      </c>
      <c r="DI109" s="926" t="str" cm="1">
        <f t="array" ref="DI109">IF($A$27=1,"",[1]!ACAELE_encontrarcaida(BB109,H109,R109,BV109,F109,BU109,T109,Q109,$P$5))</f>
        <v/>
      </c>
      <c r="DJ109" s="914" t="str" cm="1">
        <f t="array" ref="DJ109">IF($A$27=1,"",[1]!ACAELE_Cablecaida2(BB109,Q109,H109,S109,I109,DI109,$P$5))</f>
        <v/>
      </c>
      <c r="DK109" s="919" t="str" cm="1">
        <f t="array" ref="DK109">[1]!ACAELE_CAPACIDADCABLE(BB109,H109,I109,M109,DJ109,N109,$P$5)</f>
        <v/>
      </c>
      <c r="DL109" s="927" t="str" cm="1">
        <f t="array" ref="DL109">[1]!acaele_Iproteccion(BB109,H109,BU109,$F$20,$G$20,$F$19,$G$19,$H$20,$H$19,$P$5)</f>
        <v/>
      </c>
      <c r="DM109" s="928" cm="1">
        <f t="array" ref="DM109">[1]!acaele_ProtCalculada(CX109,H109,BT109,BW109,$G$21,$F$21,$H$21,$P$5)</f>
        <v>0</v>
      </c>
      <c r="DN109" s="929" t="str" cm="1">
        <f t="array" ref="DN109">[1]!ACAELE_cablecalculo(BB109,H109,I109,M109,EF109,$P$5)</f>
        <v/>
      </c>
      <c r="DO109" s="930" t="str" cm="1">
        <f t="array" ref="DO109">[1]!ACAELE_RESISTENCIA(BB109,H109,M109,I109,BX109, CW109,$P$5)</f>
        <v/>
      </c>
      <c r="DP109" s="931" t="str" cm="1">
        <f t="array" ref="DP109">[1]!ACAELE_REACTANCIA(BB109,H109,$F$11,M109,I109,BX109,$P$5)</f>
        <v/>
      </c>
      <c r="DQ109" s="918" t="str" cm="1">
        <f t="array" ref="DQ109">[1]!ACAELE_DIAMECAISLA(BB109,H109,I109,BX109,$P$5)</f>
        <v/>
      </c>
      <c r="DR109" s="918" t="str" cm="1">
        <f t="array" ref="DR109">[1]!ACAELE_AREACAISLAMIENTO(BB109,H109,DQ109,$P$5)</f>
        <v/>
      </c>
      <c r="DS109" s="918" t="str" cm="1">
        <f t="array" ref="DS109">[1]!ACAELE_CAIDAVOLTSFINAL(BB109,H109,F109,K109,BU109,N109,DO109,DA109,DP109,DB109,$P$5)</f>
        <v/>
      </c>
      <c r="DT109" s="918" t="str" cm="1">
        <f t="array" ref="DT109">[1]!ACAELE_AREACONDPTE(BB109,H109,CA109,$P$5)</f>
        <v/>
      </c>
      <c r="DU109" s="932" t="str" cm="1">
        <f t="array" ref="DU109">[1]!ACAELE_AREATOTAL(BZ109,M109,EO109,N109,DQ109,G109,DR109,DT109,N$20,$P$5)</f>
        <v/>
      </c>
      <c r="DV109" s="933" t="str" cm="1">
        <f t="array" ref="DV109">IF($A$27=1,"",[1]!ACAELE_cablecalculo(BB109,H109,I109,M109,EG109,$P$5))</f>
        <v/>
      </c>
      <c r="DW109" s="934" t="str" cm="1">
        <f t="array" ref="DW109">IF($A$27=1,"",[1]!ACAELE_RESISTENCIA(BB109,H109,M109,I109,CC109,CW109,$P$5))</f>
        <v/>
      </c>
      <c r="DX109" s="926" t="str" cm="1">
        <f t="array" ref="DX109">IF($A$27=1,"",[1]!ACAELE_REACTANCIA(BB109,H109,$F$11,M109,I109,CC109,$P$5))</f>
        <v/>
      </c>
      <c r="DY109" s="935" t="str" cm="1">
        <f t="array" ref="DY109">IF($A$27=1,"",[1]!ACAELE_DIAMECAISLA(BB109,H109,I109,CC109,$P$5))</f>
        <v/>
      </c>
      <c r="DZ109" s="935" t="str" cm="1">
        <f t="array" ref="DZ109">IF($A$27=1,"",[1]!ACAELE_AREACAISLAMIENTO(BB109,H109,DY109,$P$5))</f>
        <v/>
      </c>
      <c r="EA109" s="935" t="str" cm="1">
        <f t="array" ref="EA109">[1]!ACAELE_CAIDAVOLTSFINAL2(BB109,Q109,H109,F109,$A$27,BU109,T109,DW109,DA109,DX109,DB109)</f>
        <v/>
      </c>
      <c r="EB109" s="935" t="str" cm="1">
        <f t="array" ref="EB109">IF($A$27=1,"",[1]!ACAELE_AREACONDPTE(BB109,H109,CF109,$P$5))</f>
        <v/>
      </c>
      <c r="EC109" s="936" t="str" cm="1">
        <f t="array" ref="EC109">[1]!ACAELE_AREATOTAL2(H109,$A$27,DY109,S109,G109,T109,DZ109,U109,EB109)</f>
        <v/>
      </c>
      <c r="ED109" s="937" t="str">
        <f t="shared" si="129"/>
        <v/>
      </c>
      <c r="EE109" s="938" t="str">
        <f t="shared" si="130"/>
        <v/>
      </c>
      <c r="EF109" s="939" t="str">
        <f t="shared" si="131"/>
        <v/>
      </c>
      <c r="EG109" s="940">
        <f t="shared" si="132"/>
        <v>0</v>
      </c>
      <c r="EH109" s="941" t="str">
        <f t="shared" si="133"/>
        <v/>
      </c>
      <c r="EI109" s="942">
        <f t="shared" si="134"/>
        <v>30</v>
      </c>
      <c r="EJ109" s="943" t="str">
        <f t="shared" si="81"/>
        <v/>
      </c>
      <c r="EK109" s="943" t="str">
        <f t="shared" si="82"/>
        <v/>
      </c>
      <c r="EL109" s="943" t="str">
        <f t="shared" si="83"/>
        <v/>
      </c>
      <c r="EM109" s="944" t="str">
        <f t="shared" si="84"/>
        <v/>
      </c>
      <c r="EN109" s="945" t="str" cm="1">
        <f t="array" ref="EN109">[1]!ACAELE_MOTOR(H109,X109:BA109,$X$26:$BA$26,$P$5)</f>
        <v/>
      </c>
      <c r="EO109" s="550" t="str">
        <f t="shared" si="135"/>
        <v/>
      </c>
      <c r="EP109" s="431" t="s">
        <v>1214</v>
      </c>
      <c r="EQ109" s="434" t="str">
        <f t="shared" ca="1" si="136"/>
        <v/>
      </c>
      <c r="ER109" s="32"/>
      <c r="ES109" s="32"/>
      <c r="ET109" s="3" t="str">
        <f t="shared" si="137"/>
        <v/>
      </c>
      <c r="EU109" s="3" t="str">
        <f t="shared" si="138"/>
        <v/>
      </c>
      <c r="EV109" s="3" t="str">
        <f t="shared" si="139"/>
        <v/>
      </c>
      <c r="EW109" s="3" t="str">
        <f t="shared" si="140"/>
        <v/>
      </c>
      <c r="EX109" s="3" t="str">
        <f t="shared" si="141"/>
        <v/>
      </c>
      <c r="EY109" s="3" t="str">
        <f t="shared" si="142"/>
        <v/>
      </c>
      <c r="EZ109" s="3" t="str">
        <f t="shared" si="143"/>
        <v/>
      </c>
      <c r="FA109" s="3" t="str">
        <f t="shared" si="144"/>
        <v/>
      </c>
      <c r="FB109" s="3" t="str">
        <f t="shared" si="145"/>
        <v/>
      </c>
      <c r="FC109" s="3">
        <f t="shared" si="146"/>
        <v>0</v>
      </c>
      <c r="FD109" s="32"/>
      <c r="FE109" s="32"/>
      <c r="FF109" s="103">
        <v>1</v>
      </c>
      <c r="FG109" s="32"/>
      <c r="FH109" s="103"/>
      <c r="FI109" s="32"/>
      <c r="FJ109" s="103"/>
      <c r="FK109" s="3">
        <f t="shared" si="147"/>
        <v>0</v>
      </c>
      <c r="FL109" s="3" t="str" cm="1">
        <f t="array" aca="1" ref="FL109" ca="1">[1]!acaele_DIB_UNIFILAR(BB109,H109,F109,COUNTIF(X109:BA109,1),BW109)</f>
        <v/>
      </c>
      <c r="FM109" s="3" t="str">
        <f>IF(DATOS!$T$4=0,"",IF(DATOS!$T$4=1," (QO)",IF(DATOS!$T$4=2," (QOB)",IF(DATOS!$T$4=3," (EDB)",IF(DATOS!$T$4=4,IF(BW109&lt;151," (H"&amp;FN109&amp;")",IF(BW109&lt;251," (J"&amp;FN109&amp;")", IF(BW109&lt;401," (LA)",IF(BW109&lt;801," (MG)",IF(BW109&lt;5001," (POWERPACK)",""))))))))))</f>
        <v xml:space="preserve"> (QOB)</v>
      </c>
      <c r="FN109" s="3" t="str">
        <f t="shared" si="148"/>
        <v/>
      </c>
      <c r="FO109" s="146"/>
      <c r="FP109" s="146"/>
      <c r="FQ109" s="146"/>
      <c r="FR109" s="146"/>
      <c r="FS109" s="146"/>
      <c r="FT109" s="146"/>
      <c r="FU109" s="146"/>
      <c r="FV109" s="146"/>
      <c r="FW109" s="146"/>
      <c r="FX109" s="146" t="str">
        <f t="shared" si="79"/>
        <v/>
      </c>
      <c r="FY109" s="736"/>
      <c r="FZ109" s="740"/>
      <c r="GA109" s="740"/>
      <c r="GB109" s="717"/>
      <c r="GC109" s="838"/>
      <c r="GD109" s="736"/>
      <c r="GE109" s="146"/>
      <c r="GF109" s="506"/>
      <c r="GG109" s="506"/>
      <c r="GH109" s="506"/>
      <c r="GI109" s="506"/>
      <c r="GJ109" s="506"/>
      <c r="GM109" s="3">
        <f>IF(OR(GN109&gt;TABLERO!$M$19,GO109&gt;TABLERO!$M$19,GP109&gt;TABLERO!$M$19,B109=0,C109=0,D109=0),2,CUADROACAD!A109)</f>
        <v>2</v>
      </c>
      <c r="GN109" s="3">
        <f>IF(TABLERO!B109="",0,TABLERO!B109)</f>
        <v>79</v>
      </c>
      <c r="GO109" s="3">
        <f>IF(TABLERO!C109="",GN109,TABLERO!C109)</f>
        <v>79</v>
      </c>
      <c r="GP109" s="3">
        <f>IF(TABLERO!D109="",GN109,TABLERO!D109)</f>
        <v>79</v>
      </c>
    </row>
    <row r="110" spans="1:198" s="3" customFormat="1">
      <c r="A110" s="706"/>
      <c r="B110" s="869">
        <v>80</v>
      </c>
      <c r="C110" s="870" t="str">
        <f t="shared" si="85"/>
        <v/>
      </c>
      <c r="D110" s="870" t="str">
        <f t="shared" si="86"/>
        <v/>
      </c>
      <c r="E110" s="871"/>
      <c r="F110" s="872">
        <v>1</v>
      </c>
      <c r="G110" s="716">
        <f t="shared" si="87"/>
        <v>2</v>
      </c>
      <c r="H110" s="873" t="s">
        <v>12</v>
      </c>
      <c r="I110" s="874" t="str">
        <f t="shared" si="88"/>
        <v>CU</v>
      </c>
      <c r="J110" s="875">
        <v>6</v>
      </c>
      <c r="K110" s="876">
        <v>10</v>
      </c>
      <c r="L110" s="876">
        <v>3</v>
      </c>
      <c r="M110" s="877">
        <v>1</v>
      </c>
      <c r="N110" s="877">
        <v>1</v>
      </c>
      <c r="O110" s="878">
        <v>1</v>
      </c>
      <c r="P110" s="879">
        <v>4</v>
      </c>
      <c r="Q110" s="880">
        <v>1</v>
      </c>
      <c r="R110" s="880">
        <v>1</v>
      </c>
      <c r="S110" s="881">
        <v>1</v>
      </c>
      <c r="T110" s="881">
        <v>1</v>
      </c>
      <c r="U110" s="882">
        <v>1</v>
      </c>
      <c r="V110" s="883">
        <v>1</v>
      </c>
      <c r="W110" s="874" t="str">
        <f t="shared" si="89"/>
        <v>SI</v>
      </c>
      <c r="X110" s="884"/>
      <c r="Y110" s="885"/>
      <c r="Z110" s="885"/>
      <c r="AA110" s="885"/>
      <c r="AB110" s="885"/>
      <c r="AC110" s="885"/>
      <c r="AD110" s="885"/>
      <c r="AE110" s="885"/>
      <c r="AF110" s="885"/>
      <c r="AG110" s="885"/>
      <c r="AH110" s="885"/>
      <c r="AI110" s="885"/>
      <c r="AJ110" s="885"/>
      <c r="AK110" s="885"/>
      <c r="AL110" s="885"/>
      <c r="AM110" s="885"/>
      <c r="AN110" s="885"/>
      <c r="AO110" s="885"/>
      <c r="AP110" s="885"/>
      <c r="AQ110" s="885"/>
      <c r="AR110" s="885"/>
      <c r="AS110" s="885"/>
      <c r="AT110" s="885"/>
      <c r="AU110" s="885"/>
      <c r="AV110" s="885"/>
      <c r="AW110" s="885"/>
      <c r="AX110" s="885"/>
      <c r="AY110" s="885"/>
      <c r="AZ110" s="885"/>
      <c r="BA110" s="886"/>
      <c r="BB110" s="887">
        <f t="shared" si="90"/>
        <v>0</v>
      </c>
      <c r="BC110" s="888" t="str">
        <f t="shared" si="91"/>
        <v/>
      </c>
      <c r="BD110" s="889" t="str">
        <f t="shared" si="92"/>
        <v/>
      </c>
      <c r="BE110" s="889" t="str">
        <f t="shared" si="93"/>
        <v/>
      </c>
      <c r="BF110" s="889" t="str">
        <f t="shared" si="94"/>
        <v/>
      </c>
      <c r="BG110" s="889" t="str">
        <f t="shared" si="95"/>
        <v/>
      </c>
      <c r="BH110" s="889" t="str">
        <f t="shared" si="96"/>
        <v/>
      </c>
      <c r="BI110" s="890" t="str">
        <f t="shared" si="97"/>
        <v/>
      </c>
      <c r="BJ110" s="891" t="str">
        <f t="shared" si="98"/>
        <v/>
      </c>
      <c r="BK110" s="892" t="str">
        <f t="shared" si="99"/>
        <v/>
      </c>
      <c r="BL110" s="892" t="str">
        <f t="shared" si="100"/>
        <v/>
      </c>
      <c r="BM110" s="892" t="str">
        <f t="shared" si="101"/>
        <v/>
      </c>
      <c r="BN110" s="892" t="str">
        <f t="shared" si="102"/>
        <v/>
      </c>
      <c r="BO110" s="892" t="str">
        <f t="shared" si="103"/>
        <v/>
      </c>
      <c r="BP110" s="893" t="str">
        <f t="shared" si="104"/>
        <v/>
      </c>
      <c r="BQ110" s="894" t="str">
        <f t="shared" si="105"/>
        <v/>
      </c>
      <c r="BR110" s="895" t="str">
        <f t="shared" si="80"/>
        <v/>
      </c>
      <c r="BS110" s="896" t="str">
        <f t="shared" si="106"/>
        <v/>
      </c>
      <c r="BT110" s="897" t="str">
        <f t="shared" si="107"/>
        <v/>
      </c>
      <c r="BU110" s="231" t="str">
        <f t="shared" si="108"/>
        <v/>
      </c>
      <c r="BV110" s="898">
        <f t="shared" si="109"/>
        <v>127</v>
      </c>
      <c r="BW110" s="845" t="str">
        <f t="shared" si="110"/>
        <v/>
      </c>
      <c r="BX110" s="899" t="str">
        <f t="shared" si="111"/>
        <v/>
      </c>
      <c r="BY110" s="900" t="str" cm="1">
        <f t="array" ref="BY110">[1]!ACAELE_CAPACIDADCABLE(BB110,H110,I110,M110,BX110,N110)</f>
        <v/>
      </c>
      <c r="BZ110" s="900" t="str">
        <f t="shared" si="112"/>
        <v/>
      </c>
      <c r="CA110" s="901" t="str" cm="1">
        <f t="array" ref="CA110">[1]!ACAELE_cabledetierra(BZ110,$N$9,I110,BW110,BX110,G110)</f>
        <v/>
      </c>
      <c r="CB110" s="902" t="str" cm="1">
        <f t="array" ref="CB110">[1]!ACAELE_TAMATUBERIA(BX110,DU110,$N$9,M110,I110)</f>
        <v/>
      </c>
      <c r="CC110" s="846" t="str">
        <f t="shared" si="113"/>
        <v/>
      </c>
      <c r="CD110" s="903" t="str" cm="1">
        <f t="array" ref="CD110">[1]!ACAELE_CAPACIDADCABLE(BB110,H110,I110,M110,CC110,N110)</f>
        <v/>
      </c>
      <c r="CE110" s="903" t="str">
        <f t="shared" si="114"/>
        <v/>
      </c>
      <c r="CF110" s="904" t="str" cm="1">
        <f t="array" ref="CF110">[1]!ACAELE_cabledetierra(CE110,$N$9,I110,BW110,CC110,G110)</f>
        <v/>
      </c>
      <c r="CG110" s="905" t="str" cm="1">
        <f t="array" ref="CG110">[1]!ACAELE_TAMATUBERIA(CC110,EC110,$N$9,S110,I110)</f>
        <v/>
      </c>
      <c r="CH110" s="906" t="str">
        <f t="shared" si="115"/>
        <v/>
      </c>
      <c r="CI110" s="510" t="str">
        <f t="shared" si="116"/>
        <v>-</v>
      </c>
      <c r="CJ110" s="511" t="str">
        <f t="shared" si="117"/>
        <v>-</v>
      </c>
      <c r="CK110" s="512" t="str">
        <f t="shared" si="118"/>
        <v>-</v>
      </c>
      <c r="CL110" s="907" t="str">
        <f t="shared" si="119"/>
        <v>-</v>
      </c>
      <c r="CM110" s="908" t="str">
        <f t="shared" si="120"/>
        <v>-</v>
      </c>
      <c r="CN110" s="909" t="str">
        <f t="shared" si="121"/>
        <v>-</v>
      </c>
      <c r="CO110" s="910" t="str" cm="1">
        <f t="array" ref="CO110">[1]!ACAELE_fasecorresponde(B110,$F$10,$P$5)</f>
        <v>A</v>
      </c>
      <c r="CP110" s="910" t="str" cm="1">
        <f t="array" ref="CP110">[1]!ACAELE_fasecorresponde(C110,$F$10,$P$5)</f>
        <v>-</v>
      </c>
      <c r="CQ110" s="910" t="str" cm="1">
        <f t="array" ref="CQ110">[1]!ACAELE_fasecorresponde(D110,$F$10,$P$5)</f>
        <v>-</v>
      </c>
      <c r="CR110" s="911" t="str">
        <f t="shared" si="122"/>
        <v>C</v>
      </c>
      <c r="CS110" s="912">
        <f t="shared" si="123"/>
        <v>1</v>
      </c>
      <c r="CT110" s="913">
        <f t="shared" si="124"/>
        <v>0.8</v>
      </c>
      <c r="CU110" s="914" t="str">
        <f t="shared" si="125"/>
        <v/>
      </c>
      <c r="CV110" s="915">
        <f t="shared" si="126"/>
        <v>0</v>
      </c>
      <c r="CW110" s="916" t="str" cm="1">
        <f t="array" ref="CW110">[1]!ACAELE_Inominal(BB110,F110,BT110,BV110,DA110,G110,V110,$P$5)</f>
        <v/>
      </c>
      <c r="CX110" s="917" t="str" cm="1">
        <f t="array" ref="CX110">[1]!ACAELE_Disparocalculado(BB110,H110,DL110,$N$21,$M$21,$O$21,BV110,$P$5)</f>
        <v/>
      </c>
      <c r="CY110" s="918" t="str" cm="1">
        <f t="array" ref="CY110">[1]!ACAELE_Icorregida($A$27,H110,BB110,BU110,CS110,CT110,$P$5)</f>
        <v/>
      </c>
      <c r="CZ110" s="919" t="str" cm="1">
        <f t="array" ref="CZ110">[1]!ACAELE_Icorregida2($A$27,H110,BB110,BU110,CS110,CU110,$P$5)</f>
        <v/>
      </c>
      <c r="DA110" s="920">
        <f t="shared" si="127"/>
        <v>0.9</v>
      </c>
      <c r="DB110" s="921">
        <f t="shared" si="128"/>
        <v>0.43588989435406728</v>
      </c>
      <c r="DC110" s="922" t="str" cm="1">
        <f t="array" ref="DC110">[1]!ACAELE_CONDPORTCORRIENTE(H110,BB110,I110,M110,CY110,CZ110,N110,$P$5)</f>
        <v/>
      </c>
      <c r="DD110" s="923" t="str" cm="1">
        <f t="array" ref="DD110">[1]!ACAELE_CAPACONDCORRIENTE(BB110,H110,I110,M110,CY110,CZ110,$P$5)</f>
        <v/>
      </c>
      <c r="DE110" s="923" t="str" cm="1">
        <f t="array" ref="DE110">[1]!ACAELE_CAPACIDADCABLE(BB110,H110,I110,M110,DC110,N110,$P$5)</f>
        <v/>
      </c>
      <c r="DF110" s="924" t="str" cm="1">
        <f t="array" ref="DF110">[1]!ACAELE_encontrarcaida(BB110,H110,L110,BV110,F110,BU110,N110,K110)</f>
        <v/>
      </c>
      <c r="DG110" s="925" t="str" cm="1">
        <f t="array" ref="DG110">[1]!ACAELE_Cablecaida(BB110,H110,M110,I110,DF110)</f>
        <v/>
      </c>
      <c r="DH110" s="918" t="str" cm="1">
        <f t="array" ref="DH110">[1]!ACAELE_CAPACIDADCABLE(BB110,H110,I110,M110,DG110,N110,$P$5)</f>
        <v/>
      </c>
      <c r="DI110" s="926" t="str" cm="1">
        <f t="array" ref="DI110">IF($A$27=1,"",[1]!ACAELE_encontrarcaida(BB110,H110,R110,BV110,F110,BU110,T110,Q110,$P$5))</f>
        <v/>
      </c>
      <c r="DJ110" s="914" t="str" cm="1">
        <f t="array" ref="DJ110">IF($A$27=1,"",[1]!ACAELE_Cablecaida2(BB110,Q110,H110,S110,I110,DI110,$P$5))</f>
        <v/>
      </c>
      <c r="DK110" s="919" t="str" cm="1">
        <f t="array" ref="DK110">[1]!ACAELE_CAPACIDADCABLE(BB110,H110,I110,M110,DJ110,N110,$P$5)</f>
        <v/>
      </c>
      <c r="DL110" s="927" t="str" cm="1">
        <f t="array" ref="DL110">[1]!acaele_Iproteccion(BB110,H110,BU110,$F$20,$G$20,$F$19,$G$19,$H$20,$H$19,$P$5)</f>
        <v/>
      </c>
      <c r="DM110" s="928" cm="1">
        <f t="array" ref="DM110">[1]!acaele_ProtCalculada(CX110,H110,BT110,BW110,$G$21,$F$21,$H$21,$P$5)</f>
        <v>0</v>
      </c>
      <c r="DN110" s="929" t="str" cm="1">
        <f t="array" ref="DN110">[1]!ACAELE_cablecalculo(BB110,H110,I110,M110,EF110,$P$5)</f>
        <v/>
      </c>
      <c r="DO110" s="930" t="str" cm="1">
        <f t="array" ref="DO110">[1]!ACAELE_RESISTENCIA(BB110,H110,M110,I110,BX110, CW110,$P$5)</f>
        <v/>
      </c>
      <c r="DP110" s="931" t="str" cm="1">
        <f t="array" ref="DP110">[1]!ACAELE_REACTANCIA(BB110,H110,$F$11,M110,I110,BX110,$P$5)</f>
        <v/>
      </c>
      <c r="DQ110" s="918" t="str" cm="1">
        <f t="array" ref="DQ110">[1]!ACAELE_DIAMECAISLA(BB110,H110,I110,BX110,$P$5)</f>
        <v/>
      </c>
      <c r="DR110" s="918" t="str" cm="1">
        <f t="array" ref="DR110">[1]!ACAELE_AREACAISLAMIENTO(BB110,H110,DQ110,$P$5)</f>
        <v/>
      </c>
      <c r="DS110" s="918" t="str" cm="1">
        <f t="array" ref="DS110">[1]!ACAELE_CAIDAVOLTSFINAL(BB110,H110,F110,K110,BU110,N110,DO110,DA110,DP110,DB110,$P$5)</f>
        <v/>
      </c>
      <c r="DT110" s="918" t="str" cm="1">
        <f t="array" ref="DT110">[1]!ACAELE_AREACONDPTE(BB110,H110,CA110,$P$5)</f>
        <v/>
      </c>
      <c r="DU110" s="932" t="str" cm="1">
        <f t="array" ref="DU110">[1]!ACAELE_AREATOTAL(BZ110,M110,EO110,N110,DQ110,G110,DR110,DT110,N$20,$P$5)</f>
        <v/>
      </c>
      <c r="DV110" s="933" t="str" cm="1">
        <f t="array" ref="DV110">IF($A$27=1,"",[1]!ACAELE_cablecalculo(BB110,H110,I110,M110,EG110,$P$5))</f>
        <v/>
      </c>
      <c r="DW110" s="934" t="str" cm="1">
        <f t="array" ref="DW110">IF($A$27=1,"",[1]!ACAELE_RESISTENCIA(BB110,H110,M110,I110,CC110,CW110,$P$5))</f>
        <v/>
      </c>
      <c r="DX110" s="926" t="str" cm="1">
        <f t="array" ref="DX110">IF($A$27=1,"",[1]!ACAELE_REACTANCIA(BB110,H110,$F$11,M110,I110,CC110,$P$5))</f>
        <v/>
      </c>
      <c r="DY110" s="935" t="str" cm="1">
        <f t="array" ref="DY110">IF($A$27=1,"",[1]!ACAELE_DIAMECAISLA(BB110,H110,I110,CC110,$P$5))</f>
        <v/>
      </c>
      <c r="DZ110" s="935" t="str" cm="1">
        <f t="array" ref="DZ110">IF($A$27=1,"",[1]!ACAELE_AREACAISLAMIENTO(BB110,H110,DY110,$P$5))</f>
        <v/>
      </c>
      <c r="EA110" s="935" t="str" cm="1">
        <f t="array" ref="EA110">[1]!ACAELE_CAIDAVOLTSFINAL2(BB110,Q110,H110,F110,$A$27,BU110,T110,DW110,DA110,DX110,DB110)</f>
        <v/>
      </c>
      <c r="EB110" s="935" t="str" cm="1">
        <f t="array" ref="EB110">IF($A$27=1,"",[1]!ACAELE_AREACONDPTE(BB110,H110,CF110,$P$5))</f>
        <v/>
      </c>
      <c r="EC110" s="936" t="str" cm="1">
        <f t="array" ref="EC110">[1]!ACAELE_AREATOTAL2(H110,$A$27,DY110,S110,G110,T110,DZ110,U110,EB110)</f>
        <v/>
      </c>
      <c r="ED110" s="937" t="str">
        <f t="shared" si="129"/>
        <v/>
      </c>
      <c r="EE110" s="938" t="str">
        <f t="shared" si="130"/>
        <v/>
      </c>
      <c r="EF110" s="939" t="str">
        <f t="shared" si="131"/>
        <v/>
      </c>
      <c r="EG110" s="940">
        <f t="shared" si="132"/>
        <v>0</v>
      </c>
      <c r="EH110" s="941" t="str">
        <f t="shared" si="133"/>
        <v/>
      </c>
      <c r="EI110" s="942">
        <f t="shared" si="134"/>
        <v>30</v>
      </c>
      <c r="EJ110" s="943" t="str">
        <f t="shared" si="81"/>
        <v/>
      </c>
      <c r="EK110" s="943" t="str">
        <f t="shared" si="82"/>
        <v/>
      </c>
      <c r="EL110" s="943" t="str">
        <f t="shared" si="83"/>
        <v/>
      </c>
      <c r="EM110" s="944" t="str">
        <f t="shared" si="84"/>
        <v/>
      </c>
      <c r="EN110" s="945" t="str" cm="1">
        <f t="array" ref="EN110">[1]!ACAELE_MOTOR(H110,X110:BA110,$X$26:$BA$26,$P$5)</f>
        <v/>
      </c>
      <c r="EO110" s="550" t="str">
        <f t="shared" si="135"/>
        <v/>
      </c>
      <c r="EP110" s="431" t="s">
        <v>1214</v>
      </c>
      <c r="EQ110" s="434" t="str">
        <f t="shared" ca="1" si="136"/>
        <v/>
      </c>
      <c r="ER110" s="32"/>
      <c r="ES110" s="32"/>
      <c r="ET110" s="3" t="str">
        <f t="shared" si="137"/>
        <v/>
      </c>
      <c r="EU110" s="3" t="str">
        <f t="shared" si="138"/>
        <v/>
      </c>
      <c r="EV110" s="3" t="str">
        <f t="shared" si="139"/>
        <v/>
      </c>
      <c r="EW110" s="3" t="str">
        <f t="shared" si="140"/>
        <v/>
      </c>
      <c r="EX110" s="3" t="str">
        <f t="shared" si="141"/>
        <v/>
      </c>
      <c r="EY110" s="3" t="str">
        <f t="shared" si="142"/>
        <v/>
      </c>
      <c r="EZ110" s="3" t="str">
        <f t="shared" si="143"/>
        <v/>
      </c>
      <c r="FA110" s="3" t="str">
        <f t="shared" si="144"/>
        <v/>
      </c>
      <c r="FB110" s="3" t="str">
        <f t="shared" si="145"/>
        <v/>
      </c>
      <c r="FC110" s="3">
        <f t="shared" si="146"/>
        <v>0</v>
      </c>
      <c r="FD110" s="32"/>
      <c r="FE110" s="32"/>
      <c r="FF110" s="103">
        <v>1</v>
      </c>
      <c r="FG110" s="32"/>
      <c r="FH110" s="103"/>
      <c r="FI110" s="32"/>
      <c r="FJ110" s="103"/>
      <c r="FK110" s="3">
        <f t="shared" si="147"/>
        <v>0</v>
      </c>
      <c r="FL110" s="3" t="str" cm="1">
        <f t="array" aca="1" ref="FL110" ca="1">[1]!acaele_DIB_UNIFILAR(BB110,H110,F110,COUNTIF(X110:BA110,1),BW110)</f>
        <v/>
      </c>
      <c r="FM110" s="3" t="str">
        <f>IF(DATOS!$T$4=0,"",IF(DATOS!$T$4=1," (QO)",IF(DATOS!$T$4=2," (QOB)",IF(DATOS!$T$4=3," (EDB)",IF(DATOS!$T$4=4,IF(BW110&lt;151," (H"&amp;FN110&amp;")",IF(BW110&lt;251," (J"&amp;FN110&amp;")", IF(BW110&lt;401," (LA)",IF(BW110&lt;801," (MG)",IF(BW110&lt;5001," (POWERPACK)",""))))))))))</f>
        <v xml:space="preserve"> (QOB)</v>
      </c>
      <c r="FN110" s="3" t="str">
        <f t="shared" si="148"/>
        <v/>
      </c>
      <c r="FO110" s="146"/>
      <c r="FP110" s="146"/>
      <c r="FQ110" s="146"/>
      <c r="FR110" s="146"/>
      <c r="FS110" s="146"/>
      <c r="FT110" s="146"/>
      <c r="FU110" s="146"/>
      <c r="FV110" s="146"/>
      <c r="FW110" s="146"/>
      <c r="FX110" s="146" t="str">
        <f t="shared" si="79"/>
        <v/>
      </c>
      <c r="FY110" s="736"/>
      <c r="FZ110" s="740"/>
      <c r="GA110" s="740"/>
      <c r="GB110" s="717"/>
      <c r="GC110" s="838"/>
      <c r="GD110" s="736"/>
      <c r="GE110" s="146"/>
      <c r="GF110" s="506"/>
      <c r="GG110" s="506"/>
      <c r="GH110" s="506"/>
      <c r="GI110" s="506"/>
      <c r="GJ110" s="506"/>
      <c r="GM110" s="3">
        <f>IF(OR(GN110&gt;TABLERO!$M$19,GO110&gt;TABLERO!$M$19,GP110&gt;TABLERO!$M$19,B110=0,C110=0,D110=0),2,CUADROACAD!A110)</f>
        <v>2</v>
      </c>
      <c r="GN110" s="3">
        <f>IF(TABLERO!B110="",0,TABLERO!B110)</f>
        <v>80</v>
      </c>
      <c r="GO110" s="3">
        <f>IF(TABLERO!C110="",GN110,TABLERO!C110)</f>
        <v>80</v>
      </c>
      <c r="GP110" s="3">
        <f>IF(TABLERO!D110="",GN110,TABLERO!D110)</f>
        <v>80</v>
      </c>
    </row>
    <row r="111" spans="1:198" s="3" customFormat="1">
      <c r="A111" s="706"/>
      <c r="B111" s="869">
        <v>81</v>
      </c>
      <c r="C111" s="870" t="str">
        <f t="shared" si="85"/>
        <v/>
      </c>
      <c r="D111" s="870" t="str">
        <f t="shared" si="86"/>
        <v/>
      </c>
      <c r="E111" s="871"/>
      <c r="F111" s="872">
        <v>1</v>
      </c>
      <c r="G111" s="716">
        <f t="shared" si="87"/>
        <v>2</v>
      </c>
      <c r="H111" s="873" t="s">
        <v>12</v>
      </c>
      <c r="I111" s="874" t="str">
        <f t="shared" si="88"/>
        <v>CU</v>
      </c>
      <c r="J111" s="875">
        <v>6</v>
      </c>
      <c r="K111" s="876">
        <v>10</v>
      </c>
      <c r="L111" s="876">
        <v>3</v>
      </c>
      <c r="M111" s="877">
        <v>1</v>
      </c>
      <c r="N111" s="877">
        <v>1</v>
      </c>
      <c r="O111" s="878">
        <v>1</v>
      </c>
      <c r="P111" s="879">
        <v>4</v>
      </c>
      <c r="Q111" s="880">
        <v>1</v>
      </c>
      <c r="R111" s="880">
        <v>1</v>
      </c>
      <c r="S111" s="881">
        <v>1</v>
      </c>
      <c r="T111" s="881">
        <v>1</v>
      </c>
      <c r="U111" s="882">
        <v>1</v>
      </c>
      <c r="V111" s="883">
        <v>1</v>
      </c>
      <c r="W111" s="874" t="str">
        <f t="shared" si="89"/>
        <v>SI</v>
      </c>
      <c r="X111" s="884"/>
      <c r="Y111" s="885"/>
      <c r="Z111" s="885"/>
      <c r="AA111" s="885"/>
      <c r="AB111" s="885"/>
      <c r="AC111" s="885"/>
      <c r="AD111" s="885"/>
      <c r="AE111" s="885"/>
      <c r="AF111" s="885"/>
      <c r="AG111" s="885"/>
      <c r="AH111" s="885"/>
      <c r="AI111" s="885"/>
      <c r="AJ111" s="885"/>
      <c r="AK111" s="885"/>
      <c r="AL111" s="885"/>
      <c r="AM111" s="885"/>
      <c r="AN111" s="885"/>
      <c r="AO111" s="885"/>
      <c r="AP111" s="885"/>
      <c r="AQ111" s="885"/>
      <c r="AR111" s="885"/>
      <c r="AS111" s="885"/>
      <c r="AT111" s="885"/>
      <c r="AU111" s="885"/>
      <c r="AV111" s="885"/>
      <c r="AW111" s="885"/>
      <c r="AX111" s="885"/>
      <c r="AY111" s="885"/>
      <c r="AZ111" s="885"/>
      <c r="BA111" s="886"/>
      <c r="BB111" s="887">
        <f t="shared" si="90"/>
        <v>0</v>
      </c>
      <c r="BC111" s="888" t="str">
        <f t="shared" si="91"/>
        <v/>
      </c>
      <c r="BD111" s="889" t="str">
        <f t="shared" si="92"/>
        <v/>
      </c>
      <c r="BE111" s="889" t="str">
        <f t="shared" si="93"/>
        <v/>
      </c>
      <c r="BF111" s="889" t="str">
        <f t="shared" si="94"/>
        <v/>
      </c>
      <c r="BG111" s="889" t="str">
        <f t="shared" si="95"/>
        <v/>
      </c>
      <c r="BH111" s="889" t="str">
        <f t="shared" si="96"/>
        <v/>
      </c>
      <c r="BI111" s="890" t="str">
        <f t="shared" si="97"/>
        <v/>
      </c>
      <c r="BJ111" s="891" t="str">
        <f t="shared" si="98"/>
        <v/>
      </c>
      <c r="BK111" s="892" t="str">
        <f t="shared" si="99"/>
        <v/>
      </c>
      <c r="BL111" s="892" t="str">
        <f t="shared" si="100"/>
        <v/>
      </c>
      <c r="BM111" s="892" t="str">
        <f t="shared" si="101"/>
        <v/>
      </c>
      <c r="BN111" s="892" t="str">
        <f t="shared" si="102"/>
        <v/>
      </c>
      <c r="BO111" s="892" t="str">
        <f t="shared" si="103"/>
        <v/>
      </c>
      <c r="BP111" s="893" t="str">
        <f t="shared" si="104"/>
        <v/>
      </c>
      <c r="BQ111" s="894" t="str">
        <f t="shared" si="105"/>
        <v/>
      </c>
      <c r="BR111" s="895" t="str">
        <f t="shared" si="80"/>
        <v/>
      </c>
      <c r="BS111" s="896" t="str">
        <f t="shared" si="106"/>
        <v/>
      </c>
      <c r="BT111" s="897" t="str">
        <f t="shared" si="107"/>
        <v/>
      </c>
      <c r="BU111" s="231" t="str">
        <f t="shared" si="108"/>
        <v/>
      </c>
      <c r="BV111" s="898">
        <f t="shared" si="109"/>
        <v>127</v>
      </c>
      <c r="BW111" s="845" t="str">
        <f t="shared" si="110"/>
        <v/>
      </c>
      <c r="BX111" s="899" t="str">
        <f t="shared" si="111"/>
        <v/>
      </c>
      <c r="BY111" s="900" t="str" cm="1">
        <f t="array" ref="BY111">[1]!ACAELE_CAPACIDADCABLE(BB111,H111,I111,M111,BX111,N111)</f>
        <v/>
      </c>
      <c r="BZ111" s="900" t="str">
        <f t="shared" si="112"/>
        <v/>
      </c>
      <c r="CA111" s="901" t="str" cm="1">
        <f t="array" ref="CA111">[1]!ACAELE_cabledetierra(BZ111,$N$9,I111,BW111,BX111,G111)</f>
        <v/>
      </c>
      <c r="CB111" s="902" t="str" cm="1">
        <f t="array" ref="CB111">[1]!ACAELE_TAMATUBERIA(BX111,DU111,$N$9,M111,I111)</f>
        <v/>
      </c>
      <c r="CC111" s="846" t="str">
        <f t="shared" si="113"/>
        <v/>
      </c>
      <c r="CD111" s="903" t="str" cm="1">
        <f t="array" ref="CD111">[1]!ACAELE_CAPACIDADCABLE(BB111,H111,I111,M111,CC111,N111)</f>
        <v/>
      </c>
      <c r="CE111" s="903" t="str">
        <f t="shared" si="114"/>
        <v/>
      </c>
      <c r="CF111" s="904" t="str" cm="1">
        <f t="array" ref="CF111">[1]!ACAELE_cabledetierra(CE111,$N$9,I111,BW111,CC111,G111)</f>
        <v/>
      </c>
      <c r="CG111" s="905" t="str" cm="1">
        <f t="array" ref="CG111">[1]!ACAELE_TAMATUBERIA(CC111,EC111,$N$9,S111,I111)</f>
        <v/>
      </c>
      <c r="CH111" s="906" t="str">
        <f t="shared" si="115"/>
        <v/>
      </c>
      <c r="CI111" s="510" t="str">
        <f t="shared" si="116"/>
        <v>-</v>
      </c>
      <c r="CJ111" s="511" t="str">
        <f t="shared" si="117"/>
        <v>-</v>
      </c>
      <c r="CK111" s="512" t="str">
        <f t="shared" si="118"/>
        <v>-</v>
      </c>
      <c r="CL111" s="907" t="str">
        <f t="shared" si="119"/>
        <v>-</v>
      </c>
      <c r="CM111" s="908" t="str">
        <f t="shared" si="120"/>
        <v>-</v>
      </c>
      <c r="CN111" s="909" t="str">
        <f t="shared" si="121"/>
        <v>-</v>
      </c>
      <c r="CO111" s="910" t="str" cm="1">
        <f t="array" ref="CO111">[1]!ACAELE_fasecorresponde(B111,$F$10,$P$5)</f>
        <v>B</v>
      </c>
      <c r="CP111" s="910" t="str" cm="1">
        <f t="array" ref="CP111">[1]!ACAELE_fasecorresponde(C111,$F$10,$P$5)</f>
        <v>-</v>
      </c>
      <c r="CQ111" s="910" t="str" cm="1">
        <f t="array" ref="CQ111">[1]!ACAELE_fasecorresponde(D111,$F$10,$P$5)</f>
        <v>-</v>
      </c>
      <c r="CR111" s="911" t="str">
        <f t="shared" si="122"/>
        <v>C</v>
      </c>
      <c r="CS111" s="912">
        <f t="shared" si="123"/>
        <v>1</v>
      </c>
      <c r="CT111" s="913">
        <f t="shared" si="124"/>
        <v>0.8</v>
      </c>
      <c r="CU111" s="914" t="str">
        <f t="shared" si="125"/>
        <v/>
      </c>
      <c r="CV111" s="915">
        <f t="shared" si="126"/>
        <v>0</v>
      </c>
      <c r="CW111" s="916" t="str" cm="1">
        <f t="array" ref="CW111">[1]!ACAELE_Inominal(BB111,F111,BT111,BV111,DA111,G111,V111,$P$5)</f>
        <v/>
      </c>
      <c r="CX111" s="917" t="str" cm="1">
        <f t="array" ref="CX111">[1]!ACAELE_Disparocalculado(BB111,H111,DL111,$N$21,$M$21,$O$21,BV111,$P$5)</f>
        <v/>
      </c>
      <c r="CY111" s="918" t="str" cm="1">
        <f t="array" ref="CY111">[1]!ACAELE_Icorregida($A$27,H111,BB111,BU111,CS111,CT111,$P$5)</f>
        <v/>
      </c>
      <c r="CZ111" s="919" t="str" cm="1">
        <f t="array" ref="CZ111">[1]!ACAELE_Icorregida2($A$27,H111,BB111,BU111,CS111,CU111,$P$5)</f>
        <v/>
      </c>
      <c r="DA111" s="920">
        <f t="shared" si="127"/>
        <v>0.9</v>
      </c>
      <c r="DB111" s="921">
        <f t="shared" si="128"/>
        <v>0.43588989435406728</v>
      </c>
      <c r="DC111" s="922" t="str" cm="1">
        <f t="array" ref="DC111">[1]!ACAELE_CONDPORTCORRIENTE(H111,BB111,I111,M111,CY111,CZ111,N111,$P$5)</f>
        <v/>
      </c>
      <c r="DD111" s="923" t="str" cm="1">
        <f t="array" ref="DD111">[1]!ACAELE_CAPACONDCORRIENTE(BB111,H111,I111,M111,CY111,CZ111,$P$5)</f>
        <v/>
      </c>
      <c r="DE111" s="923" t="str" cm="1">
        <f t="array" ref="DE111">[1]!ACAELE_CAPACIDADCABLE(BB111,H111,I111,M111,DC111,N111,$P$5)</f>
        <v/>
      </c>
      <c r="DF111" s="924" t="str" cm="1">
        <f t="array" ref="DF111">[1]!ACAELE_encontrarcaida(BB111,H111,L111,BV111,F111,BU111,N111,K111)</f>
        <v/>
      </c>
      <c r="DG111" s="925" t="str" cm="1">
        <f t="array" ref="DG111">[1]!ACAELE_Cablecaida(BB111,H111,M111,I111,DF111)</f>
        <v/>
      </c>
      <c r="DH111" s="918" t="str" cm="1">
        <f t="array" ref="DH111">[1]!ACAELE_CAPACIDADCABLE(BB111,H111,I111,M111,DG111,N111,$P$5)</f>
        <v/>
      </c>
      <c r="DI111" s="926" t="str" cm="1">
        <f t="array" ref="DI111">IF($A$27=1,"",[1]!ACAELE_encontrarcaida(BB111,H111,R111,BV111,F111,BU111,T111,Q111,$P$5))</f>
        <v/>
      </c>
      <c r="DJ111" s="914" t="str" cm="1">
        <f t="array" ref="DJ111">IF($A$27=1,"",[1]!ACAELE_Cablecaida2(BB111,Q111,H111,S111,I111,DI111,$P$5))</f>
        <v/>
      </c>
      <c r="DK111" s="919" t="str" cm="1">
        <f t="array" ref="DK111">[1]!ACAELE_CAPACIDADCABLE(BB111,H111,I111,M111,DJ111,N111,$P$5)</f>
        <v/>
      </c>
      <c r="DL111" s="927" t="str" cm="1">
        <f t="array" ref="DL111">[1]!acaele_Iproteccion(BB111,H111,BU111,$F$20,$G$20,$F$19,$G$19,$H$20,$H$19,$P$5)</f>
        <v/>
      </c>
      <c r="DM111" s="928" cm="1">
        <f t="array" ref="DM111">[1]!acaele_ProtCalculada(CX111,H111,BT111,BW111,$G$21,$F$21,$H$21,$P$5)</f>
        <v>0</v>
      </c>
      <c r="DN111" s="929" t="str" cm="1">
        <f t="array" ref="DN111">[1]!ACAELE_cablecalculo(BB111,H111,I111,M111,EF111,$P$5)</f>
        <v/>
      </c>
      <c r="DO111" s="930" t="str" cm="1">
        <f t="array" ref="DO111">[1]!ACAELE_RESISTENCIA(BB111,H111,M111,I111,BX111, CW111,$P$5)</f>
        <v/>
      </c>
      <c r="DP111" s="931" t="str" cm="1">
        <f t="array" ref="DP111">[1]!ACAELE_REACTANCIA(BB111,H111,$F$11,M111,I111,BX111,$P$5)</f>
        <v/>
      </c>
      <c r="DQ111" s="918" t="str" cm="1">
        <f t="array" ref="DQ111">[1]!ACAELE_DIAMECAISLA(BB111,H111,I111,BX111,$P$5)</f>
        <v/>
      </c>
      <c r="DR111" s="918" t="str" cm="1">
        <f t="array" ref="DR111">[1]!ACAELE_AREACAISLAMIENTO(BB111,H111,DQ111,$P$5)</f>
        <v/>
      </c>
      <c r="DS111" s="918" t="str" cm="1">
        <f t="array" ref="DS111">[1]!ACAELE_CAIDAVOLTSFINAL(BB111,H111,F111,K111,BU111,N111,DO111,DA111,DP111,DB111,$P$5)</f>
        <v/>
      </c>
      <c r="DT111" s="918" t="str" cm="1">
        <f t="array" ref="DT111">[1]!ACAELE_AREACONDPTE(BB111,H111,CA111,$P$5)</f>
        <v/>
      </c>
      <c r="DU111" s="932" t="str" cm="1">
        <f t="array" ref="DU111">[1]!ACAELE_AREATOTAL(BZ111,M111,EO111,N111,DQ111,G111,DR111,DT111,N$20,$P$5)</f>
        <v/>
      </c>
      <c r="DV111" s="933" t="str" cm="1">
        <f t="array" ref="DV111">IF($A$27=1,"",[1]!ACAELE_cablecalculo(BB111,H111,I111,M111,EG111,$P$5))</f>
        <v/>
      </c>
      <c r="DW111" s="934" t="str" cm="1">
        <f t="array" ref="DW111">IF($A$27=1,"",[1]!ACAELE_RESISTENCIA(BB111,H111,M111,I111,CC111,CW111,$P$5))</f>
        <v/>
      </c>
      <c r="DX111" s="926" t="str" cm="1">
        <f t="array" ref="DX111">IF($A$27=1,"",[1]!ACAELE_REACTANCIA(BB111,H111,$F$11,M111,I111,CC111,$P$5))</f>
        <v/>
      </c>
      <c r="DY111" s="935" t="str" cm="1">
        <f t="array" ref="DY111">IF($A$27=1,"",[1]!ACAELE_DIAMECAISLA(BB111,H111,I111,CC111,$P$5))</f>
        <v/>
      </c>
      <c r="DZ111" s="935" t="str" cm="1">
        <f t="array" ref="DZ111">IF($A$27=1,"",[1]!ACAELE_AREACAISLAMIENTO(BB111,H111,DY111,$P$5))</f>
        <v/>
      </c>
      <c r="EA111" s="935" t="str" cm="1">
        <f t="array" ref="EA111">[1]!ACAELE_CAIDAVOLTSFINAL2(BB111,Q111,H111,F111,$A$27,BU111,T111,DW111,DA111,DX111,DB111)</f>
        <v/>
      </c>
      <c r="EB111" s="935" t="str" cm="1">
        <f t="array" ref="EB111">IF($A$27=1,"",[1]!ACAELE_AREACONDPTE(BB111,H111,CF111,$P$5))</f>
        <v/>
      </c>
      <c r="EC111" s="936" t="str" cm="1">
        <f t="array" ref="EC111">[1]!ACAELE_AREATOTAL2(H111,$A$27,DY111,S111,G111,T111,DZ111,U111,EB111)</f>
        <v/>
      </c>
      <c r="ED111" s="937" t="str">
        <f t="shared" si="129"/>
        <v/>
      </c>
      <c r="EE111" s="938" t="str">
        <f t="shared" si="130"/>
        <v/>
      </c>
      <c r="EF111" s="939" t="str">
        <f t="shared" si="131"/>
        <v/>
      </c>
      <c r="EG111" s="940">
        <f t="shared" si="132"/>
        <v>0</v>
      </c>
      <c r="EH111" s="941" t="str">
        <f t="shared" si="133"/>
        <v/>
      </c>
      <c r="EI111" s="942">
        <f t="shared" si="134"/>
        <v>30</v>
      </c>
      <c r="EJ111" s="943" t="str">
        <f t="shared" si="81"/>
        <v/>
      </c>
      <c r="EK111" s="943" t="str">
        <f t="shared" si="82"/>
        <v/>
      </c>
      <c r="EL111" s="943" t="str">
        <f t="shared" si="83"/>
        <v/>
      </c>
      <c r="EM111" s="944" t="str">
        <f t="shared" si="84"/>
        <v/>
      </c>
      <c r="EN111" s="945" t="str" cm="1">
        <f t="array" ref="EN111">[1]!ACAELE_MOTOR(H111,X111:BA111,$X$26:$BA$26,$P$5)</f>
        <v/>
      </c>
      <c r="EO111" s="550" t="str">
        <f t="shared" si="135"/>
        <v/>
      </c>
      <c r="EP111" s="431" t="s">
        <v>1214</v>
      </c>
      <c r="EQ111" s="434" t="str">
        <f t="shared" ca="1" si="136"/>
        <v/>
      </c>
      <c r="ER111" s="32"/>
      <c r="ES111" s="32"/>
      <c r="ET111" s="3" t="str">
        <f t="shared" si="137"/>
        <v/>
      </c>
      <c r="EU111" s="3" t="str">
        <f t="shared" si="138"/>
        <v/>
      </c>
      <c r="EV111" s="3" t="str">
        <f t="shared" si="139"/>
        <v/>
      </c>
      <c r="EW111" s="3" t="str">
        <f t="shared" si="140"/>
        <v/>
      </c>
      <c r="EX111" s="3" t="str">
        <f t="shared" si="141"/>
        <v/>
      </c>
      <c r="EY111" s="3" t="str">
        <f t="shared" si="142"/>
        <v/>
      </c>
      <c r="EZ111" s="3" t="str">
        <f t="shared" si="143"/>
        <v/>
      </c>
      <c r="FA111" s="3" t="str">
        <f t="shared" si="144"/>
        <v/>
      </c>
      <c r="FB111" s="3" t="str">
        <f t="shared" si="145"/>
        <v/>
      </c>
      <c r="FC111" s="3">
        <f t="shared" si="146"/>
        <v>0</v>
      </c>
      <c r="FD111" s="32"/>
      <c r="FE111" s="32"/>
      <c r="FF111" s="103">
        <v>1</v>
      </c>
      <c r="FG111" s="32"/>
      <c r="FH111" s="103"/>
      <c r="FI111" s="32"/>
      <c r="FJ111" s="103"/>
      <c r="FK111" s="3">
        <f t="shared" si="147"/>
        <v>0</v>
      </c>
      <c r="FL111" s="3" t="str" cm="1">
        <f t="array" aca="1" ref="FL111" ca="1">[1]!acaele_DIB_UNIFILAR(BB111,H111,F111,COUNTIF(X111:BA111,1),BW111)</f>
        <v/>
      </c>
      <c r="FM111" s="3" t="str">
        <f>IF(DATOS!$T$4=0,"",IF(DATOS!$T$4=1," (QO)",IF(DATOS!$T$4=2," (QOB)",IF(DATOS!$T$4=3," (EDB)",IF(DATOS!$T$4=4,IF(BW111&lt;151," (H"&amp;FN111&amp;")",IF(BW111&lt;251," (J"&amp;FN111&amp;")", IF(BW111&lt;401," (LA)",IF(BW111&lt;801," (MG)",IF(BW111&lt;5001," (POWERPACK)",""))))))))))</f>
        <v xml:space="preserve"> (QOB)</v>
      </c>
      <c r="FN111" s="3" t="str">
        <f t="shared" si="148"/>
        <v/>
      </c>
      <c r="FO111" s="146"/>
      <c r="FP111" s="146"/>
      <c r="FQ111" s="146"/>
      <c r="FR111" s="146"/>
      <c r="FS111" s="146"/>
      <c r="FT111" s="146"/>
      <c r="FU111" s="146"/>
      <c r="FV111" s="146"/>
      <c r="FW111" s="146"/>
      <c r="FX111" s="146" t="str">
        <f t="shared" si="79"/>
        <v/>
      </c>
      <c r="FY111" s="736"/>
      <c r="FZ111" s="740"/>
      <c r="GA111" s="740"/>
      <c r="GB111" s="717"/>
      <c r="GC111" s="838"/>
      <c r="GD111" s="736"/>
      <c r="GE111" s="146"/>
      <c r="GF111" s="506"/>
      <c r="GG111" s="506"/>
      <c r="GH111" s="506"/>
      <c r="GI111" s="506"/>
      <c r="GJ111" s="506"/>
      <c r="GM111" s="3">
        <f>IF(OR(GN111&gt;TABLERO!$M$19,GO111&gt;TABLERO!$M$19,GP111&gt;TABLERO!$M$19,B111=0,C111=0,D111=0),2,CUADROACAD!A111)</f>
        <v>2</v>
      </c>
      <c r="GN111" s="3">
        <f>IF(TABLERO!B111="",0,TABLERO!B111)</f>
        <v>81</v>
      </c>
      <c r="GO111" s="3">
        <f>IF(TABLERO!C111="",GN111,TABLERO!C111)</f>
        <v>81</v>
      </c>
      <c r="GP111" s="3">
        <f>IF(TABLERO!D111="",GN111,TABLERO!D111)</f>
        <v>81</v>
      </c>
    </row>
    <row r="112" spans="1:198" s="3" customFormat="1">
      <c r="A112" s="706"/>
      <c r="B112" s="869">
        <v>82</v>
      </c>
      <c r="C112" s="870" t="str">
        <f t="shared" si="85"/>
        <v/>
      </c>
      <c r="D112" s="870" t="str">
        <f t="shared" si="86"/>
        <v/>
      </c>
      <c r="E112" s="871"/>
      <c r="F112" s="872">
        <v>1</v>
      </c>
      <c r="G112" s="716">
        <f t="shared" si="87"/>
        <v>2</v>
      </c>
      <c r="H112" s="873" t="s">
        <v>12</v>
      </c>
      <c r="I112" s="874" t="str">
        <f t="shared" si="88"/>
        <v>CU</v>
      </c>
      <c r="J112" s="875">
        <v>6</v>
      </c>
      <c r="K112" s="876">
        <v>10</v>
      </c>
      <c r="L112" s="876">
        <v>3</v>
      </c>
      <c r="M112" s="877">
        <v>1</v>
      </c>
      <c r="N112" s="877">
        <v>1</v>
      </c>
      <c r="O112" s="878">
        <v>1</v>
      </c>
      <c r="P112" s="879">
        <v>4</v>
      </c>
      <c r="Q112" s="880">
        <v>1</v>
      </c>
      <c r="R112" s="880">
        <v>1</v>
      </c>
      <c r="S112" s="881">
        <v>1</v>
      </c>
      <c r="T112" s="881">
        <v>1</v>
      </c>
      <c r="U112" s="882">
        <v>1</v>
      </c>
      <c r="V112" s="883">
        <v>1</v>
      </c>
      <c r="W112" s="874" t="str">
        <f t="shared" si="89"/>
        <v>SI</v>
      </c>
      <c r="X112" s="884"/>
      <c r="Y112" s="885"/>
      <c r="Z112" s="885"/>
      <c r="AA112" s="885"/>
      <c r="AB112" s="885"/>
      <c r="AC112" s="885"/>
      <c r="AD112" s="885"/>
      <c r="AE112" s="885"/>
      <c r="AF112" s="885"/>
      <c r="AG112" s="885"/>
      <c r="AH112" s="885"/>
      <c r="AI112" s="885"/>
      <c r="AJ112" s="885"/>
      <c r="AK112" s="885"/>
      <c r="AL112" s="885"/>
      <c r="AM112" s="885"/>
      <c r="AN112" s="885"/>
      <c r="AO112" s="885"/>
      <c r="AP112" s="885"/>
      <c r="AQ112" s="885"/>
      <c r="AR112" s="885"/>
      <c r="AS112" s="885"/>
      <c r="AT112" s="885"/>
      <c r="AU112" s="885"/>
      <c r="AV112" s="885"/>
      <c r="AW112" s="885"/>
      <c r="AX112" s="885"/>
      <c r="AY112" s="885"/>
      <c r="AZ112" s="885"/>
      <c r="BA112" s="886"/>
      <c r="BB112" s="887">
        <f t="shared" si="90"/>
        <v>0</v>
      </c>
      <c r="BC112" s="888" t="str">
        <f t="shared" si="91"/>
        <v/>
      </c>
      <c r="BD112" s="889" t="str">
        <f t="shared" si="92"/>
        <v/>
      </c>
      <c r="BE112" s="889" t="str">
        <f t="shared" si="93"/>
        <v/>
      </c>
      <c r="BF112" s="889" t="str">
        <f t="shared" si="94"/>
        <v/>
      </c>
      <c r="BG112" s="889" t="str">
        <f t="shared" si="95"/>
        <v/>
      </c>
      <c r="BH112" s="889" t="str">
        <f t="shared" si="96"/>
        <v/>
      </c>
      <c r="BI112" s="890" t="str">
        <f t="shared" si="97"/>
        <v/>
      </c>
      <c r="BJ112" s="891" t="str">
        <f t="shared" si="98"/>
        <v/>
      </c>
      <c r="BK112" s="892" t="str">
        <f t="shared" si="99"/>
        <v/>
      </c>
      <c r="BL112" s="892" t="str">
        <f t="shared" si="100"/>
        <v/>
      </c>
      <c r="BM112" s="892" t="str">
        <f t="shared" si="101"/>
        <v/>
      </c>
      <c r="BN112" s="892" t="str">
        <f t="shared" si="102"/>
        <v/>
      </c>
      <c r="BO112" s="892" t="str">
        <f t="shared" si="103"/>
        <v/>
      </c>
      <c r="BP112" s="893" t="str">
        <f t="shared" si="104"/>
        <v/>
      </c>
      <c r="BQ112" s="894" t="str">
        <f t="shared" si="105"/>
        <v/>
      </c>
      <c r="BR112" s="895" t="str">
        <f t="shared" si="80"/>
        <v/>
      </c>
      <c r="BS112" s="896" t="str">
        <f t="shared" si="106"/>
        <v/>
      </c>
      <c r="BT112" s="897" t="str">
        <f t="shared" si="107"/>
        <v/>
      </c>
      <c r="BU112" s="231" t="str">
        <f t="shared" si="108"/>
        <v/>
      </c>
      <c r="BV112" s="898">
        <f t="shared" si="109"/>
        <v>127</v>
      </c>
      <c r="BW112" s="845" t="str">
        <f t="shared" si="110"/>
        <v/>
      </c>
      <c r="BX112" s="899" t="str">
        <f t="shared" si="111"/>
        <v/>
      </c>
      <c r="BY112" s="900" t="str" cm="1">
        <f t="array" ref="BY112">[1]!ACAELE_CAPACIDADCABLE(BB112,H112,I112,M112,BX112,N112)</f>
        <v/>
      </c>
      <c r="BZ112" s="900" t="str">
        <f t="shared" si="112"/>
        <v/>
      </c>
      <c r="CA112" s="901" t="str" cm="1">
        <f t="array" ref="CA112">[1]!ACAELE_cabledetierra(BZ112,$N$9,I112,BW112,BX112,G112)</f>
        <v/>
      </c>
      <c r="CB112" s="902" t="str" cm="1">
        <f t="array" ref="CB112">[1]!ACAELE_TAMATUBERIA(BX112,DU112,$N$9,M112,I112)</f>
        <v/>
      </c>
      <c r="CC112" s="846" t="str">
        <f t="shared" si="113"/>
        <v/>
      </c>
      <c r="CD112" s="903" t="str" cm="1">
        <f t="array" ref="CD112">[1]!ACAELE_CAPACIDADCABLE(BB112,H112,I112,M112,CC112,N112)</f>
        <v/>
      </c>
      <c r="CE112" s="903" t="str">
        <f t="shared" si="114"/>
        <v/>
      </c>
      <c r="CF112" s="904" t="str" cm="1">
        <f t="array" ref="CF112">[1]!ACAELE_cabledetierra(CE112,$N$9,I112,BW112,CC112,G112)</f>
        <v/>
      </c>
      <c r="CG112" s="905" t="str" cm="1">
        <f t="array" ref="CG112">[1]!ACAELE_TAMATUBERIA(CC112,EC112,$N$9,S112,I112)</f>
        <v/>
      </c>
      <c r="CH112" s="906" t="str">
        <f t="shared" si="115"/>
        <v/>
      </c>
      <c r="CI112" s="510" t="str">
        <f t="shared" si="116"/>
        <v>-</v>
      </c>
      <c r="CJ112" s="511" t="str">
        <f t="shared" si="117"/>
        <v>-</v>
      </c>
      <c r="CK112" s="512" t="str">
        <f t="shared" si="118"/>
        <v>-</v>
      </c>
      <c r="CL112" s="907" t="str">
        <f t="shared" si="119"/>
        <v>-</v>
      </c>
      <c r="CM112" s="908" t="str">
        <f t="shared" si="120"/>
        <v>-</v>
      </c>
      <c r="CN112" s="909" t="str">
        <f t="shared" si="121"/>
        <v>-</v>
      </c>
      <c r="CO112" s="910" t="str" cm="1">
        <f t="array" ref="CO112">[1]!ACAELE_fasecorresponde(B112,$F$10,$P$5)</f>
        <v>B</v>
      </c>
      <c r="CP112" s="910" t="str" cm="1">
        <f t="array" ref="CP112">[1]!ACAELE_fasecorresponde(C112,$F$10,$P$5)</f>
        <v>-</v>
      </c>
      <c r="CQ112" s="910" t="str" cm="1">
        <f t="array" ref="CQ112">[1]!ACAELE_fasecorresponde(D112,$F$10,$P$5)</f>
        <v>-</v>
      </c>
      <c r="CR112" s="911" t="str">
        <f t="shared" si="122"/>
        <v>C</v>
      </c>
      <c r="CS112" s="912">
        <f t="shared" si="123"/>
        <v>1</v>
      </c>
      <c r="CT112" s="913">
        <f t="shared" si="124"/>
        <v>0.8</v>
      </c>
      <c r="CU112" s="914" t="str">
        <f t="shared" si="125"/>
        <v/>
      </c>
      <c r="CV112" s="915">
        <f t="shared" si="126"/>
        <v>0</v>
      </c>
      <c r="CW112" s="916" t="str" cm="1">
        <f t="array" ref="CW112">[1]!ACAELE_Inominal(BB112,F112,BT112,BV112,DA112,G112,V112,$P$5)</f>
        <v/>
      </c>
      <c r="CX112" s="917" t="str" cm="1">
        <f t="array" ref="CX112">[1]!ACAELE_Disparocalculado(BB112,H112,DL112,$N$21,$M$21,$O$21,BV112,$P$5)</f>
        <v/>
      </c>
      <c r="CY112" s="918" t="str" cm="1">
        <f t="array" ref="CY112">[1]!ACAELE_Icorregida($A$27,H112,BB112,BU112,CS112,CT112,$P$5)</f>
        <v/>
      </c>
      <c r="CZ112" s="919" t="str" cm="1">
        <f t="array" ref="CZ112">[1]!ACAELE_Icorregida2($A$27,H112,BB112,BU112,CS112,CU112,$P$5)</f>
        <v/>
      </c>
      <c r="DA112" s="920">
        <f t="shared" si="127"/>
        <v>0.9</v>
      </c>
      <c r="DB112" s="921">
        <f t="shared" si="128"/>
        <v>0.43588989435406728</v>
      </c>
      <c r="DC112" s="922" t="str" cm="1">
        <f t="array" ref="DC112">[1]!ACAELE_CONDPORTCORRIENTE(H112,BB112,I112,M112,CY112,CZ112,N112,$P$5)</f>
        <v/>
      </c>
      <c r="DD112" s="923" t="str" cm="1">
        <f t="array" ref="DD112">[1]!ACAELE_CAPACONDCORRIENTE(BB112,H112,I112,M112,CY112,CZ112,$P$5)</f>
        <v/>
      </c>
      <c r="DE112" s="923" t="str" cm="1">
        <f t="array" ref="DE112">[1]!ACAELE_CAPACIDADCABLE(BB112,H112,I112,M112,DC112,N112,$P$5)</f>
        <v/>
      </c>
      <c r="DF112" s="924" t="str" cm="1">
        <f t="array" ref="DF112">[1]!ACAELE_encontrarcaida(BB112,H112,L112,BV112,F112,BU112,N112,K112)</f>
        <v/>
      </c>
      <c r="DG112" s="925" t="str" cm="1">
        <f t="array" ref="DG112">[1]!ACAELE_Cablecaida(BB112,H112,M112,I112,DF112)</f>
        <v/>
      </c>
      <c r="DH112" s="918" t="str" cm="1">
        <f t="array" ref="DH112">[1]!ACAELE_CAPACIDADCABLE(BB112,H112,I112,M112,DG112,N112,$P$5)</f>
        <v/>
      </c>
      <c r="DI112" s="926" t="str" cm="1">
        <f t="array" ref="DI112">IF($A$27=1,"",[1]!ACAELE_encontrarcaida(BB112,H112,R112,BV112,F112,BU112,T112,Q112,$P$5))</f>
        <v/>
      </c>
      <c r="DJ112" s="914" t="str" cm="1">
        <f t="array" ref="DJ112">IF($A$27=1,"",[1]!ACAELE_Cablecaida2(BB112,Q112,H112,S112,I112,DI112,$P$5))</f>
        <v/>
      </c>
      <c r="DK112" s="919" t="str" cm="1">
        <f t="array" ref="DK112">[1]!ACAELE_CAPACIDADCABLE(BB112,H112,I112,M112,DJ112,N112,$P$5)</f>
        <v/>
      </c>
      <c r="DL112" s="927" t="str" cm="1">
        <f t="array" ref="DL112">[1]!acaele_Iproteccion(BB112,H112,BU112,$F$20,$G$20,$F$19,$G$19,$H$20,$H$19,$P$5)</f>
        <v/>
      </c>
      <c r="DM112" s="928" cm="1">
        <f t="array" ref="DM112">[1]!acaele_ProtCalculada(CX112,H112,BT112,BW112,$G$21,$F$21,$H$21,$P$5)</f>
        <v>0</v>
      </c>
      <c r="DN112" s="929" t="str" cm="1">
        <f t="array" ref="DN112">[1]!ACAELE_cablecalculo(BB112,H112,I112,M112,EF112,$P$5)</f>
        <v/>
      </c>
      <c r="DO112" s="930" t="str" cm="1">
        <f t="array" ref="DO112">[1]!ACAELE_RESISTENCIA(BB112,H112,M112,I112,BX112, CW112,$P$5)</f>
        <v/>
      </c>
      <c r="DP112" s="931" t="str" cm="1">
        <f t="array" ref="DP112">[1]!ACAELE_REACTANCIA(BB112,H112,$F$11,M112,I112,BX112,$P$5)</f>
        <v/>
      </c>
      <c r="DQ112" s="918" t="str" cm="1">
        <f t="array" ref="DQ112">[1]!ACAELE_DIAMECAISLA(BB112,H112,I112,BX112,$P$5)</f>
        <v/>
      </c>
      <c r="DR112" s="918" t="str" cm="1">
        <f t="array" ref="DR112">[1]!ACAELE_AREACAISLAMIENTO(BB112,H112,DQ112,$P$5)</f>
        <v/>
      </c>
      <c r="DS112" s="918" t="str" cm="1">
        <f t="array" ref="DS112">[1]!ACAELE_CAIDAVOLTSFINAL(BB112,H112,F112,K112,BU112,N112,DO112,DA112,DP112,DB112,$P$5)</f>
        <v/>
      </c>
      <c r="DT112" s="918" t="str" cm="1">
        <f t="array" ref="DT112">[1]!ACAELE_AREACONDPTE(BB112,H112,CA112,$P$5)</f>
        <v/>
      </c>
      <c r="DU112" s="932" t="str" cm="1">
        <f t="array" ref="DU112">[1]!ACAELE_AREATOTAL(BZ112,M112,EO112,N112,DQ112,G112,DR112,DT112,N$20,$P$5)</f>
        <v/>
      </c>
      <c r="DV112" s="933" t="str" cm="1">
        <f t="array" ref="DV112">IF($A$27=1,"",[1]!ACAELE_cablecalculo(BB112,H112,I112,M112,EG112,$P$5))</f>
        <v/>
      </c>
      <c r="DW112" s="934" t="str" cm="1">
        <f t="array" ref="DW112">IF($A$27=1,"",[1]!ACAELE_RESISTENCIA(BB112,H112,M112,I112,CC112,CW112,$P$5))</f>
        <v/>
      </c>
      <c r="DX112" s="926" t="str" cm="1">
        <f t="array" ref="DX112">IF($A$27=1,"",[1]!ACAELE_REACTANCIA(BB112,H112,$F$11,M112,I112,CC112,$P$5))</f>
        <v/>
      </c>
      <c r="DY112" s="935" t="str" cm="1">
        <f t="array" ref="DY112">IF($A$27=1,"",[1]!ACAELE_DIAMECAISLA(BB112,H112,I112,CC112,$P$5))</f>
        <v/>
      </c>
      <c r="DZ112" s="935" t="str" cm="1">
        <f t="array" ref="DZ112">IF($A$27=1,"",[1]!ACAELE_AREACAISLAMIENTO(BB112,H112,DY112,$P$5))</f>
        <v/>
      </c>
      <c r="EA112" s="935" t="str" cm="1">
        <f t="array" ref="EA112">[1]!ACAELE_CAIDAVOLTSFINAL2(BB112,Q112,H112,F112,$A$27,BU112,T112,DW112,DA112,DX112,DB112)</f>
        <v/>
      </c>
      <c r="EB112" s="935" t="str" cm="1">
        <f t="array" ref="EB112">IF($A$27=1,"",[1]!ACAELE_AREACONDPTE(BB112,H112,CF112,$P$5))</f>
        <v/>
      </c>
      <c r="EC112" s="936" t="str" cm="1">
        <f t="array" ref="EC112">[1]!ACAELE_AREATOTAL2(H112,$A$27,DY112,S112,G112,T112,DZ112,U112,EB112)</f>
        <v/>
      </c>
      <c r="ED112" s="937" t="str">
        <f t="shared" si="129"/>
        <v/>
      </c>
      <c r="EE112" s="938" t="str">
        <f t="shared" si="130"/>
        <v/>
      </c>
      <c r="EF112" s="939" t="str">
        <f t="shared" si="131"/>
        <v/>
      </c>
      <c r="EG112" s="940">
        <f t="shared" si="132"/>
        <v>0</v>
      </c>
      <c r="EH112" s="941" t="str">
        <f t="shared" si="133"/>
        <v/>
      </c>
      <c r="EI112" s="942">
        <f t="shared" si="134"/>
        <v>30</v>
      </c>
      <c r="EJ112" s="943" t="str">
        <f t="shared" si="81"/>
        <v/>
      </c>
      <c r="EK112" s="943" t="str">
        <f t="shared" si="82"/>
        <v/>
      </c>
      <c r="EL112" s="943" t="str">
        <f t="shared" si="83"/>
        <v/>
      </c>
      <c r="EM112" s="944" t="str">
        <f t="shared" si="84"/>
        <v/>
      </c>
      <c r="EN112" s="945" t="str" cm="1">
        <f t="array" ref="EN112">[1]!ACAELE_MOTOR(H112,X112:BA112,$X$26:$BA$26,$P$5)</f>
        <v/>
      </c>
      <c r="EO112" s="550" t="str">
        <f t="shared" si="135"/>
        <v/>
      </c>
      <c r="EP112" s="431" t="s">
        <v>1214</v>
      </c>
      <c r="EQ112" s="434" t="str">
        <f t="shared" ca="1" si="136"/>
        <v/>
      </c>
      <c r="ER112" s="32"/>
      <c r="ES112" s="32"/>
      <c r="ET112" s="3" t="str">
        <f t="shared" si="137"/>
        <v/>
      </c>
      <c r="EU112" s="3" t="str">
        <f t="shared" si="138"/>
        <v/>
      </c>
      <c r="EV112" s="3" t="str">
        <f t="shared" si="139"/>
        <v/>
      </c>
      <c r="EW112" s="3" t="str">
        <f t="shared" si="140"/>
        <v/>
      </c>
      <c r="EX112" s="3" t="str">
        <f t="shared" si="141"/>
        <v/>
      </c>
      <c r="EY112" s="3" t="str">
        <f t="shared" si="142"/>
        <v/>
      </c>
      <c r="EZ112" s="3" t="str">
        <f t="shared" si="143"/>
        <v/>
      </c>
      <c r="FA112" s="3" t="str">
        <f t="shared" si="144"/>
        <v/>
      </c>
      <c r="FB112" s="3" t="str">
        <f t="shared" si="145"/>
        <v/>
      </c>
      <c r="FC112" s="3">
        <f t="shared" si="146"/>
        <v>0</v>
      </c>
      <c r="FD112" s="32"/>
      <c r="FE112" s="32"/>
      <c r="FF112" s="103">
        <v>1</v>
      </c>
      <c r="FG112" s="32"/>
      <c r="FH112" s="103"/>
      <c r="FI112" s="32"/>
      <c r="FJ112" s="103"/>
      <c r="FK112" s="3">
        <f t="shared" si="147"/>
        <v>0</v>
      </c>
      <c r="FL112" s="3" t="str" cm="1">
        <f t="array" aca="1" ref="FL112" ca="1">[1]!acaele_DIB_UNIFILAR(BB112,H112,F112,COUNTIF(X112:BA112,1),BW112)</f>
        <v/>
      </c>
      <c r="FM112" s="3" t="str">
        <f>IF(DATOS!$T$4=0,"",IF(DATOS!$T$4=1," (QO)",IF(DATOS!$T$4=2," (QOB)",IF(DATOS!$T$4=3," (EDB)",IF(DATOS!$T$4=4,IF(BW112&lt;151," (H"&amp;FN112&amp;")",IF(BW112&lt;251," (J"&amp;FN112&amp;")", IF(BW112&lt;401," (LA)",IF(BW112&lt;801," (MG)",IF(BW112&lt;5001," (POWERPACK)",""))))))))))</f>
        <v xml:space="preserve"> (QOB)</v>
      </c>
      <c r="FN112" s="3" t="str">
        <f t="shared" si="148"/>
        <v/>
      </c>
      <c r="FO112" s="146"/>
      <c r="FP112" s="146"/>
      <c r="FQ112" s="146"/>
      <c r="FR112" s="146"/>
      <c r="FS112" s="146"/>
      <c r="FT112" s="146"/>
      <c r="FU112" s="146"/>
      <c r="FV112" s="146"/>
      <c r="FW112" s="146"/>
      <c r="FX112" s="146" t="str">
        <f t="shared" si="79"/>
        <v/>
      </c>
      <c r="FY112" s="736"/>
      <c r="FZ112" s="740"/>
      <c r="GA112" s="740"/>
      <c r="GB112" s="717"/>
      <c r="GC112" s="838"/>
      <c r="GD112" s="736"/>
      <c r="GE112" s="146"/>
      <c r="GF112" s="506"/>
      <c r="GG112" s="506"/>
      <c r="GH112" s="506"/>
      <c r="GI112" s="506"/>
      <c r="GJ112" s="506"/>
      <c r="GM112" s="3">
        <f>IF(OR(GN112&gt;TABLERO!$M$19,GO112&gt;TABLERO!$M$19,GP112&gt;TABLERO!$M$19,B112=0,C112=0,D112=0),2,CUADROACAD!A112)</f>
        <v>2</v>
      </c>
      <c r="GN112" s="3">
        <f>IF(TABLERO!B112="",0,TABLERO!B112)</f>
        <v>82</v>
      </c>
      <c r="GO112" s="3">
        <f>IF(TABLERO!C112="",GN112,TABLERO!C112)</f>
        <v>82</v>
      </c>
      <c r="GP112" s="3">
        <f>IF(TABLERO!D112="",GN112,TABLERO!D112)</f>
        <v>82</v>
      </c>
    </row>
    <row r="113" spans="1:198" s="3" customFormat="1">
      <c r="A113" s="706"/>
      <c r="B113" s="869">
        <v>83</v>
      </c>
      <c r="C113" s="870" t="str">
        <f t="shared" si="85"/>
        <v/>
      </c>
      <c r="D113" s="870" t="str">
        <f t="shared" si="86"/>
        <v/>
      </c>
      <c r="E113" s="871"/>
      <c r="F113" s="872">
        <v>1</v>
      </c>
      <c r="G113" s="716">
        <f t="shared" si="87"/>
        <v>2</v>
      </c>
      <c r="H113" s="873" t="s">
        <v>12</v>
      </c>
      <c r="I113" s="874" t="str">
        <f t="shared" si="88"/>
        <v>CU</v>
      </c>
      <c r="J113" s="875">
        <v>6</v>
      </c>
      <c r="K113" s="876">
        <v>10</v>
      </c>
      <c r="L113" s="876">
        <v>3</v>
      </c>
      <c r="M113" s="877">
        <v>1</v>
      </c>
      <c r="N113" s="877">
        <v>1</v>
      </c>
      <c r="O113" s="878">
        <v>1</v>
      </c>
      <c r="P113" s="879">
        <v>4</v>
      </c>
      <c r="Q113" s="880">
        <v>1</v>
      </c>
      <c r="R113" s="880">
        <v>1</v>
      </c>
      <c r="S113" s="881">
        <v>1</v>
      </c>
      <c r="T113" s="881">
        <v>1</v>
      </c>
      <c r="U113" s="882">
        <v>1</v>
      </c>
      <c r="V113" s="883">
        <v>1</v>
      </c>
      <c r="W113" s="874" t="str">
        <f t="shared" si="89"/>
        <v>SI</v>
      </c>
      <c r="X113" s="884"/>
      <c r="Y113" s="885"/>
      <c r="Z113" s="885"/>
      <c r="AA113" s="885"/>
      <c r="AB113" s="885"/>
      <c r="AC113" s="885"/>
      <c r="AD113" s="885"/>
      <c r="AE113" s="885"/>
      <c r="AF113" s="885"/>
      <c r="AG113" s="885"/>
      <c r="AH113" s="885"/>
      <c r="AI113" s="885"/>
      <c r="AJ113" s="885"/>
      <c r="AK113" s="885"/>
      <c r="AL113" s="885"/>
      <c r="AM113" s="885"/>
      <c r="AN113" s="885"/>
      <c r="AO113" s="885"/>
      <c r="AP113" s="885"/>
      <c r="AQ113" s="885"/>
      <c r="AR113" s="885"/>
      <c r="AS113" s="885"/>
      <c r="AT113" s="885"/>
      <c r="AU113" s="885"/>
      <c r="AV113" s="885"/>
      <c r="AW113" s="885"/>
      <c r="AX113" s="885"/>
      <c r="AY113" s="885"/>
      <c r="AZ113" s="885"/>
      <c r="BA113" s="886"/>
      <c r="BB113" s="887">
        <f t="shared" si="90"/>
        <v>0</v>
      </c>
      <c r="BC113" s="888" t="str">
        <f t="shared" si="91"/>
        <v/>
      </c>
      <c r="BD113" s="889" t="str">
        <f t="shared" si="92"/>
        <v/>
      </c>
      <c r="BE113" s="889" t="str">
        <f t="shared" si="93"/>
        <v/>
      </c>
      <c r="BF113" s="889" t="str">
        <f t="shared" si="94"/>
        <v/>
      </c>
      <c r="BG113" s="889" t="str">
        <f t="shared" si="95"/>
        <v/>
      </c>
      <c r="BH113" s="889" t="str">
        <f t="shared" si="96"/>
        <v/>
      </c>
      <c r="BI113" s="890" t="str">
        <f t="shared" si="97"/>
        <v/>
      </c>
      <c r="BJ113" s="891" t="str">
        <f t="shared" si="98"/>
        <v/>
      </c>
      <c r="BK113" s="892" t="str">
        <f t="shared" si="99"/>
        <v/>
      </c>
      <c r="BL113" s="892" t="str">
        <f t="shared" si="100"/>
        <v/>
      </c>
      <c r="BM113" s="892" t="str">
        <f t="shared" si="101"/>
        <v/>
      </c>
      <c r="BN113" s="892" t="str">
        <f t="shared" si="102"/>
        <v/>
      </c>
      <c r="BO113" s="892" t="str">
        <f t="shared" si="103"/>
        <v/>
      </c>
      <c r="BP113" s="893" t="str">
        <f t="shared" si="104"/>
        <v/>
      </c>
      <c r="BQ113" s="894" t="str">
        <f t="shared" si="105"/>
        <v/>
      </c>
      <c r="BR113" s="895" t="str">
        <f t="shared" si="80"/>
        <v/>
      </c>
      <c r="BS113" s="896" t="str">
        <f t="shared" si="106"/>
        <v/>
      </c>
      <c r="BT113" s="897" t="str">
        <f t="shared" si="107"/>
        <v/>
      </c>
      <c r="BU113" s="231" t="str">
        <f t="shared" si="108"/>
        <v/>
      </c>
      <c r="BV113" s="898">
        <f t="shared" si="109"/>
        <v>127</v>
      </c>
      <c r="BW113" s="845" t="str">
        <f t="shared" si="110"/>
        <v/>
      </c>
      <c r="BX113" s="899" t="str">
        <f t="shared" si="111"/>
        <v/>
      </c>
      <c r="BY113" s="900" t="str" cm="1">
        <f t="array" ref="BY113">[1]!ACAELE_CAPACIDADCABLE(BB113,H113,I113,M113,BX113,N113)</f>
        <v/>
      </c>
      <c r="BZ113" s="900" t="str">
        <f t="shared" si="112"/>
        <v/>
      </c>
      <c r="CA113" s="901" t="str" cm="1">
        <f t="array" ref="CA113">[1]!ACAELE_cabledetierra(BZ113,$N$9,I113,BW113,BX113,G113)</f>
        <v/>
      </c>
      <c r="CB113" s="902" t="str" cm="1">
        <f t="array" ref="CB113">[1]!ACAELE_TAMATUBERIA(BX113,DU113,$N$9,M113,I113)</f>
        <v/>
      </c>
      <c r="CC113" s="846" t="str">
        <f t="shared" si="113"/>
        <v/>
      </c>
      <c r="CD113" s="903" t="str" cm="1">
        <f t="array" ref="CD113">[1]!ACAELE_CAPACIDADCABLE(BB113,H113,I113,M113,CC113,N113)</f>
        <v/>
      </c>
      <c r="CE113" s="903" t="str">
        <f t="shared" si="114"/>
        <v/>
      </c>
      <c r="CF113" s="904" t="str" cm="1">
        <f t="array" ref="CF113">[1]!ACAELE_cabledetierra(CE113,$N$9,I113,BW113,CC113,G113)</f>
        <v/>
      </c>
      <c r="CG113" s="905" t="str" cm="1">
        <f t="array" ref="CG113">[1]!ACAELE_TAMATUBERIA(CC113,EC113,$N$9,S113,I113)</f>
        <v/>
      </c>
      <c r="CH113" s="906" t="str">
        <f t="shared" si="115"/>
        <v/>
      </c>
      <c r="CI113" s="510" t="str">
        <f t="shared" si="116"/>
        <v>-</v>
      </c>
      <c r="CJ113" s="511" t="str">
        <f t="shared" si="117"/>
        <v>-</v>
      </c>
      <c r="CK113" s="512" t="str">
        <f t="shared" si="118"/>
        <v>-</v>
      </c>
      <c r="CL113" s="907" t="str">
        <f t="shared" si="119"/>
        <v>-</v>
      </c>
      <c r="CM113" s="908" t="str">
        <f t="shared" si="120"/>
        <v>-</v>
      </c>
      <c r="CN113" s="909" t="str">
        <f t="shared" si="121"/>
        <v>-</v>
      </c>
      <c r="CO113" s="910" t="str" cm="1">
        <f t="array" ref="CO113">[1]!ACAELE_fasecorresponde(B113,$F$10,$P$5)</f>
        <v>C</v>
      </c>
      <c r="CP113" s="910" t="str" cm="1">
        <f t="array" ref="CP113">[1]!ACAELE_fasecorresponde(C113,$F$10,$P$5)</f>
        <v>-</v>
      </c>
      <c r="CQ113" s="910" t="str" cm="1">
        <f t="array" ref="CQ113">[1]!ACAELE_fasecorresponde(D113,$F$10,$P$5)</f>
        <v>-</v>
      </c>
      <c r="CR113" s="911" t="str">
        <f t="shared" si="122"/>
        <v>C</v>
      </c>
      <c r="CS113" s="912">
        <f t="shared" si="123"/>
        <v>1</v>
      </c>
      <c r="CT113" s="913">
        <f t="shared" si="124"/>
        <v>0.8</v>
      </c>
      <c r="CU113" s="914" t="str">
        <f t="shared" si="125"/>
        <v/>
      </c>
      <c r="CV113" s="915">
        <f t="shared" si="126"/>
        <v>0</v>
      </c>
      <c r="CW113" s="916" t="str" cm="1">
        <f t="array" ref="CW113">[1]!ACAELE_Inominal(BB113,F113,BT113,BV113,DA113,G113,V113,$P$5)</f>
        <v/>
      </c>
      <c r="CX113" s="917" t="str" cm="1">
        <f t="array" ref="CX113">[1]!ACAELE_Disparocalculado(BB113,H113,DL113,$N$21,$M$21,$O$21,BV113,$P$5)</f>
        <v/>
      </c>
      <c r="CY113" s="918" t="str" cm="1">
        <f t="array" ref="CY113">[1]!ACAELE_Icorregida($A$27,H113,BB113,BU113,CS113,CT113,$P$5)</f>
        <v/>
      </c>
      <c r="CZ113" s="919" t="str" cm="1">
        <f t="array" ref="CZ113">[1]!ACAELE_Icorregida2($A$27,H113,BB113,BU113,CS113,CU113,$P$5)</f>
        <v/>
      </c>
      <c r="DA113" s="920">
        <f t="shared" si="127"/>
        <v>0.9</v>
      </c>
      <c r="DB113" s="921">
        <f t="shared" si="128"/>
        <v>0.43588989435406728</v>
      </c>
      <c r="DC113" s="922" t="str" cm="1">
        <f t="array" ref="DC113">[1]!ACAELE_CONDPORTCORRIENTE(H113,BB113,I113,M113,CY113,CZ113,N113,$P$5)</f>
        <v/>
      </c>
      <c r="DD113" s="923" t="str" cm="1">
        <f t="array" ref="DD113">[1]!ACAELE_CAPACONDCORRIENTE(BB113,H113,I113,M113,CY113,CZ113,$P$5)</f>
        <v/>
      </c>
      <c r="DE113" s="923" t="str" cm="1">
        <f t="array" ref="DE113">[1]!ACAELE_CAPACIDADCABLE(BB113,H113,I113,M113,DC113,N113,$P$5)</f>
        <v/>
      </c>
      <c r="DF113" s="924" t="str" cm="1">
        <f t="array" ref="DF113">[1]!ACAELE_encontrarcaida(BB113,H113,L113,BV113,F113,BU113,N113,K113)</f>
        <v/>
      </c>
      <c r="DG113" s="925" t="str" cm="1">
        <f t="array" ref="DG113">[1]!ACAELE_Cablecaida(BB113,H113,M113,I113,DF113)</f>
        <v/>
      </c>
      <c r="DH113" s="918" t="str" cm="1">
        <f t="array" ref="DH113">[1]!ACAELE_CAPACIDADCABLE(BB113,H113,I113,M113,DG113,N113,$P$5)</f>
        <v/>
      </c>
      <c r="DI113" s="926" t="str" cm="1">
        <f t="array" ref="DI113">IF($A$27=1,"",[1]!ACAELE_encontrarcaida(BB113,H113,R113,BV113,F113,BU113,T113,Q113,$P$5))</f>
        <v/>
      </c>
      <c r="DJ113" s="914" t="str" cm="1">
        <f t="array" ref="DJ113">IF($A$27=1,"",[1]!ACAELE_Cablecaida2(BB113,Q113,H113,S113,I113,DI113,$P$5))</f>
        <v/>
      </c>
      <c r="DK113" s="919" t="str" cm="1">
        <f t="array" ref="DK113">[1]!ACAELE_CAPACIDADCABLE(BB113,H113,I113,M113,DJ113,N113,$P$5)</f>
        <v/>
      </c>
      <c r="DL113" s="927" t="str" cm="1">
        <f t="array" ref="DL113">[1]!acaele_Iproteccion(BB113,H113,BU113,$F$20,$G$20,$F$19,$G$19,$H$20,$H$19,$P$5)</f>
        <v/>
      </c>
      <c r="DM113" s="928" cm="1">
        <f t="array" ref="DM113">[1]!acaele_ProtCalculada(CX113,H113,BT113,BW113,$G$21,$F$21,$H$21,$P$5)</f>
        <v>0</v>
      </c>
      <c r="DN113" s="929" t="str" cm="1">
        <f t="array" ref="DN113">[1]!ACAELE_cablecalculo(BB113,H113,I113,M113,EF113,$P$5)</f>
        <v/>
      </c>
      <c r="DO113" s="930" t="str" cm="1">
        <f t="array" ref="DO113">[1]!ACAELE_RESISTENCIA(BB113,H113,M113,I113,BX113, CW113,$P$5)</f>
        <v/>
      </c>
      <c r="DP113" s="931" t="str" cm="1">
        <f t="array" ref="DP113">[1]!ACAELE_REACTANCIA(BB113,H113,$F$11,M113,I113,BX113,$P$5)</f>
        <v/>
      </c>
      <c r="DQ113" s="918" t="str" cm="1">
        <f t="array" ref="DQ113">[1]!ACAELE_DIAMECAISLA(BB113,H113,I113,BX113,$P$5)</f>
        <v/>
      </c>
      <c r="DR113" s="918" t="str" cm="1">
        <f t="array" ref="DR113">[1]!ACAELE_AREACAISLAMIENTO(BB113,H113,DQ113,$P$5)</f>
        <v/>
      </c>
      <c r="DS113" s="918" t="str" cm="1">
        <f t="array" ref="DS113">[1]!ACAELE_CAIDAVOLTSFINAL(BB113,H113,F113,K113,BU113,N113,DO113,DA113,DP113,DB113,$P$5)</f>
        <v/>
      </c>
      <c r="DT113" s="918" t="str" cm="1">
        <f t="array" ref="DT113">[1]!ACAELE_AREACONDPTE(BB113,H113,CA113,$P$5)</f>
        <v/>
      </c>
      <c r="DU113" s="932" t="str" cm="1">
        <f t="array" ref="DU113">[1]!ACAELE_AREATOTAL(BZ113,M113,EO113,N113,DQ113,G113,DR113,DT113,N$20,$P$5)</f>
        <v/>
      </c>
      <c r="DV113" s="933" t="str" cm="1">
        <f t="array" ref="DV113">IF($A$27=1,"",[1]!ACAELE_cablecalculo(BB113,H113,I113,M113,EG113,$P$5))</f>
        <v/>
      </c>
      <c r="DW113" s="934" t="str" cm="1">
        <f t="array" ref="DW113">IF($A$27=1,"",[1]!ACAELE_RESISTENCIA(BB113,H113,M113,I113,CC113,CW113,$P$5))</f>
        <v/>
      </c>
      <c r="DX113" s="926" t="str" cm="1">
        <f t="array" ref="DX113">IF($A$27=1,"",[1]!ACAELE_REACTANCIA(BB113,H113,$F$11,M113,I113,CC113,$P$5))</f>
        <v/>
      </c>
      <c r="DY113" s="935" t="str" cm="1">
        <f t="array" ref="DY113">IF($A$27=1,"",[1]!ACAELE_DIAMECAISLA(BB113,H113,I113,CC113,$P$5))</f>
        <v/>
      </c>
      <c r="DZ113" s="935" t="str" cm="1">
        <f t="array" ref="DZ113">IF($A$27=1,"",[1]!ACAELE_AREACAISLAMIENTO(BB113,H113,DY113,$P$5))</f>
        <v/>
      </c>
      <c r="EA113" s="935" t="str" cm="1">
        <f t="array" ref="EA113">[1]!ACAELE_CAIDAVOLTSFINAL2(BB113,Q113,H113,F113,$A$27,BU113,T113,DW113,DA113,DX113,DB113)</f>
        <v/>
      </c>
      <c r="EB113" s="935" t="str" cm="1">
        <f t="array" ref="EB113">IF($A$27=1,"",[1]!ACAELE_AREACONDPTE(BB113,H113,CF113,$P$5))</f>
        <v/>
      </c>
      <c r="EC113" s="936" t="str" cm="1">
        <f t="array" ref="EC113">[1]!ACAELE_AREATOTAL2(H113,$A$27,DY113,S113,G113,T113,DZ113,U113,EB113)</f>
        <v/>
      </c>
      <c r="ED113" s="937" t="str">
        <f t="shared" si="129"/>
        <v/>
      </c>
      <c r="EE113" s="938" t="str">
        <f t="shared" si="130"/>
        <v/>
      </c>
      <c r="EF113" s="939" t="str">
        <f t="shared" si="131"/>
        <v/>
      </c>
      <c r="EG113" s="940">
        <f t="shared" si="132"/>
        <v>0</v>
      </c>
      <c r="EH113" s="941" t="str">
        <f t="shared" si="133"/>
        <v/>
      </c>
      <c r="EI113" s="942">
        <f t="shared" si="134"/>
        <v>30</v>
      </c>
      <c r="EJ113" s="943" t="str">
        <f t="shared" si="81"/>
        <v/>
      </c>
      <c r="EK113" s="943" t="str">
        <f t="shared" si="82"/>
        <v/>
      </c>
      <c r="EL113" s="943" t="str">
        <f t="shared" si="83"/>
        <v/>
      </c>
      <c r="EM113" s="944" t="str">
        <f t="shared" si="84"/>
        <v/>
      </c>
      <c r="EN113" s="945" t="str" cm="1">
        <f t="array" ref="EN113">[1]!ACAELE_MOTOR(H113,X113:BA113,$X$26:$BA$26,$P$5)</f>
        <v/>
      </c>
      <c r="EO113" s="550" t="str">
        <f t="shared" si="135"/>
        <v/>
      </c>
      <c r="EP113" s="431" t="s">
        <v>1214</v>
      </c>
      <c r="EQ113" s="434" t="str">
        <f t="shared" ca="1" si="136"/>
        <v/>
      </c>
      <c r="ER113" s="32"/>
      <c r="ES113" s="32"/>
      <c r="ET113" s="3" t="str">
        <f t="shared" si="137"/>
        <v/>
      </c>
      <c r="EU113" s="3" t="str">
        <f t="shared" si="138"/>
        <v/>
      </c>
      <c r="EV113" s="3" t="str">
        <f t="shared" si="139"/>
        <v/>
      </c>
      <c r="EW113" s="3" t="str">
        <f t="shared" si="140"/>
        <v/>
      </c>
      <c r="EX113" s="3" t="str">
        <f t="shared" si="141"/>
        <v/>
      </c>
      <c r="EY113" s="3" t="str">
        <f t="shared" si="142"/>
        <v/>
      </c>
      <c r="EZ113" s="3" t="str">
        <f t="shared" si="143"/>
        <v/>
      </c>
      <c r="FA113" s="3" t="str">
        <f t="shared" si="144"/>
        <v/>
      </c>
      <c r="FB113" s="3" t="str">
        <f t="shared" si="145"/>
        <v/>
      </c>
      <c r="FC113" s="3">
        <f t="shared" si="146"/>
        <v>0</v>
      </c>
      <c r="FD113" s="32"/>
      <c r="FE113" s="32"/>
      <c r="FF113" s="103">
        <v>1</v>
      </c>
      <c r="FG113" s="32"/>
      <c r="FH113" s="103"/>
      <c r="FI113" s="32"/>
      <c r="FJ113" s="103"/>
      <c r="FK113" s="3">
        <f t="shared" si="147"/>
        <v>0</v>
      </c>
      <c r="FL113" s="3" t="str" cm="1">
        <f t="array" aca="1" ref="FL113" ca="1">[1]!acaele_DIB_UNIFILAR(BB113,H113,F113,COUNTIF(X113:BA113,1),BW113)</f>
        <v/>
      </c>
      <c r="FM113" s="3" t="str">
        <f>IF(DATOS!$T$4=0,"",IF(DATOS!$T$4=1," (QO)",IF(DATOS!$T$4=2," (QOB)",IF(DATOS!$T$4=3," (EDB)",IF(DATOS!$T$4=4,IF(BW113&lt;151," (H"&amp;FN113&amp;")",IF(BW113&lt;251," (J"&amp;FN113&amp;")", IF(BW113&lt;401," (LA)",IF(BW113&lt;801," (MG)",IF(BW113&lt;5001," (POWERPACK)",""))))))))))</f>
        <v xml:space="preserve"> (QOB)</v>
      </c>
      <c r="FN113" s="3" t="str">
        <f t="shared" si="148"/>
        <v/>
      </c>
      <c r="FO113" s="146"/>
      <c r="FP113" s="146"/>
      <c r="FQ113" s="146"/>
      <c r="FR113" s="146"/>
      <c r="FS113" s="146"/>
      <c r="FT113" s="146"/>
      <c r="FU113" s="146"/>
      <c r="FV113" s="146"/>
      <c r="FW113" s="146"/>
      <c r="FX113" s="146" t="str">
        <f t="shared" si="79"/>
        <v/>
      </c>
      <c r="FY113" s="736"/>
      <c r="FZ113" s="740"/>
      <c r="GA113" s="740"/>
      <c r="GB113" s="717"/>
      <c r="GC113" s="838"/>
      <c r="GD113" s="736"/>
      <c r="GE113" s="146"/>
      <c r="GF113" s="506"/>
      <c r="GG113" s="506"/>
      <c r="GH113" s="506"/>
      <c r="GI113" s="506"/>
      <c r="GJ113" s="506"/>
      <c r="GM113" s="3">
        <f>IF(OR(GN113&gt;TABLERO!$M$19,GO113&gt;TABLERO!$M$19,GP113&gt;TABLERO!$M$19,B113=0,C113=0,D113=0),2,CUADROACAD!A113)</f>
        <v>2</v>
      </c>
      <c r="GN113" s="3">
        <f>IF(TABLERO!B113="",0,TABLERO!B113)</f>
        <v>83</v>
      </c>
      <c r="GO113" s="3">
        <f>IF(TABLERO!C113="",GN113,TABLERO!C113)</f>
        <v>83</v>
      </c>
      <c r="GP113" s="3">
        <f>IF(TABLERO!D113="",GN113,TABLERO!D113)</f>
        <v>83</v>
      </c>
    </row>
    <row r="114" spans="1:198" s="3" customFormat="1">
      <c r="A114" s="706"/>
      <c r="B114" s="869">
        <v>84</v>
      </c>
      <c r="C114" s="870" t="str">
        <f t="shared" si="85"/>
        <v/>
      </c>
      <c r="D114" s="870" t="str">
        <f t="shared" si="86"/>
        <v/>
      </c>
      <c r="E114" s="871"/>
      <c r="F114" s="872">
        <v>1</v>
      </c>
      <c r="G114" s="716">
        <f t="shared" si="87"/>
        <v>2</v>
      </c>
      <c r="H114" s="873" t="s">
        <v>12</v>
      </c>
      <c r="I114" s="874" t="str">
        <f t="shared" si="88"/>
        <v>CU</v>
      </c>
      <c r="J114" s="875">
        <v>6</v>
      </c>
      <c r="K114" s="876">
        <v>10</v>
      </c>
      <c r="L114" s="876">
        <v>3</v>
      </c>
      <c r="M114" s="877">
        <v>1</v>
      </c>
      <c r="N114" s="877">
        <v>1</v>
      </c>
      <c r="O114" s="878">
        <v>1</v>
      </c>
      <c r="P114" s="879">
        <v>4</v>
      </c>
      <c r="Q114" s="880">
        <v>1</v>
      </c>
      <c r="R114" s="880">
        <v>1</v>
      </c>
      <c r="S114" s="881">
        <v>1</v>
      </c>
      <c r="T114" s="881">
        <v>1</v>
      </c>
      <c r="U114" s="882">
        <v>1</v>
      </c>
      <c r="V114" s="883">
        <v>1</v>
      </c>
      <c r="W114" s="874" t="str">
        <f t="shared" si="89"/>
        <v>SI</v>
      </c>
      <c r="X114" s="884"/>
      <c r="Y114" s="885"/>
      <c r="Z114" s="885"/>
      <c r="AA114" s="885"/>
      <c r="AB114" s="885"/>
      <c r="AC114" s="885"/>
      <c r="AD114" s="885"/>
      <c r="AE114" s="885"/>
      <c r="AF114" s="885"/>
      <c r="AG114" s="885"/>
      <c r="AH114" s="885"/>
      <c r="AI114" s="885"/>
      <c r="AJ114" s="885"/>
      <c r="AK114" s="885"/>
      <c r="AL114" s="885"/>
      <c r="AM114" s="885"/>
      <c r="AN114" s="885"/>
      <c r="AO114" s="885"/>
      <c r="AP114" s="885"/>
      <c r="AQ114" s="885"/>
      <c r="AR114" s="885"/>
      <c r="AS114" s="885"/>
      <c r="AT114" s="885"/>
      <c r="AU114" s="885"/>
      <c r="AV114" s="885"/>
      <c r="AW114" s="885"/>
      <c r="AX114" s="885"/>
      <c r="AY114" s="885"/>
      <c r="AZ114" s="885"/>
      <c r="BA114" s="886"/>
      <c r="BB114" s="887">
        <f t="shared" si="90"/>
        <v>0</v>
      </c>
      <c r="BC114" s="888" t="str">
        <f t="shared" si="91"/>
        <v/>
      </c>
      <c r="BD114" s="889" t="str">
        <f t="shared" si="92"/>
        <v/>
      </c>
      <c r="BE114" s="889" t="str">
        <f t="shared" si="93"/>
        <v/>
      </c>
      <c r="BF114" s="889" t="str">
        <f t="shared" si="94"/>
        <v/>
      </c>
      <c r="BG114" s="889" t="str">
        <f t="shared" si="95"/>
        <v/>
      </c>
      <c r="BH114" s="889" t="str">
        <f t="shared" si="96"/>
        <v/>
      </c>
      <c r="BI114" s="890" t="str">
        <f t="shared" si="97"/>
        <v/>
      </c>
      <c r="BJ114" s="891" t="str">
        <f t="shared" si="98"/>
        <v/>
      </c>
      <c r="BK114" s="892" t="str">
        <f t="shared" si="99"/>
        <v/>
      </c>
      <c r="BL114" s="892" t="str">
        <f t="shared" si="100"/>
        <v/>
      </c>
      <c r="BM114" s="892" t="str">
        <f t="shared" si="101"/>
        <v/>
      </c>
      <c r="BN114" s="892" t="str">
        <f t="shared" si="102"/>
        <v/>
      </c>
      <c r="BO114" s="892" t="str">
        <f t="shared" si="103"/>
        <v/>
      </c>
      <c r="BP114" s="893" t="str">
        <f t="shared" si="104"/>
        <v/>
      </c>
      <c r="BQ114" s="894" t="str">
        <f t="shared" si="105"/>
        <v/>
      </c>
      <c r="BR114" s="895" t="str">
        <f t="shared" si="80"/>
        <v/>
      </c>
      <c r="BS114" s="896" t="str">
        <f t="shared" si="106"/>
        <v/>
      </c>
      <c r="BT114" s="897" t="str">
        <f t="shared" si="107"/>
        <v/>
      </c>
      <c r="BU114" s="231" t="str">
        <f t="shared" si="108"/>
        <v/>
      </c>
      <c r="BV114" s="898">
        <f t="shared" si="109"/>
        <v>127</v>
      </c>
      <c r="BW114" s="845" t="str">
        <f t="shared" si="110"/>
        <v/>
      </c>
      <c r="BX114" s="899" t="str">
        <f t="shared" si="111"/>
        <v/>
      </c>
      <c r="BY114" s="900" t="str" cm="1">
        <f t="array" ref="BY114">[1]!ACAELE_CAPACIDADCABLE(BB114,H114,I114,M114,BX114,N114)</f>
        <v/>
      </c>
      <c r="BZ114" s="900" t="str">
        <f t="shared" si="112"/>
        <v/>
      </c>
      <c r="CA114" s="901" t="str" cm="1">
        <f t="array" ref="CA114">[1]!ACAELE_cabledetierra(BZ114,$N$9,I114,BW114,BX114,G114)</f>
        <v/>
      </c>
      <c r="CB114" s="902" t="str" cm="1">
        <f t="array" ref="CB114">[1]!ACAELE_TAMATUBERIA(BX114,DU114,$N$9,M114,I114)</f>
        <v/>
      </c>
      <c r="CC114" s="846" t="str">
        <f t="shared" si="113"/>
        <v/>
      </c>
      <c r="CD114" s="903" t="str" cm="1">
        <f t="array" ref="CD114">[1]!ACAELE_CAPACIDADCABLE(BB114,H114,I114,M114,CC114,N114)</f>
        <v/>
      </c>
      <c r="CE114" s="903" t="str">
        <f t="shared" si="114"/>
        <v/>
      </c>
      <c r="CF114" s="904" t="str" cm="1">
        <f t="array" ref="CF114">[1]!ACAELE_cabledetierra(CE114,$N$9,I114,BW114,CC114,G114)</f>
        <v/>
      </c>
      <c r="CG114" s="905" t="str" cm="1">
        <f t="array" ref="CG114">[1]!ACAELE_TAMATUBERIA(CC114,EC114,$N$9,S114,I114)</f>
        <v/>
      </c>
      <c r="CH114" s="906" t="str">
        <f t="shared" si="115"/>
        <v/>
      </c>
      <c r="CI114" s="510" t="str">
        <f t="shared" si="116"/>
        <v>-</v>
      </c>
      <c r="CJ114" s="511" t="str">
        <f t="shared" si="117"/>
        <v>-</v>
      </c>
      <c r="CK114" s="512" t="str">
        <f t="shared" si="118"/>
        <v>-</v>
      </c>
      <c r="CL114" s="907" t="str">
        <f t="shared" si="119"/>
        <v>-</v>
      </c>
      <c r="CM114" s="908" t="str">
        <f t="shared" si="120"/>
        <v>-</v>
      </c>
      <c r="CN114" s="909" t="str">
        <f t="shared" si="121"/>
        <v>-</v>
      </c>
      <c r="CO114" s="910" t="str" cm="1">
        <f t="array" ref="CO114">[1]!ACAELE_fasecorresponde(B114,$F$10,$P$5)</f>
        <v>C</v>
      </c>
      <c r="CP114" s="910" t="str" cm="1">
        <f t="array" ref="CP114">[1]!ACAELE_fasecorresponde(C114,$F$10,$P$5)</f>
        <v>-</v>
      </c>
      <c r="CQ114" s="910" t="str" cm="1">
        <f t="array" ref="CQ114">[1]!ACAELE_fasecorresponde(D114,$F$10,$P$5)</f>
        <v>-</v>
      </c>
      <c r="CR114" s="911" t="str">
        <f t="shared" si="122"/>
        <v>C</v>
      </c>
      <c r="CS114" s="912">
        <f t="shared" si="123"/>
        <v>1</v>
      </c>
      <c r="CT114" s="913">
        <f t="shared" si="124"/>
        <v>0.8</v>
      </c>
      <c r="CU114" s="914" t="str">
        <f t="shared" si="125"/>
        <v/>
      </c>
      <c r="CV114" s="915">
        <f t="shared" si="126"/>
        <v>0</v>
      </c>
      <c r="CW114" s="916" t="str" cm="1">
        <f t="array" ref="CW114">[1]!ACAELE_Inominal(BB114,F114,BT114,BV114,DA114,G114,V114,$P$5)</f>
        <v/>
      </c>
      <c r="CX114" s="917" t="str" cm="1">
        <f t="array" ref="CX114">[1]!ACAELE_Disparocalculado(BB114,H114,DL114,$N$21,$M$21,$O$21,BV114,$P$5)</f>
        <v/>
      </c>
      <c r="CY114" s="918" t="str" cm="1">
        <f t="array" ref="CY114">[1]!ACAELE_Icorregida($A$27,H114,BB114,BU114,CS114,CT114,$P$5)</f>
        <v/>
      </c>
      <c r="CZ114" s="919" t="str" cm="1">
        <f t="array" ref="CZ114">[1]!ACAELE_Icorregida2($A$27,H114,BB114,BU114,CS114,CU114,$P$5)</f>
        <v/>
      </c>
      <c r="DA114" s="920">
        <f t="shared" si="127"/>
        <v>0.9</v>
      </c>
      <c r="DB114" s="921">
        <f t="shared" si="128"/>
        <v>0.43588989435406728</v>
      </c>
      <c r="DC114" s="922" t="str" cm="1">
        <f t="array" ref="DC114">[1]!ACAELE_CONDPORTCORRIENTE(H114,BB114,I114,M114,CY114,CZ114,N114,$P$5)</f>
        <v/>
      </c>
      <c r="DD114" s="923" t="str" cm="1">
        <f t="array" ref="DD114">[1]!ACAELE_CAPACONDCORRIENTE(BB114,H114,I114,M114,CY114,CZ114,$P$5)</f>
        <v/>
      </c>
      <c r="DE114" s="923" t="str" cm="1">
        <f t="array" ref="DE114">[1]!ACAELE_CAPACIDADCABLE(BB114,H114,I114,M114,DC114,N114,$P$5)</f>
        <v/>
      </c>
      <c r="DF114" s="924" t="str" cm="1">
        <f t="array" ref="DF114">[1]!ACAELE_encontrarcaida(BB114,H114,L114,BV114,F114,BU114,N114,K114)</f>
        <v/>
      </c>
      <c r="DG114" s="925" t="str" cm="1">
        <f t="array" ref="DG114">[1]!ACAELE_Cablecaida(BB114,H114,M114,I114,DF114)</f>
        <v/>
      </c>
      <c r="DH114" s="918" t="str" cm="1">
        <f t="array" ref="DH114">[1]!ACAELE_CAPACIDADCABLE(BB114,H114,I114,M114,DG114,N114,$P$5)</f>
        <v/>
      </c>
      <c r="DI114" s="926" t="str" cm="1">
        <f t="array" ref="DI114">IF($A$27=1,"",[1]!ACAELE_encontrarcaida(BB114,H114,R114,BV114,F114,BU114,T114,Q114,$P$5))</f>
        <v/>
      </c>
      <c r="DJ114" s="914" t="str" cm="1">
        <f t="array" ref="DJ114">IF($A$27=1,"",[1]!ACAELE_Cablecaida2(BB114,Q114,H114,S114,I114,DI114,$P$5))</f>
        <v/>
      </c>
      <c r="DK114" s="919" t="str" cm="1">
        <f t="array" ref="DK114">[1]!ACAELE_CAPACIDADCABLE(BB114,H114,I114,M114,DJ114,N114,$P$5)</f>
        <v/>
      </c>
      <c r="DL114" s="927" t="str" cm="1">
        <f t="array" ref="DL114">[1]!acaele_Iproteccion(BB114,H114,BU114,$F$20,$G$20,$F$19,$G$19,$H$20,$H$19,$P$5)</f>
        <v/>
      </c>
      <c r="DM114" s="928" cm="1">
        <f t="array" ref="DM114">[1]!acaele_ProtCalculada(CX114,H114,BT114,BW114,$G$21,$F$21,$H$21,$P$5)</f>
        <v>0</v>
      </c>
      <c r="DN114" s="929" t="str" cm="1">
        <f t="array" ref="DN114">[1]!ACAELE_cablecalculo(BB114,H114,I114,M114,EF114,$P$5)</f>
        <v/>
      </c>
      <c r="DO114" s="930" t="str" cm="1">
        <f t="array" ref="DO114">[1]!ACAELE_RESISTENCIA(BB114,H114,M114,I114,BX114, CW114,$P$5)</f>
        <v/>
      </c>
      <c r="DP114" s="931" t="str" cm="1">
        <f t="array" ref="DP114">[1]!ACAELE_REACTANCIA(BB114,H114,$F$11,M114,I114,BX114,$P$5)</f>
        <v/>
      </c>
      <c r="DQ114" s="918" t="str" cm="1">
        <f t="array" ref="DQ114">[1]!ACAELE_DIAMECAISLA(BB114,H114,I114,BX114,$P$5)</f>
        <v/>
      </c>
      <c r="DR114" s="918" t="str" cm="1">
        <f t="array" ref="DR114">[1]!ACAELE_AREACAISLAMIENTO(BB114,H114,DQ114,$P$5)</f>
        <v/>
      </c>
      <c r="DS114" s="918" t="str" cm="1">
        <f t="array" ref="DS114">[1]!ACAELE_CAIDAVOLTSFINAL(BB114,H114,F114,K114,BU114,N114,DO114,DA114,DP114,DB114,$P$5)</f>
        <v/>
      </c>
      <c r="DT114" s="918" t="str" cm="1">
        <f t="array" ref="DT114">[1]!ACAELE_AREACONDPTE(BB114,H114,CA114,$P$5)</f>
        <v/>
      </c>
      <c r="DU114" s="932" t="str" cm="1">
        <f t="array" ref="DU114">[1]!ACAELE_AREATOTAL(BZ114,M114,EO114,N114,DQ114,G114,DR114,DT114,N$20,$P$5)</f>
        <v/>
      </c>
      <c r="DV114" s="933" t="str" cm="1">
        <f t="array" ref="DV114">IF($A$27=1,"",[1]!ACAELE_cablecalculo(BB114,H114,I114,M114,EG114,$P$5))</f>
        <v/>
      </c>
      <c r="DW114" s="934" t="str" cm="1">
        <f t="array" ref="DW114">IF($A$27=1,"",[1]!ACAELE_RESISTENCIA(BB114,H114,M114,I114,CC114,CW114,$P$5))</f>
        <v/>
      </c>
      <c r="DX114" s="926" t="str" cm="1">
        <f t="array" ref="DX114">IF($A$27=1,"",[1]!ACAELE_REACTANCIA(BB114,H114,$F$11,M114,I114,CC114,$P$5))</f>
        <v/>
      </c>
      <c r="DY114" s="935" t="str" cm="1">
        <f t="array" ref="DY114">IF($A$27=1,"",[1]!ACAELE_DIAMECAISLA(BB114,H114,I114,CC114,$P$5))</f>
        <v/>
      </c>
      <c r="DZ114" s="935" t="str" cm="1">
        <f t="array" ref="DZ114">IF($A$27=1,"",[1]!ACAELE_AREACAISLAMIENTO(BB114,H114,DY114,$P$5))</f>
        <v/>
      </c>
      <c r="EA114" s="935" t="str" cm="1">
        <f t="array" ref="EA114">[1]!ACAELE_CAIDAVOLTSFINAL2(BB114,Q114,H114,F114,$A$27,BU114,T114,DW114,DA114,DX114,DB114)</f>
        <v/>
      </c>
      <c r="EB114" s="935" t="str" cm="1">
        <f t="array" ref="EB114">IF($A$27=1,"",[1]!ACAELE_AREACONDPTE(BB114,H114,CF114,$P$5))</f>
        <v/>
      </c>
      <c r="EC114" s="936" t="str" cm="1">
        <f t="array" ref="EC114">[1]!ACAELE_AREATOTAL2(H114,$A$27,DY114,S114,G114,T114,DZ114,U114,EB114)</f>
        <v/>
      </c>
      <c r="ED114" s="937" t="str">
        <f t="shared" si="129"/>
        <v/>
      </c>
      <c r="EE114" s="938" t="str">
        <f t="shared" si="130"/>
        <v/>
      </c>
      <c r="EF114" s="939" t="str">
        <f t="shared" si="131"/>
        <v/>
      </c>
      <c r="EG114" s="940">
        <f t="shared" si="132"/>
        <v>0</v>
      </c>
      <c r="EH114" s="941" t="str">
        <f t="shared" si="133"/>
        <v/>
      </c>
      <c r="EI114" s="942">
        <f t="shared" si="134"/>
        <v>30</v>
      </c>
      <c r="EJ114" s="943" t="str">
        <f t="shared" si="81"/>
        <v/>
      </c>
      <c r="EK114" s="943" t="str">
        <f t="shared" si="82"/>
        <v/>
      </c>
      <c r="EL114" s="943" t="str">
        <f t="shared" si="83"/>
        <v/>
      </c>
      <c r="EM114" s="944" t="str">
        <f t="shared" si="84"/>
        <v/>
      </c>
      <c r="EN114" s="945" t="str" cm="1">
        <f t="array" ref="EN114">[1]!ACAELE_MOTOR(H114,X114:BA114,$X$26:$BA$26,$P$5)</f>
        <v/>
      </c>
      <c r="EO114" s="550" t="str">
        <f t="shared" si="135"/>
        <v/>
      </c>
      <c r="EP114" s="431" t="s">
        <v>1214</v>
      </c>
      <c r="EQ114" s="434" t="str">
        <f t="shared" ca="1" si="136"/>
        <v/>
      </c>
      <c r="ER114" s="32"/>
      <c r="ES114" s="32"/>
      <c r="ET114" s="3" t="str">
        <f t="shared" si="137"/>
        <v/>
      </c>
      <c r="EU114" s="3" t="str">
        <f t="shared" si="138"/>
        <v/>
      </c>
      <c r="EV114" s="3" t="str">
        <f t="shared" si="139"/>
        <v/>
      </c>
      <c r="EW114" s="3" t="str">
        <f t="shared" si="140"/>
        <v/>
      </c>
      <c r="EX114" s="3" t="str">
        <f t="shared" si="141"/>
        <v/>
      </c>
      <c r="EY114" s="3" t="str">
        <f t="shared" si="142"/>
        <v/>
      </c>
      <c r="EZ114" s="3" t="str">
        <f t="shared" si="143"/>
        <v/>
      </c>
      <c r="FA114" s="3" t="str">
        <f t="shared" si="144"/>
        <v/>
      </c>
      <c r="FB114" s="3" t="str">
        <f t="shared" si="145"/>
        <v/>
      </c>
      <c r="FC114" s="3">
        <f t="shared" si="146"/>
        <v>0</v>
      </c>
      <c r="FD114" s="32"/>
      <c r="FE114" s="32"/>
      <c r="FF114" s="103">
        <v>1</v>
      </c>
      <c r="FG114" s="32"/>
      <c r="FH114" s="103"/>
      <c r="FI114" s="32"/>
      <c r="FJ114" s="103"/>
      <c r="FK114" s="3">
        <f t="shared" si="147"/>
        <v>0</v>
      </c>
      <c r="FL114" s="3" t="str" cm="1">
        <f t="array" aca="1" ref="FL114" ca="1">[1]!acaele_DIB_UNIFILAR(BB114,H114,F114,COUNTIF(X114:BA114,1),BW114)</f>
        <v/>
      </c>
      <c r="FM114" s="3" t="str">
        <f>IF(DATOS!$T$4=0,"",IF(DATOS!$T$4=1," (QO)",IF(DATOS!$T$4=2," (QOB)",IF(DATOS!$T$4=3," (EDB)",IF(DATOS!$T$4=4,IF(BW114&lt;151," (H"&amp;FN114&amp;")",IF(BW114&lt;251," (J"&amp;FN114&amp;")", IF(BW114&lt;401," (LA)",IF(BW114&lt;801," (MG)",IF(BW114&lt;5001," (POWERPACK)",""))))))))))</f>
        <v xml:space="preserve"> (QOB)</v>
      </c>
      <c r="FN114" s="3" t="str">
        <f t="shared" si="148"/>
        <v/>
      </c>
      <c r="FO114" s="146"/>
      <c r="FP114" s="146"/>
      <c r="FQ114" s="146"/>
      <c r="FR114" s="146"/>
      <c r="FS114" s="146"/>
      <c r="FT114" s="146"/>
      <c r="FU114" s="146"/>
      <c r="FV114" s="146"/>
      <c r="FW114" s="146"/>
      <c r="FX114" s="146" t="str">
        <f t="shared" si="79"/>
        <v/>
      </c>
      <c r="FY114" s="736"/>
      <c r="FZ114" s="740"/>
      <c r="GA114" s="740"/>
      <c r="GB114" s="717"/>
      <c r="GC114" s="838"/>
      <c r="GD114" s="736"/>
      <c r="GE114" s="146"/>
      <c r="GF114" s="506"/>
      <c r="GG114" s="506"/>
      <c r="GH114" s="506"/>
      <c r="GI114" s="506"/>
      <c r="GJ114" s="506"/>
      <c r="GM114" s="3">
        <f>IF(OR(GN114&gt;TABLERO!$M$19,GO114&gt;TABLERO!$M$19,GP114&gt;TABLERO!$M$19,B114=0,C114=0,D114=0),2,CUADROACAD!A114)</f>
        <v>2</v>
      </c>
      <c r="GN114" s="3">
        <f>IF(TABLERO!B114="",0,TABLERO!B114)</f>
        <v>84</v>
      </c>
      <c r="GO114" s="3">
        <f>IF(TABLERO!C114="",GN114,TABLERO!C114)</f>
        <v>84</v>
      </c>
      <c r="GP114" s="3">
        <f>IF(TABLERO!D114="",GN114,TABLERO!D114)</f>
        <v>84</v>
      </c>
    </row>
    <row r="115" spans="1:198" ht="13.8" thickBot="1">
      <c r="B115" s="839"/>
      <c r="C115" s="840"/>
      <c r="D115" s="840"/>
      <c r="E115" s="232"/>
      <c r="F115" s="233"/>
      <c r="G115" s="234"/>
      <c r="H115" s="234"/>
      <c r="I115" s="235"/>
      <c r="J115" s="435"/>
      <c r="K115" s="436"/>
      <c r="L115" s="436"/>
      <c r="M115" s="437"/>
      <c r="N115" s="437"/>
      <c r="O115" s="438"/>
      <c r="P115" s="236"/>
      <c r="Q115" s="237"/>
      <c r="R115" s="237"/>
      <c r="S115" s="238"/>
      <c r="T115" s="238"/>
      <c r="U115" s="239"/>
      <c r="V115" s="240"/>
      <c r="W115" s="235"/>
      <c r="X115" s="241"/>
      <c r="Y115" s="242"/>
      <c r="Z115" s="242"/>
      <c r="AA115" s="242"/>
      <c r="AB115" s="242"/>
      <c r="AC115" s="242"/>
      <c r="AD115" s="242"/>
      <c r="AE115" s="242"/>
      <c r="AF115" s="242"/>
      <c r="AG115" s="242"/>
      <c r="AH115" s="242"/>
      <c r="AI115" s="242"/>
      <c r="AJ115" s="242"/>
      <c r="AK115" s="242"/>
      <c r="AL115" s="242"/>
      <c r="AM115" s="242"/>
      <c r="AN115" s="242"/>
      <c r="AO115" s="242"/>
      <c r="AP115" s="242"/>
      <c r="AQ115" s="242"/>
      <c r="AR115" s="242"/>
      <c r="AS115" s="242"/>
      <c r="AT115" s="242"/>
      <c r="AU115" s="242"/>
      <c r="AV115" s="242"/>
      <c r="AW115" s="242"/>
      <c r="AX115" s="242"/>
      <c r="AY115" s="242"/>
      <c r="AZ115" s="242"/>
      <c r="BA115" s="243"/>
      <c r="BB115" s="244"/>
      <c r="BC115" s="245"/>
      <c r="BD115" s="246"/>
      <c r="BE115" s="246"/>
      <c r="BF115" s="246"/>
      <c r="BG115" s="246"/>
      <c r="BH115" s="246"/>
      <c r="BI115" s="247"/>
      <c r="BJ115" s="248"/>
      <c r="BK115" s="249"/>
      <c r="BL115" s="249"/>
      <c r="BM115" s="249"/>
      <c r="BN115" s="249"/>
      <c r="BO115" s="249"/>
      <c r="BP115" s="250"/>
      <c r="BQ115" s="251"/>
      <c r="BR115" s="252"/>
      <c r="BS115" s="253"/>
      <c r="BT115" s="254"/>
      <c r="BU115" s="254"/>
      <c r="BV115" s="255"/>
      <c r="BW115" s="961"/>
      <c r="BX115" s="962"/>
      <c r="BY115" s="963"/>
      <c r="BZ115" s="963"/>
      <c r="CA115" s="964"/>
      <c r="CB115" s="965"/>
      <c r="CC115" s="966"/>
      <c r="CD115" s="967"/>
      <c r="CE115" s="967"/>
      <c r="CF115" s="968"/>
      <c r="CG115" s="969"/>
      <c r="CH115" s="417"/>
      <c r="CI115" s="422"/>
      <c r="CJ115" s="425"/>
      <c r="CK115" s="428"/>
      <c r="CL115" s="601"/>
      <c r="CM115" s="602"/>
      <c r="CN115" s="603"/>
      <c r="CO115" s="604"/>
      <c r="CP115" s="605"/>
      <c r="CQ115" s="606"/>
      <c r="CR115" s="607"/>
      <c r="CS115" s="608"/>
      <c r="CT115" s="609"/>
      <c r="CU115" s="610"/>
      <c r="CV115" s="611"/>
      <c r="CW115" s="612"/>
      <c r="CX115" s="613"/>
      <c r="CY115" s="614"/>
      <c r="CZ115" s="615"/>
      <c r="DA115" s="616"/>
      <c r="DB115" s="617"/>
      <c r="DC115" s="618"/>
      <c r="DD115" s="619"/>
      <c r="DE115" s="619"/>
      <c r="DF115" s="620"/>
      <c r="DG115" s="621"/>
      <c r="DH115" s="614"/>
      <c r="DI115" s="622"/>
      <c r="DJ115" s="610"/>
      <c r="DK115" s="615"/>
      <c r="DL115" s="623"/>
      <c r="DM115" s="624"/>
      <c r="DN115" s="625"/>
      <c r="DO115" s="626"/>
      <c r="DP115" s="627"/>
      <c r="DQ115" s="614"/>
      <c r="DR115" s="614"/>
      <c r="DS115" s="614"/>
      <c r="DT115" s="628"/>
      <c r="DU115" s="629"/>
      <c r="DV115" s="630"/>
      <c r="DW115" s="630"/>
      <c r="DX115" s="622"/>
      <c r="DY115" s="631"/>
      <c r="DZ115" s="631"/>
      <c r="EA115" s="631"/>
      <c r="EB115" s="631"/>
      <c r="EC115" s="632"/>
      <c r="ED115" s="633" t="s">
        <v>584</v>
      </c>
      <c r="EE115" s="634" t="s">
        <v>584</v>
      </c>
      <c r="EF115" s="635"/>
      <c r="EG115" s="636"/>
      <c r="EH115" s="637"/>
      <c r="EI115" s="558">
        <f t="shared" ref="EI115" si="149">$F$13</f>
        <v>30</v>
      </c>
      <c r="EJ115" s="638"/>
      <c r="EK115" s="638"/>
      <c r="EL115" s="638"/>
      <c r="EM115" s="638"/>
      <c r="EN115" s="551"/>
      <c r="EO115" s="550"/>
      <c r="EP115" s="432"/>
      <c r="ET115" s="1" t="str">
        <f>IF(BW115="","",F115&amp;"P-"&amp;BW115&amp;" A")</f>
        <v/>
      </c>
      <c r="EU115" s="1" t="str">
        <f>IF(BW115="","",G115*N115&amp;"-"&amp;BX115&amp;", "&amp;O115&amp;"-"&amp;CA115&amp;"T, "&amp;O115&amp;CB115)</f>
        <v/>
      </c>
      <c r="EV115" s="1" t="str">
        <f>IF(BW115="","",K115)</f>
        <v/>
      </c>
      <c r="EW115" s="3" t="str">
        <f>IF(BW115="","",G115*N115)</f>
        <v/>
      </c>
      <c r="EX115" s="3" t="str">
        <f>IF(BW115="","",BX115)</f>
        <v/>
      </c>
      <c r="EY115" s="3" t="str">
        <f>IF(BW115="","",O115)</f>
        <v/>
      </c>
      <c r="EZ115" s="3" t="str">
        <f>IF(BW115="","",CA115)</f>
        <v/>
      </c>
      <c r="FA115" s="3" t="str">
        <f>IF(BW115="","",O115)</f>
        <v/>
      </c>
      <c r="FB115" s="3" t="str">
        <f>IF(BW115="","",CB115)</f>
        <v/>
      </c>
      <c r="FC115" s="3">
        <f t="shared" ref="FC115:FC128" si="150">IF(EV115="",0,EV115)</f>
        <v>0</v>
      </c>
      <c r="FD115" s="732"/>
      <c r="FE115" s="732"/>
      <c r="FF115" s="733"/>
      <c r="FG115" s="732"/>
      <c r="FH115" s="733"/>
      <c r="FI115" s="732"/>
      <c r="FJ115" s="733"/>
      <c r="FL115" s="3" t="str">
        <f>IF(BB115=0,"",IF(H115="A","DIA-ALUM",IF(H115="R","DIA-CONT",IF(H115="M","DIA-IAMOT",IF(H115="TB","DIA-TTAB")))))</f>
        <v/>
      </c>
      <c r="FX115" s="146">
        <f>IF(FY115=GA115,"",1)</f>
        <v>1</v>
      </c>
      <c r="FZ115" s="740"/>
      <c r="GA115" s="736" t="s">
        <v>1832</v>
      </c>
      <c r="GB115" s="49" t="str">
        <f>CUADROACAD!CU115</f>
        <v>++++++++++++++++++++++++++++++++FINAL</v>
      </c>
    </row>
    <row r="116" spans="1:198" ht="13.8" thickBot="1">
      <c r="B116" s="21"/>
      <c r="C116" s="22"/>
      <c r="D116" s="22"/>
      <c r="E116" s="23" t="str">
        <f>"TAB-"&amp;F6</f>
        <v>TAB-A</v>
      </c>
      <c r="F116" s="33">
        <f>F10</f>
        <v>3</v>
      </c>
      <c r="G116" s="34">
        <f>H10</f>
        <v>4</v>
      </c>
      <c r="H116" s="34" t="s">
        <v>840</v>
      </c>
      <c r="I116" s="35" t="str">
        <f>$F$16</f>
        <v>CU</v>
      </c>
      <c r="J116" s="442">
        <f>G116</f>
        <v>4</v>
      </c>
      <c r="K116" s="439">
        <v>40</v>
      </c>
      <c r="L116" s="439">
        <f>IF(5-$CH$26&lt;0,0.5,5-$CH$26)</f>
        <v>5</v>
      </c>
      <c r="M116" s="440">
        <v>1</v>
      </c>
      <c r="N116" s="440">
        <v>1</v>
      </c>
      <c r="O116" s="441">
        <v>1</v>
      </c>
      <c r="P116" s="36">
        <v>4</v>
      </c>
      <c r="Q116" s="37"/>
      <c r="R116" s="37">
        <v>2</v>
      </c>
      <c r="S116" s="38">
        <v>1</v>
      </c>
      <c r="T116" s="38">
        <v>1</v>
      </c>
      <c r="U116" s="39">
        <v>1</v>
      </c>
      <c r="V116" s="40">
        <v>1</v>
      </c>
      <c r="W116" s="35" t="s">
        <v>1467</v>
      </c>
      <c r="X116" s="24">
        <f>SUM(X30:X115)</f>
        <v>0</v>
      </c>
      <c r="Y116" s="25">
        <f t="shared" ref="Y116:BA116" si="151">SUM(Y30:Y115)</f>
        <v>0</v>
      </c>
      <c r="Z116" s="25">
        <f t="shared" si="151"/>
        <v>0</v>
      </c>
      <c r="AA116" s="25">
        <f t="shared" si="151"/>
        <v>0</v>
      </c>
      <c r="AB116" s="25">
        <f t="shared" si="151"/>
        <v>0</v>
      </c>
      <c r="AC116" s="25">
        <f t="shared" si="151"/>
        <v>0</v>
      </c>
      <c r="AD116" s="25">
        <f t="shared" si="151"/>
        <v>0</v>
      </c>
      <c r="AE116" s="25">
        <f t="shared" si="151"/>
        <v>0</v>
      </c>
      <c r="AF116" s="25">
        <f t="shared" si="151"/>
        <v>0</v>
      </c>
      <c r="AG116" s="25">
        <f t="shared" si="151"/>
        <v>0</v>
      </c>
      <c r="AH116" s="25">
        <f t="shared" si="151"/>
        <v>0</v>
      </c>
      <c r="AI116" s="25">
        <f t="shared" si="151"/>
        <v>0</v>
      </c>
      <c r="AJ116" s="25">
        <f t="shared" si="151"/>
        <v>0</v>
      </c>
      <c r="AK116" s="25">
        <f t="shared" si="151"/>
        <v>0</v>
      </c>
      <c r="AL116" s="25">
        <f t="shared" si="151"/>
        <v>0</v>
      </c>
      <c r="AM116" s="25">
        <f t="shared" si="151"/>
        <v>0</v>
      </c>
      <c r="AN116" s="25">
        <f t="shared" si="151"/>
        <v>0</v>
      </c>
      <c r="AO116" s="25">
        <f t="shared" si="151"/>
        <v>0</v>
      </c>
      <c r="AP116" s="25">
        <f t="shared" si="151"/>
        <v>0</v>
      </c>
      <c r="AQ116" s="25">
        <f t="shared" si="151"/>
        <v>0</v>
      </c>
      <c r="AR116" s="25">
        <f t="shared" si="151"/>
        <v>0</v>
      </c>
      <c r="AS116" s="25">
        <f t="shared" si="151"/>
        <v>0</v>
      </c>
      <c r="AT116" s="25">
        <f t="shared" si="151"/>
        <v>0</v>
      </c>
      <c r="AU116" s="25">
        <f t="shared" si="151"/>
        <v>0</v>
      </c>
      <c r="AV116" s="25">
        <f t="shared" si="151"/>
        <v>0</v>
      </c>
      <c r="AW116" s="25">
        <f t="shared" si="151"/>
        <v>0</v>
      </c>
      <c r="AX116" s="25">
        <f t="shared" si="151"/>
        <v>0</v>
      </c>
      <c r="AY116" s="25">
        <f t="shared" si="151"/>
        <v>0</v>
      </c>
      <c r="AZ116" s="25">
        <f t="shared" si="151"/>
        <v>0</v>
      </c>
      <c r="BA116" s="26">
        <f t="shared" si="151"/>
        <v>0</v>
      </c>
      <c r="BB116" s="41">
        <f>SUM(BC116:BP116)</f>
        <v>0</v>
      </c>
      <c r="BC116" s="42">
        <f>SUM(BC30:BC72)</f>
        <v>0</v>
      </c>
      <c r="BD116" s="42">
        <f t="shared" ref="BD116:BP116" si="152">SUM(BD30:BD72)</f>
        <v>0</v>
      </c>
      <c r="BE116" s="42">
        <f t="shared" si="152"/>
        <v>0</v>
      </c>
      <c r="BF116" s="42">
        <f t="shared" si="152"/>
        <v>0</v>
      </c>
      <c r="BG116" s="42">
        <f t="shared" si="152"/>
        <v>0</v>
      </c>
      <c r="BH116" s="42">
        <f t="shared" si="152"/>
        <v>0</v>
      </c>
      <c r="BI116" s="42">
        <f t="shared" si="152"/>
        <v>0</v>
      </c>
      <c r="BJ116" s="42">
        <f t="shared" si="152"/>
        <v>0</v>
      </c>
      <c r="BK116" s="42">
        <f t="shared" si="152"/>
        <v>0</v>
      </c>
      <c r="BL116" s="42">
        <f t="shared" si="152"/>
        <v>0</v>
      </c>
      <c r="BM116" s="42">
        <f t="shared" si="152"/>
        <v>0</v>
      </c>
      <c r="BN116" s="42">
        <f t="shared" si="152"/>
        <v>0</v>
      </c>
      <c r="BO116" s="42">
        <f t="shared" si="152"/>
        <v>0</v>
      </c>
      <c r="BP116" s="42">
        <f t="shared" si="152"/>
        <v>0</v>
      </c>
      <c r="BQ116" s="28">
        <f>(SUM(BQ30:BQ72))</f>
        <v>0</v>
      </c>
      <c r="BR116" s="20">
        <f>MAX(BR30:BR115)</f>
        <v>0</v>
      </c>
      <c r="BS116" s="51">
        <f>MAX(BS30:BS115)</f>
        <v>0</v>
      </c>
      <c r="BT116" s="43">
        <f>BM28+BF28</f>
        <v>0</v>
      </c>
      <c r="BU116" s="48">
        <f>IF(CW116="","",CW116)</f>
        <v>0</v>
      </c>
      <c r="BV116" s="27">
        <f>IF(F116=1,$H$9,$F$9)</f>
        <v>220</v>
      </c>
      <c r="BW116" s="847" t="str">
        <f>IF(CX116="","",CX116)</f>
        <v/>
      </c>
      <c r="BX116" s="946" t="e">
        <f>IF(DN116="","",DN116)</f>
        <v>#VALUE!</v>
      </c>
      <c r="BY116" s="848" t="e" cm="1">
        <f t="array" ref="BY116">[1]!ACAELE_CAPACIDADCABLE(BB116,H116,I116,M116,BX116,N116)</f>
        <v>#VALUE!</v>
      </c>
      <c r="BZ116" s="848" t="str">
        <f>IF(OR(BB116=0,H116="RE"),"",(DS116/BV116)*100)</f>
        <v/>
      </c>
      <c r="CA116" s="849" t="str" cm="1">
        <f t="array" ref="CA116">[1]!ACAELE_cabledetierra(BZ116,$N$9,I116,BW116,BX116,G116)</f>
        <v/>
      </c>
      <c r="CB116" s="849" t="str" cm="1">
        <f t="array" ref="CB116">[1]!ACAELE_TAMATUBERIA(BZ116,DU116,$M$9,M116,I116)</f>
        <v/>
      </c>
      <c r="CC116" s="850" t="str">
        <f>IF(DV116="","",DV116)</f>
        <v/>
      </c>
      <c r="CD116" s="851"/>
      <c r="CE116" s="851" t="str">
        <f>IF(OR(BB116=0,Q116=""),"",(EA116/BV116)*100)</f>
        <v/>
      </c>
      <c r="CF116" s="852"/>
      <c r="CG116" s="853"/>
      <c r="CH116" s="418" t="str">
        <f>IF(AND(CE116="",BZ116=""),"",IF(CE116="",0,CE116)+IF(BZ116="",0,BZ116))</f>
        <v/>
      </c>
      <c r="CI116" s="513">
        <f>SUM(CI30:CI72)</f>
        <v>0</v>
      </c>
      <c r="CJ116" s="514">
        <f>SUM(CJ30:CJ72)</f>
        <v>0</v>
      </c>
      <c r="CK116" s="515">
        <f>SUM(CK30:CK72)</f>
        <v>0</v>
      </c>
      <c r="CL116" s="639"/>
      <c r="CM116" s="640"/>
      <c r="CN116" s="641"/>
      <c r="CO116" s="642" t="s">
        <v>447</v>
      </c>
      <c r="CP116" s="643" t="s">
        <v>447</v>
      </c>
      <c r="CQ116" s="644" t="s">
        <v>447</v>
      </c>
      <c r="CR116" s="645" t="str">
        <f t="shared" ref="CR116:CR126" si="153">IF(OR(H116="A",H116="O",H116="M"),"C","N/C")</f>
        <v>N/C</v>
      </c>
      <c r="CS116" s="646">
        <f>IF(BU116&gt;100,VLOOKUP($F$13,FCTEMP,3),VLOOKUP($F$13,FCTEMP,2))</f>
        <v>1</v>
      </c>
      <c r="CT116" s="647">
        <f>IF(H116="RE","",IF(M116=1,VLOOKUP(J116,FCATUBO,2),IF(M116=6,VLOOKUP(J116,FCADUCTO,2),1)))</f>
        <v>0.8</v>
      </c>
      <c r="CU116" s="508"/>
      <c r="CV116" s="648"/>
      <c r="CW116" s="649">
        <f>CW141</f>
        <v>0</v>
      </c>
      <c r="CX116" s="650" t="str" cm="1">
        <f t="array" ref="CX116">[1]!ACAELE_Disparocalculado(BB116,H116,DL116,$N$21,$M$21,$O$21,BV116,$P$5)</f>
        <v/>
      </c>
      <c r="CY116" s="651">
        <f>CY141/(CS116*CT116)</f>
        <v>0</v>
      </c>
      <c r="CZ116" s="652" t="str">
        <f>IF(CU116="","",CY141/(CS116*CU116))</f>
        <v/>
      </c>
      <c r="DA116" s="653">
        <f>$F$14</f>
        <v>0.9</v>
      </c>
      <c r="DB116" s="654">
        <f>SIN(ACOS(DA116))</f>
        <v>0.43588989435406728</v>
      </c>
      <c r="DC116" s="655" t="str" cm="1">
        <f t="array" ref="DC116">[1]!ACAELE_CONDPORTCORRIENTE(H116,BB116,I116,M116,CY116,CZ116,N116,$P$5)</f>
        <v/>
      </c>
      <c r="DD116" s="656" t="str" cm="1">
        <f t="array" ref="DD116">[1]!ACAELE_CAPACONDCORRIENTE(BB116,H116,I116,M116,CY116,CZ116,$P$5)</f>
        <v/>
      </c>
      <c r="DE116" s="656" t="str" cm="1">
        <f t="array" ref="DE116">[1]!ACAELE_CAPACIDADCABLE(BB116,H116,I116,M116,DC116,N116,$P$5)</f>
        <v/>
      </c>
      <c r="DF116" s="657" t="str" cm="1">
        <f t="array" ref="DF116">[1]!ACAELE_encontrarcaida(BB116,H116,L116,BV116,F116,BU116,N116,K116)</f>
        <v/>
      </c>
      <c r="DG116" s="841" t="str" cm="1">
        <f t="array" ref="DG116">[1]!ACAELE_Cablecaida(BB116,H116,M116,I116,DF116)</f>
        <v/>
      </c>
      <c r="DH116" s="651" t="str" cm="1">
        <f t="array" ref="DH116">[1]!ACAELE_CAPACIDADCABLE(BB116,H116,I116,M116,DG116,N116,$P$5)</f>
        <v/>
      </c>
      <c r="DI116" s="658" t="str">
        <f>IF(OR(BB116=0,Q116=""),"",((10*R116*BV116)/((IF(F116&gt;2,1.73,2)*(BU116/T116)*Q116))))</f>
        <v/>
      </c>
      <c r="DJ116" s="508"/>
      <c r="DK116" s="652" t="str" cm="1">
        <f t="array" ref="DK116">[1]!ACAELE_CAPACIDADCABLE(BB116,H116,I116,M116,DJ116,N116)</f>
        <v/>
      </c>
      <c r="DL116" s="659">
        <f>DL141</f>
        <v>0</v>
      </c>
      <c r="DM116" s="660" cm="1">
        <f t="array" ref="DM116">[1]!acaele_ProtCalculada(CX116,H116,BT116,BW116,$G$21,$F$21,$H$21,$P$5)</f>
        <v>30</v>
      </c>
      <c r="DN116" s="661" t="e">
        <f>IF(M18&lt;&gt;"TB",DN117,DO117)</f>
        <v>#VALUE!</v>
      </c>
      <c r="DO116" s="662" t="str" cm="1">
        <f t="array" ref="DO116">[1]!ACAELE_RESISTENCIA(BB116,H116,M116,I116,BX116, CW116,$P$5)</f>
        <v/>
      </c>
      <c r="DP116" s="663" t="str" cm="1">
        <f t="array" ref="DP116">[1]!ACAELE_REACTANCIA(BB116,H116,$F$11,M116,I116,BX116,$P$5)</f>
        <v/>
      </c>
      <c r="DQ116" s="651" t="str" cm="1">
        <f t="array" ref="DQ116">[1]!ACAELE_DIAMECAISLA(BB116,H116,I116,BX116,$P$5)</f>
        <v/>
      </c>
      <c r="DR116" s="651" t="str" cm="1">
        <f t="array" ref="DR116">[1]!ACAELE_AREACAISLAMIENTO(BB116,H116,DQ116,$P$5)</f>
        <v/>
      </c>
      <c r="DS116" s="651" t="str" cm="1">
        <f t="array" ref="DS116">[1]!ACAELE_CAIDAVOLTSFINAL(BB116,H116,F116,K116,BU116,N116,DO116,DA116,DP116,DB116,$P$5)</f>
        <v/>
      </c>
      <c r="DT116" s="664" t="str" cm="1">
        <f t="array" ref="DT116">[1]!ACAELE_AREACONDPTE(BB116,H116,CA116,$P$5)</f>
        <v/>
      </c>
      <c r="DU116" s="665" t="str" cm="1">
        <f t="array" ref="DU116">[1]!ACAELE_AREATOTAL(BZ116,M116,EO116,N116,DQ116,G116,DR116,DT116,N$20,$P$5)</f>
        <v/>
      </c>
      <c r="DV116" s="666"/>
      <c r="DW116" s="666"/>
      <c r="DX116" s="658"/>
      <c r="DY116" s="667"/>
      <c r="DZ116" s="667" t="str">
        <f>IF(OR(BB116=0,Q116=""),"",3.1416*(DY116/2)*(DY116/2))</f>
        <v/>
      </c>
      <c r="EA116" s="667" t="str">
        <f>IF(OR(BB116=0,Q116=""),"",IF(F116&gt;2,1.73,2)*Q116*(BU116/T116)*(((DW116*DA116)+(DX116*DB116))/1000))</f>
        <v/>
      </c>
      <c r="EB116" s="667"/>
      <c r="EC116" s="668"/>
      <c r="ED116" s="669" t="str">
        <f>IF(OR(BB116=0,H116="RE"),"",VLOOKUP(BX116,nomenclaturacables,2,0))</f>
        <v/>
      </c>
      <c r="EE116" s="670"/>
      <c r="EF116" s="671" t="str">
        <f>IF(BB116=0,"",MAX(DM116/N116,BW116/N116,IF(DE116="",0,DE116/N116),DH116/N116))</f>
        <v/>
      </c>
      <c r="EG116" s="672">
        <f>MAX(DM116,IF(DE116="",0,DE116/N116),DK116)</f>
        <v>30</v>
      </c>
      <c r="EH116" s="673">
        <f>SUM(EH30:EH115)</f>
        <v>0</v>
      </c>
      <c r="EI116" s="942">
        <f>$F$13</f>
        <v>30</v>
      </c>
      <c r="EJ116" s="943"/>
      <c r="EK116" s="947"/>
      <c r="EL116" s="947"/>
      <c r="EM116" s="947"/>
      <c r="EN116" s="948"/>
      <c r="EO116" s="550" t="str">
        <f>IF(BZ116="","",(G116*N116*DR116)/O116+DT116)</f>
        <v/>
      </c>
      <c r="EP116" s="431" t="str">
        <f>IF(AND($M$18="TB", $F$12="I"),"DIA-ACOT","DIA-ACOTZ")</f>
        <v>DIA-ACOT</v>
      </c>
      <c r="ET116" s="1" t="str">
        <f>IF($M$18="Tb",IF(BW116="","",F116&amp;"P-"&amp;BW116&amp;" A"),"")</f>
        <v/>
      </c>
      <c r="EU116" s="1" t="str">
        <f>IF($M$18="Tb",IF(BW116="","",G116*N116&amp;"-"&amp;BX116&amp;", "&amp;O116&amp;"-"&amp;CA116&amp;"T, "&amp;O116&amp;CB116),"")</f>
        <v/>
      </c>
      <c r="EV116" s="1" t="str">
        <f>IF($M$18="Tb",IF(BW116="","",K116),"")</f>
        <v/>
      </c>
      <c r="EW116" s="3" t="str">
        <f>IF($M$18="Tb",IF(BW116="","",G116*N116),"")</f>
        <v/>
      </c>
      <c r="EX116" s="3" t="str">
        <f>IF($M$18="Tb",IF(BW116="","",BX116),"")</f>
        <v/>
      </c>
      <c r="EY116" s="3" t="str">
        <f>IF($M$18="Tb",IF(BW116="","",O116),"")</f>
        <v/>
      </c>
      <c r="EZ116" s="3" t="str">
        <f>IF($M$18="Tb",IF(BW116="","",CA116),"")</f>
        <v/>
      </c>
      <c r="FA116" s="3" t="str">
        <f>IF($M$18="Tb",IF(BW116="","",O116),"")</f>
        <v/>
      </c>
      <c r="FB116" s="3" t="str">
        <f>IF($M$18="Tb",IF(BW116="","",CB116),"")</f>
        <v/>
      </c>
      <c r="FC116" s="3">
        <f t="shared" si="150"/>
        <v>0</v>
      </c>
      <c r="FD116" s="732"/>
      <c r="FE116" s="732"/>
      <c r="FF116" s="733">
        <v>1</v>
      </c>
      <c r="FG116" s="732"/>
      <c r="FH116" s="733"/>
      <c r="FI116" s="732"/>
      <c r="FJ116" s="733"/>
      <c r="FK116" s="3">
        <f>MAX(FK31:FK114)</f>
        <v>0</v>
      </c>
      <c r="FM116" s="3" t="str">
        <f>IF(DATOS!L4&lt;&gt;DATOS!O4,"(PONER MANUAL)",VLOOKUP(M6,DATOS!M58:P227,4,0))</f>
        <v>**REVISAR TABLERO**</v>
      </c>
      <c r="FX116" s="146"/>
      <c r="FZ116" s="740" t="s">
        <v>2004</v>
      </c>
      <c r="GA116" s="736" t="e">
        <f>IF(TABLERO!$M$18="TB",FIXED(IF(TABLERO!$F$17&lt;&gt;"KVA",TABLERO!BB116*1000,TABLERO!BB116*1000/TABLERO!DA116),2)&amp;"+"&amp;FIXED(IF(TABLERO!$F$17&lt;&gt;"KVA",TABLERO!BT116*1000,TABLERO!BT116*1000/TABLERO!DA116),2)&amp;"+"&amp;IF(OR(TABLERO!BU116="",TABLERO!BU116=0),"",FIXED(TABLERO!BU116,2))&amp;"+"&amp;TABLERO!F116&amp;"+"&amp;TABLERO!G116&amp;"+"&amp;TABLERO!BV116&amp;"+"&amp;TABLERO!K116&amp;"+"&amp;TABLERO!J116&amp;"+"&amp;TABLERO!CT116&amp;"+"&amp;TABLERO!CS116&amp;"+"&amp;FIXED(TABLERO!CY116,2)&amp;"+"&amp;TABLERO!N116&amp;"+"&amp;IF(TABLERO!BB116=0,"",TABLERO!BX116&amp;" "&amp;TABLERO!ED116&amp;", "&amp;TABLERO!I116)&amp;"+"&amp;FIXED(TABLERO!BZ116,2)&amp;"+"&amp;TABLERO!CA116&amp;"+"&amp;TABLERO!CB116&amp;"+"&amp;FIXED(TABLERO!DL116,2)&amp;"+"&amp;TABLERO!F116&amp;"P-"&amp;TABLERO!BW116&amp;"A"&amp;"+"&amp;IF(TABLERO!CI116="-","     -     ",FIXED(IF(TABLERO!$F$17&lt;&gt;"KVA",TABLERO!CI116,TABLERO!CI116/TABLERO!$F$14),2))&amp;"+"&amp;IF(TABLERO!CJ116="-","     -     ",FIXED(IF(TABLERO!$F$17&lt;&gt;"KVA",TABLERO!CJ116,TABLERO!CJ116/TABLERO!$F$14),2))&amp;"+"&amp;IF(TABLERO!CK116="-","     -     ",FIXED(IF(TABLERO!$F$17&lt;&gt;"KVA",TABLERO!CK116,TABLERO!CK116/TABLERO!$F$14),2))&amp;"++++++++++1","++++++++++++++++++++++++++++++")</f>
        <v>#VALUE!</v>
      </c>
      <c r="GB116" s="49" t="str">
        <f>CUADROACAD!CU116</f>
        <v>TB+TOTAL DE PIEZAS+++++++++++++++++++++++++++++++</v>
      </c>
      <c r="GM116" s="1" t="e">
        <f>J116*N116&amp;"-"&amp;BX116&amp;" "&amp;ED116&amp;" ("&amp;N116&amp;"xF-"&amp;N116&amp;"N), "&amp;O116&amp;"-"&amp;CA116&amp;"T "&amp;"AWG, "&amp;O116&amp;CB116</f>
        <v>#VALUE!</v>
      </c>
      <c r="GN116" s="1" t="e">
        <f>IF($M18="TB",J116*N116&amp;"-"&amp;BX116&amp;" "&amp;ED116&amp;" ("&amp;N116&amp;"xF-"&amp;N116&amp;"N), "&amp;O116&amp;"-"&amp;CA116&amp;"T "&amp;"AWG, "&amp;O116&amp;CB116,IF($M$18="TR",J118*N118&amp;"-"&amp;BX118&amp;" "&amp;ED118&amp;" ("&amp;N118&amp;"xF-"&amp;N118&amp;"N), "&amp;O118&amp;"-"&amp;CA118&amp;"T "&amp;"AWG, "&amp;O118&amp;CB118,IF($M$18="PE",J122*N122&amp;"-"&amp;BX122&amp;" "&amp;ED122&amp;" ("&amp;N122&amp;"xF-"&amp;N122&amp;"N), "&amp;O122&amp;"-"&amp;CA122&amp;"T "&amp;"AWG, "&amp;O122&amp;CB122,IF(OR($M$18="UPS",$M$18="REG"),J126*N126&amp;"-"&amp;BX126&amp; " "&amp;ED126&amp;" ("&amp;N126&amp;"xF-"&amp;N126&amp;"N), "&amp;O126&amp;"-"&amp;CA126&amp;"T "&amp;"AWG, "&amp;O126&amp;CB126,""))))</f>
        <v>#VALUE!</v>
      </c>
    </row>
    <row r="117" spans="1:198" s="3" customFormat="1" ht="25.2" customHeight="1" thickBot="1">
      <c r="H117" s="146" t="s">
        <v>1469</v>
      </c>
      <c r="I117" s="730" t="str">
        <f>DATOS!$F$23</f>
        <v>NOM</v>
      </c>
      <c r="AY117" s="146" t="s">
        <v>1744</v>
      </c>
      <c r="AZ117" s="136" t="s">
        <v>1745</v>
      </c>
      <c r="BA117" s="136" t="s">
        <v>23</v>
      </c>
      <c r="BW117" s="146"/>
      <c r="BX117" s="146"/>
      <c r="BY117" s="146" t="s">
        <v>1470</v>
      </c>
      <c r="BZ117" s="146"/>
      <c r="CA117" s="146" t="e">
        <f>IF(VLOOKUP(BX116,' '!$A$229:$F$259,4,0)*N116&gt;588,VLOOKUP(BX116,' '!$A$229:$F$259,4,0)*N116,VLOOKUP(BX116,' '!$A$229:$F$259,4,0)*N116)</f>
        <v>#VALUE!</v>
      </c>
      <c r="CB117" s="146" t="e">
        <f>IF(I116="CU",IF(CA117&gt;588,VLOOKUP(CA117*0.125,' '!$A$877:$D$898,3),(VLOOKUP(CA117,' '!$A$863:$B$869,2))),IF(CA117&gt;887,VLOOKUP(CA117*0.125,' '!$A$877:$D$898,4),VLOOKUP(CA117,' '!$C$863:$D$869,2)))</f>
        <v>#VALUE!</v>
      </c>
      <c r="CC117" s="854"/>
      <c r="CD117" s="146"/>
      <c r="CE117" s="146"/>
      <c r="CF117" s="146"/>
      <c r="CG117" s="146"/>
      <c r="CL117" s="108"/>
      <c r="CM117" s="108"/>
      <c r="CN117" s="108"/>
      <c r="CO117" s="108"/>
      <c r="CP117" s="108"/>
      <c r="CQ117" s="108"/>
      <c r="CR117" s="108" t="str">
        <f t="shared" si="153"/>
        <v>N/C</v>
      </c>
      <c r="CS117" s="108"/>
      <c r="CT117" s="108"/>
      <c r="CU117" s="108"/>
      <c r="CV117" s="108"/>
      <c r="CW117" s="108"/>
      <c r="CX117" s="674" t="str">
        <f>IF($M$18="TR",CX118,IF($M$18="PE",CX122,IF(OR($M$18="UPS",$M$18="REG"),CX126,"")))</f>
        <v/>
      </c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  <c r="DL117" s="108"/>
      <c r="DM117" s="108"/>
      <c r="DN117" s="674" t="str">
        <f>IF($M$18="TR",DN118,IF($M$18="PE",DN122,IF(OR($M$18="UPS",$M$18="REG"),DN126,"")))</f>
        <v/>
      </c>
      <c r="DO117" s="108" t="e" cm="1">
        <f t="array" ref="DO117">[1]!ACAELE_CableCalTab(BB116,H116,I116,M116,EF116,N116,BV116,DL116,$P$5)</f>
        <v>#VALUE!</v>
      </c>
      <c r="DP117" s="108"/>
      <c r="DQ117" s="108"/>
      <c r="DR117" s="108"/>
      <c r="DS117" s="108"/>
      <c r="DT117" s="108"/>
      <c r="DU117" s="108"/>
      <c r="DV117" s="108"/>
      <c r="DW117" s="108"/>
      <c r="DX117" s="108"/>
      <c r="DY117" s="108"/>
      <c r="DZ117" s="108"/>
      <c r="EA117" s="108"/>
      <c r="EB117" s="108"/>
      <c r="EC117" s="108"/>
      <c r="ED117" s="108"/>
      <c r="EE117" s="108"/>
      <c r="EF117" s="108"/>
      <c r="EG117" s="108"/>
      <c r="EH117" s="108"/>
      <c r="EI117" s="108"/>
      <c r="EJ117" s="108"/>
      <c r="EK117" s="108"/>
      <c r="EL117" s="108"/>
      <c r="EM117" s="108"/>
      <c r="EN117" s="108"/>
      <c r="EO117" s="550"/>
      <c r="EW117" s="3" t="str">
        <f>IF(BW117="","",G117*N117)</f>
        <v/>
      </c>
      <c r="EX117" s="3" t="str">
        <f>IF(BW117="","",BX117)</f>
        <v/>
      </c>
      <c r="EY117" s="3" t="str">
        <f>IF(BW117="","",O117)</f>
        <v/>
      </c>
      <c r="EZ117" s="3" t="str">
        <f>IF(BW117="","",CA117)</f>
        <v/>
      </c>
      <c r="FA117" s="3" t="str">
        <f>IF(BW117="","",O117)</f>
        <v/>
      </c>
      <c r="FB117" s="3" t="str">
        <f>IF(BW117="","",CB117)</f>
        <v/>
      </c>
      <c r="FC117" s="3">
        <f t="shared" si="150"/>
        <v>0</v>
      </c>
      <c r="FD117" s="32"/>
      <c r="FE117" s="32"/>
      <c r="FF117" s="103"/>
      <c r="FG117" s="32"/>
      <c r="FH117" s="103"/>
      <c r="FI117" s="32"/>
      <c r="FJ117" s="103"/>
      <c r="FO117" s="146"/>
      <c r="FP117" s="146"/>
      <c r="FQ117" s="146"/>
      <c r="FR117" s="146"/>
      <c r="FS117" s="146"/>
      <c r="FT117" s="146"/>
      <c r="FU117" s="146"/>
      <c r="FV117" s="146"/>
      <c r="FW117" s="146"/>
      <c r="FX117" s="146"/>
      <c r="FY117" s="736"/>
      <c r="FZ117" s="740" t="s">
        <v>2002</v>
      </c>
      <c r="GA117" s="738" t="s">
        <v>1795</v>
      </c>
      <c r="GB117" s="49" t="str">
        <f>CUADROACAD!CU117</f>
        <v>+TOTAL DE CARGA+++++++++++++++++++++++++++++++</v>
      </c>
      <c r="GC117" s="146"/>
      <c r="GD117" s="736"/>
      <c r="GE117" s="146"/>
      <c r="GF117" s="506"/>
      <c r="GG117" s="506"/>
      <c r="GH117" s="506"/>
      <c r="GI117" s="506"/>
      <c r="GJ117" s="506"/>
    </row>
    <row r="118" spans="1:198" ht="13.8" thickBot="1">
      <c r="B118" s="971" t="s">
        <v>1471</v>
      </c>
      <c r="C118" s="972"/>
      <c r="D118" s="973"/>
      <c r="E118" s="22" t="s">
        <v>1472</v>
      </c>
      <c r="F118" s="34">
        <f>F10</f>
        <v>3</v>
      </c>
      <c r="G118" s="34">
        <f>H10</f>
        <v>4</v>
      </c>
      <c r="H118" s="34" t="s">
        <v>1195</v>
      </c>
      <c r="I118" s="34" t="str">
        <f>$F$16</f>
        <v>CU</v>
      </c>
      <c r="J118" s="442">
        <f>G118</f>
        <v>4</v>
      </c>
      <c r="K118" s="439">
        <v>20</v>
      </c>
      <c r="L118" s="439">
        <f>5-$CH$26</f>
        <v>5</v>
      </c>
      <c r="M118" s="440">
        <f>$M$116</f>
        <v>1</v>
      </c>
      <c r="N118" s="440">
        <f>$N$116</f>
        <v>1</v>
      </c>
      <c r="O118" s="440">
        <f>$O$116</f>
        <v>1</v>
      </c>
      <c r="P118" s="44">
        <v>6</v>
      </c>
      <c r="Q118" s="37"/>
      <c r="R118" s="37">
        <v>2</v>
      </c>
      <c r="S118" s="38">
        <v>1</v>
      </c>
      <c r="T118" s="38">
        <v>1</v>
      </c>
      <c r="U118" s="38">
        <f>U116</f>
        <v>1</v>
      </c>
      <c r="V118" s="707">
        <v>1</v>
      </c>
      <c r="W118" s="708" t="s">
        <v>1467</v>
      </c>
      <c r="X118" s="167"/>
      <c r="Y118" s="167"/>
      <c r="Z118" s="167"/>
      <c r="AA118" s="167"/>
      <c r="AB118" s="167"/>
      <c r="AC118" s="167"/>
      <c r="AD118" s="167"/>
      <c r="AE118" s="167"/>
      <c r="AF118" s="167"/>
      <c r="AG118" s="167"/>
      <c r="AH118" s="167"/>
      <c r="AI118" s="167"/>
      <c r="AJ118" s="167"/>
      <c r="AK118" s="167"/>
      <c r="AL118" s="167"/>
      <c r="AM118" s="167"/>
      <c r="AN118" s="167"/>
      <c r="AO118" s="167"/>
      <c r="AP118" s="167"/>
      <c r="AQ118" s="167"/>
      <c r="AR118" s="167"/>
      <c r="AS118" s="167"/>
      <c r="AT118" s="167"/>
      <c r="AU118" s="167"/>
      <c r="AV118" s="167"/>
      <c r="AW118" s="167"/>
      <c r="AX118" s="167"/>
      <c r="AY118" s="168">
        <f>VLOOKUP(CY141*BV118*(IF(F118=3,1.73,IF(AND(F118=2,G118=3),(2/1.73),1)))/1000,' '!$A$624:$B$637,2)*DA118/0.9</f>
        <v>15</v>
      </c>
      <c r="AZ118" s="168">
        <f>AY118*0.9</f>
        <v>13.5</v>
      </c>
      <c r="BA118" s="709">
        <f>IF(F118=3,((AZ118*1000)/(1.73*BV118*DA118)),IF(AND(F118=2,G118=3),((AZ118*1000)/(2*(BV118/1.73)*DA118)),((AZ118*1000)/(BV118*DA118))))</f>
        <v>39.411455596426691</v>
      </c>
      <c r="BB118" s="710">
        <f>BB116</f>
        <v>0</v>
      </c>
      <c r="BC118" s="711">
        <f t="shared" ref="BC118:BP118" si="154">BC116</f>
        <v>0</v>
      </c>
      <c r="BD118" s="711">
        <f t="shared" si="154"/>
        <v>0</v>
      </c>
      <c r="BE118" s="711">
        <f t="shared" si="154"/>
        <v>0</v>
      </c>
      <c r="BF118" s="711">
        <f t="shared" si="154"/>
        <v>0</v>
      </c>
      <c r="BG118" s="711">
        <f t="shared" si="154"/>
        <v>0</v>
      </c>
      <c r="BH118" s="711">
        <f t="shared" si="154"/>
        <v>0</v>
      </c>
      <c r="BI118" s="711">
        <f t="shared" si="154"/>
        <v>0</v>
      </c>
      <c r="BJ118" s="711">
        <f t="shared" si="154"/>
        <v>0</v>
      </c>
      <c r="BK118" s="711">
        <f t="shared" si="154"/>
        <v>0</v>
      </c>
      <c r="BL118" s="711">
        <f t="shared" si="154"/>
        <v>0</v>
      </c>
      <c r="BM118" s="711">
        <f t="shared" si="154"/>
        <v>0</v>
      </c>
      <c r="BN118" s="711">
        <f t="shared" si="154"/>
        <v>0</v>
      </c>
      <c r="BO118" s="711">
        <f t="shared" si="154"/>
        <v>0</v>
      </c>
      <c r="BP118" s="711">
        <f t="shared" si="154"/>
        <v>0</v>
      </c>
      <c r="BQ118" s="169">
        <f>BQ116</f>
        <v>0</v>
      </c>
      <c r="BR118" s="170">
        <f>BR116</f>
        <v>0</v>
      </c>
      <c r="BS118" s="170">
        <f>BS116</f>
        <v>0</v>
      </c>
      <c r="BT118" s="48">
        <f>BT116</f>
        <v>0</v>
      </c>
      <c r="BU118" s="48" t="str">
        <f>IF(CW118="","",CW118)</f>
        <v/>
      </c>
      <c r="BV118" s="713">
        <f>IF(F118=1,$H$9,$F$9)</f>
        <v>220</v>
      </c>
      <c r="BW118" s="855" t="str">
        <f>IF(CX118="","",CX118)</f>
        <v/>
      </c>
      <c r="BX118" s="946" t="e">
        <f>IF(DN118="","",DN118)</f>
        <v>#VALUE!</v>
      </c>
      <c r="BY118" s="848" t="e" cm="1">
        <f t="array" ref="BY118">[1]!ACAELE_CAPACIDADCABLE(BB118,H118,I118,M118,BX118,N118)</f>
        <v>#VALUE!</v>
      </c>
      <c r="BZ118" s="848" t="str">
        <f>IF(OR(BB118=0,H118="RE"),"",(DS118/BV118)*100)</f>
        <v/>
      </c>
      <c r="CA118" s="849" t="str" cm="1">
        <f t="array" ref="CA118">[1]!ACAELE_cabledetierra(BZ118,$M$9,I118,BW118,BX118,G118)</f>
        <v/>
      </c>
      <c r="CB118" s="849" t="str" cm="1">
        <f t="array" ref="CB118">[1]!ACAELE_TAMATUBERIA(BZ118,DU118,I117,M118,I118)</f>
        <v/>
      </c>
      <c r="CC118" s="852" t="str">
        <f>IF(DV118="","",DV118)</f>
        <v/>
      </c>
      <c r="CD118" s="851"/>
      <c r="CE118" s="851" t="str">
        <f>IF(OR(BB118=0,Q118=""),"",(EA118/BV118)*100)</f>
        <v/>
      </c>
      <c r="CF118" s="852"/>
      <c r="CG118" s="852"/>
      <c r="CH118" s="419" t="str">
        <f>IF(AND(CE118="",BZ118=""),"",IF(CE118="",0,CE118)+IF(BZ118="",0,BZ118))</f>
        <v/>
      </c>
      <c r="CI118" s="516">
        <f>CI116</f>
        <v>0</v>
      </c>
      <c r="CJ118" s="514">
        <f>CJ116</f>
        <v>0</v>
      </c>
      <c r="CK118" s="515">
        <f>CK116</f>
        <v>0</v>
      </c>
      <c r="CL118" s="949"/>
      <c r="CM118" s="949"/>
      <c r="CN118" s="949"/>
      <c r="CO118" s="910"/>
      <c r="CP118" s="950"/>
      <c r="CQ118" s="950"/>
      <c r="CR118" s="951" t="str">
        <f t="shared" si="153"/>
        <v>N/C</v>
      </c>
      <c r="CS118" s="952">
        <f>IF(BU118&gt;100,VLOOKUP($F$13,FCTEMP,3),VLOOKUP($F$13,FCTEMP,2))</f>
        <v>1</v>
      </c>
      <c r="CT118" s="953">
        <f>IF(H118="RE","",IF(M118=1,VLOOKUP(J118,FCATUBO,2),IF(M118=6,VLOOKUP(J118,FCADUCTO,2),1)))</f>
        <v>0.8</v>
      </c>
      <c r="CU118" s="914"/>
      <c r="CV118" s="915"/>
      <c r="CW118" s="916" t="str">
        <f>IF(BB118=0,"",IF(F118=3,((BT118*1000)/(1.73*BV118*DA118)),IF(AND(F118=2,G118=3),((BT118*1000)/(2*(BV118/1.73)*DA118)),((BT118*1000)/(BV118*DA118)))))</f>
        <v/>
      </c>
      <c r="CX118" s="917" t="str" cm="1">
        <f t="array" ref="CX118">[1]!ACAELE_Disparocalculado(BB118,H118,DL118,$N$21,$M$21,$O$21,BV118,$P$5)</f>
        <v/>
      </c>
      <c r="CY118" s="918" t="e">
        <f>IF(CR118="C",(BU118)/(CS118*CT118),BU118/(CS118*CT118))</f>
        <v>#VALUE!</v>
      </c>
      <c r="CZ118" s="919" t="str">
        <f>IF(OR(BB118=0,Q118=""),"",IF(CR118="C",(BU118)/(CS118*CU118),BU118/(CS118*CU118)))</f>
        <v/>
      </c>
      <c r="DA118" s="951">
        <f>$F$14</f>
        <v>0.9</v>
      </c>
      <c r="DB118" s="954">
        <f>SIN(ACOS(DA118))</f>
        <v>0.43588989435406728</v>
      </c>
      <c r="DC118" s="922" t="str" cm="1">
        <f t="array" ref="DC118">[1]!ACAELE_CONDPORTCORRIENTE(H118,BB118,I118,M118,CY118,CZ118,N118,$P$5)</f>
        <v/>
      </c>
      <c r="DD118" s="923" t="str" cm="1">
        <f t="array" ref="DD118">[1]!ACAELE_CAPACONDCORRIENTE(BB118,H118,I118,M118,CY118,CZ118,$P$5)</f>
        <v/>
      </c>
      <c r="DE118" s="923" t="str" cm="1">
        <f t="array" ref="DE118">[1]!ACAELE_CAPACIDADCABLE(BB118,H118,I118,M118,DC118,N118,$P$5)</f>
        <v/>
      </c>
      <c r="DF118" s="924" t="str" cm="1">
        <f t="array" ref="DF118">[1]!ACAELE_encontrarcaidaequipo(BB118,H118,L118,BV118,F118,BA118,N118,K118)</f>
        <v/>
      </c>
      <c r="DG118" s="925" t="str" cm="1">
        <f t="array" ref="DG118">[1]!ACAELE_Cablecaida(BB118,H118,M118,I118,DF118)</f>
        <v/>
      </c>
      <c r="DH118" s="918" t="str" cm="1">
        <f t="array" ref="DH118">[1]!ACAELE_CAPACIDADCABLE(BB118,H118,I118,M118,DG118,N118,$P$5)</f>
        <v/>
      </c>
      <c r="DI118" s="926" t="str">
        <f>IF(OR(BB118=0,Q118=""),"",((10*R118*BV118)/((IF(F118&gt;2,1.73,2)*(BU118/T118)*Q118))))</f>
        <v/>
      </c>
      <c r="DJ118" s="914"/>
      <c r="DK118" s="919" t="str" cm="1">
        <f t="array" ref="DK118">[1]!ACAELE_CAPACIDADCABLE(BB118,H118,I118,M118,DJ118,N118)</f>
        <v/>
      </c>
      <c r="DL118" s="955" t="str">
        <f>(IF(BB118=0,"",BA118*($G$18/100)))</f>
        <v/>
      </c>
      <c r="DM118" s="955" cm="1">
        <f t="array" ref="DM118">[1]!acaele_ProtCalculada(CX118,H118,BT118,BW118,$G$21,$F$21,$H$21,$P$5)</f>
        <v>0</v>
      </c>
      <c r="DN118" s="913" t="e" cm="1">
        <f t="array" ref="DN118">[1]!ACAELE_CableCalTab(BB118,H118,I118,M118,EF118,N118,BV118,DL118)</f>
        <v>#VALUE!</v>
      </c>
      <c r="DO118" s="956" t="str" cm="1">
        <f t="array" ref="DO118">[1]!ACAELE_RESISTENCIA(BB118,H118,M118,I118,BX118, CW118,$P$5)</f>
        <v/>
      </c>
      <c r="DP118" s="931" t="str" cm="1">
        <f t="array" ref="DP118">[1]!ACAELE_REACTANCIA(BB118,H118,$F$11,M118,I118,BX118,$P$5)</f>
        <v/>
      </c>
      <c r="DQ118" s="918" t="str" cm="1">
        <f t="array" ref="DQ118">[1]!ACAELE_DIAMECAISLA(BB118,H118,I118,BX118,$P$5)</f>
        <v/>
      </c>
      <c r="DR118" s="918" t="str" cm="1">
        <f t="array" ref="DR118">[1]!ACAELE_AREACAISLAMIENTO(BB118,H118,DQ118,$P$5)</f>
        <v/>
      </c>
      <c r="DS118" s="918" t="str" cm="1">
        <f t="array" ref="DS118">[1]!ACAELE_CAIDAVOLTSFINAL(BB118,H118,F118,K118,BU118,N118,DO118,DA118,DP118,DB118,$P$5)</f>
        <v/>
      </c>
      <c r="DT118" s="918" t="str" cm="1">
        <f t="array" ref="DT118">[1]!ACAELE_AREACONDPTE(BB118,H118,CA118,$P$5)</f>
        <v/>
      </c>
      <c r="DU118" s="918" t="str" cm="1">
        <f t="array" ref="DU118">[1]!ACAELE_AREATOTAL(BZ118,M118,EO118,N118,DQ118,G118,DR118,DT118,N$20,$P$5)</f>
        <v/>
      </c>
      <c r="DV118" s="926"/>
      <c r="DW118" s="926"/>
      <c r="DX118" s="926"/>
      <c r="DY118" s="935"/>
      <c r="DZ118" s="935" t="str">
        <f>IF(OR(BB118=0,Q118=""),"",3.1416*(DY118/2)*(DY118/2))</f>
        <v/>
      </c>
      <c r="EA118" s="935" t="str">
        <f>IF(OR(BB118=0,Q118=""),"",IF(F118&gt;2,1.73,2)*Q118*(BU118/T118)*(((DW118*DA118)+(DX118*DB118))/1000))</f>
        <v/>
      </c>
      <c r="EB118" s="919"/>
      <c r="EC118" s="935"/>
      <c r="ED118" s="675" t="str">
        <f>IF(OR(BB118=0,H118="RE"),"",VLOOKUP(BX118,nomenclaturacables,2,0))</f>
        <v/>
      </c>
      <c r="EE118" s="670"/>
      <c r="EF118" s="671" t="str">
        <f>IF(BB118=0,"",MAX(DM118/N118,BW118/N118,IF(DE118="",0,DE118/N118),DH118/N118))</f>
        <v/>
      </c>
      <c r="EG118" s="672">
        <f>MAX(DM118,IF(DE118="",0,DE118/N118),DK118)</f>
        <v>0</v>
      </c>
      <c r="EH118" s="673"/>
      <c r="EI118" s="942">
        <f t="shared" ref="EI118:EI124" si="155">$F$13</f>
        <v>30</v>
      </c>
      <c r="EJ118" s="947"/>
      <c r="EK118" s="947"/>
      <c r="EL118" s="947"/>
      <c r="EM118" s="947"/>
      <c r="EN118" s="948"/>
      <c r="EO118" s="550" t="str">
        <f>IF(BZ118="","",(G118*N118*DR118)/O118+DT118)</f>
        <v/>
      </c>
      <c r="EP118" s="431" t="str">
        <f>VLOOKUP(DATOS!$H$24,DATOS!$D$402:$E$413,2,0)</f>
        <v>DIA-TSECOEPPAL</v>
      </c>
      <c r="ET118" s="1" t="str">
        <f>IF($M$18="TR",IF(BW118="","",F118&amp;"P-"&amp;BW118&amp;" A"),"")</f>
        <v/>
      </c>
      <c r="EU118" s="1" t="str">
        <f>IF($M$18="TR",IF(BW118="","",G118*N118&amp;"-"&amp;BX118&amp;", "&amp;O118&amp;"-"&amp;CA118&amp;"T, "&amp;O118&amp;CB118),"")</f>
        <v/>
      </c>
      <c r="EV118" s="1" t="str">
        <f>IF($M$18="TR",IF($M$18="TR",IF(BW118="","",K118),""),"")</f>
        <v/>
      </c>
      <c r="EW118" s="3" t="str">
        <f>IF($M$18="TR",IF(BW118="","",G118*N118),"")</f>
        <v/>
      </c>
      <c r="EX118" s="3" t="str">
        <f>IF($M$18="TR",IF(BW118="","",BX118),"")</f>
        <v/>
      </c>
      <c r="EY118" s="3" t="str">
        <f>IF($M$18="TR",IF(BW118="","",O118),"")</f>
        <v/>
      </c>
      <c r="EZ118" s="3" t="str">
        <f>IF($M$18="TR",IF(BW118="","",CA118),"")</f>
        <v/>
      </c>
      <c r="FA118" s="3" t="str">
        <f>IF($M$18="TR",IF(BW118="","",O118),"")</f>
        <v/>
      </c>
      <c r="FB118" s="3" t="str">
        <f>IF($M$18="TR",IF(BW118="","",CB118),"")</f>
        <v/>
      </c>
      <c r="FC118" s="3">
        <f t="shared" si="150"/>
        <v>0</v>
      </c>
      <c r="FD118" s="732"/>
      <c r="FE118" s="732"/>
      <c r="FF118" s="733"/>
      <c r="FG118" s="732"/>
      <c r="FH118" s="733"/>
      <c r="FI118" s="732"/>
      <c r="FJ118" s="733"/>
      <c r="FM118" s="3" t="str">
        <f>FM116</f>
        <v>**REVISAR TABLERO**</v>
      </c>
      <c r="FX118" s="146"/>
      <c r="FZ118" s="740" t="s">
        <v>2005</v>
      </c>
      <c r="GA118" s="736" t="str">
        <f>IF(TABLERO!$M$18="TR",FIXED(IF(TABLERO!$F$17&lt;&gt;"KVA",TABLERO!BB118*1000,TABLERO!BB118*1000/TABLERO!DA118),2)&amp;"+"&amp;FIXED(IF(TABLERO!$F$17&lt;&gt;"KVA",TABLERO!BT118*1000,TABLERO!BT118*1000/TABLERO!DA118),2)&amp;"+"&amp;IF(OR(TABLERO!BU118="",TABLERO!BU118=0),"",FIXED(TABLERO!BU118,2))&amp;"+"&amp;TABLERO!F118&amp;"+"&amp;TABLERO!G118&amp;"+"&amp;TABLERO!BV118&amp;"+"&amp;TABLERO!K118&amp;"+"&amp;TABLERO!J118&amp;"+"&amp;TABLERO!CT118&amp;"+"&amp;TABLERO!CS118&amp;"+"&amp;FIXED(TABLERO!CY118,2)&amp;"+"&amp;TABLERO!N118&amp;"+"&amp;IF(TABLERO!BB118=0,"",TABLERO!BX118&amp;" "&amp;TABLERO!ED118&amp;", "&amp;TABLERO!I118)&amp;"+"&amp;FIXED(TABLERO!BZ118,2)&amp;"+"&amp;TABLERO!CA118&amp;"+"&amp;TABLERO!CB118&amp;"+"&amp;FIXED(TABLERO!DL118,2)&amp;"+"&amp;TABLERO!F118&amp;"P-"&amp;TABLERO!BW118&amp;"A"&amp;"+"&amp;IF(TABLERO!CI118="-","     -     ",FIXED(IF(TABLERO!$F$17&lt;&gt;"KVA",TABLERO!CI118,TABLERO!CI118/TABLERO!$F$14),2))&amp;"+"&amp;IF(TABLERO!CJ118="-","     -     ",FIXED(IF(TABLERO!$F$17&lt;&gt;"KVA",TABLERO!CJ118,TABLERO!CJ118/TABLERO!$F$14),2))&amp;"+"&amp;IF(TABLERO!CK118="-","     -     ",FIXED(IF(TABLERO!$F$17&lt;&gt;"KVA",TABLERO!CK118,TABLERO!CK118/TABLERO!$F$14),2))&amp;"++++++++++1","++++++++++++++++++++++++++++++")</f>
        <v>++++++++++++++++++++++++++++++</v>
      </c>
      <c r="GB118" s="49" t="str">
        <f>CUADROACAD!CU118</f>
        <v>++++++++++++++++++++++++++++1</v>
      </c>
      <c r="GM118" s="1" t="e">
        <f>J118*N118&amp;"-"&amp;BX118&amp; " "&amp;ED118&amp;" ("&amp;N118&amp;"xF-"&amp;N118&amp;"N), "&amp;O118&amp;"-"&amp;CA118&amp;"T "&amp;"AWG, "&amp;O118&amp;CB118</f>
        <v>#VALUE!</v>
      </c>
    </row>
    <row r="119" spans="1:198" ht="13.8" thickBot="1">
      <c r="F119" s="29"/>
      <c r="G119" s="29"/>
      <c r="H119" s="147" t="s">
        <v>1469</v>
      </c>
      <c r="I119" s="148" t="str">
        <f>DATOS!$F$23</f>
        <v>NOM</v>
      </c>
      <c r="J119" s="443"/>
      <c r="K119" s="443"/>
      <c r="L119" s="443"/>
      <c r="M119" s="443"/>
      <c r="N119" s="443"/>
      <c r="O119" s="443"/>
      <c r="P119" s="30"/>
      <c r="Q119" s="30"/>
      <c r="R119" s="30"/>
      <c r="S119" s="30"/>
      <c r="T119" s="30"/>
      <c r="U119" s="30"/>
      <c r="V119" s="29"/>
      <c r="W119" s="29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  <c r="AP119" s="15"/>
      <c r="AQ119" s="15"/>
      <c r="AR119" s="15"/>
      <c r="AS119" s="15"/>
      <c r="AT119" s="15"/>
      <c r="AU119" s="15"/>
      <c r="AV119" s="15"/>
      <c r="AW119" s="15"/>
      <c r="AX119" s="15"/>
      <c r="AY119" s="137"/>
      <c r="AZ119" s="137"/>
      <c r="BA119" s="137"/>
      <c r="BB119" s="712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T119"/>
      <c r="BU119" s="523"/>
      <c r="BV119"/>
      <c r="BW119" s="742"/>
      <c r="BX119" s="742"/>
      <c r="BY119" s="49" t="s">
        <v>1470</v>
      </c>
      <c r="BZ119" s="49"/>
      <c r="CA119" s="146" t="e">
        <f>IF(VLOOKUP(BX118,' '!$A$229:$F$259,4,0)*N118&gt;588,VLOOKUP(BX118,' '!$A$229:$F$259,4,0)*N118,VLOOKUP(BX118,' '!$A$229:$F$259,4,0)*N118)</f>
        <v>#VALUE!</v>
      </c>
      <c r="CB119" s="146" t="e">
        <f>IF(I118="CU",IF(CA119&gt;588,VLOOKUP(CA119*0.125,' '!$A$877:$D$898,3),(VLOOKUP(CA119,' '!$A$863:$B$869,2))),IF(CA119&gt;887,VLOOKUP(CA119*0.125,' '!$A$877:$D$898,4),VLOOKUP(CA119,' '!$C$863:$D$869,2)))</f>
        <v>#VALUE!</v>
      </c>
      <c r="CC119" s="742"/>
      <c r="CD119" s="742"/>
      <c r="CE119" s="742"/>
      <c r="CF119" s="742"/>
      <c r="CG119" s="742"/>
      <c r="CH119" s="420"/>
      <c r="CI119" s="423"/>
      <c r="CJ119" s="426"/>
      <c r="CK119" s="429"/>
      <c r="CL119" s="676"/>
      <c r="CM119" s="676"/>
      <c r="CN119" s="676"/>
      <c r="CR119" s="677" t="str">
        <f t="shared" si="153"/>
        <v>N/C</v>
      </c>
      <c r="CS119" s="677"/>
      <c r="CT119" s="678"/>
      <c r="CU119" s="679"/>
      <c r="CV119" s="680"/>
      <c r="CW119" s="681"/>
      <c r="CX119" s="682"/>
      <c r="CY119" s="678"/>
      <c r="CZ119" s="679"/>
      <c r="DA119" s="677"/>
      <c r="DB119" s="677"/>
      <c r="DC119" s="683"/>
      <c r="DD119" s="683"/>
      <c r="DE119" s="683"/>
      <c r="DF119" s="678"/>
      <c r="DG119" s="678"/>
      <c r="DH119" s="678"/>
      <c r="DI119" s="679"/>
      <c r="DJ119" s="679"/>
      <c r="DK119" s="679"/>
      <c r="DL119" s="684"/>
      <c r="DM119" s="684"/>
      <c r="DN119" s="678"/>
      <c r="DO119" s="678"/>
      <c r="DP119" s="678"/>
      <c r="DQ119" s="678"/>
      <c r="DR119" s="678"/>
      <c r="DS119" s="678"/>
      <c r="DT119" s="678"/>
      <c r="DU119" s="678"/>
      <c r="DV119" s="679"/>
      <c r="DW119" s="679"/>
      <c r="DX119" s="679"/>
      <c r="DY119" s="679"/>
      <c r="DZ119" s="679"/>
      <c r="EA119" s="679"/>
      <c r="EB119" s="679"/>
      <c r="EC119" s="679"/>
      <c r="ED119" s="685"/>
      <c r="EE119" s="686"/>
      <c r="EF119" s="687"/>
      <c r="EG119" s="688"/>
      <c r="EH119" s="689"/>
      <c r="EI119" s="942">
        <f t="shared" si="155"/>
        <v>30</v>
      </c>
      <c r="EJ119" s="947"/>
      <c r="EK119" s="947"/>
      <c r="EL119" s="947"/>
      <c r="EM119" s="947"/>
      <c r="EN119" s="948"/>
      <c r="EO119" s="550"/>
      <c r="EP119" s="433"/>
      <c r="EW119" s="3" t="str">
        <f>IF(BW119="","",G119*N119)</f>
        <v/>
      </c>
      <c r="EX119" s="3" t="str">
        <f>IF(BW119="","",BX119)</f>
        <v/>
      </c>
      <c r="EY119" s="3" t="str">
        <f>IF(BW119="","",O119)</f>
        <v/>
      </c>
      <c r="EZ119" s="3" t="str">
        <f>IF(BW119="","",CA119)</f>
        <v/>
      </c>
      <c r="FA119" s="3" t="str">
        <f>IF(BW119="","",O119)</f>
        <v/>
      </c>
      <c r="FB119" s="3" t="str">
        <f>IF(BW119="","",CB119)</f>
        <v/>
      </c>
      <c r="FC119" s="3">
        <f t="shared" si="150"/>
        <v>0</v>
      </c>
      <c r="FD119" s="732"/>
      <c r="FE119" s="732"/>
      <c r="FF119" s="733"/>
      <c r="FG119" s="732"/>
      <c r="FH119" s="733"/>
      <c r="FI119" s="732"/>
      <c r="FJ119" s="733"/>
      <c r="FX119" s="146"/>
      <c r="FZ119" s="740" t="s">
        <v>2002</v>
      </c>
      <c r="GA119" s="738" t="s">
        <v>1795</v>
      </c>
      <c r="GB119" s="49" t="str">
        <f>CUADROACAD!CU119</f>
        <v>+++++++++++++++++++++++++++++</v>
      </c>
    </row>
    <row r="120" spans="1:198" ht="13.8" thickBot="1">
      <c r="B120" s="971" t="s">
        <v>1473</v>
      </c>
      <c r="C120" s="972"/>
      <c r="D120" s="973"/>
      <c r="E120" s="22" t="s">
        <v>1472</v>
      </c>
      <c r="F120" s="34">
        <v>3</v>
      </c>
      <c r="G120" s="34">
        <f>IF(F120=1,2,IF(F120=2,2,3))</f>
        <v>3</v>
      </c>
      <c r="H120" s="34" t="s">
        <v>1195</v>
      </c>
      <c r="I120" s="34" t="str">
        <f>$F$16</f>
        <v>CU</v>
      </c>
      <c r="J120" s="442">
        <f>G120</f>
        <v>3</v>
      </c>
      <c r="K120" s="439">
        <v>20</v>
      </c>
      <c r="L120" s="439">
        <f>5-$CH$26</f>
        <v>5</v>
      </c>
      <c r="M120" s="440">
        <v>1</v>
      </c>
      <c r="N120" s="440">
        <v>1</v>
      </c>
      <c r="O120" s="440">
        <v>1</v>
      </c>
      <c r="P120" s="44">
        <v>6</v>
      </c>
      <c r="Q120" s="37"/>
      <c r="R120" s="37">
        <v>2</v>
      </c>
      <c r="S120" s="38">
        <v>1</v>
      </c>
      <c r="T120" s="38">
        <v>1</v>
      </c>
      <c r="U120" s="38">
        <v>1</v>
      </c>
      <c r="V120" s="707">
        <v>1</v>
      </c>
      <c r="W120" s="708" t="s">
        <v>1467</v>
      </c>
      <c r="X120" s="167"/>
      <c r="Y120" s="167"/>
      <c r="Z120" s="167"/>
      <c r="AA120" s="167"/>
      <c r="AB120" s="167"/>
      <c r="AC120" s="167"/>
      <c r="AD120" s="167"/>
      <c r="AE120" s="167"/>
      <c r="AF120" s="167"/>
      <c r="AG120" s="167"/>
      <c r="AH120" s="167"/>
      <c r="AI120" s="167"/>
      <c r="AJ120" s="167"/>
      <c r="AK120" s="167"/>
      <c r="AL120" s="167"/>
      <c r="AM120" s="167"/>
      <c r="AN120" s="167"/>
      <c r="AO120" s="167"/>
      <c r="AP120" s="167"/>
      <c r="AQ120" s="167"/>
      <c r="AR120" s="167"/>
      <c r="AS120" s="167"/>
      <c r="AT120" s="167"/>
      <c r="AU120" s="167"/>
      <c r="AV120" s="167"/>
      <c r="AW120" s="167"/>
      <c r="AX120" s="167"/>
      <c r="AY120" s="709"/>
      <c r="AZ120" s="168">
        <f>AZ118</f>
        <v>13.5</v>
      </c>
      <c r="BA120" s="709">
        <f>IF(F120=3,((AZ120*1000)/(1.73*BV120*DA120)),IF(AND(F120=2,G120=3),((AZ120*1000)/(2*(BV120/1.73)*DA120)),((AZ120*1000)/(BV120*DA120))))</f>
        <v>18.063583815028903</v>
      </c>
      <c r="BB120" s="710">
        <f t="shared" ref="BB120:BP120" si="156">BB118</f>
        <v>0</v>
      </c>
      <c r="BC120" s="711">
        <f t="shared" si="156"/>
        <v>0</v>
      </c>
      <c r="BD120" s="711">
        <f t="shared" si="156"/>
        <v>0</v>
      </c>
      <c r="BE120" s="711">
        <f t="shared" si="156"/>
        <v>0</v>
      </c>
      <c r="BF120" s="711">
        <f t="shared" si="156"/>
        <v>0</v>
      </c>
      <c r="BG120" s="711">
        <f t="shared" si="156"/>
        <v>0</v>
      </c>
      <c r="BH120" s="711">
        <f t="shared" si="156"/>
        <v>0</v>
      </c>
      <c r="BI120" s="711">
        <f t="shared" si="156"/>
        <v>0</v>
      </c>
      <c r="BJ120" s="711">
        <f t="shared" si="156"/>
        <v>0</v>
      </c>
      <c r="BK120" s="711">
        <f t="shared" si="156"/>
        <v>0</v>
      </c>
      <c r="BL120" s="711">
        <f t="shared" si="156"/>
        <v>0</v>
      </c>
      <c r="BM120" s="711">
        <f t="shared" si="156"/>
        <v>0</v>
      </c>
      <c r="BN120" s="711">
        <f t="shared" si="156"/>
        <v>0</v>
      </c>
      <c r="BO120" s="711">
        <f t="shared" si="156"/>
        <v>0</v>
      </c>
      <c r="BP120" s="711">
        <f t="shared" si="156"/>
        <v>0</v>
      </c>
      <c r="BQ120" s="169">
        <f>BQ118</f>
        <v>0</v>
      </c>
      <c r="BR120" s="170">
        <f>BR116</f>
        <v>0</v>
      </c>
      <c r="BS120" s="170">
        <f>BS118</f>
        <v>0</v>
      </c>
      <c r="BT120" s="48">
        <f>BT118</f>
        <v>0</v>
      </c>
      <c r="BU120" s="48" t="str">
        <f>IF(CW120="","",CW120)</f>
        <v/>
      </c>
      <c r="BV120" s="172">
        <v>480</v>
      </c>
      <c r="BW120" s="855" t="str">
        <f>IF(CX120="","",CX120)</f>
        <v/>
      </c>
      <c r="BX120" s="957" t="str">
        <f>IFERROR(IF(DN120="","",DN120), "REVISAR")</f>
        <v>REVISAR</v>
      </c>
      <c r="BY120" s="848" t="str" cm="1">
        <f t="array" ref="BY120">[1]!ACAELE_CAPACIDADCABLE(BB120,H120,I120,M120,BX120,N120)</f>
        <v/>
      </c>
      <c r="BZ120" s="848" t="str">
        <f>IF(OR(BB120=0,H120="RE"),"",(DS120/BV120)*100)</f>
        <v/>
      </c>
      <c r="CA120" s="849" t="str" cm="1">
        <f t="array" ref="CA120">[1]!ACAELE_cabledetierra(BZ120,$M$9,I120,BW120,BX120,G120)</f>
        <v/>
      </c>
      <c r="CB120" s="849" t="str" cm="1">
        <f t="array" ref="CB120">[1]!ACAELE_TAMATUBERIA(BZ120,DU120,I119,M120,I120)</f>
        <v/>
      </c>
      <c r="CC120" s="852" t="str">
        <f>IF(DV120="","",DV120)</f>
        <v/>
      </c>
      <c r="CD120" s="851"/>
      <c r="CE120" s="851" t="str">
        <f>IF(OR(BB120=0,Q120=""),"",(EA120/BV120)*100)</f>
        <v/>
      </c>
      <c r="CF120" s="852"/>
      <c r="CG120" s="852"/>
      <c r="CH120" s="509" t="str">
        <f>IF(AND(CE120="",BZ120=""),"",IF(CE120="",0,CE120)+IF(BZ120="",0,BZ120))</f>
        <v/>
      </c>
      <c r="CI120" s="516">
        <f>CI118</f>
        <v>0</v>
      </c>
      <c r="CJ120" s="514">
        <f>CJ118</f>
        <v>0</v>
      </c>
      <c r="CK120" s="515">
        <f>CK118</f>
        <v>0</v>
      </c>
      <c r="CL120" s="949"/>
      <c r="CM120" s="949"/>
      <c r="CN120" s="949"/>
      <c r="CO120" s="910"/>
      <c r="CP120" s="950"/>
      <c r="CQ120" s="950"/>
      <c r="CR120" s="951" t="str">
        <f t="shared" si="153"/>
        <v>N/C</v>
      </c>
      <c r="CS120" s="952">
        <f>IF(BU120&gt;100,VLOOKUP($F$13,FCTEMP,3),VLOOKUP($F$13,FCTEMP,2))</f>
        <v>1</v>
      </c>
      <c r="CT120" s="953">
        <f>IF(H120="RE","",IF(M120=1,VLOOKUP(J120,FCATUBO,2),IF(M120=6,VLOOKUP(J120,FCADUCTO,2),1)))</f>
        <v>1</v>
      </c>
      <c r="CU120" s="914"/>
      <c r="CV120" s="915"/>
      <c r="CW120" s="916" t="str">
        <f>IF(BB120=0,"",IF(F120=3,((BT120*1000)/(1.73*BV120*DA120)),IF(AND(F120=2,G120=3),((BT120*1000)/(2*(BV120/1.73)*DA120)),((BT120*1000)/(BV120*DA120)))))</f>
        <v/>
      </c>
      <c r="CX120" s="917" t="str" cm="1">
        <f t="array" ref="CX120">[1]!ACAELE_Disparocalculado(BB120,H120,DL120,$N$21,$M$21,$O$21,BV120,$P$5)</f>
        <v/>
      </c>
      <c r="CY120" s="918" t="e">
        <f>IF(CR120="C",(BU120)/(CS120*CT120),BU120/(CS120*CT120))</f>
        <v>#VALUE!</v>
      </c>
      <c r="CZ120" s="919" t="str">
        <f>IF(OR(BB120=0,Q120=""),"",IF(CR120="C",(BU120)/(CS120*CU120),BU120/(CS120*CU120)))</f>
        <v/>
      </c>
      <c r="DA120" s="951">
        <f>$F$14</f>
        <v>0.9</v>
      </c>
      <c r="DB120" s="954">
        <f>SIN(ACOS(DA120))</f>
        <v>0.43588989435406728</v>
      </c>
      <c r="DC120" s="922" t="str" cm="1">
        <f t="array" ref="DC120">[1]!ACAELE_CONDPORTCORRIENTE(H120,BB120,I120,M120,CY120,CZ120,N120,$P$5)</f>
        <v/>
      </c>
      <c r="DD120" s="923" t="str" cm="1">
        <f t="array" ref="DD120">[1]!ACAELE_CAPACONDCORRIENTE(BB120,H120,I120,M120,CY120,CZ120,$P$5)</f>
        <v/>
      </c>
      <c r="DE120" s="923" t="str" cm="1">
        <f t="array" ref="DE120">[1]!ACAELE_CAPACIDADCABLE(BB120,H120,I120,M120,DC120,N120,$P$5)</f>
        <v/>
      </c>
      <c r="DF120" s="924" t="str" cm="1">
        <f t="array" ref="DF120">[1]!ACAELE_encontrarcaidaequipo(BB120,H120,L120,BV120,F120,BA120,N120,K120)</f>
        <v/>
      </c>
      <c r="DG120" s="925" t="str" cm="1">
        <f t="array" ref="DG120">[1]!ACAELE_Cablecaida(BB120,H120,M120,I120,DF120)</f>
        <v/>
      </c>
      <c r="DH120" s="918" t="str" cm="1">
        <f t="array" ref="DH120">[1]!ACAELE_CAPACIDADCABLE(BB120,H120,I120,M120,DG120,N120,$P$5)</f>
        <v/>
      </c>
      <c r="DI120" s="926" t="str">
        <f>IF(OR(BB120=0,Q120=""),"",((10*R120*BV120)/((IF(F120&gt;2,1.73,2)*(BU120/T120)*Q120))))</f>
        <v/>
      </c>
      <c r="DJ120" s="914"/>
      <c r="DK120" s="919" t="str" cm="1">
        <f t="array" ref="DK120">[1]!ACAELE_CAPACIDADCABLE(BB120,H120,I120,M120,DJ120,N120)</f>
        <v/>
      </c>
      <c r="DL120" s="955" t="str">
        <f>(IF(BB120=0,"",BA120*($G$18/100)))</f>
        <v/>
      </c>
      <c r="DM120" s="955" cm="1">
        <f t="array" ref="DM120">[1]!acaele_ProtCalculada(CX120,H120,BT120,BW120,$G$21,$F$21,$H$21,$P$5)</f>
        <v>0</v>
      </c>
      <c r="DN120" s="913" t="e" cm="1">
        <f t="array" ref="DN120">[1]!ACAELE_CableCalTab(BB120,H120,I120,M120,EF120,N120,BV120,DL120)</f>
        <v>#VALUE!</v>
      </c>
      <c r="DO120" s="956" t="str" cm="1">
        <f t="array" ref="DO120">[1]!ACAELE_RESISTENCIA(BB120,H120,M120,I120,BX120, CW120,$P$5)</f>
        <v/>
      </c>
      <c r="DP120" s="931" t="str" cm="1">
        <f t="array" ref="DP120">[1]!ACAELE_REACTANCIA(BB120,H120,$F$11,M120,I120,BX120,$P$5)</f>
        <v/>
      </c>
      <c r="DQ120" s="918" t="str" cm="1">
        <f t="array" ref="DQ120">[1]!ACAELE_DIAMECAISLA(BB120,H120,I120,BX120,$P$5)</f>
        <v/>
      </c>
      <c r="DR120" s="918" t="str" cm="1">
        <f t="array" ref="DR120">[1]!ACAELE_AREACAISLAMIENTO(BB120,H120,DQ120,$P$5)</f>
        <v/>
      </c>
      <c r="DS120" s="918" t="str" cm="1">
        <f t="array" ref="DS120">[1]!ACAELE_CAIDAVOLTSFINAL(BB120,H120,F120,K120,BU120,N120,DO120,DA120,DP120,DB120,$P$5)</f>
        <v/>
      </c>
      <c r="DT120" s="918" t="str" cm="1">
        <f t="array" ref="DT120">[1]!ACAELE_AREACONDPTE(BB120,H120,CA120,$P$5)</f>
        <v/>
      </c>
      <c r="DU120" s="918" t="str" cm="1">
        <f t="array" ref="DU120">[1]!ACAELE_AREATOTAL(BZ120,M120,EO120,N120,DQ120,G120,DR120,DT120,N$20,$P$5)</f>
        <v/>
      </c>
      <c r="DV120" s="926"/>
      <c r="DW120" s="926"/>
      <c r="DX120" s="926"/>
      <c r="DY120" s="935"/>
      <c r="DZ120" s="935" t="str">
        <f>IF(OR(BB120=0,Q120=""),"",3.1416*(DY120/2)*(DY120/2))</f>
        <v/>
      </c>
      <c r="EA120" s="935" t="str">
        <f>IF(OR(BB120=0,Q120=""),"",IF(F120&gt;2,1.73,2)*Q120*(BU120/T120)*(((DW120*DA120)+(DX120*DB120))/1000))</f>
        <v/>
      </c>
      <c r="EB120" s="919"/>
      <c r="EC120" s="935"/>
      <c r="ED120" s="675" t="str">
        <f>IF(OR(BB120=0,H120="RE"),"",VLOOKUP(BX120,nomenclaturacables,2,0))</f>
        <v/>
      </c>
      <c r="EE120" s="670"/>
      <c r="EF120" s="671" t="str">
        <f>IF(BB120=0,"",MAX(DM120/N120,BW120/N120,IF(DE120="",0,DE120/N120),DH120/N120))</f>
        <v/>
      </c>
      <c r="EG120" s="672">
        <f>MAX(DM120,IF(DE120="",0,DE120/N120),DK120)</f>
        <v>0</v>
      </c>
      <c r="EH120" s="673"/>
      <c r="EI120" s="942">
        <f t="shared" si="155"/>
        <v>30</v>
      </c>
      <c r="EJ120" s="947"/>
      <c r="EK120" s="947"/>
      <c r="EL120" s="947"/>
      <c r="EM120" s="947"/>
      <c r="EN120" s="948"/>
      <c r="EO120" s="550" t="str">
        <f>IF(BZ120="","",(G120*N120*DR120)/O120+DT120)</f>
        <v/>
      </c>
      <c r="EP120" s="431" t="str">
        <f>$EP$118</f>
        <v>DIA-TSECOEPPAL</v>
      </c>
      <c r="ET120" s="1" t="str">
        <f>IF($M$18="TR",IF($M$18="TR",IF(BW120="","",F120&amp;"P-"&amp;BW120&amp;" A"),""),"")</f>
        <v/>
      </c>
      <c r="EU120" s="1" t="str">
        <f>IF($M$18="TR",IF(BW120="","",G120*N120&amp;"-"&amp;BX120&amp;", "&amp;O120&amp;"-"&amp;CA120&amp;"T, "&amp;O120&amp;CB120),"")</f>
        <v/>
      </c>
      <c r="EV120" s="1" t="str">
        <f>IF($M$18="TR",IF(BW120="","",K120),"")</f>
        <v/>
      </c>
      <c r="EW120" s="3" t="str">
        <f>IF($M$18="TR",IF(BW120="","",G120*N120),"")</f>
        <v/>
      </c>
      <c r="EX120" s="3" t="str">
        <f>IF($M$18="TR",IF(BW120="","",BX120),"")</f>
        <v/>
      </c>
      <c r="EY120" s="3" t="str">
        <f>IF($M$18="TR",IF(BW120="","",O120),"")</f>
        <v/>
      </c>
      <c r="EZ120" s="3" t="str">
        <f>IF($M$18="TR",IF(BW120="","",CA120),"")</f>
        <v/>
      </c>
      <c r="FA120" s="3" t="str">
        <f>IF($M$18="TR",IF(BW120="","",O120),"")</f>
        <v/>
      </c>
      <c r="FB120" s="3" t="str">
        <f>IF($M$18="TR",IF(BW120="","",CB120),"")</f>
        <v/>
      </c>
      <c r="FC120" s="3">
        <f t="shared" si="150"/>
        <v>0</v>
      </c>
      <c r="FD120" s="732"/>
      <c r="FE120" s="732"/>
      <c r="FF120" s="733"/>
      <c r="FG120" s="732"/>
      <c r="FH120" s="733"/>
      <c r="FI120" s="732"/>
      <c r="FJ120" s="733"/>
      <c r="FM120" s="3" t="str">
        <f>IF(BV120&gt;1000,"",IF(BW120&lt;151,"(HD)",IF(BW120&lt;251,"(JD)",IF(BW120&lt;401,"(LA)",IF(BW120&lt;801,"(MG)",IF(BW120&lt;1201,"(PJ)","PONER MANUAL"))))))</f>
        <v>PONER MANUAL</v>
      </c>
      <c r="FX120" s="146">
        <f t="shared" ref="FX120:FX128" si="157">IF(FY120=GA120,"",1)</f>
        <v>1</v>
      </c>
      <c r="FZ120" s="740" t="s">
        <v>2006</v>
      </c>
      <c r="GA120" s="738" t="str">
        <f>IF(TABLERO!$M$18=" ",FIXED(IF(TABLERO!$F$17&lt;&gt;"KVA",TABLERO!BB120*1000,TABLERO!BB120*1000/TABLERO!DA120),2)&amp;"+"&amp;FIXED(IF(TABLERO!$F$17&lt;&gt;"KVA",TABLERO!BT120*1000,TABLERO!BT120*1000/TABLERO!DA120),2)&amp;"+"&amp;IF(OR(TABLERO!BU120="",TABLERO!BU120=0),"",FIXED(TABLERO!BU120,2))&amp;"+"&amp;TABLERO!F120&amp;"+"&amp;TABLERO!G120&amp;"+"&amp;TABLERO!BV120&amp;"+"&amp;TABLERO!K120&amp;"+"&amp;TABLERO!J120&amp;"+"&amp;TABLERO!CT120&amp;"+"&amp;TABLERO!CS120&amp;"+"&amp;FIXED(TABLERO!CY120,2)&amp;"+"&amp;TABLERO!N120&amp;"+"&amp;IF(TABLERO!BB120=0,"",TABLERO!BX120&amp;" "&amp;TABLERO!ED120&amp;", "&amp;TABLERO!I120)&amp;"+"&amp;FIXED(TABLERO!BZ120,2)&amp;"+"&amp;TABLERO!CA120&amp;"+"&amp;TABLERO!CB120&amp;"+"&amp;FIXED(TABLERO!DL120,2)&amp;"+"&amp;TABLERO!F120&amp;"P-"&amp;TABLERO!BW120&amp;"A"&amp;"+"&amp;IF(TABLERO!CI120="-","     -     ",FIXED(IF(TABLERO!$F$17&lt;&gt;"KVA",TABLERO!CI120,TABLERO!CI120/TABLERO!$F$14),2))&amp;"+"&amp;IF(TABLERO!CJ120="-","     -     ",FIXED(IF(TABLERO!$F$17&lt;&gt;"KVA",TABLERO!CJ120,TABLERO!CJ120/TABLERO!$F$14),2))&amp;"+"&amp;IF(TABLERO!CK120="-","     -     ",FIXED(IF(TABLERO!$F$17&lt;&gt;"KVA",TABLERO!CK120,TABLERO!CK120/TABLERO!$F$14),2))&amp;"++++++++++"&amp;A120,"++++++++++++++++++++++++++++++")</f>
        <v>++++++++++++++++++++++++++++++</v>
      </c>
      <c r="GB120" s="49" t="str">
        <f>CUADROACAD!CU120</f>
        <v>+++++++++++++++++++++++++++++</v>
      </c>
      <c r="GM120" s="1" t="str">
        <f>J120*N120&amp;"-"&amp;BX120&amp; " "&amp;ED120&amp;" ("&amp;N120&amp;"xF-"&amp;N120&amp;"N), "&amp;O120&amp;"-"&amp;CA120&amp;"T "&amp;"AWG, "&amp;O120&amp;CB120</f>
        <v>3-REVISAR  (1xF-1N), 1-T AWG, 1</v>
      </c>
    </row>
    <row r="121" spans="1:198" ht="13.8" thickBot="1">
      <c r="F121" s="29"/>
      <c r="G121" s="29"/>
      <c r="H121" s="147" t="s">
        <v>1469</v>
      </c>
      <c r="I121" s="148" t="str">
        <f>DATOS!$F$23</f>
        <v>NOM</v>
      </c>
      <c r="J121" s="443"/>
      <c r="K121" s="443"/>
      <c r="L121" s="443"/>
      <c r="M121" s="443"/>
      <c r="N121" s="443"/>
      <c r="O121" s="443"/>
      <c r="P121" s="30"/>
      <c r="Q121" s="30"/>
      <c r="R121" s="30"/>
      <c r="S121" s="30"/>
      <c r="T121" s="30"/>
      <c r="U121" s="30"/>
      <c r="V121" s="29"/>
      <c r="W121" s="29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37"/>
      <c r="AZ121" s="137"/>
      <c r="BA121" s="137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T121"/>
      <c r="BU121" s="523"/>
      <c r="BV121"/>
      <c r="BW121" s="742"/>
      <c r="BX121" s="742"/>
      <c r="BY121" s="49"/>
      <c r="BZ121" s="49"/>
      <c r="CA121" s="49"/>
      <c r="CB121" s="49"/>
      <c r="CC121" s="742"/>
      <c r="CD121" s="742"/>
      <c r="CE121" s="742"/>
      <c r="CF121" s="742"/>
      <c r="CG121" s="742"/>
      <c r="CH121" s="420"/>
      <c r="CI121" s="423"/>
      <c r="CJ121" s="426"/>
      <c r="CK121" s="429"/>
      <c r="CL121" s="676"/>
      <c r="CM121" s="676"/>
      <c r="CN121" s="676"/>
      <c r="CR121" s="677" t="str">
        <f t="shared" si="153"/>
        <v>N/C</v>
      </c>
      <c r="CS121" s="677"/>
      <c r="CT121" s="678"/>
      <c r="CU121" s="679"/>
      <c r="CV121" s="680"/>
      <c r="CW121" s="681"/>
      <c r="CX121" s="682"/>
      <c r="CY121" s="678"/>
      <c r="CZ121" s="679"/>
      <c r="DA121" s="677"/>
      <c r="DB121" s="677"/>
      <c r="DC121" s="683"/>
      <c r="DD121" s="683"/>
      <c r="DE121" s="683"/>
      <c r="DF121" s="678"/>
      <c r="DG121" s="678"/>
      <c r="DH121" s="678"/>
      <c r="DI121" s="679"/>
      <c r="DJ121" s="679"/>
      <c r="DK121" s="679"/>
      <c r="DL121" s="684"/>
      <c r="DM121" s="684"/>
      <c r="DN121" s="678"/>
      <c r="DO121" s="678"/>
      <c r="DP121" s="678"/>
      <c r="DQ121" s="678"/>
      <c r="DR121" s="678"/>
      <c r="DS121" s="678"/>
      <c r="DT121" s="678"/>
      <c r="DU121" s="678"/>
      <c r="DV121" s="679"/>
      <c r="DW121" s="679"/>
      <c r="DX121" s="679"/>
      <c r="DY121" s="679"/>
      <c r="DZ121" s="679"/>
      <c r="EA121" s="679"/>
      <c r="EB121" s="679"/>
      <c r="EC121" s="679"/>
      <c r="ED121" s="685"/>
      <c r="EE121" s="686"/>
      <c r="EF121" s="687"/>
      <c r="EG121" s="688"/>
      <c r="EH121" s="689"/>
      <c r="EI121" s="942">
        <f t="shared" si="155"/>
        <v>30</v>
      </c>
      <c r="EJ121" s="947"/>
      <c r="EK121" s="947"/>
      <c r="EL121" s="947"/>
      <c r="EM121" s="947"/>
      <c r="EN121" s="948"/>
      <c r="EO121" s="550"/>
      <c r="EP121" s="433"/>
      <c r="EW121" s="3" t="str">
        <f>IF(BW121="","",G121*N121)</f>
        <v/>
      </c>
      <c r="EX121" s="3" t="str">
        <f>IF(BW121="","",BX121)</f>
        <v/>
      </c>
      <c r="EY121" s="3" t="str">
        <f>IF(BW121="","",O121)</f>
        <v/>
      </c>
      <c r="EZ121" s="3" t="str">
        <f>IF(BW121="","",CA121)</f>
        <v/>
      </c>
      <c r="FA121" s="3" t="str">
        <f>IF(BW121="","",O121)</f>
        <v/>
      </c>
      <c r="FB121" s="3" t="str">
        <f>IF(BW121="","",CB121)</f>
        <v/>
      </c>
      <c r="FC121" s="3">
        <f t="shared" si="150"/>
        <v>0</v>
      </c>
      <c r="FD121" s="732"/>
      <c r="FE121" s="732"/>
      <c r="FF121" s="733"/>
      <c r="FG121" s="732"/>
      <c r="FH121" s="733"/>
      <c r="FI121" s="732"/>
      <c r="FJ121" s="733"/>
      <c r="FX121" s="146">
        <f t="shared" si="157"/>
        <v>1</v>
      </c>
      <c r="FZ121" s="740" t="s">
        <v>1813</v>
      </c>
      <c r="GA121" s="318" t="s">
        <v>1813</v>
      </c>
      <c r="GB121" s="49" t="str">
        <f>CUADROACAD!CU121</f>
        <v>+++++++++++++++++++++++++++++</v>
      </c>
    </row>
    <row r="122" spans="1:198" ht="13.8" thickBot="1">
      <c r="B122" s="971" t="s">
        <v>1474</v>
      </c>
      <c r="C122" s="972"/>
      <c r="D122" s="973"/>
      <c r="E122" s="22" t="s">
        <v>1474</v>
      </c>
      <c r="F122" s="34">
        <f>F10</f>
        <v>3</v>
      </c>
      <c r="G122" s="34">
        <f>H10</f>
        <v>4</v>
      </c>
      <c r="H122" s="34" t="s">
        <v>1207</v>
      </c>
      <c r="I122" s="34" t="str">
        <f>I116</f>
        <v>CU</v>
      </c>
      <c r="J122" s="442">
        <f>G122</f>
        <v>4</v>
      </c>
      <c r="K122" s="439">
        <v>15</v>
      </c>
      <c r="L122" s="439">
        <f>5-$CH$26</f>
        <v>5</v>
      </c>
      <c r="M122" s="440">
        <f>$M$116</f>
        <v>1</v>
      </c>
      <c r="N122" s="440">
        <f>$N$116</f>
        <v>1</v>
      </c>
      <c r="O122" s="440">
        <f>$O$116</f>
        <v>1</v>
      </c>
      <c r="P122" s="44">
        <v>6</v>
      </c>
      <c r="Q122" s="37"/>
      <c r="R122" s="37">
        <v>2</v>
      </c>
      <c r="S122" s="38">
        <v>1</v>
      </c>
      <c r="T122" s="38">
        <v>1</v>
      </c>
      <c r="U122" s="38">
        <v>1</v>
      </c>
      <c r="V122" s="707">
        <v>1</v>
      </c>
      <c r="W122" s="708" t="s">
        <v>1467</v>
      </c>
      <c r="X122" s="167"/>
      <c r="Y122" s="167"/>
      <c r="Z122" s="167"/>
      <c r="AA122" s="167"/>
      <c r="AB122" s="167"/>
      <c r="AC122" s="167"/>
      <c r="AD122" s="167"/>
      <c r="AE122" s="167"/>
      <c r="AF122" s="167"/>
      <c r="AG122" s="167"/>
      <c r="AH122" s="167"/>
      <c r="AI122" s="167"/>
      <c r="AJ122" s="167"/>
      <c r="AK122" s="167"/>
      <c r="AL122" s="167"/>
      <c r="AM122" s="167"/>
      <c r="AN122" s="167"/>
      <c r="AO122" s="167"/>
      <c r="AP122" s="167"/>
      <c r="AQ122" s="167"/>
      <c r="AR122" s="167"/>
      <c r="AS122" s="167"/>
      <c r="AT122" s="167"/>
      <c r="AU122" s="167"/>
      <c r="AV122" s="167"/>
      <c r="AW122" s="167"/>
      <c r="AX122" s="167"/>
      <c r="AY122" s="709"/>
      <c r="AZ122" s="168">
        <f>VLOOKUP($BT$116,' '!$A$741:$C$767,3)</f>
        <v>30</v>
      </c>
      <c r="BA122" s="709">
        <f>IF(F122=3,((AZ122*1000)/(1.73*BV122*DA122)),IF(AND(F122=2,G122=3),((AZ122*1000)/(2*(BV122/1.73)*DA122)),((AZ122*1000)/(BV122*DA122))))</f>
        <v>87.581012436503755</v>
      </c>
      <c r="BB122" s="710">
        <f>BB116</f>
        <v>0</v>
      </c>
      <c r="BC122" s="711">
        <f t="shared" ref="BC122:BP122" si="158">BC120</f>
        <v>0</v>
      </c>
      <c r="BD122" s="711">
        <f t="shared" si="158"/>
        <v>0</v>
      </c>
      <c r="BE122" s="711">
        <f t="shared" si="158"/>
        <v>0</v>
      </c>
      <c r="BF122" s="711">
        <f t="shared" si="158"/>
        <v>0</v>
      </c>
      <c r="BG122" s="711">
        <f t="shared" si="158"/>
        <v>0</v>
      </c>
      <c r="BH122" s="711">
        <f t="shared" si="158"/>
        <v>0</v>
      </c>
      <c r="BI122" s="711">
        <f t="shared" si="158"/>
        <v>0</v>
      </c>
      <c r="BJ122" s="711">
        <f t="shared" si="158"/>
        <v>0</v>
      </c>
      <c r="BK122" s="711">
        <f t="shared" si="158"/>
        <v>0</v>
      </c>
      <c r="BL122" s="711">
        <f t="shared" si="158"/>
        <v>0</v>
      </c>
      <c r="BM122" s="711">
        <f t="shared" si="158"/>
        <v>0</v>
      </c>
      <c r="BN122" s="711">
        <f t="shared" si="158"/>
        <v>0</v>
      </c>
      <c r="BO122" s="711">
        <f t="shared" si="158"/>
        <v>0</v>
      </c>
      <c r="BP122" s="711">
        <f t="shared" si="158"/>
        <v>0</v>
      </c>
      <c r="BQ122" s="169">
        <f>BQ120</f>
        <v>0</v>
      </c>
      <c r="BR122" s="170">
        <f>BR116</f>
        <v>0</v>
      </c>
      <c r="BS122" s="170">
        <f>BS120</f>
        <v>0</v>
      </c>
      <c r="BT122" s="48">
        <f>BT116</f>
        <v>0</v>
      </c>
      <c r="BU122" s="48" t="str">
        <f>IF(CW122="","",CW122)</f>
        <v/>
      </c>
      <c r="BV122" s="713">
        <f>IF(F122=1,$H$9,$F$9)</f>
        <v>220</v>
      </c>
      <c r="BW122" s="855" t="str">
        <f>IF(CX122="","",CX122)</f>
        <v/>
      </c>
      <c r="BX122" s="957" t="str">
        <f>IFERROR(IF(DN122="","",DN122), "REVISAR")</f>
        <v>REVISAR</v>
      </c>
      <c r="BY122" s="848" t="str" cm="1">
        <f t="array" ref="BY122">[1]!ACAELE_CAPACIDADCABLE(BB122,H122,I122,M122,BX122,N122)</f>
        <v/>
      </c>
      <c r="BZ122" s="848" t="str">
        <f>IF(OR(BB122=0,H122="RE"),"",(DS122/BV122)*100)</f>
        <v/>
      </c>
      <c r="CA122" s="849" t="str" cm="1">
        <f t="array" ref="CA122">[1]!ACAELE_cabledetierra(BZ122,$M$9,I122,BW122,BX122,G122)</f>
        <v/>
      </c>
      <c r="CB122" s="849" t="str" cm="1">
        <f t="array" ref="CB122">[1]!ACAELE_TAMATUBERIA(BZ122,DU122,I121,M122,I122)</f>
        <v/>
      </c>
      <c r="CC122" s="849" t="str">
        <f>IF(DV122="","",DV122)</f>
        <v/>
      </c>
      <c r="CD122" s="851"/>
      <c r="CE122" s="851" t="str">
        <f>IF(OR(BB122=0,Q122=""),"",(EA122/BV122)*100)</f>
        <v/>
      </c>
      <c r="CF122" s="852"/>
      <c r="CG122" s="852"/>
      <c r="CH122" s="509" t="str">
        <f>IF(AND(CE122="",BZ122=""),"",IF(CE122="",0,CE122)+IF(BZ122="",0,BZ122))</f>
        <v/>
      </c>
      <c r="CI122" s="516">
        <f>CI120</f>
        <v>0</v>
      </c>
      <c r="CJ122" s="514">
        <f>CJ120</f>
        <v>0</v>
      </c>
      <c r="CK122" s="515">
        <f>CK120</f>
        <v>0</v>
      </c>
      <c r="CL122" s="949"/>
      <c r="CM122" s="949"/>
      <c r="CN122" s="949"/>
      <c r="CO122" s="910"/>
      <c r="CP122" s="950"/>
      <c r="CQ122" s="950"/>
      <c r="CR122" s="951" t="str">
        <f t="shared" si="153"/>
        <v>N/C</v>
      </c>
      <c r="CS122" s="952">
        <f>IF(BU122&gt;100,VLOOKUP($F$13,FCTEMP,3),VLOOKUP($F$13,FCTEMP,2))</f>
        <v>1</v>
      </c>
      <c r="CT122" s="953">
        <f>IF(H122="RE","",IF(M122=1,VLOOKUP(J122,FCATUBO,2),IF(M122=6,VLOOKUP(J122,FCADUCTO,2),1)))</f>
        <v>0.8</v>
      </c>
      <c r="CU122" s="914"/>
      <c r="CV122" s="915"/>
      <c r="CW122" s="916" t="str">
        <f>IF(BB122=0,"",IF(F122=3,((BT122*1000)/(1.73*BV122*DA122)),IF(AND(F122=2,G122=3),((BT122*1000)/(2*(BV122/1.73)*DA122)),((BT122*1000)/(BV122*DA122)))))</f>
        <v/>
      </c>
      <c r="CX122" s="917" t="str">
        <f>CX124</f>
        <v/>
      </c>
      <c r="CY122" s="918" t="e">
        <f>IF(CR122="C",(BU122)/(CS122*CT122),BU122/(CS122*CT122))</f>
        <v>#VALUE!</v>
      </c>
      <c r="CZ122" s="919" t="str">
        <f>IF(OR(BB122=0,Q122=""),"",IF(CR122="C",(BU122)/(CS122*CU122),BU122/(CS122*CU122)))</f>
        <v/>
      </c>
      <c r="DA122" s="951">
        <f>$F$14</f>
        <v>0.9</v>
      </c>
      <c r="DB122" s="954">
        <f>SIN(ACOS(DA122))</f>
        <v>0.43588989435406728</v>
      </c>
      <c r="DC122" s="922" t="str" cm="1">
        <f t="array" ref="DC122">[1]!ACAELE_CONDPORTCORRIENTE(H122,BB122,I122,M122,CY122,CZ122,N122,$P$5)</f>
        <v/>
      </c>
      <c r="DD122" s="923" t="str" cm="1">
        <f t="array" ref="DD122">[1]!ACAELE_CAPACONDCORRIENTE(BB122,H122,I122,M122,CY122,CZ122,$P$5)</f>
        <v/>
      </c>
      <c r="DE122" s="923" t="str" cm="1">
        <f t="array" ref="DE122">[1]!ACAELE_CAPACIDADCABLE(BB122,H122,I122,M122,DC122,N122,$P$5)</f>
        <v/>
      </c>
      <c r="DF122" s="924" t="str" cm="1">
        <f t="array" ref="DF122">[1]!ACAELE_encontrarcaidaequipo(BB122,H122,L122,BV122,F122,BA122,N122,K122)</f>
        <v/>
      </c>
      <c r="DG122" s="925" t="str" cm="1">
        <f t="array" ref="DG122">[1]!ACAELE_Cablecaida(BB122,H122,M122,I122,DF122)</f>
        <v/>
      </c>
      <c r="DH122" s="918" t="str" cm="1">
        <f t="array" ref="DH122">[1]!ACAELE_CAPACIDADCABLE(BB122,H122,I122,M122,DG122,N122,$P$5)</f>
        <v/>
      </c>
      <c r="DI122" s="926" t="str">
        <f>IF(OR(BB122=0,Q122=""),"",((10*R122*BV122)/((IF(F122&gt;2,1.73,2)*(BU122/T122)*Q122))))</f>
        <v/>
      </c>
      <c r="DJ122" s="914"/>
      <c r="DK122" s="919" t="str" cm="1">
        <f t="array" ref="DK122">[1]!ACAELE_CAPACIDADCABLE(BB122,H122,I122,M122,DJ122,N122)</f>
        <v/>
      </c>
      <c r="DL122" s="955" t="str">
        <f>(IF(BB122=0,"",BA122*($G$18/100)))</f>
        <v/>
      </c>
      <c r="DM122" s="955" cm="1">
        <f t="array" ref="DM122">[1]!acaele_ProtCalculada(CX122,H122,BT122,BW122,$G$21,$F$21,$H$21,$P$5)</f>
        <v>0</v>
      </c>
      <c r="DN122" s="913" t="e" cm="1">
        <f t="array" ref="DN122">[1]!ACAELE_CableCalTab(BB122,H122,I122,M122,EF122,N122,BV122,DL122)</f>
        <v>#VALUE!</v>
      </c>
      <c r="DO122" s="956" t="str" cm="1">
        <f t="array" ref="DO122">[1]!ACAELE_RESISTENCIA(BB122,H122,M122,I122,BX122, CW122,$P$5)</f>
        <v/>
      </c>
      <c r="DP122" s="931" t="str" cm="1">
        <f t="array" ref="DP122">[1]!ACAELE_REACTANCIA(BB122,H122,$F$11,M122,I122,BX122,$P$5)</f>
        <v/>
      </c>
      <c r="DQ122" s="918" t="str" cm="1">
        <f t="array" ref="DQ122">[1]!ACAELE_DIAMECAISLA(BB122,H122,I122,BX122,$P$5)</f>
        <v/>
      </c>
      <c r="DR122" s="918" t="str" cm="1">
        <f t="array" ref="DR122">[1]!ACAELE_AREACAISLAMIENTO(BB122,H122,DQ122,$P$5)</f>
        <v/>
      </c>
      <c r="DS122" s="918" t="str" cm="1">
        <f t="array" ref="DS122">[1]!ACAELE_CAIDAVOLTSFINAL(BB122,H122,F122,K122,BU122,N122,DO122,DA122,DP122,DB122,$P$5)</f>
        <v/>
      </c>
      <c r="DT122" s="918" t="str" cm="1">
        <f t="array" ref="DT122">[1]!ACAELE_AREACONDPTE(BB122,H122,CA122,$P$5)</f>
        <v/>
      </c>
      <c r="DU122" s="918" t="str" cm="1">
        <f t="array" ref="DU122">[1]!ACAELE_AREATOTAL(BZ122,M122,EO122,N122,DQ122,G122,DR122,DT122,N$20,$P$5)</f>
        <v/>
      </c>
      <c r="DV122" s="926"/>
      <c r="DW122" s="926"/>
      <c r="DX122" s="926"/>
      <c r="DY122" s="935"/>
      <c r="DZ122" s="935" t="str">
        <f>IF(OR(BB122=0,Q122=""),"",3.1416*(DY122/2)*(DY122/2))</f>
        <v/>
      </c>
      <c r="EA122" s="935" t="str">
        <f>IF(OR(BB122=0,Q122=""),"",IF(F122&gt;2,1.73,2)*Q122*(BU122/T122)*(((DW122*DA122)+(DX122*DB122))/1000))</f>
        <v/>
      </c>
      <c r="EB122" s="919"/>
      <c r="EC122" s="935"/>
      <c r="ED122" s="675" t="str">
        <f>IF(OR(BB122=0,H122="RE"),"",VLOOKUP(BX122,nomenclaturacables,2,0))</f>
        <v/>
      </c>
      <c r="EE122" s="670"/>
      <c r="EF122" s="671" t="str">
        <f>IF(BB122=0,"",MAX(DM122/N122,BW122/N122,IF(DE122="",0,DE122/N122),DH122/N122))</f>
        <v/>
      </c>
      <c r="EG122" s="672">
        <f>MAX(DM122,IF(DE122="",0,DE122/N122),DK122)</f>
        <v>0</v>
      </c>
      <c r="EH122" s="673"/>
      <c r="EI122" s="942">
        <f t="shared" si="155"/>
        <v>30</v>
      </c>
      <c r="EJ122" s="947"/>
      <c r="EK122" s="947"/>
      <c r="EL122" s="947"/>
      <c r="EM122" s="947"/>
      <c r="EN122" s="948"/>
      <c r="EO122" s="550" t="str">
        <f>IF(BZ122="","",(G122*N122*DR122)/O122+DT122)</f>
        <v/>
      </c>
      <c r="EP122" s="433"/>
      <c r="ET122" s="1" t="str">
        <f>IF($M$18="PE",IF(BW122="","",F122&amp;"P-"&amp;BW122&amp;" A"),"")</f>
        <v/>
      </c>
      <c r="EU122" s="1" t="str">
        <f>IF($M$18="PE",IF(BW122="","",G122*N122&amp;"-"&amp;BX122&amp;", "&amp;O122&amp;"-"&amp;CA122&amp;"T, "&amp;O122&amp;CB122),"")</f>
        <v/>
      </c>
      <c r="EV122" s="1" t="str">
        <f>IF($M$18="PE",IF(BW122="","",K122),"")</f>
        <v/>
      </c>
      <c r="EW122" s="3" t="str">
        <f>IF($M$18="PE",IF(BW122="","",G122*N122),"")</f>
        <v/>
      </c>
      <c r="EX122" s="3" t="str">
        <f>IF($M$18="PE",IF(BW122="","",BX122),"")</f>
        <v/>
      </c>
      <c r="EY122" s="3" t="str">
        <f>IF($M$18="PE",IF(BW122="","",O122),"")</f>
        <v/>
      </c>
      <c r="EZ122" s="3" t="str">
        <f>IF($M$18="PE",IF(BW122="","",CA122),"")</f>
        <v/>
      </c>
      <c r="FA122" s="3" t="str">
        <f>IF($M$18="PE",IF(BW122="","",O122),"")</f>
        <v/>
      </c>
      <c r="FB122" s="3" t="str">
        <f>IF($M$18="PE",IF(BW122="","",CB122),"")</f>
        <v/>
      </c>
      <c r="FC122" s="3">
        <f t="shared" si="150"/>
        <v>0</v>
      </c>
      <c r="FD122" s="732"/>
      <c r="FE122" s="732"/>
      <c r="FF122" s="733"/>
      <c r="FG122" s="732"/>
      <c r="FH122" s="733"/>
      <c r="FI122" s="732"/>
      <c r="FJ122" s="733"/>
      <c r="FM122" s="3" t="str">
        <f>FM116</f>
        <v>**REVISAR TABLERO**</v>
      </c>
      <c r="FX122" s="146">
        <f t="shared" si="157"/>
        <v>1</v>
      </c>
      <c r="FZ122" s="740" t="s">
        <v>2007</v>
      </c>
      <c r="GA122" s="736" t="str">
        <f>IF(TABLERO!$M$18="PE",FIXED(IF(TABLERO!$F$17&lt;&gt;"KVA",TABLERO!BB122*1000,TABLERO!BB122*1000/TABLERO!DA122),2)&amp;"+"&amp;FIXED(IF(TABLERO!$F$17&lt;&gt;"KVA",TABLERO!BT122*1000,TABLERO!BT122*1000/TABLERO!DA122),2)&amp;"+"&amp;IF(OR(TABLERO!BU122="",TABLERO!BU122=0),"",FIXED(TABLERO!BU122,2))&amp;"+"&amp;TABLERO!F122&amp;"+"&amp;TABLERO!G122&amp;"+"&amp;TABLERO!BV122&amp;"+"&amp;TABLERO!K122&amp;"+"&amp;TABLERO!J122&amp;"+"&amp;TABLERO!CT122&amp;"+"&amp;TABLERO!CS122&amp;"+"&amp;FIXED(TABLERO!CY122,2)&amp;"+"&amp;TABLERO!N122&amp;"+"&amp;IF(TABLERO!BB122=0,"",TABLERO!BX122&amp;" "&amp;TABLERO!ED122&amp;", "&amp;TABLERO!I122)&amp;"+"&amp;FIXED(TABLERO!BZ122,2)&amp;"+"&amp;TABLERO!CA122&amp;"+"&amp;TABLERO!CB122&amp;"+"&amp;FIXED(TABLERO!DL122,2)&amp;"+"&amp;TABLERO!F122&amp;"P-"&amp;TABLERO!BW122&amp;"A"&amp;"+"&amp;IF(TABLERO!CI122="-","     -     ",FIXED(IF(TABLERO!$F$17&lt;&gt;"KVA",TABLERO!CI122,TABLERO!CI122/TABLERO!$F$14),2))&amp;"+"&amp;IF(TABLERO!CJ122="-","     -     ",FIXED(IF(TABLERO!$F$17&lt;&gt;"KVA",TABLERO!CJ122,TABLERO!CJ122/TABLERO!$F$14),2))&amp;"+"&amp;IF(TABLERO!CK122="-","     -     ",FIXED(IF(TABLERO!$F$17&lt;&gt;"KVA",TABLERO!CK122,TABLERO!CK122/TABLERO!$F$14),2))&amp;"++++++++++1","++++++++++++++++++++++++++++++")</f>
        <v>++++++++++++++++++++++++++++++</v>
      </c>
      <c r="GB122" s="49" t="str">
        <f>CUADROACAD!CU122</f>
        <v>+++++++++++++++++++++++++++++</v>
      </c>
      <c r="GM122" s="1" t="str">
        <f>J122*N122&amp;"-"&amp;BX122&amp; " "&amp;ED122&amp;" ("&amp;N122&amp;"xF-"&amp;N122&amp;"N), "&amp;O122&amp;"-"&amp;CA122&amp;"T "&amp;"AWG, "&amp;O122&amp;CB122</f>
        <v>4-REVISAR  (1xF-1N), 1-T AWG, 1</v>
      </c>
    </row>
    <row r="123" spans="1:198" ht="13.8" thickBot="1">
      <c r="F123" s="29"/>
      <c r="G123" s="29"/>
      <c r="H123" s="147" t="s">
        <v>1469</v>
      </c>
      <c r="I123" s="148" t="str">
        <f>DATOS!$F$23</f>
        <v>NOM</v>
      </c>
      <c r="J123" s="443"/>
      <c r="K123" s="443"/>
      <c r="L123" s="443"/>
      <c r="M123" s="443"/>
      <c r="N123" s="443"/>
      <c r="O123" s="443"/>
      <c r="P123" s="30"/>
      <c r="Q123" s="30"/>
      <c r="R123" s="30"/>
      <c r="S123" s="30"/>
      <c r="T123" s="30"/>
      <c r="U123" s="30"/>
      <c r="V123" s="29"/>
      <c r="W123" s="29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37"/>
      <c r="AZ123" s="137"/>
      <c r="BA123" s="137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T123"/>
      <c r="BU123" s="523"/>
      <c r="BV123"/>
      <c r="BW123" s="742"/>
      <c r="BX123" s="742"/>
      <c r="BY123" s="49"/>
      <c r="BZ123" s="49"/>
      <c r="CA123" s="49"/>
      <c r="CB123" s="49"/>
      <c r="CC123" s="742"/>
      <c r="CD123" s="742"/>
      <c r="CE123" s="742"/>
      <c r="CF123" s="742"/>
      <c r="CG123" s="742"/>
      <c r="CH123" s="420"/>
      <c r="CI123" s="423"/>
      <c r="CJ123" s="426"/>
      <c r="CK123" s="429"/>
      <c r="CL123" s="676"/>
      <c r="CM123" s="676"/>
      <c r="CN123" s="676"/>
      <c r="CR123" s="677" t="str">
        <f t="shared" si="153"/>
        <v>N/C</v>
      </c>
      <c r="CS123" s="677"/>
      <c r="CT123" s="678"/>
      <c r="CU123" s="679"/>
      <c r="CV123" s="680"/>
      <c r="CW123" s="681"/>
      <c r="CX123" s="682"/>
      <c r="CY123" s="678"/>
      <c r="CZ123" s="679"/>
      <c r="DA123" s="677"/>
      <c r="DB123" s="677"/>
      <c r="DC123" s="683"/>
      <c r="DD123" s="683"/>
      <c r="DE123" s="683"/>
      <c r="DF123" s="678"/>
      <c r="DG123" s="678"/>
      <c r="DH123" s="678"/>
      <c r="DI123" s="679"/>
      <c r="DJ123" s="679"/>
      <c r="DK123" s="679"/>
      <c r="DL123" s="684"/>
      <c r="DM123" s="684"/>
      <c r="DN123" s="678"/>
      <c r="DO123" s="678"/>
      <c r="DP123" s="678"/>
      <c r="DQ123" s="678"/>
      <c r="DR123" s="678"/>
      <c r="DS123" s="678"/>
      <c r="DT123" s="678"/>
      <c r="DU123" s="678"/>
      <c r="DV123" s="679"/>
      <c r="DW123" s="679"/>
      <c r="DX123" s="679"/>
      <c r="DY123" s="679"/>
      <c r="DZ123" s="679"/>
      <c r="EA123" s="679"/>
      <c r="EB123" s="679"/>
      <c r="EC123" s="679"/>
      <c r="ED123" s="685"/>
      <c r="EE123" s="686"/>
      <c r="EF123" s="687"/>
      <c r="EG123" s="688"/>
      <c r="EH123" s="689"/>
      <c r="EI123" s="942">
        <f t="shared" si="155"/>
        <v>30</v>
      </c>
      <c r="EJ123" s="947"/>
      <c r="EK123" s="947"/>
      <c r="EL123" s="947"/>
      <c r="EM123" s="947"/>
      <c r="EN123" s="948"/>
      <c r="EO123" s="550"/>
      <c r="EP123" s="433"/>
      <c r="EV123" s="1" t="str">
        <f>IF($M$18="PE",IF(BW123="","",K123),"")</f>
        <v/>
      </c>
      <c r="EW123" s="3" t="str">
        <f>IF($M$18="PE",IF(BW123="","",G123*N123),"")</f>
        <v/>
      </c>
      <c r="EX123" s="3" t="str">
        <f>IF($M$18="PE",IF(BW123="","",BX123),"")</f>
        <v/>
      </c>
      <c r="EY123" s="3" t="str">
        <f>IF($M$18="PE",IF(BW123="","",O123),"")</f>
        <v/>
      </c>
      <c r="EZ123" s="3" t="str">
        <f>IF(BW123="","",CA123)</f>
        <v/>
      </c>
      <c r="FA123" s="3" t="str">
        <f>IF($M$18="PE",IF(BW123="","",O123),"")</f>
        <v/>
      </c>
      <c r="FB123" s="3" t="str">
        <f>IF($M$18="PE",IF(BW123="","",CB123),"")</f>
        <v/>
      </c>
      <c r="FC123" s="3">
        <f t="shared" si="150"/>
        <v>0</v>
      </c>
      <c r="FD123" s="732"/>
      <c r="FE123" s="732"/>
      <c r="FF123" s="733"/>
      <c r="FG123" s="732"/>
      <c r="FH123" s="733"/>
      <c r="FI123" s="732"/>
      <c r="FJ123" s="733"/>
      <c r="FX123" s="146">
        <f t="shared" si="157"/>
        <v>1</v>
      </c>
      <c r="FZ123" s="740" t="s">
        <v>1813</v>
      </c>
      <c r="GA123" s="318" t="s">
        <v>1813</v>
      </c>
      <c r="GB123" s="49" t="str">
        <f>CUADROACAD!CU123</f>
        <v>+++++++++++++++++++++++++++++</v>
      </c>
    </row>
    <row r="124" spans="1:198" ht="13.8" thickBot="1">
      <c r="B124" s="971" t="s">
        <v>1475</v>
      </c>
      <c r="C124" s="972"/>
      <c r="D124" s="973"/>
      <c r="E124" s="22" t="s">
        <v>1475</v>
      </c>
      <c r="F124" s="34">
        <f>F10</f>
        <v>3</v>
      </c>
      <c r="G124" s="34">
        <f>H10</f>
        <v>4</v>
      </c>
      <c r="H124" s="34" t="s">
        <v>1207</v>
      </c>
      <c r="I124" s="34" t="str">
        <f>$F$16</f>
        <v>CU</v>
      </c>
      <c r="J124" s="442">
        <f>G124</f>
        <v>4</v>
      </c>
      <c r="K124" s="439">
        <v>20</v>
      </c>
      <c r="L124" s="439">
        <f>5-$CH$26</f>
        <v>5</v>
      </c>
      <c r="M124" s="440">
        <f>$M$116</f>
        <v>1</v>
      </c>
      <c r="N124" s="440">
        <f>$N$116</f>
        <v>1</v>
      </c>
      <c r="O124" s="440">
        <f>$O$116</f>
        <v>1</v>
      </c>
      <c r="P124" s="44">
        <v>6</v>
      </c>
      <c r="Q124" s="37"/>
      <c r="R124" s="37">
        <v>2</v>
      </c>
      <c r="S124" s="38">
        <v>1</v>
      </c>
      <c r="T124" s="38">
        <v>1</v>
      </c>
      <c r="U124" s="38">
        <v>1</v>
      </c>
      <c r="V124" s="707">
        <v>1</v>
      </c>
      <c r="W124" s="708" t="s">
        <v>1467</v>
      </c>
      <c r="X124" s="167"/>
      <c r="Y124" s="167"/>
      <c r="Z124" s="167"/>
      <c r="AA124" s="167"/>
      <c r="AB124" s="167"/>
      <c r="AC124" s="167"/>
      <c r="AD124" s="167"/>
      <c r="AE124" s="167"/>
      <c r="AF124" s="167"/>
      <c r="AG124" s="167"/>
      <c r="AH124" s="167"/>
      <c r="AI124" s="167"/>
      <c r="AJ124" s="167"/>
      <c r="AK124" s="167"/>
      <c r="AL124" s="167"/>
      <c r="AM124" s="167"/>
      <c r="AN124" s="167"/>
      <c r="AO124" s="167"/>
      <c r="AP124" s="167"/>
      <c r="AQ124" s="167"/>
      <c r="AR124" s="167"/>
      <c r="AS124" s="167"/>
      <c r="AT124" s="167"/>
      <c r="AU124" s="167"/>
      <c r="AV124" s="167"/>
      <c r="AW124" s="167"/>
      <c r="AX124" s="167"/>
      <c r="AY124" s="709"/>
      <c r="AZ124" s="709">
        <f>AZ122</f>
        <v>30</v>
      </c>
      <c r="BA124" s="709">
        <f>IF(F124=3,((AZ124*1000)/(1.73*BV124*DA124)),IF(AND(F124=2,G124=3),((AZ124*1000)/(2*(BV124/1.73)*DA124)),((AZ124*1000)/(BV124*DA124))))</f>
        <v>98.528638991066728</v>
      </c>
      <c r="BB124" s="710">
        <f t="shared" ref="BB124:BP124" si="159">BB122</f>
        <v>0</v>
      </c>
      <c r="BC124" s="711">
        <f t="shared" si="159"/>
        <v>0</v>
      </c>
      <c r="BD124" s="711">
        <f t="shared" si="159"/>
        <v>0</v>
      </c>
      <c r="BE124" s="711">
        <f t="shared" si="159"/>
        <v>0</v>
      </c>
      <c r="BF124" s="711">
        <f t="shared" si="159"/>
        <v>0</v>
      </c>
      <c r="BG124" s="711">
        <f t="shared" si="159"/>
        <v>0</v>
      </c>
      <c r="BH124" s="711">
        <f t="shared" si="159"/>
        <v>0</v>
      </c>
      <c r="BI124" s="711">
        <f t="shared" si="159"/>
        <v>0</v>
      </c>
      <c r="BJ124" s="711">
        <f t="shared" si="159"/>
        <v>0</v>
      </c>
      <c r="BK124" s="711">
        <f t="shared" si="159"/>
        <v>0</v>
      </c>
      <c r="BL124" s="711">
        <f t="shared" si="159"/>
        <v>0</v>
      </c>
      <c r="BM124" s="711">
        <f t="shared" si="159"/>
        <v>0</v>
      </c>
      <c r="BN124" s="711">
        <f t="shared" si="159"/>
        <v>0</v>
      </c>
      <c r="BO124" s="711">
        <f t="shared" si="159"/>
        <v>0</v>
      </c>
      <c r="BP124" s="711">
        <f t="shared" si="159"/>
        <v>0</v>
      </c>
      <c r="BQ124" s="169">
        <f>BQ122</f>
        <v>0</v>
      </c>
      <c r="BR124" s="170">
        <f>BR116</f>
        <v>0</v>
      </c>
      <c r="BS124" s="170">
        <f>BS122</f>
        <v>0</v>
      </c>
      <c r="BT124" s="48">
        <f>BT116</f>
        <v>0</v>
      </c>
      <c r="BU124" s="48" t="str">
        <f>IF(CW124="","",CW124)</f>
        <v/>
      </c>
      <c r="BV124" s="714">
        <f>IF(F124=1,$H$9,$F$9)</f>
        <v>220</v>
      </c>
      <c r="BW124" s="855" t="str">
        <f>IF(CX124="","",CX124)</f>
        <v/>
      </c>
      <c r="BX124" s="957" t="str">
        <f>IFERROR(IF(DN124="","",DN124), "REVISAR")</f>
        <v>REVISAR</v>
      </c>
      <c r="BY124" s="848" t="str" cm="1">
        <f t="array" ref="BY124">[1]!ACAELE_CAPACIDADCABLE(BB124,H124,I124,M124,BX124,N124)</f>
        <v/>
      </c>
      <c r="BZ124" s="848" t="str">
        <f>IF(OR(BB124=0,H124="RE"),"",(DS124/BV124)*100)</f>
        <v/>
      </c>
      <c r="CA124" s="849" t="str" cm="1">
        <f t="array" ref="CA124">[1]!ACAELE_cabledetierra(BZ124,$M$9,I124,BW124,BX124,G124)</f>
        <v/>
      </c>
      <c r="CB124" s="849" t="str" cm="1">
        <f t="array" ref="CB124">[1]!ACAELE_TAMATUBERIA(BZ124,DU124,I123,M124,I124)</f>
        <v/>
      </c>
      <c r="CC124" s="852" t="str">
        <f>IF(DV124="","",DV124)</f>
        <v/>
      </c>
      <c r="CD124" s="851"/>
      <c r="CE124" s="851" t="str">
        <f>IF(OR(BB124=0,Q124=""),"",(EA124/BV124)*100)</f>
        <v/>
      </c>
      <c r="CF124" s="852"/>
      <c r="CG124" s="852"/>
      <c r="CH124" s="509" t="str">
        <f>IF(AND(CE124="",BZ124=""),"",IF(CE124="",0,CE124)+IF(BZ124="",0,BZ124))</f>
        <v/>
      </c>
      <c r="CI124" s="516">
        <f>CI122</f>
        <v>0</v>
      </c>
      <c r="CJ124" s="514">
        <f>CJ122</f>
        <v>0</v>
      </c>
      <c r="CK124" s="515">
        <f>CK122</f>
        <v>0</v>
      </c>
      <c r="CL124" s="949"/>
      <c r="CM124" s="949"/>
      <c r="CN124" s="949"/>
      <c r="CO124" s="910"/>
      <c r="CP124" s="950"/>
      <c r="CQ124" s="950"/>
      <c r="CR124" s="951" t="str">
        <f t="shared" si="153"/>
        <v>N/C</v>
      </c>
      <c r="CS124" s="952">
        <f>IF(BU124&gt;100,VLOOKUP($F$13,FCTEMP,3),VLOOKUP($F$13,FCTEMP,2))</f>
        <v>1</v>
      </c>
      <c r="CT124" s="953">
        <f>IF(H124="RE","",IF(M124=1,VLOOKUP(J124,FCATUBO,2),IF(M124=6,VLOOKUP(J124,FCADUCTO,2),1)))</f>
        <v>0.8</v>
      </c>
      <c r="CU124" s="914"/>
      <c r="CV124" s="915"/>
      <c r="CW124" s="916" t="str">
        <f>IF(BB124=0,"",IF(F124=3,((BT124*1000)/(1.73*BV124*DA124)),IF(AND(F124=2,G124=3),((BT124*1000)/(2*(BV124/1.73)*DA124)),((BT124*1000)/(BV124*DA124)))))</f>
        <v/>
      </c>
      <c r="CX124" s="917" t="str" cm="1">
        <f t="array" ref="CX124">[1]!ACAELE_Disparocalculado(BB124,H124,DL124,$N$21,$M$21,$O$21,BV124,$P$5)</f>
        <v/>
      </c>
      <c r="CY124" s="918" t="e">
        <f>IF(CR124="C",(BU124)/(CS124*CT124),BU124/(CS124*CT124))</f>
        <v>#VALUE!</v>
      </c>
      <c r="CZ124" s="919" t="str">
        <f>IF(OR(BB124=0,Q124=""),"",IF(CR124="C",(BU124)/(CS124*CU124),BU124/(CS124*CU124)))</f>
        <v/>
      </c>
      <c r="DA124" s="951">
        <v>0.8</v>
      </c>
      <c r="DB124" s="954">
        <f>SIN(ACOS(DA124))</f>
        <v>0.59999999999999987</v>
      </c>
      <c r="DC124" s="922" t="str" cm="1">
        <f t="array" ref="DC124">[1]!ACAELE_CONDPORTCORRIENTE(H124,BB124,I124,M124,CY124,CZ124,N124,$P$5)</f>
        <v/>
      </c>
      <c r="DD124" s="923" t="str" cm="1">
        <f t="array" ref="DD124">[1]!ACAELE_CAPACONDCORRIENTE(BB124,H124,I124,M124,CY124,CZ124,$P$5)</f>
        <v/>
      </c>
      <c r="DE124" s="923" t="str" cm="1">
        <f t="array" ref="DE124">[1]!ACAELE_CAPACIDADCABLE(BB124,H124,I124,M124,DC124,N124,$P$5)</f>
        <v/>
      </c>
      <c r="DF124" s="924" t="str" cm="1">
        <f t="array" ref="DF124">[1]!ACAELE_encontrarcaidaequipo(BB124,H124,L124,BV124,F124,BA124,N124,K124)</f>
        <v/>
      </c>
      <c r="DG124" s="925" t="str" cm="1">
        <f t="array" ref="DG124">[1]!ACAELE_Cablecaida(BB124,H124,M124,I124,DF124)</f>
        <v/>
      </c>
      <c r="DH124" s="918" t="str" cm="1">
        <f t="array" ref="DH124">[1]!ACAELE_CAPACIDADCABLE(BB124,H124,I124,M124,DG124,N124,$P$5)</f>
        <v/>
      </c>
      <c r="DI124" s="926" t="str">
        <f>IF(OR(BB124=0,Q124=""),"",((10*R124*BV124)/((IF(F124&gt;2,1.73,2)*(BU124/T124)*Q124))))</f>
        <v/>
      </c>
      <c r="DJ124" s="914"/>
      <c r="DK124" s="919" t="str" cm="1">
        <f t="array" ref="DK124">[1]!ACAELE_CAPACIDADCABLE(BB124,H124,I124,M124,DJ124,N124)</f>
        <v/>
      </c>
      <c r="DL124" s="955" t="str">
        <f>(IF(BB124=0,"",BA124*($G$18/100)))</f>
        <v/>
      </c>
      <c r="DM124" s="955" cm="1">
        <f t="array" ref="DM124">[1]!acaele_ProtCalculada(CX124,H124,BT124,BW124,$G$21,$F$21,$H$21,$P$5)</f>
        <v>0</v>
      </c>
      <c r="DN124" s="913" t="e" cm="1">
        <f t="array" ref="DN124">[1]!ACAELE_CableCalTab(BB124,H124,I124,M124,EF124,N124,BV124,DL124)</f>
        <v>#VALUE!</v>
      </c>
      <c r="DO124" s="956" t="str" cm="1">
        <f t="array" ref="DO124">[1]!ACAELE_RESISTENCIA(BB124,H124,M124,I124,BX124, CW124,$P$5)</f>
        <v/>
      </c>
      <c r="DP124" s="931" t="str" cm="1">
        <f t="array" ref="DP124">[1]!ACAELE_REACTANCIA(BB124,H124,$F$11,M124,I124,BX124,$P$5)</f>
        <v/>
      </c>
      <c r="DQ124" s="918" t="str" cm="1">
        <f t="array" ref="DQ124">[1]!ACAELE_DIAMECAISLA(BB124,H124,I124,BX124,$P$5)</f>
        <v/>
      </c>
      <c r="DR124" s="918" t="str" cm="1">
        <f t="array" ref="DR124">[1]!ACAELE_AREACAISLAMIENTO(BB124,H124,DQ124,$P$5)</f>
        <v/>
      </c>
      <c r="DS124" s="918" t="str" cm="1">
        <f t="array" ref="DS124">[1]!ACAELE_CAIDAVOLTSFINAL(BB124,H124,F124,K124,BU124,N124,DO124,DA124,DP124,DB124,$P$5)</f>
        <v/>
      </c>
      <c r="DT124" s="918" t="str" cm="1">
        <f t="array" ref="DT124">[1]!ACAELE_AREACONDPTE(BB124,H124,CA124,$P$5)</f>
        <v/>
      </c>
      <c r="DU124" s="918" t="str" cm="1">
        <f t="array" ref="DU124">[1]!ACAELE_AREATOTAL(BZ124,M124,EO124,N124,DQ124,G124,DR124,DT124,N$20,$P$5)</f>
        <v/>
      </c>
      <c r="DV124" s="926"/>
      <c r="DW124" s="926"/>
      <c r="DX124" s="926"/>
      <c r="DY124" s="935"/>
      <c r="DZ124" s="935" t="str">
        <f>IF(OR(BB124=0,Q124=""),"",3.1416*(DY124/2)*(DY124/2))</f>
        <v/>
      </c>
      <c r="EA124" s="935" t="str">
        <f>IF(OR(BB124=0,Q124=""),"",IF(F124&gt;2,1.73,2)*Q124*(BU124/T124)*(((DW124*DA124)+(DX124*DB124))/1000))</f>
        <v/>
      </c>
      <c r="EB124" s="919"/>
      <c r="EC124" s="935"/>
      <c r="ED124" s="675" t="str">
        <f>IF(OR(BB124=0,H124="RE"),"",VLOOKUP(BX124,nomenclaturacables,2,0))</f>
        <v/>
      </c>
      <c r="EE124" s="670"/>
      <c r="EF124" s="671" t="str">
        <f>IF(BB124=0,"",MAX(DM124/N124,BW124/N124,IF(DE124="",0,DE124/N124),DH124/N124))</f>
        <v/>
      </c>
      <c r="EG124" s="672">
        <f>MAX(DM124,IF(DE124="",0,DE124/N124),DK124)</f>
        <v>0</v>
      </c>
      <c r="EH124" s="673"/>
      <c r="EI124" s="958">
        <f t="shared" si="155"/>
        <v>30</v>
      </c>
      <c r="EJ124" s="959"/>
      <c r="EK124" s="959"/>
      <c r="EL124" s="959"/>
      <c r="EM124" s="959"/>
      <c r="EN124" s="960"/>
      <c r="EO124" s="550" t="str">
        <f>IF(BZ124="","",(G124*N124*DR124)/O124+DT124)</f>
        <v/>
      </c>
      <c r="EP124" s="431" t="s">
        <v>1476</v>
      </c>
      <c r="ER124" s="49"/>
      <c r="ET124" s="1" t="str">
        <f>IF($M$18="PE",IF($M$18="PE",IF(BW124="","",F124&amp;"P-"&amp;BW124&amp;" A"),""),"")</f>
        <v/>
      </c>
      <c r="EU124" s="1" t="str">
        <f>IF($M$18="PE",IF(BW124="","",G124*N124&amp;"-"&amp;BX124&amp;", "&amp;O124&amp;"-"&amp;CA124&amp;"T, "&amp;O124&amp;CB124),"")</f>
        <v/>
      </c>
      <c r="EV124" s="1" t="str">
        <f>IF($M$18="PE",IF(BW124="","",K124),"")</f>
        <v/>
      </c>
      <c r="EW124" s="3" t="str">
        <f>IF($M$18="PE",IF(BW124="","",G124*N124),"")</f>
        <v/>
      </c>
      <c r="EX124" s="3" t="str">
        <f>IF($M$18="PE",IF(BW124="","",BX124),"")</f>
        <v/>
      </c>
      <c r="EY124" s="3" t="str">
        <f>IF($M$18="PE",IF(BW124="","",O124),"")</f>
        <v/>
      </c>
      <c r="EZ124" s="3" t="str">
        <f>IF($M$18="PE",IF(BW124="","",CA124),"")</f>
        <v/>
      </c>
      <c r="FA124" s="3" t="str">
        <f>IF($M$18="PE",IF(BW124="","",O124),"")</f>
        <v/>
      </c>
      <c r="FB124" s="3" t="str">
        <f>IF($M$18="PE",IF(BW124="","",CB124),"")</f>
        <v/>
      </c>
      <c r="FC124" s="3">
        <f t="shared" si="150"/>
        <v>0</v>
      </c>
      <c r="FD124" s="732"/>
      <c r="FE124" s="732"/>
      <c r="FF124" s="733"/>
      <c r="FG124" s="732"/>
      <c r="FH124" s="733"/>
      <c r="FI124" s="732"/>
      <c r="FJ124" s="733"/>
      <c r="FM124" s="3" t="str">
        <f>FM116</f>
        <v>**REVISAR TABLERO**</v>
      </c>
      <c r="FX124" s="146">
        <f t="shared" si="157"/>
        <v>1</v>
      </c>
      <c r="FZ124" s="740" t="s">
        <v>2008</v>
      </c>
      <c r="GA124" s="736" t="str">
        <f>IF(TABLERO!$M$18=" ",FIXED(IF(TABLERO!$F$17&lt;&gt;"KVA",TABLERO!BB124*1000,TABLERO!BB124*1000/TABLERO!DA124),2)&amp;"+"&amp;FIXED(IF(TABLERO!$F$17&lt;&gt;"KVA",TABLERO!BT124*1000,TABLERO!BT124*1000/TABLERO!DA124),2)&amp;"+"&amp;IF(OR(TABLERO!BU124="",TABLERO!BU124=0),"",FIXED(TABLERO!BU124,2))&amp;"+"&amp;TABLERO!F124&amp;"+"&amp;TABLERO!G124&amp;"+"&amp;TABLERO!BV124&amp;"+"&amp;TABLERO!K124&amp;"+"&amp;TABLERO!J124&amp;"+"&amp;TABLERO!CT124&amp;"+"&amp;TABLERO!CS124&amp;"+"&amp;FIXED(TABLERO!CY124,2)&amp;"+"&amp;TABLERO!N124&amp;"+"&amp;IF(TABLERO!BB124=0,"",TABLERO!BX124&amp;" "&amp;TABLERO!ED124&amp;", "&amp;TABLERO!I124)&amp;"+"&amp;FIXED(TABLERO!BZ124,2)&amp;"+"&amp;TABLERO!CA124&amp;"+"&amp;TABLERO!CB124&amp;"+"&amp;FIXED(TABLERO!DL124,2)&amp;"+"&amp;TABLERO!F124&amp;"P-"&amp;TABLERO!BW124&amp;"A"&amp;"+"&amp;IF(TABLERO!CI124="-","     -     ",FIXED(IF(TABLERO!$F$17&lt;&gt;"KVA",TABLERO!CI124,TABLERO!CI124/TABLERO!$F$14),2))&amp;"+"&amp;IF(TABLERO!CJ124="-","     -     ",FIXED(IF(TABLERO!$F$17&lt;&gt;"KVA",TABLERO!CJ124,TABLERO!CJ124/TABLERO!$F$14),2))&amp;"+"&amp;IF(TABLERO!CK124="-","     -     ",FIXED(IF(TABLERO!$F$17&lt;&gt;"KVA",TABLERO!CK124,TABLERO!CK124/TABLERO!$F$14),2))&amp;"++++++++++"&amp;A124,"++++++++++++++++++++++++++++++")</f>
        <v>++++++++++++++++++++++++++++++</v>
      </c>
      <c r="GB124" s="49" t="str">
        <f>CUADROACAD!CU124</f>
        <v>+++++++++++++++++++++++++++++</v>
      </c>
      <c r="GM124" s="1" t="str">
        <f>J124*N124&amp;"-"&amp;BX124&amp; " "&amp;ED124&amp;" ("&amp;N124&amp;"xF-"&amp;N124&amp;"N), "&amp;O124&amp;"-"&amp;CA124&amp;"T "&amp;"AWG, "&amp;O124&amp;CB124</f>
        <v>4-REVISAR  (1xF-1N), 1-T AWG, 1</v>
      </c>
    </row>
    <row r="125" spans="1:198" ht="13.8" thickBot="1">
      <c r="B125" s="3"/>
      <c r="C125" s="3"/>
      <c r="D125" s="3"/>
      <c r="E125" s="3"/>
      <c r="F125" s="102"/>
      <c r="G125" s="102"/>
      <c r="H125" s="148" t="s">
        <v>1469</v>
      </c>
      <c r="I125" s="148" t="str">
        <f>DATOS!$F$23</f>
        <v>NOM</v>
      </c>
      <c r="J125" s="444"/>
      <c r="K125" s="445"/>
      <c r="L125" s="445"/>
      <c r="M125" s="446"/>
      <c r="N125" s="446"/>
      <c r="O125" s="446"/>
      <c r="P125" s="104"/>
      <c r="Q125" s="105"/>
      <c r="R125" s="105"/>
      <c r="S125" s="106"/>
      <c r="T125" s="106"/>
      <c r="U125" s="106"/>
      <c r="V125" s="107"/>
      <c r="W125" s="102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136"/>
      <c r="AZ125" s="136"/>
      <c r="BA125" s="136"/>
      <c r="BB125" s="550"/>
      <c r="BC125" s="550"/>
      <c r="BD125" s="550"/>
      <c r="BE125" s="550"/>
      <c r="BF125" s="550"/>
      <c r="BG125" s="550"/>
      <c r="BH125" s="550"/>
      <c r="BI125" s="550"/>
      <c r="BJ125" s="550"/>
      <c r="BK125" s="550"/>
      <c r="BL125" s="550"/>
      <c r="BM125" s="550"/>
      <c r="BN125" s="550"/>
      <c r="BO125" s="550"/>
      <c r="BP125" s="550"/>
      <c r="BQ125" s="47"/>
      <c r="BR125" s="47"/>
      <c r="BS125" s="47"/>
      <c r="BT125" s="550"/>
      <c r="BU125" s="550"/>
      <c r="BV125" s="108"/>
      <c r="BW125" s="856"/>
      <c r="BX125" s="730"/>
      <c r="BY125" s="854"/>
      <c r="BZ125" s="854"/>
      <c r="CA125" s="730"/>
      <c r="CB125" s="146"/>
      <c r="CC125" s="730"/>
      <c r="CD125" s="857"/>
      <c r="CE125" s="857"/>
      <c r="CF125" s="730"/>
      <c r="CG125" s="730"/>
      <c r="CH125" s="421"/>
      <c r="CI125" s="424"/>
      <c r="CJ125" s="427"/>
      <c r="CK125" s="430"/>
      <c r="CL125" s="602"/>
      <c r="CM125" s="602"/>
      <c r="CN125" s="602"/>
      <c r="CO125" s="108"/>
      <c r="CP125" s="108"/>
      <c r="CQ125" s="108"/>
      <c r="CR125" s="690" t="str">
        <f t="shared" si="153"/>
        <v>N/C</v>
      </c>
      <c r="CS125" s="690"/>
      <c r="CT125" s="691"/>
      <c r="CU125" s="692"/>
      <c r="CV125" s="693"/>
      <c r="CW125" s="694"/>
      <c r="CX125" s="695"/>
      <c r="CY125" s="696"/>
      <c r="CZ125" s="697"/>
      <c r="DA125" s="690"/>
      <c r="DB125" s="698"/>
      <c r="DC125" s="699"/>
      <c r="DD125" s="700"/>
      <c r="DE125" s="700"/>
      <c r="DF125" s="701"/>
      <c r="DG125" s="702"/>
      <c r="DH125" s="696"/>
      <c r="DI125" s="703"/>
      <c r="DJ125" s="692"/>
      <c r="DK125" s="697"/>
      <c r="DL125" s="704"/>
      <c r="DM125" s="704"/>
      <c r="DN125" s="691"/>
      <c r="DO125" s="705"/>
      <c r="DP125" s="705"/>
      <c r="DQ125" s="696"/>
      <c r="DR125" s="696"/>
      <c r="DS125" s="696"/>
      <c r="DT125" s="696"/>
      <c r="DU125" s="696"/>
      <c r="DV125" s="703"/>
      <c r="DW125" s="703"/>
      <c r="DX125" s="703"/>
      <c r="DY125" s="697"/>
      <c r="DZ125" s="697"/>
      <c r="EA125" s="697"/>
      <c r="EB125" s="697"/>
      <c r="EC125" s="697"/>
      <c r="ED125" s="108"/>
      <c r="EE125" s="108"/>
      <c r="EF125" s="550"/>
      <c r="EG125" s="550"/>
      <c r="EI125" s="550"/>
      <c r="EO125" s="550"/>
      <c r="EP125" s="433"/>
      <c r="EW125" s="3"/>
      <c r="EX125" s="3"/>
      <c r="EY125" s="3"/>
      <c r="EZ125" s="3"/>
      <c r="FA125" s="3"/>
      <c r="FB125" s="3"/>
      <c r="FC125" s="3">
        <f t="shared" si="150"/>
        <v>0</v>
      </c>
      <c r="FD125" s="732"/>
      <c r="FE125" s="732"/>
      <c r="FF125" s="733"/>
      <c r="FG125" s="732"/>
      <c r="FH125" s="733"/>
      <c r="FI125" s="732"/>
      <c r="FJ125" s="733"/>
      <c r="FX125" s="146">
        <f t="shared" si="157"/>
        <v>1</v>
      </c>
      <c r="FZ125" s="740" t="s">
        <v>1813</v>
      </c>
      <c r="GA125" s="318" t="s">
        <v>1813</v>
      </c>
      <c r="GB125" s="49" t="str">
        <f>CUADROACAD!CU125</f>
        <v>+++++++++++++++++++++++++++++</v>
      </c>
    </row>
    <row r="126" spans="1:198" ht="13.8" thickBot="1">
      <c r="B126" s="971" t="s">
        <v>1477</v>
      </c>
      <c r="C126" s="972"/>
      <c r="D126" s="973"/>
      <c r="E126" s="22" t="str">
        <f>$M$18</f>
        <v>TB</v>
      </c>
      <c r="F126" s="34">
        <f>$F$10</f>
        <v>3</v>
      </c>
      <c r="G126" s="34">
        <f>$H$10</f>
        <v>4</v>
      </c>
      <c r="H126" s="34" t="str">
        <f>$M$18</f>
        <v>TB</v>
      </c>
      <c r="I126" s="34" t="str">
        <f>I116</f>
        <v>CU</v>
      </c>
      <c r="J126" s="442">
        <f>G126</f>
        <v>4</v>
      </c>
      <c r="K126" s="439">
        <v>35</v>
      </c>
      <c r="L126" s="439">
        <f>5-$CH$26</f>
        <v>5</v>
      </c>
      <c r="M126" s="440">
        <f>$M$116</f>
        <v>1</v>
      </c>
      <c r="N126" s="440">
        <f>$N$116</f>
        <v>1</v>
      </c>
      <c r="O126" s="440">
        <f>$O$116</f>
        <v>1</v>
      </c>
      <c r="P126" s="44">
        <v>6</v>
      </c>
      <c r="Q126" s="37"/>
      <c r="R126" s="37">
        <v>2</v>
      </c>
      <c r="S126" s="38">
        <v>1</v>
      </c>
      <c r="T126" s="38">
        <v>1</v>
      </c>
      <c r="U126" s="38">
        <v>1</v>
      </c>
      <c r="V126" s="707">
        <v>1</v>
      </c>
      <c r="W126" s="708" t="s">
        <v>1467</v>
      </c>
      <c r="X126" s="167"/>
      <c r="Y126" s="167"/>
      <c r="Z126" s="167"/>
      <c r="AA126" s="167"/>
      <c r="AB126" s="167"/>
      <c r="AC126" s="167"/>
      <c r="AD126" s="167"/>
      <c r="AE126" s="167"/>
      <c r="AF126" s="167"/>
      <c r="AG126" s="167"/>
      <c r="AH126" s="167"/>
      <c r="AI126" s="167"/>
      <c r="AJ126" s="167"/>
      <c r="AK126" s="167"/>
      <c r="AL126" s="167"/>
      <c r="AM126" s="167"/>
      <c r="AN126" s="167"/>
      <c r="AO126" s="167"/>
      <c r="AP126" s="167"/>
      <c r="AQ126" s="167"/>
      <c r="AR126" s="167"/>
      <c r="AS126" s="167"/>
      <c r="AT126" s="167"/>
      <c r="AU126" s="167"/>
      <c r="AV126" s="167"/>
      <c r="AW126" s="167"/>
      <c r="AX126" s="167"/>
      <c r="AY126" s="168">
        <f>VLOOKUP(CY$141*BV126*(IF(F126=3,1.73,IF(AND(F126=2,G126=3),(2/1.73),1)))/1000,' '!$A$791:$B$823,2)*DA126/0.9</f>
        <v>3</v>
      </c>
      <c r="AZ126" s="709">
        <f>AY126*0.9</f>
        <v>2.7</v>
      </c>
      <c r="BA126" s="709">
        <f>IF(F126=3,((AZ126*1000)/(1.73*BV126*DA126)),IF(AND(F126=2,G126=3),((AZ126*1000)/(2*(BV126/1.73)*DA126)),((AZ126*1000)/(BV126*DA126))))</f>
        <v>7.8822911192853384</v>
      </c>
      <c r="BB126" s="710">
        <f>BB116</f>
        <v>0</v>
      </c>
      <c r="BC126" s="711">
        <f t="shared" ref="BC126:BP126" si="160">BC124</f>
        <v>0</v>
      </c>
      <c r="BD126" s="711">
        <f t="shared" si="160"/>
        <v>0</v>
      </c>
      <c r="BE126" s="711">
        <f t="shared" si="160"/>
        <v>0</v>
      </c>
      <c r="BF126" s="711">
        <f t="shared" si="160"/>
        <v>0</v>
      </c>
      <c r="BG126" s="711">
        <f t="shared" si="160"/>
        <v>0</v>
      </c>
      <c r="BH126" s="711">
        <f t="shared" si="160"/>
        <v>0</v>
      </c>
      <c r="BI126" s="711">
        <f t="shared" si="160"/>
        <v>0</v>
      </c>
      <c r="BJ126" s="711">
        <f t="shared" si="160"/>
        <v>0</v>
      </c>
      <c r="BK126" s="711">
        <f t="shared" si="160"/>
        <v>0</v>
      </c>
      <c r="BL126" s="711">
        <f t="shared" si="160"/>
        <v>0</v>
      </c>
      <c r="BM126" s="711">
        <f t="shared" si="160"/>
        <v>0</v>
      </c>
      <c r="BN126" s="711">
        <f t="shared" si="160"/>
        <v>0</v>
      </c>
      <c r="BO126" s="711">
        <f t="shared" si="160"/>
        <v>0</v>
      </c>
      <c r="BP126" s="711">
        <f t="shared" si="160"/>
        <v>0</v>
      </c>
      <c r="BQ126" s="169">
        <f>BQ124</f>
        <v>0</v>
      </c>
      <c r="BR126" s="170">
        <f>BR124</f>
        <v>0</v>
      </c>
      <c r="BS126" s="170">
        <f>BS124</f>
        <v>0</v>
      </c>
      <c r="BT126" s="48">
        <f>BT116</f>
        <v>0</v>
      </c>
      <c r="BU126" s="48" t="str">
        <f>IF(CW126="","",CW126)</f>
        <v/>
      </c>
      <c r="BV126" s="171">
        <f>IF(F126=1,$H$9,$F$9)</f>
        <v>220</v>
      </c>
      <c r="BW126" s="855" t="str">
        <f>IF(CX126="","",CX126)</f>
        <v/>
      </c>
      <c r="BX126" s="957" t="str">
        <f>IFERROR(IF(DN126="","",DN126), "REVISAR")</f>
        <v>REVISAR</v>
      </c>
      <c r="BY126" s="848" t="str" cm="1">
        <f t="array" ref="BY126">[1]!ACAELE_CAPACIDADCABLE(BB126,H126,I126,M126,BX126,N126)</f>
        <v/>
      </c>
      <c r="BZ126" s="848" t="str">
        <f>IF(OR(BB126=0,H126="RE"),"",(DS126/BV126)*100)</f>
        <v/>
      </c>
      <c r="CA126" s="849" t="str" cm="1">
        <f t="array" ref="CA126">[1]!ACAELE_cabledetierra(BZ126,$M$9,I126,BW126,BX126,G126)</f>
        <v/>
      </c>
      <c r="CB126" s="849" t="str" cm="1">
        <f t="array" ref="CB126">[1]!ACAELE_TAMATUBERIA(BZ126,DU126,I125,M126,I126)</f>
        <v/>
      </c>
      <c r="CC126" s="852" t="str">
        <f>IF(DV126="","",DV126)</f>
        <v/>
      </c>
      <c r="CD126" s="851"/>
      <c r="CE126" s="851" t="str">
        <f>IF(OR(BB126=0,Q126=""),"",(EA126/BV126)*100)</f>
        <v/>
      </c>
      <c r="CF126" s="852"/>
      <c r="CG126" s="852"/>
      <c r="CH126" s="509" t="str">
        <f>IF(AND(CE126="",BZ126=""),"",IF(CE126="",0,CE126)+IF(BZ126="",0,BZ126))</f>
        <v/>
      </c>
      <c r="CI126" s="516">
        <f>CI124</f>
        <v>0</v>
      </c>
      <c r="CJ126" s="514">
        <f>CJ124</f>
        <v>0</v>
      </c>
      <c r="CK126" s="515">
        <f>CK124</f>
        <v>0</v>
      </c>
      <c r="CL126" s="949"/>
      <c r="CM126" s="949"/>
      <c r="CN126" s="949"/>
      <c r="CO126" s="910"/>
      <c r="CP126" s="950"/>
      <c r="CQ126" s="950"/>
      <c r="CR126" s="951" t="str">
        <f t="shared" si="153"/>
        <v>N/C</v>
      </c>
      <c r="CS126" s="952">
        <f>IF(BU126&gt;100,VLOOKUP($F$13,FCTEMP,3),VLOOKUP($F$13,FCTEMP,2))</f>
        <v>1</v>
      </c>
      <c r="CT126" s="953">
        <f>IF(H126="RE","",IF(M126=1,VLOOKUP(J126,FCATUBO,2),IF(M126=6,VLOOKUP(J126,FCADUCTO,2),1)))</f>
        <v>0.8</v>
      </c>
      <c r="CU126" s="914"/>
      <c r="CV126" s="915"/>
      <c r="CW126" s="916" t="str">
        <f>IF(BB126=0,"",IF(F126=3,((BT126*1000)/(1.73*BV126*DA126)),IF(AND(F126=2,G126=3),((BT126*1000)/(2*(BV126/1.73)*DA126)),((BT126*1000)/(BV126*DA126)))))</f>
        <v/>
      </c>
      <c r="CX126" s="917" t="str" cm="1">
        <f t="array" ref="CX126">[1]!ACAELE_Disparocalculado(BB126,H126,DL126,$N$21,$M$21,$O$21,BV126,$P$5)</f>
        <v/>
      </c>
      <c r="CY126" s="918" t="e">
        <f>IF(CR126="C",(BU126)/(CS126*CT126),BU126/(CS126*CT126))</f>
        <v>#VALUE!</v>
      </c>
      <c r="CZ126" s="919" t="str">
        <f>IF(OR(BB126=0,Q126=""),"",IF(CR126="C",(BU126)/(CS126*CU126),BU126/(CS126*CU126)))</f>
        <v/>
      </c>
      <c r="DA126" s="951">
        <f>$F$14</f>
        <v>0.9</v>
      </c>
      <c r="DB126" s="954">
        <f>SIN(ACOS(DA126))</f>
        <v>0.43588989435406728</v>
      </c>
      <c r="DC126" s="922" t="str" cm="1">
        <f t="array" ref="DC126">[1]!ACAELE_CONDPORTCORRIENTE(H126,BB126,I126,M126,CY126,CZ126,N126,$P$5)</f>
        <v/>
      </c>
      <c r="DD126" s="923" t="str" cm="1">
        <f t="array" ref="DD126">[1]!ACAELE_CAPACONDCORRIENTE(BB126,H126,I126,M126,CY126,CZ126,$P$5)</f>
        <v/>
      </c>
      <c r="DE126" s="923" t="str" cm="1">
        <f t="array" ref="DE126">[1]!ACAELE_CAPACIDADCABLE(BB126,H126,I126,M126,DC126,N126,$P$5)</f>
        <v/>
      </c>
      <c r="DF126" s="924" t="str" cm="1">
        <f t="array" ref="DF126">[1]!ACAELE_encontrarcaidaequipo(BB126,H126,L126,BV126,F126,BA126,N126,K126)</f>
        <v/>
      </c>
      <c r="DG126" s="925" t="str" cm="1">
        <f t="array" ref="DG126">[1]!ACAELE_Cablecaida(BB126,H126,M126,I126,DF126)</f>
        <v/>
      </c>
      <c r="DH126" s="918" t="str" cm="1">
        <f t="array" ref="DH126">[1]!ACAELE_CAPACIDADCABLE(BB126,H126,I126,M126,DG126,N126,$P$5)</f>
        <v/>
      </c>
      <c r="DI126" s="926" t="str">
        <f>IF(OR(BB126=0,Q126=""),"",((10*R126*BV126)/((IF(F126&gt;2,1.73,2)*(BU126/T126)*Q126))))</f>
        <v/>
      </c>
      <c r="DJ126" s="914"/>
      <c r="DK126" s="919" t="str" cm="1">
        <f t="array" ref="DK126">[1]!ACAELE_CAPACIDADCABLE(BB126,H126,I126,M126,DJ126,N126)</f>
        <v/>
      </c>
      <c r="DL126" s="955" t="str">
        <f>(IF(BB126=0,"",BA126*($G$18/100)))</f>
        <v/>
      </c>
      <c r="DM126" s="955" cm="1">
        <f t="array" ref="DM126">[1]!acaele_ProtCalculada(CX126,H126,BT126,BW126,$G$21,$F$21,$H$21,$P$5)</f>
        <v>30</v>
      </c>
      <c r="DN126" s="913" t="e" cm="1">
        <f t="array" ref="DN126">[1]!ACAELE_CableCalTab(BB126,H126,I126,M126,EF126,N126,BV126,DL126)</f>
        <v>#VALUE!</v>
      </c>
      <c r="DO126" s="956" t="str" cm="1">
        <f t="array" ref="DO126">[1]!ACAELE_RESISTENCIA(BB126,H126,M126,I126,BX126, CW126,$P$5)</f>
        <v/>
      </c>
      <c r="DP126" s="931" t="str" cm="1">
        <f t="array" ref="DP126">[1]!ACAELE_REACTANCIA(BB126,H126,$F$11,M126,I126,BX126,$P$5)</f>
        <v/>
      </c>
      <c r="DQ126" s="918" t="str" cm="1">
        <f t="array" ref="DQ126">[1]!ACAELE_DIAMECAISLA(BB126,H126,I126,BX126,$P$5)</f>
        <v/>
      </c>
      <c r="DR126" s="918" t="str" cm="1">
        <f t="array" ref="DR126">[1]!ACAELE_AREACAISLAMIENTO(BB126,H126,DQ126,$P$5)</f>
        <v/>
      </c>
      <c r="DS126" s="918" t="str" cm="1">
        <f t="array" ref="DS126">[1]!ACAELE_CAIDAVOLTSFINAL(BB126,H126,F126,K126,BU126,N126,DO126,DA126,DP126,DB126,$P$5)</f>
        <v/>
      </c>
      <c r="DT126" s="918" t="str" cm="1">
        <f t="array" ref="DT126">[1]!ACAELE_AREACONDPTE(BB126,H126,CA126,$P$5)</f>
        <v/>
      </c>
      <c r="DU126" s="918" t="str" cm="1">
        <f t="array" ref="DU126">[1]!ACAELE_AREATOTAL(BZ126,M126,EO126,N126,DQ126,G126,DR126,DT126,N$20,$P$5)</f>
        <v/>
      </c>
      <c r="DV126" s="926"/>
      <c r="DW126" s="926"/>
      <c r="DX126" s="926"/>
      <c r="DY126" s="935"/>
      <c r="DZ126" s="935" t="str">
        <f>IF(OR(BB126=0,Q126=""),"",3.1416*(DY126/2)*(DY126/2))</f>
        <v/>
      </c>
      <c r="EA126" s="935" t="str">
        <f>IF(OR(BB126=0,Q126=""),"",IF(F126&gt;2,1.73,2)*Q126*(BU126/T126)*(((DW126*DA126)+(DX126*DB126))/1000))</f>
        <v/>
      </c>
      <c r="EB126" s="919"/>
      <c r="EC126" s="935"/>
      <c r="ED126" s="675" t="str">
        <f>IF(OR(BB126=0,H126="RE"),"",VLOOKUP(BX126,nomenclaturacables,2,0))</f>
        <v/>
      </c>
      <c r="EE126" s="670"/>
      <c r="EF126" s="671" t="str">
        <f>IF(BB126=0,"",MAX(DM126/N126,BW126/N126,IF(DE126="",0,DE126/N126),DH126/N126))</f>
        <v/>
      </c>
      <c r="EG126" s="672">
        <f>MAX(DM126,IF(DE126="",0,DE126/N126),DK126)</f>
        <v>30</v>
      </c>
      <c r="EH126" s="673"/>
      <c r="EI126" s="942">
        <f>$F$13</f>
        <v>30</v>
      </c>
      <c r="EJ126" s="947"/>
      <c r="EK126" s="947"/>
      <c r="EL126" s="947"/>
      <c r="EM126" s="947"/>
      <c r="EN126" s="948"/>
      <c r="EO126" s="550" t="str">
        <f>IF(BZ126="","",(G126*N126*DR126)/O126+DT126)</f>
        <v/>
      </c>
      <c r="EP126" s="431" t="str">
        <f>IF($F$12="I",IF($E$126="UPS","DIA-AUPS","DIA-AREG"),IF($E$126="UPS","DIA-AUPS","DIA-AREG")&amp;"Z")</f>
        <v>DIA-AREG</v>
      </c>
      <c r="ET126" s="1" t="str">
        <f>IF($M$18="TR",IF(BW126="","",F126&amp;"P-"&amp;BW126&amp;" A"),"")</f>
        <v/>
      </c>
      <c r="EU126" s="1" t="str">
        <f>IF($M$18="TR",IF(BW126="","",G126*N126&amp;"-"&amp;BX126&amp;", "&amp;O126&amp;"-"&amp;CA126&amp;"T, "&amp;O126&amp;CB126),"")</f>
        <v/>
      </c>
      <c r="EV126" s="1" t="str">
        <f>IF($M$18="TR",IF($M$18="TR",IF(BW126="","",K126),""),"")</f>
        <v/>
      </c>
      <c r="EW126" s="3" t="str">
        <f>IF($M$18="TR",IF(BW126="","",G126*N126),"")</f>
        <v/>
      </c>
      <c r="EX126" s="3" t="str">
        <f>IF($M$18="TR",IF(BW126="","",BX126),"")</f>
        <v/>
      </c>
      <c r="EY126" s="3" t="str">
        <f>IF($M$18="TR",IF(BW126="","",O126),"")</f>
        <v/>
      </c>
      <c r="EZ126" s="3" t="str">
        <f>IF($M$18="TR",IF(BW126="","",CA126),"")</f>
        <v/>
      </c>
      <c r="FA126" s="3" t="str">
        <f>IF($M$18="TR",IF(BW126="","",O126),"")</f>
        <v/>
      </c>
      <c r="FB126" s="3" t="str">
        <f>IF($M$18="TR",IF(BW126="","",CB126),"")</f>
        <v/>
      </c>
      <c r="FC126" s="3">
        <f t="shared" si="150"/>
        <v>0</v>
      </c>
      <c r="FD126" s="732"/>
      <c r="FE126" s="732"/>
      <c r="FF126" s="733"/>
      <c r="FG126" s="732"/>
      <c r="FH126" s="733"/>
      <c r="FI126" s="732"/>
      <c r="FJ126" s="733"/>
      <c r="FM126" s="3" t="str">
        <f>FM116</f>
        <v>**REVISAR TABLERO**</v>
      </c>
      <c r="FX126" s="146">
        <f t="shared" si="157"/>
        <v>1</v>
      </c>
      <c r="FZ126" s="740" t="s">
        <v>2009</v>
      </c>
      <c r="GA126" s="736" t="str">
        <f>IF(OR(TABLERO!$M$18= "UPS", TABLERO!$M$18="REG"),FIXED(IF(TABLERO!$F$17&lt;&gt;"KVA",TABLERO!BB126*1000,TABLERO!BB126*1000/TABLERO!DA126),2)&amp;"+"&amp;FIXED(IF(TABLERO!$F$17&lt;&gt;"KVA",TABLERO!BT126*1000,TABLERO!BT126*1000/TABLERO!DA126),2)&amp;"+"&amp;IF(OR(TABLERO!BU126="",TABLERO!BU126=0),"",FIXED(TABLERO!BU126,2))&amp;"+"&amp;TABLERO!F126&amp;"+"&amp;TABLERO!G126&amp;"+"&amp;TABLERO!BV126&amp;"+"&amp;TABLERO!K126&amp;"+"&amp;TABLERO!J126&amp;"+"&amp;TABLERO!CT126&amp;"+"&amp;TABLERO!CS126&amp;"+"&amp;FIXED(TABLERO!CY126,2)&amp;"+"&amp;TABLERO!N126&amp;"+"&amp;IF(TABLERO!BB126=0,"",TABLERO!BX126&amp;" "&amp;TABLERO!ED126&amp;", "&amp;TABLERO!I126)&amp;"+"&amp;FIXED(TABLERO!BZ126,2)&amp;"+"&amp;TABLERO!CA126&amp;"+"&amp;TABLERO!CB126&amp;"+"&amp;FIXED(TABLERO!DL126,2)&amp;"+"&amp;TABLERO!F126&amp;"P-"&amp;TABLERO!BW126&amp;"A"&amp;"+"&amp;IF(TABLERO!CI126="-","     -     ",FIXED(IF(TABLERO!$F$17&lt;&gt;"KVA",TABLERO!CI126,TABLERO!CI126/TABLERO!$F$14),2))&amp;"+"&amp;IF(TABLERO!CJ126="-","     -     ",FIXED(IF(TABLERO!$F$17&lt;&gt;"KVA",TABLERO!CJ126,TABLERO!CJ126/TABLERO!$F$14),2))&amp;"+"&amp;IF(TABLERO!CK126="-","     -     ",FIXED(IF(TABLERO!$F$17&lt;&gt;"KVA",TABLERO!CK126,TABLERO!CK126/TABLERO!$F$14),2))&amp;"++++++++++1","++++++++++++++++++++++++++++++")</f>
        <v>++++++++++++++++++++++++++++++</v>
      </c>
      <c r="GB126" s="49" t="str">
        <f>CUADROACAD!CU126</f>
        <v>+++++++++++++++++++++++++++++</v>
      </c>
      <c r="GM126" s="1" t="str">
        <f>J126*N126&amp;"-"&amp;BX126&amp; " "&amp;ED126&amp;" ("&amp;N126&amp;"xF-"&amp;N126&amp;"N), "&amp;O126&amp;"-"&amp;CA126&amp;"T "&amp;"AWG, "&amp;O126&amp;CB126</f>
        <v>4-REVISAR  (1xF-1N), 1-T AWG, 1</v>
      </c>
    </row>
    <row r="127" spans="1:198" ht="13.8" thickBot="1">
      <c r="B127" s="3"/>
      <c r="C127" s="3"/>
      <c r="D127" s="3"/>
      <c r="E127" s="3"/>
      <c r="F127" s="102"/>
      <c r="G127" s="102"/>
      <c r="H127" s="148" t="s">
        <v>1469</v>
      </c>
      <c r="I127" s="148" t="str">
        <f>DATOS!$F$23</f>
        <v>NOM</v>
      </c>
      <c r="J127" s="444"/>
      <c r="K127" s="445"/>
      <c r="L127" s="445"/>
      <c r="M127" s="446"/>
      <c r="N127" s="446"/>
      <c r="O127" s="446"/>
      <c r="P127" s="104"/>
      <c r="Q127" s="105"/>
      <c r="R127" s="105"/>
      <c r="S127" s="106"/>
      <c r="T127" s="106"/>
      <c r="U127" s="106"/>
      <c r="V127" s="107"/>
      <c r="W127" s="102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136"/>
      <c r="AZ127" s="136"/>
      <c r="BA127" s="136"/>
      <c r="BB127" s="550"/>
      <c r="BC127" s="550"/>
      <c r="BD127" s="550"/>
      <c r="BE127" s="550"/>
      <c r="BF127" s="550"/>
      <c r="BG127" s="550"/>
      <c r="BH127" s="550"/>
      <c r="BI127" s="550"/>
      <c r="BJ127" s="550"/>
      <c r="BK127" s="550"/>
      <c r="BL127" s="550"/>
      <c r="BM127" s="550"/>
      <c r="BN127" s="550"/>
      <c r="BO127" s="550"/>
      <c r="BP127" s="550"/>
      <c r="BQ127" s="47"/>
      <c r="BR127" s="47"/>
      <c r="BS127" s="47"/>
      <c r="BT127" s="550"/>
      <c r="BU127" s="550"/>
      <c r="BV127" s="3"/>
      <c r="BW127" s="856"/>
      <c r="BX127" s="730"/>
      <c r="BY127" s="854"/>
      <c r="BZ127" s="854"/>
      <c r="CA127" s="730"/>
      <c r="CB127" s="146"/>
      <c r="CC127" s="730"/>
      <c r="CD127" s="857"/>
      <c r="CE127" s="857"/>
      <c r="CF127" s="730"/>
      <c r="CG127" s="730"/>
      <c r="CH127" s="421"/>
      <c r="CI127" s="424"/>
      <c r="CJ127" s="427"/>
      <c r="CK127" s="430"/>
      <c r="CL127" s="602"/>
      <c r="CM127" s="602"/>
      <c r="CN127" s="602"/>
      <c r="CO127" s="108"/>
      <c r="CP127" s="108"/>
      <c r="CQ127" s="108"/>
      <c r="CR127" s="690"/>
      <c r="CS127" s="690"/>
      <c r="CT127" s="691"/>
      <c r="CU127" s="692"/>
      <c r="CV127" s="693"/>
      <c r="CW127" s="694"/>
      <c r="CX127" s="695"/>
      <c r="CY127" s="696"/>
      <c r="CZ127" s="697"/>
      <c r="DA127" s="690"/>
      <c r="DB127" s="698"/>
      <c r="DC127" s="699"/>
      <c r="DD127" s="700"/>
      <c r="DE127" s="700"/>
      <c r="DF127" s="701"/>
      <c r="DG127" s="702"/>
      <c r="DH127" s="696"/>
      <c r="DI127" s="703"/>
      <c r="DJ127" s="692"/>
      <c r="DK127" s="697"/>
      <c r="DL127" s="704"/>
      <c r="DM127" s="704"/>
      <c r="DN127" s="691"/>
      <c r="DO127" s="705"/>
      <c r="DP127" s="705"/>
      <c r="DQ127" s="696"/>
      <c r="DR127" s="696"/>
      <c r="DS127" s="696"/>
      <c r="DT127" s="696"/>
      <c r="DU127" s="696"/>
      <c r="DV127" s="703"/>
      <c r="DW127" s="703"/>
      <c r="DX127" s="703"/>
      <c r="DY127" s="697"/>
      <c r="DZ127" s="697"/>
      <c r="EA127" s="697"/>
      <c r="EB127" s="697"/>
      <c r="EC127" s="697"/>
      <c r="ED127" s="108"/>
      <c r="EE127" s="108"/>
      <c r="EF127" s="550"/>
      <c r="EG127" s="550"/>
      <c r="EI127" s="550"/>
      <c r="EO127" s="550"/>
      <c r="EP127" s="433"/>
      <c r="EW127" s="3"/>
      <c r="EX127" s="3"/>
      <c r="EY127" s="3"/>
      <c r="EZ127" s="3"/>
      <c r="FA127" s="3"/>
      <c r="FB127" s="3"/>
      <c r="FC127" s="3">
        <f t="shared" si="150"/>
        <v>0</v>
      </c>
      <c r="FD127" s="732"/>
      <c r="FE127" s="732"/>
      <c r="FF127" s="733"/>
      <c r="FG127" s="732"/>
      <c r="FH127" s="733"/>
      <c r="FI127" s="732"/>
      <c r="FJ127" s="733"/>
      <c r="FX127" s="146">
        <f t="shared" si="157"/>
        <v>1</v>
      </c>
      <c r="FZ127" s="740" t="s">
        <v>1813</v>
      </c>
      <c r="GA127" s="318" t="s">
        <v>1813</v>
      </c>
      <c r="GB127" s="49" t="str">
        <f>CUADROACAD!CU127</f>
        <v>+++++++++++++++++++++++++++++</v>
      </c>
    </row>
    <row r="128" spans="1:198" ht="13.8" thickBot="1">
      <c r="B128" s="971" t="s">
        <v>1478</v>
      </c>
      <c r="C128" s="972"/>
      <c r="D128" s="973"/>
      <c r="E128" s="22" t="str">
        <f>$M$18</f>
        <v>TB</v>
      </c>
      <c r="F128" s="34">
        <f>$F$10</f>
        <v>3</v>
      </c>
      <c r="G128" s="34">
        <f>$H$10</f>
        <v>4</v>
      </c>
      <c r="H128" s="34" t="str">
        <f>$M$18</f>
        <v>TB</v>
      </c>
      <c r="I128" s="731" t="str">
        <f>$F$16</f>
        <v>CU</v>
      </c>
      <c r="J128" s="442">
        <f>G128</f>
        <v>4</v>
      </c>
      <c r="K128" s="439">
        <v>30</v>
      </c>
      <c r="L128" s="439">
        <f>5-$CH$26</f>
        <v>5</v>
      </c>
      <c r="M128" s="440">
        <f>$M$116</f>
        <v>1</v>
      </c>
      <c r="N128" s="440">
        <f>$N$116</f>
        <v>1</v>
      </c>
      <c r="O128" s="440">
        <f>$O$116</f>
        <v>1</v>
      </c>
      <c r="P128" s="44">
        <v>6</v>
      </c>
      <c r="Q128" s="37"/>
      <c r="R128" s="37">
        <v>2</v>
      </c>
      <c r="S128" s="38">
        <v>1</v>
      </c>
      <c r="T128" s="38">
        <v>1</v>
      </c>
      <c r="U128" s="38">
        <v>1</v>
      </c>
      <c r="V128" s="707">
        <v>1</v>
      </c>
      <c r="W128" s="708" t="s">
        <v>1467</v>
      </c>
      <c r="X128" s="167"/>
      <c r="Y128" s="167"/>
      <c r="Z128" s="167"/>
      <c r="AA128" s="167"/>
      <c r="AB128" s="167"/>
      <c r="AC128" s="167"/>
      <c r="AD128" s="167"/>
      <c r="AE128" s="167"/>
      <c r="AF128" s="167"/>
      <c r="AG128" s="167"/>
      <c r="AH128" s="167"/>
      <c r="AI128" s="167"/>
      <c r="AJ128" s="167"/>
      <c r="AK128" s="167"/>
      <c r="AL128" s="167"/>
      <c r="AM128" s="167"/>
      <c r="AN128" s="167"/>
      <c r="AO128" s="167"/>
      <c r="AP128" s="167"/>
      <c r="AQ128" s="167"/>
      <c r="AR128" s="167"/>
      <c r="AS128" s="167"/>
      <c r="AT128" s="167"/>
      <c r="AU128" s="167"/>
      <c r="AV128" s="167"/>
      <c r="AW128" s="167"/>
      <c r="AX128" s="167"/>
      <c r="AY128" s="168"/>
      <c r="AZ128" s="709">
        <f>AZ126</f>
        <v>2.7</v>
      </c>
      <c r="BA128" s="709">
        <f>IF(F128=3,((AZ128*1000)/(1.73*BV128*DA128)),IF(AND(F128=2,G128=3),((AZ128*1000)/(2*(BV128/1.73)*DA128)),((AZ128*1000)/(BV128*DA128))))</f>
        <v>7.8822911192853384</v>
      </c>
      <c r="BB128" s="710">
        <f>BB126</f>
        <v>0</v>
      </c>
      <c r="BC128" s="711">
        <f t="shared" ref="BC128:BP128" si="161">BC126</f>
        <v>0</v>
      </c>
      <c r="BD128" s="711">
        <f t="shared" si="161"/>
        <v>0</v>
      </c>
      <c r="BE128" s="711">
        <f t="shared" si="161"/>
        <v>0</v>
      </c>
      <c r="BF128" s="711">
        <f t="shared" si="161"/>
        <v>0</v>
      </c>
      <c r="BG128" s="711">
        <f t="shared" si="161"/>
        <v>0</v>
      </c>
      <c r="BH128" s="711">
        <f t="shared" si="161"/>
        <v>0</v>
      </c>
      <c r="BI128" s="711">
        <f t="shared" si="161"/>
        <v>0</v>
      </c>
      <c r="BJ128" s="711">
        <f t="shared" si="161"/>
        <v>0</v>
      </c>
      <c r="BK128" s="711">
        <f t="shared" si="161"/>
        <v>0</v>
      </c>
      <c r="BL128" s="711">
        <f t="shared" si="161"/>
        <v>0</v>
      </c>
      <c r="BM128" s="711">
        <f t="shared" si="161"/>
        <v>0</v>
      </c>
      <c r="BN128" s="711">
        <f t="shared" si="161"/>
        <v>0</v>
      </c>
      <c r="BO128" s="711">
        <f t="shared" si="161"/>
        <v>0</v>
      </c>
      <c r="BP128" s="711">
        <f t="shared" si="161"/>
        <v>0</v>
      </c>
      <c r="BQ128" s="169">
        <f>BQ126</f>
        <v>0</v>
      </c>
      <c r="BR128" s="170">
        <f>BR126</f>
        <v>0</v>
      </c>
      <c r="BS128" s="170">
        <f>BS126</f>
        <v>0</v>
      </c>
      <c r="BT128" s="48">
        <f>BT116</f>
        <v>0</v>
      </c>
      <c r="BU128" s="48" t="str">
        <f>IF(CW128="","",CW128)</f>
        <v/>
      </c>
      <c r="BV128" s="715">
        <f>BV126</f>
        <v>220</v>
      </c>
      <c r="BW128" s="855" t="str">
        <f>IF(CX128="","",CX128)</f>
        <v/>
      </c>
      <c r="BX128" s="957" t="str">
        <f>IFERROR(IF(DN128="","",DN128), "REVISAR")</f>
        <v>REVISAR</v>
      </c>
      <c r="BY128" s="848" t="str" cm="1">
        <f t="array" ref="BY128">[1]!ACAELE_CAPACIDADCABLE(BB128,H128,I128,M128,BX128,N128)</f>
        <v/>
      </c>
      <c r="BZ128" s="848" t="str">
        <f>IF(OR(BB128=0,H128="RE"),"",(DS128/BV128)*100)</f>
        <v/>
      </c>
      <c r="CA128" s="849" t="str" cm="1">
        <f t="array" ref="CA128">[1]!ACAELE_cabledetierra(BZ128,$M$9,I128,BW128,BX128,G128)</f>
        <v/>
      </c>
      <c r="CB128" s="849" t="str" cm="1">
        <f t="array" ref="CB128">[1]!ACAELE_TAMATUBERIA(BZ128,DU128,I127,M128,I128)</f>
        <v/>
      </c>
      <c r="CC128" s="852" t="str">
        <f>IF(DV128="","",DV128)</f>
        <v/>
      </c>
      <c r="CD128" s="851"/>
      <c r="CE128" s="851" t="str">
        <f>IF(OR(BB128=0,Q128=""),"",(EA128/BV128)*100)</f>
        <v/>
      </c>
      <c r="CF128" s="852"/>
      <c r="CG128" s="852"/>
      <c r="CH128" s="509" t="str">
        <f>IF(AND(CE128="",BZ128=""),"",IF(CE128="",0,CE128)+IF(BZ128="",0,BZ128))</f>
        <v/>
      </c>
      <c r="CI128" s="516">
        <f>CI126</f>
        <v>0</v>
      </c>
      <c r="CJ128" s="514">
        <f>CJ126</f>
        <v>0</v>
      </c>
      <c r="CK128" s="515">
        <f>CK126</f>
        <v>0</v>
      </c>
      <c r="CL128" s="949"/>
      <c r="CM128" s="949"/>
      <c r="CN128" s="949"/>
      <c r="CO128" s="910"/>
      <c r="CP128" s="950"/>
      <c r="CQ128" s="950"/>
      <c r="CR128" s="951" t="str">
        <f>IF(OR(H128="A",H128="O",H128="M"),"C","N/C")</f>
        <v>N/C</v>
      </c>
      <c r="CS128" s="952">
        <f>IF(BU128&gt;100,VLOOKUP($F$13,FCTEMP,3),VLOOKUP($F$13,FCTEMP,2))</f>
        <v>1</v>
      </c>
      <c r="CT128" s="953">
        <f>IF(H128="RE","",IF(M128=1,VLOOKUP(J128,FCATUBO,2),IF(M128=6,VLOOKUP(J128,FCADUCTO,2),1)))</f>
        <v>0.8</v>
      </c>
      <c r="CU128" s="914"/>
      <c r="CV128" s="915"/>
      <c r="CW128" s="916" t="str">
        <f>IF(BB128=0,"",IF(F128=3,((BT128*1000)/(1.73*BV128*DA128)),IF(AND(F128=2,G128=3),((BT128*1000)/(2*(BV128/1.73)*DA128)),((BT128*1000)/(BV128*DA128)))))</f>
        <v/>
      </c>
      <c r="CX128" s="917" t="str" cm="1">
        <f t="array" ref="CX128">[1]!ACAELE_Disparocalculado(BB128,H128,DL128,$N$21,$M$21,$O$21,BV128,$P$5)</f>
        <v/>
      </c>
      <c r="CY128" s="918" t="e">
        <f>IF(CR128="C",(BU128)/(CS128*CT128),BU128/(CS128*CT128))</f>
        <v>#VALUE!</v>
      </c>
      <c r="CZ128" s="919" t="str">
        <f>IF(OR(BB128=0,Q128=""),"",IF(CR128="C",(BU128)/(CS128*CU128),BU128/(CS128*CU128)))</f>
        <v/>
      </c>
      <c r="DA128" s="951">
        <f>$F$14</f>
        <v>0.9</v>
      </c>
      <c r="DB128" s="954">
        <f>SIN(ACOS(DA128))</f>
        <v>0.43588989435406728</v>
      </c>
      <c r="DC128" s="922" t="str" cm="1">
        <f t="array" ref="DC128">[1]!ACAELE_CONDPORTCORRIENTE(H128,BB128,I128,M128,CY128,CZ128,N128,$P$5)</f>
        <v/>
      </c>
      <c r="DD128" s="923" t="str" cm="1">
        <f t="array" ref="DD128">[1]!ACAELE_CAPACONDCORRIENTE(BB128,H128,I128,M128,CY128,CZ128,$P$5)</f>
        <v/>
      </c>
      <c r="DE128" s="923" t="str" cm="1">
        <f t="array" ref="DE128">[1]!ACAELE_CAPACIDADCABLE(BB128,H128,I128,M128,DC128,N128,$P$5)</f>
        <v/>
      </c>
      <c r="DF128" s="924" t="str" cm="1">
        <f t="array" ref="DF128">[1]!ACAELE_encontrarcaidaequipo(BB128,H128,L128,BV128,F128,BA128,N128,K128)</f>
        <v/>
      </c>
      <c r="DG128" s="925" t="str" cm="1">
        <f t="array" ref="DG128">[1]!ACAELE_Cablecaida(BB128,H128,M128,I128,DF128)</f>
        <v/>
      </c>
      <c r="DH128" s="918" t="str" cm="1">
        <f t="array" ref="DH128">[1]!ACAELE_CAPACIDADCABLE(BB128,H128,I128,M128,DG128,N128,$P$5)</f>
        <v/>
      </c>
      <c r="DI128" s="926" t="str">
        <f>IF(OR(BB128=0,Q128=""),"",((10*R128*BV128)/((IF(F128&gt;2,1.73,2)*(BU128/T128)*Q128))))</f>
        <v/>
      </c>
      <c r="DJ128" s="914"/>
      <c r="DK128" s="919" t="str" cm="1">
        <f t="array" ref="DK128">[1]!ACAELE_CAPACIDADCABLE(BB128,H128,I128,M128,DJ128,N128)</f>
        <v/>
      </c>
      <c r="DL128" s="955" t="str">
        <f>(IF(BB128=0,"",BA128*($G$18/100)))</f>
        <v/>
      </c>
      <c r="DM128" s="955" cm="1">
        <f t="array" ref="DM128">[1]!acaele_ProtCalculada(CX128,H128,BT128,BW128,$G$21,$F$21,$H$21,$P$5)</f>
        <v>30</v>
      </c>
      <c r="DN128" s="913" t="e" cm="1">
        <f t="array" ref="DN128">[1]!ACAELE_CableCalTab(BB128,H128,I128,M128,EF128,N128,BV128,DL128)</f>
        <v>#VALUE!</v>
      </c>
      <c r="DO128" s="956" t="str" cm="1">
        <f t="array" ref="DO128">[1]!ACAELE_RESISTENCIA(BB128,H128,M128,I128,BX128, CW128,$P$5)</f>
        <v/>
      </c>
      <c r="DP128" s="931" t="str" cm="1">
        <f t="array" ref="DP128">[1]!ACAELE_REACTANCIA(BB128,H128,$F$11,M128,I128,BX128,$P$5)</f>
        <v/>
      </c>
      <c r="DQ128" s="918" t="str" cm="1">
        <f t="array" ref="DQ128">[1]!ACAELE_DIAMECAISLA(BB128,H128,I128,BX128,$P$5)</f>
        <v/>
      </c>
      <c r="DR128" s="918" t="str" cm="1">
        <f t="array" ref="DR128">[1]!ACAELE_AREACAISLAMIENTO(BB128,H128,DQ128,$P$5)</f>
        <v/>
      </c>
      <c r="DS128" s="918" t="str" cm="1">
        <f t="array" ref="DS128">[1]!ACAELE_CAIDAVOLTSFINAL(BB128,H128,F128,K128,BU128,N128,DO128,DA128,DP128,DB128,$P$5)</f>
        <v/>
      </c>
      <c r="DT128" s="918" t="str" cm="1">
        <f t="array" ref="DT128">[1]!ACAELE_AREACONDPTE(BB128,H128,CA128,$P$5)</f>
        <v/>
      </c>
      <c r="DU128" s="918" t="str" cm="1">
        <f t="array" ref="DU128">[1]!ACAELE_AREATOTAL(BZ128,M128,EO128,N128,DQ128,G128,DR128,DT128,N$20,$P$5)</f>
        <v/>
      </c>
      <c r="DV128" s="926"/>
      <c r="DW128" s="926"/>
      <c r="DX128" s="926"/>
      <c r="DY128" s="935"/>
      <c r="DZ128" s="935" t="str">
        <f>IF(OR(BB128=0,Q128=""),"",3.1416*(DY128/2)*(DY128/2))</f>
        <v/>
      </c>
      <c r="EA128" s="935" t="str">
        <f>IF(OR(BB128=0,Q128=""),"",IF(F128&gt;2,1.73,2)*Q128*(BU128/T128)*(((DW128*DA128)+(DX128*DB128))/1000))</f>
        <v/>
      </c>
      <c r="EB128" s="919"/>
      <c r="EC128" s="935"/>
      <c r="ED128" s="675" t="str">
        <f>IF(OR(BB128=0,H128="RE"),"",VLOOKUP(BX128,nomenclaturacables,2,0))</f>
        <v/>
      </c>
      <c r="EE128" s="670"/>
      <c r="EF128" s="671" t="str">
        <f>IF(BB128=0,"",MAX(DM128/N128,BW128/N128,IF(DE128="",0,DE128/N128),DH128/N128))</f>
        <v/>
      </c>
      <c r="EG128" s="672">
        <f>MAX(DM128,IF(DE128="",0,DE128/N128),DK128)</f>
        <v>30</v>
      </c>
      <c r="EH128" s="673"/>
      <c r="EI128" s="942">
        <f>$F$13</f>
        <v>30</v>
      </c>
      <c r="EJ128" s="947"/>
      <c r="EK128" s="947"/>
      <c r="EL128" s="947"/>
      <c r="EM128" s="947"/>
      <c r="EN128" s="948"/>
      <c r="EO128" s="550" t="str">
        <f>IF(BZ128="","",(G128*N128*DR128)/O128+DT128)</f>
        <v/>
      </c>
      <c r="EP128" s="433" t="str">
        <f>$EP$126</f>
        <v>DIA-AREG</v>
      </c>
      <c r="ET128" s="1" t="str">
        <f>IF($M$18="TR",IF(BW128="","",F128&amp;"P-"&amp;BW128&amp;" A"),"")</f>
        <v/>
      </c>
      <c r="EU128" s="1" t="str">
        <f>IF($M$18="TR",IF(BW128="","",G128*N128&amp;"-"&amp;BX128&amp;", "&amp;O128&amp;"-"&amp;CA128&amp;"T, "&amp;O128&amp;CB128),"")</f>
        <v/>
      </c>
      <c r="EV128" s="1" t="str">
        <f>IF($M$18="TR",IF($M$18="TR",IF(BW128="","",K128),""),"")</f>
        <v/>
      </c>
      <c r="EW128" s="3" t="str">
        <f>IF($M$18="TR",IF(BW128="","",G128*N128),"")</f>
        <v/>
      </c>
      <c r="EX128" s="3" t="str">
        <f>IF($M$18="TR",IF(BW128="","",BX128),"")</f>
        <v/>
      </c>
      <c r="EY128" s="3" t="str">
        <f>IF($M$18="TR",IF(BW128="","",O128),"")</f>
        <v/>
      </c>
      <c r="EZ128" s="3" t="str">
        <f>IF($M$18="TR",IF(BW128="","",CA128),"")</f>
        <v/>
      </c>
      <c r="FA128" s="3" t="str">
        <f>IF($M$18="TR",IF(BW128="","",O128),"")</f>
        <v/>
      </c>
      <c r="FB128" s="3" t="str">
        <f>IF($M$18="TR",IF(BW128="","",CB128),"")</f>
        <v/>
      </c>
      <c r="FC128" s="3">
        <f t="shared" si="150"/>
        <v>0</v>
      </c>
      <c r="FD128" s="732"/>
      <c r="FE128" s="732"/>
      <c r="FF128" s="733"/>
      <c r="FG128" s="732"/>
      <c r="FH128" s="733"/>
      <c r="FI128" s="732"/>
      <c r="FJ128" s="733"/>
      <c r="FM128" s="3" t="str">
        <f>IF(BV128&gt;1000,"",IF(BW128&lt;151,"(HD)",IF(BW128&lt;251,"(JD)",IF(BW128&lt;401,"(LA)",IF(BW128&lt;801,"(MG)",IF(BW128&lt;1201,"(PJ)","PONER MANUAL"))))))</f>
        <v>PONER MANUAL</v>
      </c>
      <c r="FX128" s="146">
        <f t="shared" si="157"/>
        <v>1</v>
      </c>
      <c r="FZ128" s="740" t="s">
        <v>2010</v>
      </c>
      <c r="GA128" s="736" t="str">
        <f>CUADROACAD!BL129</f>
        <v>++++++++++++++++++++++++++++++FINAL</v>
      </c>
      <c r="GB128" s="49" t="str">
        <f>CUADROACAD!CU128</f>
        <v>+++++++++++++++++++++++++++++</v>
      </c>
      <c r="GM128" s="1" t="str">
        <f>J128*N128&amp;"-"&amp;BX128&amp; " "&amp;ED128&amp;" ("&amp;N128&amp;"xF-"&amp;N128&amp;"N), "&amp;O128&amp;"-"&amp;CA128&amp;"T "&amp;"AWG, "&amp;O128&amp;CB128</f>
        <v>4-REVISAR  (1xF-1N), 1-T AWG, 1</v>
      </c>
    </row>
    <row r="129" spans="75:195">
      <c r="CB129" s="1" t="s">
        <v>1479</v>
      </c>
      <c r="CT129" s="154" t="s">
        <v>1480</v>
      </c>
      <c r="CY129" s="154" t="s">
        <v>1481</v>
      </c>
      <c r="DJ129" t="s">
        <v>1482</v>
      </c>
      <c r="FX129" s="146" t="str">
        <f>IF(FY129=FZ129,"",1)</f>
        <v/>
      </c>
      <c r="FZ129" s="740"/>
      <c r="GA129" s="736" t="str">
        <f>CUADROACAD!BL130</f>
        <v>++++++++++++++++++++++++++++++FINAL</v>
      </c>
      <c r="GB129" s="49" t="str">
        <f>CUADROACAD!CU129</f>
        <v>+TOTAL DE PIEZAS+++++++++++++++++++++++++++++++1</v>
      </c>
    </row>
    <row r="130" spans="75:195">
      <c r="CB130" s="1" t="s">
        <v>1483</v>
      </c>
      <c r="CS130" t="s">
        <v>1484</v>
      </c>
      <c r="CT130" s="523"/>
      <c r="CU130" s="523"/>
      <c r="CV130" s="524"/>
      <c r="CW130" s="523">
        <f>IF(F10=3,BQ116/(1.73*(F9/1000)*F14),IF(F10=2,BQ116/((F9/1000)*F14),IF(F10=1,BQ116/((H9/1000)*F14),0)))</f>
        <v>0</v>
      </c>
      <c r="CX130" s="154" t="s">
        <v>12</v>
      </c>
      <c r="CY130" s="523">
        <f>CW130</f>
        <v>0</v>
      </c>
      <c r="CZ130" t="s">
        <v>1484</v>
      </c>
      <c r="DH130" t="s">
        <v>1485</v>
      </c>
      <c r="DI130" s="523"/>
      <c r="DJ130" s="523"/>
      <c r="DK130" s="524"/>
      <c r="DL130" s="523">
        <f>CY130-(CY131/0.25)</f>
        <v>0</v>
      </c>
      <c r="DM130" t="s">
        <v>856</v>
      </c>
      <c r="FX130" s="146" t="str">
        <f>IF(FY130=FZ130,"",1)</f>
        <v/>
      </c>
      <c r="FZ130" s="740"/>
      <c r="GB130" s="49" t="str">
        <f>CUADROACAD!CU130</f>
        <v>+TOTAL DE CARGA+++++++++++++++++++++++++++++++4</v>
      </c>
    </row>
    <row r="131" spans="75:195">
      <c r="CB131" s="1" t="s">
        <v>1486</v>
      </c>
      <c r="CL131" s="1"/>
      <c r="CM131" s="1"/>
      <c r="CN131" s="1"/>
      <c r="CO131" s="1"/>
      <c r="CP131" s="1"/>
      <c r="CQ131" s="1"/>
      <c r="CR131" s="1"/>
      <c r="CS131" s="1"/>
      <c r="CT131" s="5"/>
      <c r="CU131" s="5"/>
      <c r="CV131" s="45"/>
      <c r="CW131" s="5"/>
      <c r="CX131" s="1"/>
      <c r="CY131" s="5">
        <f>IF(F10=3,BR116/(1.73*(F9/1000)*F14),IF(F10=2,BR116/((F9/1000)*F14),IF(F10=1,BR116/((H9/1000)*F14),0)))*0.25</f>
        <v>0</v>
      </c>
      <c r="CZ131" s="1" t="s">
        <v>1487</v>
      </c>
      <c r="DA131" s="1"/>
      <c r="DB131" s="1"/>
      <c r="DC131" s="1"/>
      <c r="DD131" s="1"/>
      <c r="DE131" s="1"/>
      <c r="DF131" s="1"/>
      <c r="DG131" s="1"/>
      <c r="DH131" s="1" t="s">
        <v>1488</v>
      </c>
      <c r="DI131" s="5"/>
      <c r="DJ131" s="5"/>
      <c r="DK131" s="45"/>
      <c r="DL131" s="5">
        <f>BS116</f>
        <v>0</v>
      </c>
      <c r="DM131" s="1" t="s">
        <v>856</v>
      </c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5"/>
      <c r="EI131" s="5"/>
      <c r="EJ131" s="5"/>
      <c r="EK131" s="5"/>
      <c r="EL131" s="5"/>
      <c r="EM131" s="5"/>
      <c r="EN131" s="1"/>
      <c r="EO131" s="5"/>
      <c r="FZ131" s="740"/>
      <c r="GB131" s="736"/>
    </row>
    <row r="132" spans="75:195" ht="13.8" thickBot="1">
      <c r="CL132" s="1"/>
      <c r="CM132" s="1"/>
      <c r="CN132" s="1"/>
      <c r="CO132" s="1"/>
      <c r="CP132" s="1"/>
      <c r="CQ132" s="1"/>
      <c r="CR132" s="1"/>
      <c r="CS132" s="1" t="s">
        <v>1489</v>
      </c>
      <c r="CT132" s="5"/>
      <c r="CU132" s="5"/>
      <c r="CV132" s="45"/>
      <c r="CW132" s="5">
        <f>(BF29/O17)/((IF(F10=3,1.73,IF(AND(F10=2,H10=3),(2/1.73),1/1.73)))*F9*F14)*1000</f>
        <v>0</v>
      </c>
      <c r="CX132" s="49" t="s">
        <v>12</v>
      </c>
      <c r="CY132" s="5">
        <f>CW132*1.25</f>
        <v>0</v>
      </c>
      <c r="CZ132" s="1" t="s">
        <v>1490</v>
      </c>
      <c r="DA132" s="1"/>
      <c r="DB132" s="1"/>
      <c r="DC132" s="1"/>
      <c r="DD132" s="1"/>
      <c r="DE132" s="1"/>
      <c r="DF132" s="1"/>
      <c r="DG132" s="1"/>
      <c r="DH132" s="1" t="s">
        <v>1490</v>
      </c>
      <c r="DI132" s="5"/>
      <c r="DJ132" s="5"/>
      <c r="DK132" s="45"/>
      <c r="DL132" s="5">
        <f>CY132</f>
        <v>0</v>
      </c>
      <c r="DM132" s="1" t="s">
        <v>856</v>
      </c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5"/>
      <c r="EI132" s="5"/>
      <c r="EJ132" s="5"/>
      <c r="EK132" s="5"/>
      <c r="EL132" s="5"/>
      <c r="EM132" s="5"/>
      <c r="EN132" s="1"/>
      <c r="EO132" s="5"/>
      <c r="FZ132" s="740"/>
      <c r="GB132" s="736"/>
    </row>
    <row r="133" spans="75:195" ht="14.4" thickTop="1" thickBot="1">
      <c r="BW133" s="173"/>
      <c r="BX133" s="174" t="s">
        <v>1491</v>
      </c>
      <c r="BY133" s="173"/>
      <c r="BZ133" s="173"/>
      <c r="CA133" s="173"/>
      <c r="CL133" s="1"/>
      <c r="CM133" s="1"/>
      <c r="CN133" s="1"/>
      <c r="CO133" s="1"/>
      <c r="CP133" s="1"/>
      <c r="CQ133" s="1"/>
      <c r="CR133" s="1"/>
      <c r="CS133" s="1" t="s">
        <v>1492</v>
      </c>
      <c r="CT133" s="5"/>
      <c r="CU133" s="5"/>
      <c r="CV133" s="45"/>
      <c r="CW133" s="5">
        <f>(BM29/O17)/((IF(F10=3,1.73,IF(AND(F10=2,H10=3),(2/1.73),1/1.73)))*F9*F14)*1000</f>
        <v>0</v>
      </c>
      <c r="CX133" s="49" t="s">
        <v>12</v>
      </c>
      <c r="CY133" s="5">
        <f>CW133</f>
        <v>0</v>
      </c>
      <c r="CZ133" s="1" t="s">
        <v>1492</v>
      </c>
      <c r="DA133" s="1"/>
      <c r="DB133" s="1"/>
      <c r="DC133" s="1"/>
      <c r="DD133" s="1"/>
      <c r="DE133" s="1"/>
      <c r="DF133" s="1"/>
      <c r="DG133" s="1"/>
      <c r="DH133" s="1" t="s">
        <v>1492</v>
      </c>
      <c r="DI133" s="5"/>
      <c r="DJ133" s="5"/>
      <c r="DK133" s="45"/>
      <c r="DL133" s="5">
        <f>CW133</f>
        <v>0</v>
      </c>
      <c r="DM133" s="1" t="s">
        <v>856</v>
      </c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5"/>
      <c r="EI133" s="5"/>
      <c r="EJ133" s="5"/>
      <c r="EK133" s="5"/>
      <c r="EL133" s="5"/>
      <c r="EM133" s="5"/>
      <c r="EN133" s="1"/>
      <c r="EO133" s="5"/>
      <c r="FZ133" s="740"/>
    </row>
    <row r="134" spans="75:195" ht="14.4" thickTop="1" thickBot="1">
      <c r="BW134" s="173"/>
      <c r="BX134" s="173"/>
      <c r="BY134" s="173"/>
      <c r="BZ134" s="173"/>
      <c r="CA134" s="173"/>
      <c r="CL134" s="1"/>
      <c r="CM134" s="1"/>
      <c r="CN134" s="1"/>
      <c r="CO134" s="1"/>
      <c r="CP134" s="1"/>
      <c r="CQ134" s="1"/>
      <c r="CR134" s="1"/>
      <c r="CS134" s="1" t="s">
        <v>1493</v>
      </c>
      <c r="CT134" s="5"/>
      <c r="CU134" s="5"/>
      <c r="CV134" s="45"/>
      <c r="CW134" s="5">
        <f>EH116</f>
        <v>0</v>
      </c>
      <c r="CX134" s="49" t="s">
        <v>12</v>
      </c>
      <c r="CY134" s="5">
        <f>CW134</f>
        <v>0</v>
      </c>
      <c r="CZ134" s="1" t="s">
        <v>1493</v>
      </c>
      <c r="DA134" s="1"/>
      <c r="DB134" s="1"/>
      <c r="DC134" s="1"/>
      <c r="DD134" s="1"/>
      <c r="DE134" s="1"/>
      <c r="DF134" s="1"/>
      <c r="DG134" s="1"/>
      <c r="DH134" s="1" t="s">
        <v>1493</v>
      </c>
      <c r="DI134" s="5"/>
      <c r="DJ134" s="5"/>
      <c r="DK134" s="45"/>
      <c r="DL134" s="5">
        <f>EH116</f>
        <v>0</v>
      </c>
      <c r="DM134" s="1" t="s">
        <v>856</v>
      </c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5"/>
      <c r="EI134" s="5"/>
      <c r="EJ134" s="5"/>
      <c r="EK134" s="5"/>
      <c r="EL134" s="5"/>
      <c r="EM134" s="5"/>
      <c r="EN134" s="1"/>
      <c r="EO134" s="5"/>
      <c r="FZ134" s="740"/>
    </row>
    <row r="135" spans="75:195" ht="14.4" thickTop="1" thickBot="1">
      <c r="BW135" s="173"/>
      <c r="BX135" s="174" t="s">
        <v>1494</v>
      </c>
      <c r="BY135" s="174" t="s">
        <v>23</v>
      </c>
      <c r="BZ135" s="174" t="s">
        <v>1495</v>
      </c>
      <c r="CA135" s="174" t="s">
        <v>1496</v>
      </c>
      <c r="CL135" s="1"/>
      <c r="CM135" s="1"/>
      <c r="CN135" s="1"/>
      <c r="CO135" s="1"/>
      <c r="CP135" s="1"/>
      <c r="CQ135" s="1"/>
      <c r="CR135" s="1"/>
      <c r="CS135" s="1"/>
      <c r="CT135" s="5"/>
      <c r="CU135" s="5"/>
      <c r="CV135" s="45"/>
      <c r="CW135" s="5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5"/>
      <c r="DJ135" s="5"/>
      <c r="DK135" s="45"/>
      <c r="DL135" s="5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5"/>
      <c r="EI135" s="5"/>
      <c r="EJ135" s="5"/>
      <c r="EK135" s="5"/>
      <c r="EL135" s="5"/>
      <c r="EM135" s="5"/>
      <c r="EN135" s="1"/>
      <c r="EO135" s="5"/>
      <c r="FZ135" s="740"/>
    </row>
    <row r="136" spans="75:195" ht="14.4" thickTop="1" thickBot="1">
      <c r="BW136" s="174" t="s">
        <v>1394</v>
      </c>
      <c r="BX136" s="175">
        <v>0</v>
      </c>
      <c r="BY136" s="176">
        <f>CI116/($H$9*$F$14)</f>
        <v>0</v>
      </c>
      <c r="BZ136" s="176">
        <f>(COS(RADIANS(BX136)))*BY136</f>
        <v>0</v>
      </c>
      <c r="CA136" s="176">
        <f>(SIN(RADIANS(BX136)))*BY136</f>
        <v>0</v>
      </c>
      <c r="CL136" s="1"/>
      <c r="CM136" s="1"/>
      <c r="CN136" s="1"/>
      <c r="CO136" s="1"/>
      <c r="CP136" s="1"/>
      <c r="CQ136" s="1"/>
      <c r="CR136" s="1"/>
      <c r="CS136" s="1"/>
      <c r="CT136" s="5"/>
      <c r="CU136" s="5"/>
      <c r="CV136" s="45"/>
      <c r="CW136" s="5" t="s">
        <v>1497</v>
      </c>
      <c r="CX136" s="1"/>
      <c r="CY136" s="5" t="s">
        <v>1497</v>
      </c>
      <c r="CZ136" s="1"/>
      <c r="DA136" s="1"/>
      <c r="DB136" s="1"/>
      <c r="DC136" s="1"/>
      <c r="DD136" s="1"/>
      <c r="DE136" s="1"/>
      <c r="DF136" s="1"/>
      <c r="DG136" s="1"/>
      <c r="DH136" s="1"/>
      <c r="DI136" s="5"/>
      <c r="DJ136" s="5"/>
      <c r="DK136" s="45"/>
      <c r="DL136" s="5" t="s">
        <v>1497</v>
      </c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5"/>
      <c r="EI136" s="5"/>
      <c r="EJ136" s="5"/>
      <c r="EK136" s="5"/>
      <c r="EL136" s="5"/>
      <c r="EM136" s="5"/>
      <c r="EN136" s="1"/>
      <c r="EO136" s="5"/>
      <c r="FZ136" s="740"/>
    </row>
    <row r="137" spans="75:195" ht="14.4" thickTop="1" thickBot="1">
      <c r="BW137" s="174" t="s">
        <v>1395</v>
      </c>
      <c r="BX137" s="177">
        <v>120</v>
      </c>
      <c r="BY137" s="176">
        <f>CJ116/($H$9*$F$14)</f>
        <v>0</v>
      </c>
      <c r="BZ137" s="176">
        <f>(COS(RADIANS(BX137)))*BY137</f>
        <v>0</v>
      </c>
      <c r="CA137" s="176">
        <f>(SIN(RADIANS(BX137)))*BY137</f>
        <v>0</v>
      </c>
      <c r="CL137" s="1"/>
      <c r="CM137" s="1"/>
      <c r="CN137" s="1"/>
      <c r="CO137" s="1"/>
      <c r="CP137" s="1"/>
      <c r="CQ137" s="1"/>
      <c r="CR137" s="1"/>
      <c r="CS137" s="1"/>
      <c r="CT137" s="5"/>
      <c r="CU137" s="5"/>
      <c r="CV137" s="45" t="s">
        <v>1498</v>
      </c>
      <c r="CW137" s="5">
        <f>SUM(CW130:CW136)</f>
        <v>0</v>
      </c>
      <c r="CX137" s="49" t="s">
        <v>12</v>
      </c>
      <c r="CY137" s="5">
        <f>SUM(CY130:CY136)</f>
        <v>0</v>
      </c>
      <c r="CZ137" s="49" t="s">
        <v>12</v>
      </c>
      <c r="DA137" s="1"/>
      <c r="DB137" s="1"/>
      <c r="DC137" s="1"/>
      <c r="DD137" s="1"/>
      <c r="DE137" s="1"/>
      <c r="DF137" s="1"/>
      <c r="DG137" s="1"/>
      <c r="DH137" s="1"/>
      <c r="DI137" s="5"/>
      <c r="DJ137" s="5"/>
      <c r="DK137" s="45" t="s">
        <v>1498</v>
      </c>
      <c r="DL137" s="5">
        <f>SUM(DL130:DL136)</f>
        <v>0</v>
      </c>
      <c r="DM137" s="1" t="s">
        <v>856</v>
      </c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5"/>
      <c r="EI137" s="5"/>
      <c r="EJ137" s="5"/>
      <c r="EK137" s="5"/>
      <c r="EL137" s="5"/>
      <c r="EM137" s="5"/>
      <c r="EN137" s="1"/>
      <c r="EO137" s="5"/>
      <c r="FZ137" s="740"/>
      <c r="GM137" s="3"/>
    </row>
    <row r="138" spans="75:195" ht="14.4" thickTop="1" thickBot="1">
      <c r="BW138" s="174" t="s">
        <v>1396</v>
      </c>
      <c r="BX138" s="177">
        <v>240</v>
      </c>
      <c r="BY138" s="176">
        <f>CK116/($H$9*$F$14)</f>
        <v>0</v>
      </c>
      <c r="BZ138" s="176">
        <f>(COS(RADIANS(BX138)))*BY138</f>
        <v>0</v>
      </c>
      <c r="CA138" s="176">
        <f>(SIN(RADIANS(BX138)))*BY138</f>
        <v>0</v>
      </c>
      <c r="CL138" s="1"/>
      <c r="CM138" s="1"/>
      <c r="CN138" s="1"/>
      <c r="CO138" s="1"/>
      <c r="CP138" s="1"/>
      <c r="CQ138" s="1"/>
      <c r="CR138" s="1"/>
      <c r="CS138" s="1"/>
      <c r="CT138" s="5"/>
      <c r="CU138" s="5"/>
      <c r="CV138" s="45"/>
      <c r="CW138" s="5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5"/>
      <c r="DJ138" s="5"/>
      <c r="DK138" s="45"/>
      <c r="DL138" s="5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5"/>
      <c r="EI138" s="5"/>
      <c r="EJ138" s="5"/>
      <c r="EK138" s="5"/>
      <c r="EL138" s="5"/>
      <c r="EM138" s="5"/>
      <c r="EN138" s="1"/>
      <c r="EO138" s="5"/>
      <c r="FZ138" s="740"/>
    </row>
    <row r="139" spans="75:195" ht="14.4" thickTop="1" thickBot="1">
      <c r="BW139" s="174" t="s">
        <v>1499</v>
      </c>
      <c r="BX139" s="177"/>
      <c r="BY139" s="176">
        <f>SQRT( ((BZ139)^2)+((CA139)^2))</f>
        <v>0</v>
      </c>
      <c r="BZ139" s="176">
        <f>SUM(BZ136:BZ138)</f>
        <v>0</v>
      </c>
      <c r="CA139" s="176">
        <f>SUM(CA136:CA138)</f>
        <v>0</v>
      </c>
      <c r="CL139" s="1"/>
      <c r="CM139" s="1"/>
      <c r="CN139" s="1"/>
      <c r="CO139" s="1"/>
      <c r="CP139" s="1"/>
      <c r="CQ139" s="1"/>
      <c r="CR139" s="1"/>
      <c r="CS139" s="1"/>
      <c r="CT139" s="5"/>
      <c r="CU139" s="5"/>
      <c r="CV139" s="45" t="s">
        <v>1500</v>
      </c>
      <c r="CW139" s="5">
        <f>O17</f>
        <v>1</v>
      </c>
      <c r="CX139" s="1"/>
      <c r="CY139" s="5">
        <f>O17</f>
        <v>1</v>
      </c>
      <c r="CZ139" s="1"/>
      <c r="DA139" s="1"/>
      <c r="DB139" s="1"/>
      <c r="DC139" s="1"/>
      <c r="DD139" s="1"/>
      <c r="DE139" s="1"/>
      <c r="DF139" s="1"/>
      <c r="DG139" s="1"/>
      <c r="DH139" s="1"/>
      <c r="DI139" s="5"/>
      <c r="DJ139" s="5"/>
      <c r="DK139" s="45" t="s">
        <v>1500</v>
      </c>
      <c r="DL139" s="5">
        <f>O17</f>
        <v>1</v>
      </c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5"/>
      <c r="EI139" s="5"/>
      <c r="EJ139" s="5"/>
      <c r="EK139" s="5"/>
      <c r="EL139" s="5"/>
      <c r="EM139" s="5"/>
      <c r="EN139" s="1"/>
      <c r="EO139" s="5"/>
      <c r="FZ139" s="740"/>
    </row>
    <row r="140" spans="75:195" ht="13.8" thickTop="1">
      <c r="CL140" s="1"/>
      <c r="CM140" s="1"/>
      <c r="CN140" s="1"/>
      <c r="CO140" s="1"/>
      <c r="CP140" s="1"/>
      <c r="CQ140" s="1"/>
      <c r="CR140" s="1"/>
      <c r="CS140" s="1"/>
      <c r="CT140" s="5"/>
      <c r="CU140" s="5"/>
      <c r="CV140" s="45"/>
      <c r="CW140" s="5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5"/>
      <c r="DJ140" s="5"/>
      <c r="DK140" s="45" t="s">
        <v>1501</v>
      </c>
      <c r="DL140" s="5">
        <f>F18</f>
        <v>100</v>
      </c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5"/>
      <c r="EI140" s="5"/>
      <c r="EJ140" s="5"/>
      <c r="EK140" s="5"/>
      <c r="EL140" s="5"/>
      <c r="EM140" s="5"/>
      <c r="EN140" s="1"/>
      <c r="EO140" s="5"/>
      <c r="FZ140" s="740"/>
    </row>
    <row r="141" spans="75:195" hidden="1">
      <c r="CL141" s="1"/>
      <c r="CM141" s="1"/>
      <c r="CN141" s="1"/>
      <c r="CO141" s="1"/>
      <c r="CP141" s="1"/>
      <c r="CQ141" s="1"/>
      <c r="CR141" s="1"/>
      <c r="CS141" s="1"/>
      <c r="CT141" s="5"/>
      <c r="CU141" s="5"/>
      <c r="CV141" s="45" t="s">
        <v>1498</v>
      </c>
      <c r="CW141" s="5">
        <f>CW139*CW137</f>
        <v>0</v>
      </c>
      <c r="CX141" s="49" t="s">
        <v>12</v>
      </c>
      <c r="CY141" s="5">
        <f>CY139*CY137</f>
        <v>0</v>
      </c>
      <c r="CZ141" s="49" t="s">
        <v>12</v>
      </c>
      <c r="DA141" s="1"/>
      <c r="DB141" s="1"/>
      <c r="DC141" s="1"/>
      <c r="DD141" s="1"/>
      <c r="DE141" s="1"/>
      <c r="DF141" s="1"/>
      <c r="DG141" s="1"/>
      <c r="DH141" s="1"/>
      <c r="DI141" s="5"/>
      <c r="DJ141" s="5"/>
      <c r="DK141" s="45" t="s">
        <v>1498</v>
      </c>
      <c r="DL141" s="5">
        <f>DL139*DL137*(DL140/100)</f>
        <v>0</v>
      </c>
      <c r="DM141" s="1" t="s">
        <v>856</v>
      </c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5"/>
      <c r="EI141" s="5"/>
      <c r="EJ141" s="5"/>
      <c r="EK141" s="5"/>
      <c r="EL141" s="5"/>
      <c r="EM141" s="5"/>
      <c r="EN141" s="1"/>
      <c r="EO141" s="5"/>
    </row>
    <row r="142" spans="75:195" hidden="1">
      <c r="BZ142" s="1">
        <f>COS(RADIANS(BX136))</f>
        <v>1</v>
      </c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5"/>
      <c r="CW142" s="5"/>
      <c r="CX142" s="45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5"/>
      <c r="DM142" s="5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5"/>
      <c r="EI142" s="5"/>
      <c r="EJ142" s="5"/>
      <c r="EK142" s="5"/>
      <c r="EL142" s="5"/>
      <c r="EM142" s="5"/>
      <c r="EN142" s="1"/>
      <c r="EO142" s="5"/>
    </row>
    <row r="143" spans="75:195" hidden="1"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5"/>
      <c r="CW143" s="5"/>
      <c r="CX143" s="45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5"/>
      <c r="DM143" s="5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5"/>
      <c r="EI143" s="5"/>
      <c r="EJ143" s="5"/>
      <c r="EK143" s="5"/>
      <c r="EL143" s="5"/>
      <c r="EM143" s="5"/>
      <c r="EN143" s="1"/>
      <c r="EO143" s="5"/>
    </row>
    <row r="144" spans="75:195" hidden="1"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5"/>
      <c r="CW144" s="5"/>
      <c r="CX144" s="45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5"/>
      <c r="DM144" s="5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5"/>
      <c r="EI144" s="5"/>
      <c r="EJ144" s="5"/>
      <c r="EK144" s="5"/>
      <c r="EL144" s="5"/>
      <c r="EM144" s="5"/>
      <c r="EN144" s="1"/>
      <c r="EO144" s="5"/>
    </row>
    <row r="145" spans="2:169" hidden="1"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5"/>
      <c r="CW145" s="5"/>
      <c r="CX145" s="45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5"/>
      <c r="DM145" s="5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5"/>
      <c r="EI145" s="5"/>
      <c r="EJ145" s="5"/>
      <c r="EK145" s="5"/>
      <c r="EL145" s="5"/>
      <c r="EM145" s="5"/>
      <c r="EN145" s="1"/>
      <c r="EO145" s="5"/>
    </row>
    <row r="146" spans="2:169" hidden="1"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5"/>
      <c r="CW146" s="5"/>
      <c r="CX146" s="45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5"/>
      <c r="DM146" s="5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5"/>
      <c r="EI146" s="5"/>
      <c r="EJ146" s="5"/>
      <c r="EK146" s="5"/>
      <c r="EL146" s="5"/>
      <c r="EM146" s="5"/>
      <c r="EN146" s="1"/>
      <c r="EO146" s="5"/>
    </row>
    <row r="147" spans="2:169" hidden="1">
      <c r="B147" s="1">
        <v>1</v>
      </c>
      <c r="C147" s="1">
        <v>2</v>
      </c>
      <c r="D147" s="1">
        <v>3</v>
      </c>
      <c r="E147" s="1">
        <v>4</v>
      </c>
      <c r="F147" s="1">
        <v>5</v>
      </c>
      <c r="G147" s="1">
        <v>6</v>
      </c>
      <c r="H147" s="1">
        <v>7</v>
      </c>
      <c r="I147" s="1">
        <v>8</v>
      </c>
      <c r="J147" s="1">
        <v>9</v>
      </c>
      <c r="K147" s="1">
        <v>10</v>
      </c>
      <c r="L147" s="1">
        <v>11</v>
      </c>
      <c r="M147" s="1">
        <v>12</v>
      </c>
      <c r="N147" s="1">
        <v>13</v>
      </c>
      <c r="O147" s="1">
        <v>14</v>
      </c>
      <c r="P147" s="1">
        <v>15</v>
      </c>
      <c r="Q147" s="1">
        <v>16</v>
      </c>
      <c r="R147" s="1">
        <v>17</v>
      </c>
      <c r="S147" s="1">
        <v>18</v>
      </c>
      <c r="T147" s="1">
        <v>19</v>
      </c>
      <c r="U147" s="1">
        <v>20</v>
      </c>
      <c r="V147" s="1">
        <v>21</v>
      </c>
      <c r="W147" s="1">
        <v>22</v>
      </c>
      <c r="X147" s="1">
        <v>23</v>
      </c>
      <c r="Y147" s="1">
        <v>24</v>
      </c>
      <c r="Z147" s="1">
        <v>25</v>
      </c>
      <c r="AA147" s="1">
        <v>26</v>
      </c>
      <c r="AB147" s="1">
        <v>27</v>
      </c>
      <c r="AC147" s="1">
        <v>28</v>
      </c>
      <c r="AD147" s="1">
        <v>29</v>
      </c>
      <c r="AE147" s="1">
        <v>30</v>
      </c>
      <c r="AF147" s="1">
        <v>31</v>
      </c>
      <c r="AG147" s="1">
        <v>32</v>
      </c>
      <c r="AH147" s="1">
        <v>33</v>
      </c>
      <c r="AI147" s="1">
        <v>34</v>
      </c>
      <c r="AJ147" s="1">
        <v>35</v>
      </c>
      <c r="AK147" s="1">
        <v>36</v>
      </c>
      <c r="AL147" s="1">
        <v>37</v>
      </c>
      <c r="AM147" s="1">
        <v>38</v>
      </c>
      <c r="AN147" s="1">
        <v>39</v>
      </c>
      <c r="AO147" s="1">
        <v>40</v>
      </c>
      <c r="AP147" s="1">
        <v>41</v>
      </c>
      <c r="AQ147" s="1">
        <v>42</v>
      </c>
      <c r="AR147" s="1">
        <v>43</v>
      </c>
      <c r="AS147" s="1">
        <v>44</v>
      </c>
      <c r="AT147" s="1">
        <v>45</v>
      </c>
      <c r="AU147" s="1">
        <v>46</v>
      </c>
      <c r="AV147" s="1">
        <v>47</v>
      </c>
      <c r="AW147" s="1">
        <v>48</v>
      </c>
      <c r="AX147" s="1">
        <v>49</v>
      </c>
      <c r="AY147" s="1">
        <v>50</v>
      </c>
      <c r="AZ147" s="1">
        <v>51</v>
      </c>
      <c r="BA147" s="1">
        <v>52</v>
      </c>
      <c r="BB147" s="1">
        <v>53</v>
      </c>
      <c r="BC147" s="1">
        <v>54</v>
      </c>
      <c r="BD147" s="1">
        <v>55</v>
      </c>
      <c r="BE147" s="1">
        <v>56</v>
      </c>
      <c r="BF147" s="1">
        <v>57</v>
      </c>
      <c r="BG147" s="1">
        <v>58</v>
      </c>
      <c r="BH147" s="1">
        <v>59</v>
      </c>
      <c r="BI147" s="1">
        <v>60</v>
      </c>
      <c r="BJ147" s="1">
        <v>61</v>
      </c>
      <c r="BK147" s="1">
        <v>62</v>
      </c>
      <c r="BL147" s="1">
        <v>63</v>
      </c>
      <c r="BM147" s="1">
        <v>64</v>
      </c>
      <c r="BN147" s="1">
        <v>65</v>
      </c>
      <c r="BO147" s="1">
        <v>66</v>
      </c>
      <c r="BP147" s="1">
        <v>67</v>
      </c>
      <c r="BQ147" s="1">
        <v>68</v>
      </c>
      <c r="BR147" s="1">
        <v>69</v>
      </c>
      <c r="BS147" s="1">
        <v>70</v>
      </c>
      <c r="BT147" s="1">
        <v>71</v>
      </c>
      <c r="BU147" s="1">
        <v>72</v>
      </c>
      <c r="BV147" s="1">
        <v>73</v>
      </c>
      <c r="BW147" s="1">
        <v>74</v>
      </c>
      <c r="BX147" s="1">
        <v>75</v>
      </c>
      <c r="BY147" s="1">
        <v>76</v>
      </c>
      <c r="BZ147" s="1">
        <v>77</v>
      </c>
      <c r="CA147" s="1">
        <v>78</v>
      </c>
      <c r="CB147" s="1">
        <v>79</v>
      </c>
      <c r="CC147" s="1">
        <v>80</v>
      </c>
      <c r="CD147" s="1">
        <v>81</v>
      </c>
      <c r="CE147" s="1">
        <v>82</v>
      </c>
      <c r="CF147" s="1">
        <v>83</v>
      </c>
      <c r="CG147" s="1">
        <v>84</v>
      </c>
      <c r="CH147" s="1">
        <v>85</v>
      </c>
      <c r="CI147" s="1">
        <v>86</v>
      </c>
      <c r="CJ147" s="1">
        <v>87</v>
      </c>
      <c r="CK147" s="1">
        <v>88</v>
      </c>
      <c r="CL147" s="1">
        <v>89</v>
      </c>
      <c r="CM147" s="1">
        <v>90</v>
      </c>
      <c r="CN147" s="1">
        <v>91</v>
      </c>
      <c r="CO147" s="1">
        <v>92</v>
      </c>
      <c r="CP147" s="1">
        <v>93</v>
      </c>
      <c r="CQ147" s="1">
        <v>94</v>
      </c>
      <c r="CR147" s="1">
        <v>95</v>
      </c>
      <c r="CS147" s="1">
        <v>96</v>
      </c>
      <c r="CT147" s="1">
        <v>97</v>
      </c>
      <c r="CU147" s="1">
        <v>98</v>
      </c>
      <c r="CV147" s="1">
        <v>99</v>
      </c>
      <c r="CW147" s="1">
        <v>100</v>
      </c>
      <c r="CX147" s="1">
        <v>101</v>
      </c>
      <c r="CY147" s="1">
        <v>102</v>
      </c>
      <c r="CZ147" s="1">
        <v>103</v>
      </c>
      <c r="DA147" s="1">
        <v>104</v>
      </c>
      <c r="DB147" s="1">
        <v>105</v>
      </c>
      <c r="DC147" s="1">
        <v>106</v>
      </c>
      <c r="DD147" s="1">
        <v>107</v>
      </c>
      <c r="DE147" s="1">
        <v>108</v>
      </c>
      <c r="DF147" s="1">
        <v>109</v>
      </c>
      <c r="DG147" s="1">
        <v>110</v>
      </c>
      <c r="DH147" s="1">
        <v>111</v>
      </c>
      <c r="DI147" s="1">
        <v>112</v>
      </c>
      <c r="DJ147" s="1">
        <v>113</v>
      </c>
      <c r="DK147" s="1">
        <v>114</v>
      </c>
      <c r="DL147" s="1">
        <v>115</v>
      </c>
      <c r="DM147" s="1">
        <v>116</v>
      </c>
      <c r="DN147" s="1">
        <v>117</v>
      </c>
      <c r="DO147" s="1">
        <v>118</v>
      </c>
      <c r="DP147" s="1">
        <v>119</v>
      </c>
      <c r="DQ147" s="1">
        <v>120</v>
      </c>
      <c r="DR147" s="1">
        <v>121</v>
      </c>
      <c r="DS147" s="1">
        <v>122</v>
      </c>
      <c r="DT147" s="1">
        <v>123</v>
      </c>
      <c r="DU147" s="1">
        <v>124</v>
      </c>
      <c r="DV147" s="1">
        <v>125</v>
      </c>
      <c r="DW147" s="1">
        <v>126</v>
      </c>
      <c r="DX147" s="1">
        <v>127</v>
      </c>
      <c r="DY147" s="1">
        <v>128</v>
      </c>
      <c r="DZ147" s="1">
        <v>129</v>
      </c>
      <c r="EA147" s="1">
        <v>130</v>
      </c>
      <c r="EB147" s="1">
        <v>131</v>
      </c>
      <c r="EC147" s="1">
        <v>132</v>
      </c>
      <c r="ED147" s="1">
        <v>133</v>
      </c>
      <c r="EE147" s="1">
        <v>134</v>
      </c>
      <c r="EF147" s="1">
        <v>135</v>
      </c>
      <c r="EG147" s="1">
        <v>136</v>
      </c>
      <c r="EH147" s="1">
        <v>137</v>
      </c>
      <c r="EI147" s="1">
        <v>138</v>
      </c>
      <c r="EJ147" s="1">
        <v>139</v>
      </c>
      <c r="EK147" s="1">
        <v>140</v>
      </c>
      <c r="EL147" s="1">
        <v>141</v>
      </c>
      <c r="EM147" s="1">
        <v>142</v>
      </c>
      <c r="EN147" s="1">
        <v>143</v>
      </c>
      <c r="EO147" s="1">
        <v>144</v>
      </c>
      <c r="EP147" s="1">
        <v>145</v>
      </c>
      <c r="EQ147" s="1">
        <v>146</v>
      </c>
      <c r="ER147" s="1">
        <v>147</v>
      </c>
      <c r="ES147" s="1">
        <v>148</v>
      </c>
      <c r="ET147" s="1">
        <v>149</v>
      </c>
      <c r="EU147" s="1">
        <v>150</v>
      </c>
      <c r="EV147" s="1">
        <v>151</v>
      </c>
      <c r="EW147" s="1">
        <v>152</v>
      </c>
      <c r="EX147" s="1">
        <v>153</v>
      </c>
      <c r="EY147" s="1">
        <v>154</v>
      </c>
      <c r="EZ147" s="1">
        <v>155</v>
      </c>
      <c r="FA147" s="1">
        <v>156</v>
      </c>
      <c r="FB147" s="1">
        <v>157</v>
      </c>
      <c r="FC147" s="1">
        <v>158</v>
      </c>
      <c r="FD147" s="1">
        <v>159</v>
      </c>
      <c r="FE147" s="1">
        <v>160</v>
      </c>
      <c r="FF147" s="1">
        <v>161</v>
      </c>
      <c r="FG147" s="1">
        <v>162</v>
      </c>
      <c r="FH147" s="1">
        <v>163</v>
      </c>
      <c r="FI147" s="1">
        <v>164</v>
      </c>
      <c r="FJ147" s="1">
        <v>165</v>
      </c>
      <c r="FK147" s="1">
        <v>166</v>
      </c>
      <c r="FL147" s="1">
        <v>167</v>
      </c>
      <c r="FM147" s="1">
        <v>168</v>
      </c>
    </row>
    <row r="148" spans="2:169" hidden="1"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5"/>
      <c r="CW148" s="5"/>
      <c r="CX148" s="45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5"/>
      <c r="DM148" s="5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5"/>
      <c r="EI148" s="5"/>
      <c r="EJ148" s="5"/>
      <c r="EK148" s="5"/>
      <c r="EL148" s="5"/>
      <c r="EM148" s="5"/>
      <c r="EN148" s="1"/>
      <c r="EO148" s="5"/>
    </row>
    <row r="149" spans="2:169" hidden="1"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5"/>
      <c r="CW149" s="5"/>
      <c r="CX149" s="45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5"/>
      <c r="DM149" s="5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5"/>
      <c r="EI149" s="5"/>
      <c r="EJ149" s="5"/>
      <c r="EK149" s="5"/>
      <c r="EL149" s="5"/>
      <c r="EM149" s="5"/>
      <c r="EN149" s="1"/>
      <c r="EO149" s="5"/>
    </row>
    <row r="150" spans="2:169" hidden="1"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5"/>
      <c r="CW150" s="5"/>
      <c r="CX150" s="45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5"/>
      <c r="DM150" s="5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5"/>
      <c r="EI150" s="5"/>
      <c r="EJ150" s="5"/>
      <c r="EK150" s="5"/>
      <c r="EL150" s="5"/>
      <c r="EM150" s="5"/>
      <c r="EN150" s="1"/>
      <c r="EO150" s="5"/>
    </row>
    <row r="151" spans="2:169" hidden="1"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5"/>
      <c r="CW151" s="5"/>
      <c r="CX151" s="45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5"/>
      <c r="DM151" s="5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5"/>
      <c r="EI151" s="5"/>
      <c r="EJ151" s="5"/>
      <c r="EK151" s="5"/>
      <c r="EL151" s="5"/>
      <c r="EM151" s="5"/>
      <c r="EN151" s="1"/>
      <c r="EO151" s="5"/>
    </row>
    <row r="152" spans="2:169" hidden="1"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5"/>
      <c r="CW152" s="5"/>
      <c r="CX152" s="45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5"/>
      <c r="DM152" s="5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5"/>
      <c r="EI152" s="5"/>
      <c r="EJ152" s="5"/>
      <c r="EK152" s="5"/>
      <c r="EL152" s="5"/>
      <c r="EM152" s="5"/>
      <c r="EN152" s="1"/>
      <c r="EO152" s="5"/>
    </row>
    <row r="153" spans="2:169" hidden="1"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5"/>
      <c r="CW153" s="5"/>
      <c r="CX153" s="45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5"/>
      <c r="DM153" s="5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5"/>
      <c r="EI153" s="5"/>
      <c r="EJ153" s="5"/>
      <c r="EK153" s="5"/>
      <c r="EL153" s="5"/>
      <c r="EM153" s="5"/>
      <c r="EN153" s="1"/>
      <c r="EO153" s="5"/>
    </row>
    <row r="154" spans="2:169" hidden="1"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5"/>
      <c r="CW154" s="5"/>
      <c r="CX154" s="45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5"/>
      <c r="DM154" s="5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5"/>
      <c r="EI154" s="5"/>
      <c r="EJ154" s="5"/>
      <c r="EK154" s="5"/>
      <c r="EL154" s="5"/>
      <c r="EM154" s="5"/>
      <c r="EN154" s="1"/>
      <c r="EO154" s="5"/>
    </row>
    <row r="155" spans="2:169" hidden="1"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5"/>
      <c r="CW155" s="5"/>
      <c r="CX155" s="45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5"/>
      <c r="DM155" s="5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5"/>
      <c r="EI155" s="5"/>
      <c r="EJ155" s="5"/>
      <c r="EK155" s="5"/>
      <c r="EL155" s="5"/>
      <c r="EM155" s="5"/>
      <c r="EN155" s="1"/>
      <c r="EO155" s="5"/>
    </row>
    <row r="156" spans="2:169" hidden="1"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5"/>
      <c r="CW156" s="5"/>
      <c r="CX156" s="45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5"/>
      <c r="DM156" s="5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5"/>
      <c r="EI156" s="5"/>
      <c r="EJ156" s="5"/>
      <c r="EK156" s="5"/>
      <c r="EL156" s="5"/>
      <c r="EM156" s="5"/>
      <c r="EN156" s="1"/>
      <c r="EO156" s="5"/>
    </row>
    <row r="157" spans="2:169" hidden="1"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5"/>
      <c r="CW157" s="5"/>
      <c r="CX157" s="45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5"/>
      <c r="DM157" s="5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5"/>
      <c r="EI157" s="5"/>
      <c r="EJ157" s="5"/>
      <c r="EK157" s="5"/>
      <c r="EL157" s="5"/>
      <c r="EM157" s="5"/>
      <c r="EN157" s="1"/>
      <c r="EO157" s="5"/>
    </row>
    <row r="158" spans="2:169" hidden="1"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5"/>
      <c r="CW158" s="5"/>
      <c r="CX158" s="45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5"/>
      <c r="DM158" s="5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5"/>
      <c r="EI158" s="5"/>
      <c r="EJ158" s="5"/>
      <c r="EK158" s="5"/>
      <c r="EL158" s="5"/>
      <c r="EM158" s="5"/>
      <c r="EN158" s="1"/>
      <c r="EO158" s="5"/>
    </row>
    <row r="159" spans="2:169" hidden="1"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5"/>
      <c r="CW159" s="5"/>
      <c r="CX159" s="45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5"/>
      <c r="DM159" s="5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5"/>
      <c r="EI159" s="5"/>
      <c r="EJ159" s="5"/>
      <c r="EK159" s="5"/>
      <c r="EL159" s="5"/>
      <c r="EM159" s="5"/>
      <c r="EN159" s="1"/>
      <c r="EO159" s="5"/>
    </row>
    <row r="160" spans="2:169" hidden="1"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5"/>
      <c r="CW160" s="5"/>
      <c r="CX160" s="45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5"/>
      <c r="DM160" s="5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5"/>
      <c r="EI160" s="5"/>
      <c r="EJ160" s="5"/>
      <c r="EK160" s="5"/>
      <c r="EL160" s="5"/>
      <c r="EM160" s="5"/>
      <c r="EN160" s="1"/>
      <c r="EO160" s="5"/>
    </row>
    <row r="161" spans="90:145" hidden="1"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5"/>
      <c r="CW161" s="5"/>
      <c r="CX161" s="45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5"/>
      <c r="DM161" s="5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5"/>
      <c r="EI161" s="5"/>
      <c r="EJ161" s="5"/>
      <c r="EK161" s="5"/>
      <c r="EL161" s="5"/>
      <c r="EM161" s="5"/>
      <c r="EN161" s="1"/>
      <c r="EO161" s="5"/>
    </row>
    <row r="162" spans="90:145" hidden="1"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5"/>
      <c r="CW162" s="5"/>
      <c r="CX162" s="45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5"/>
      <c r="DM162" s="5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5"/>
      <c r="EI162" s="5"/>
      <c r="EJ162" s="5"/>
      <c r="EK162" s="5"/>
      <c r="EL162" s="5"/>
      <c r="EM162" s="5"/>
      <c r="EN162" s="1"/>
      <c r="EO162" s="5"/>
    </row>
    <row r="163" spans="90:145" hidden="1"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5"/>
      <c r="CW163" s="5"/>
      <c r="CX163" s="45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5"/>
      <c r="DM163" s="5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5"/>
      <c r="EI163" s="5"/>
      <c r="EJ163" s="5"/>
      <c r="EK163" s="5"/>
      <c r="EL163" s="5"/>
      <c r="EM163" s="5"/>
      <c r="EN163" s="1"/>
      <c r="EO163" s="5"/>
    </row>
    <row r="164" spans="90:145" hidden="1"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5"/>
      <c r="CW164" s="5"/>
      <c r="CX164" s="45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5"/>
      <c r="DM164" s="5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5"/>
      <c r="EI164" s="5"/>
      <c r="EJ164" s="5"/>
      <c r="EK164" s="5"/>
      <c r="EL164" s="5"/>
      <c r="EM164" s="5"/>
      <c r="EN164" s="1"/>
      <c r="EO164" s="5"/>
    </row>
    <row r="165" spans="90:145" hidden="1"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5"/>
      <c r="CW165" s="5"/>
      <c r="CX165" s="45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5"/>
      <c r="DM165" s="5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5"/>
      <c r="EI165" s="5"/>
      <c r="EJ165" s="5"/>
      <c r="EK165" s="5"/>
      <c r="EL165" s="5"/>
      <c r="EM165" s="5"/>
      <c r="EN165" s="1"/>
      <c r="EO165" s="5"/>
    </row>
    <row r="166" spans="90:145" hidden="1"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5"/>
      <c r="CW166" s="5"/>
      <c r="CX166" s="45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5"/>
      <c r="DM166" s="5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5"/>
      <c r="EI166" s="5"/>
      <c r="EJ166" s="5"/>
      <c r="EK166" s="5"/>
      <c r="EL166" s="5"/>
      <c r="EM166" s="5"/>
      <c r="EN166" s="1"/>
      <c r="EO166" s="5"/>
    </row>
    <row r="167" spans="90:145" hidden="1"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5"/>
      <c r="CW167" s="5"/>
      <c r="CX167" s="45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5"/>
      <c r="DM167" s="5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5"/>
      <c r="EI167" s="5"/>
      <c r="EJ167" s="5"/>
      <c r="EK167" s="5"/>
      <c r="EL167" s="5"/>
      <c r="EM167" s="5"/>
      <c r="EN167" s="1"/>
      <c r="EO167" s="5"/>
    </row>
    <row r="168" spans="90:145" hidden="1"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5"/>
      <c r="CW168" s="5"/>
      <c r="CX168" s="45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5"/>
      <c r="DM168" s="5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5"/>
      <c r="EI168" s="5"/>
      <c r="EJ168" s="5"/>
      <c r="EK168" s="5"/>
      <c r="EL168" s="5"/>
      <c r="EM168" s="5"/>
      <c r="EN168" s="1"/>
      <c r="EO168" s="5"/>
    </row>
    <row r="169" spans="90:145" hidden="1"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5"/>
      <c r="CW169" s="5"/>
      <c r="CX169" s="45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5"/>
      <c r="DM169" s="5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5"/>
      <c r="EI169" s="5"/>
      <c r="EJ169" s="5"/>
      <c r="EK169" s="5"/>
      <c r="EL169" s="5"/>
      <c r="EM169" s="5"/>
      <c r="EN169" s="1"/>
      <c r="EO169" s="5"/>
    </row>
    <row r="170" spans="90:145" hidden="1"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5"/>
      <c r="CW170" s="5"/>
      <c r="CX170" s="45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5"/>
      <c r="DM170" s="5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5"/>
      <c r="EI170" s="5"/>
      <c r="EJ170" s="5"/>
      <c r="EK170" s="5"/>
      <c r="EL170" s="5"/>
      <c r="EM170" s="5"/>
      <c r="EN170" s="1"/>
      <c r="EO170" s="5"/>
    </row>
    <row r="171" spans="90:145" hidden="1"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5"/>
      <c r="CW171" s="5"/>
      <c r="CX171" s="45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5"/>
      <c r="DM171" s="5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5"/>
      <c r="EI171" s="5"/>
      <c r="EJ171" s="5"/>
      <c r="EK171" s="5"/>
      <c r="EL171" s="5"/>
      <c r="EM171" s="5"/>
      <c r="EN171" s="1"/>
      <c r="EO171" s="5"/>
    </row>
    <row r="172" spans="90:145" hidden="1"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5"/>
      <c r="CW172" s="5"/>
      <c r="CX172" s="45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5"/>
      <c r="DM172" s="5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5"/>
      <c r="EI172" s="5"/>
      <c r="EJ172" s="5"/>
      <c r="EK172" s="5"/>
      <c r="EL172" s="5"/>
      <c r="EM172" s="5"/>
      <c r="EN172" s="1"/>
      <c r="EO172" s="5"/>
    </row>
    <row r="173" spans="90:145" hidden="1"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5"/>
      <c r="CW173" s="5"/>
      <c r="CX173" s="45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5"/>
      <c r="DM173" s="5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5"/>
      <c r="EI173" s="5"/>
      <c r="EJ173" s="5"/>
      <c r="EK173" s="5"/>
      <c r="EL173" s="5"/>
      <c r="EM173" s="5"/>
      <c r="EN173" s="1"/>
      <c r="EO173" s="5"/>
    </row>
    <row r="174" spans="90:145" hidden="1"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5"/>
      <c r="CW174" s="5"/>
      <c r="CX174" s="45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5"/>
      <c r="DM174" s="5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5"/>
      <c r="EI174" s="5"/>
      <c r="EJ174" s="5"/>
      <c r="EK174" s="5"/>
      <c r="EL174" s="5"/>
      <c r="EM174" s="5"/>
      <c r="EN174" s="1"/>
      <c r="EO174" s="5"/>
    </row>
    <row r="175" spans="90:145" hidden="1"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5"/>
      <c r="CW175" s="5"/>
      <c r="CX175" s="45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5"/>
      <c r="DM175" s="5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5"/>
      <c r="EI175" s="5"/>
      <c r="EJ175" s="5"/>
      <c r="EK175" s="5"/>
      <c r="EL175" s="5"/>
      <c r="EM175" s="5"/>
      <c r="EN175" s="1"/>
      <c r="EO175" s="5"/>
    </row>
    <row r="176" spans="90:145" hidden="1"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5"/>
      <c r="CW176" s="5"/>
      <c r="CX176" s="45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5"/>
      <c r="DM176" s="5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5"/>
      <c r="EI176" s="5"/>
      <c r="EJ176" s="5"/>
      <c r="EK176" s="5"/>
      <c r="EL176" s="5"/>
      <c r="EM176" s="5"/>
      <c r="EN176" s="1"/>
      <c r="EO176" s="5"/>
    </row>
    <row r="177" spans="90:145" hidden="1"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5"/>
      <c r="CW177" s="5"/>
      <c r="CX177" s="45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5"/>
      <c r="DM177" s="5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5"/>
      <c r="EI177" s="5"/>
      <c r="EJ177" s="5"/>
      <c r="EK177" s="5"/>
      <c r="EL177" s="5"/>
      <c r="EM177" s="5"/>
      <c r="EN177" s="1"/>
      <c r="EO177" s="5"/>
    </row>
    <row r="178" spans="90:145" hidden="1"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5"/>
      <c r="CW178" s="5"/>
      <c r="CX178" s="45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5"/>
      <c r="DM178" s="5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5"/>
      <c r="EI178" s="5"/>
      <c r="EJ178" s="5"/>
      <c r="EK178" s="5"/>
      <c r="EL178" s="5"/>
      <c r="EM178" s="5"/>
      <c r="EN178" s="1"/>
      <c r="EO178" s="5"/>
    </row>
    <row r="179" spans="90:145" hidden="1"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5"/>
      <c r="CW179" s="5"/>
      <c r="CX179" s="45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5"/>
      <c r="DM179" s="5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5"/>
      <c r="EI179" s="5"/>
      <c r="EJ179" s="5"/>
      <c r="EK179" s="5"/>
      <c r="EL179" s="5"/>
      <c r="EM179" s="5"/>
      <c r="EN179" s="1"/>
      <c r="EO179" s="5"/>
    </row>
    <row r="180" spans="90:145" hidden="1"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5"/>
      <c r="CW180" s="5"/>
      <c r="CX180" s="45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5"/>
      <c r="DM180" s="5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5"/>
      <c r="EI180" s="5"/>
      <c r="EJ180" s="5"/>
      <c r="EK180" s="5"/>
      <c r="EL180" s="5"/>
      <c r="EM180" s="5"/>
      <c r="EN180" s="1"/>
      <c r="EO180" s="5"/>
    </row>
    <row r="181" spans="90:145" hidden="1"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5"/>
      <c r="CW181" s="5"/>
      <c r="CX181" s="45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5"/>
      <c r="DM181" s="5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5"/>
      <c r="EI181" s="5"/>
      <c r="EJ181" s="5"/>
      <c r="EK181" s="5"/>
      <c r="EL181" s="5"/>
      <c r="EM181" s="5"/>
      <c r="EN181" s="1"/>
      <c r="EO181" s="5"/>
    </row>
    <row r="182" spans="90:145" hidden="1"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5"/>
      <c r="CW182" s="5"/>
      <c r="CX182" s="45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5"/>
      <c r="DM182" s="5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5"/>
      <c r="EI182" s="5"/>
      <c r="EJ182" s="5"/>
      <c r="EK182" s="5"/>
      <c r="EL182" s="5"/>
      <c r="EM182" s="5"/>
      <c r="EN182" s="1"/>
      <c r="EO182" s="5"/>
    </row>
    <row r="183" spans="90:145" hidden="1"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5"/>
      <c r="CW183" s="5"/>
      <c r="CX183" s="45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5"/>
      <c r="DM183" s="5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5"/>
      <c r="EI183" s="5"/>
      <c r="EJ183" s="5"/>
      <c r="EK183" s="5"/>
      <c r="EL183" s="5"/>
      <c r="EM183" s="5"/>
      <c r="EN183" s="1"/>
      <c r="EO183" s="5"/>
    </row>
    <row r="184" spans="90:145" hidden="1"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5"/>
      <c r="CW184" s="5"/>
      <c r="CX184" s="45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5"/>
      <c r="DM184" s="5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5"/>
      <c r="EI184" s="5"/>
      <c r="EJ184" s="5"/>
      <c r="EK184" s="5"/>
      <c r="EL184" s="5"/>
      <c r="EM184" s="5"/>
      <c r="EN184" s="1"/>
      <c r="EO184" s="5"/>
    </row>
    <row r="185" spans="90:145" hidden="1"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5"/>
      <c r="CW185" s="5"/>
      <c r="CX185" s="45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5"/>
      <c r="DM185" s="5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5"/>
      <c r="EI185" s="5"/>
      <c r="EJ185" s="5"/>
      <c r="EK185" s="5"/>
      <c r="EL185" s="5"/>
      <c r="EM185" s="5"/>
      <c r="EN185" s="1"/>
      <c r="EO185" s="5"/>
    </row>
    <row r="186" spans="90:145" hidden="1"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5"/>
      <c r="CW186" s="5"/>
      <c r="CX186" s="45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5"/>
      <c r="DM186" s="5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5"/>
      <c r="EI186" s="5"/>
      <c r="EJ186" s="5"/>
      <c r="EK186" s="5"/>
      <c r="EL186" s="5"/>
      <c r="EM186" s="5"/>
      <c r="EN186" s="1"/>
      <c r="EO186" s="5"/>
    </row>
    <row r="187" spans="90:145" hidden="1"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5"/>
      <c r="CW187" s="5"/>
      <c r="CX187" s="45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5"/>
      <c r="DM187" s="5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5"/>
      <c r="EI187" s="5"/>
      <c r="EJ187" s="5"/>
      <c r="EK187" s="5"/>
      <c r="EL187" s="5"/>
      <c r="EM187" s="5"/>
      <c r="EN187" s="1"/>
      <c r="EO187" s="5"/>
    </row>
    <row r="188" spans="90:145" hidden="1"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5"/>
      <c r="CW188" s="5"/>
      <c r="CX188" s="45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5"/>
      <c r="DM188" s="5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5"/>
      <c r="EI188" s="5"/>
      <c r="EJ188" s="5"/>
      <c r="EK188" s="5"/>
      <c r="EL188" s="5"/>
      <c r="EM188" s="5"/>
      <c r="EN188" s="1"/>
      <c r="EO188" s="5"/>
    </row>
    <row r="189" spans="90:145" hidden="1"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5"/>
      <c r="CW189" s="5"/>
      <c r="CX189" s="45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5"/>
      <c r="DM189" s="5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5"/>
      <c r="EI189" s="5"/>
      <c r="EJ189" s="5"/>
      <c r="EK189" s="5"/>
      <c r="EL189" s="5"/>
      <c r="EM189" s="5"/>
      <c r="EN189" s="1"/>
      <c r="EO189" s="5"/>
    </row>
    <row r="190" spans="90:145" hidden="1"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5"/>
      <c r="CW190" s="5"/>
      <c r="CX190" s="45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5"/>
      <c r="DM190" s="5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5"/>
      <c r="EI190" s="5"/>
      <c r="EJ190" s="5"/>
      <c r="EK190" s="5"/>
      <c r="EL190" s="5"/>
      <c r="EM190" s="5"/>
      <c r="EN190" s="1"/>
      <c r="EO190" s="5"/>
    </row>
    <row r="191" spans="90:145" hidden="1"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5"/>
      <c r="CW191" s="5"/>
      <c r="CX191" s="45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5"/>
      <c r="DM191" s="5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5"/>
      <c r="EI191" s="5"/>
      <c r="EJ191" s="5"/>
      <c r="EK191" s="5"/>
      <c r="EL191" s="5"/>
      <c r="EM191" s="5"/>
      <c r="EN191" s="1"/>
      <c r="EO191" s="5"/>
    </row>
    <row r="192" spans="90:145" hidden="1"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5"/>
      <c r="CW192" s="5"/>
      <c r="CX192" s="45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5"/>
      <c r="DM192" s="5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5"/>
      <c r="EI192" s="5"/>
      <c r="EJ192" s="5"/>
      <c r="EK192" s="5"/>
      <c r="EL192" s="5"/>
      <c r="EM192" s="5"/>
      <c r="EN192" s="1"/>
      <c r="EO192" s="5"/>
    </row>
    <row r="193" spans="90:145" hidden="1"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5"/>
      <c r="CW193" s="5"/>
      <c r="CX193" s="45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5"/>
      <c r="DM193" s="5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5"/>
      <c r="EI193" s="5"/>
      <c r="EJ193" s="5"/>
      <c r="EK193" s="5"/>
      <c r="EL193" s="5"/>
      <c r="EM193" s="5"/>
      <c r="EN193" s="1"/>
      <c r="EO193" s="5"/>
    </row>
    <row r="194" spans="90:145" hidden="1"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5"/>
      <c r="CW194" s="5"/>
      <c r="CX194" s="45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5"/>
      <c r="DM194" s="5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5"/>
      <c r="EI194" s="5"/>
      <c r="EJ194" s="5"/>
      <c r="EK194" s="5"/>
      <c r="EL194" s="5"/>
      <c r="EM194" s="5"/>
      <c r="EN194" s="1"/>
      <c r="EO194" s="5"/>
    </row>
    <row r="195" spans="90:145" hidden="1"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5"/>
      <c r="CW195" s="5"/>
      <c r="CX195" s="45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5"/>
      <c r="DM195" s="5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5"/>
      <c r="EI195" s="5"/>
      <c r="EJ195" s="5"/>
      <c r="EK195" s="5"/>
      <c r="EL195" s="5"/>
      <c r="EM195" s="5"/>
      <c r="EN195" s="1"/>
      <c r="EO195" s="5"/>
    </row>
    <row r="196" spans="90:145" hidden="1"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5"/>
      <c r="CW196" s="5"/>
      <c r="CX196" s="45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5"/>
      <c r="DM196" s="5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5"/>
      <c r="EI196" s="5"/>
      <c r="EJ196" s="5"/>
      <c r="EK196" s="5"/>
      <c r="EL196" s="5"/>
      <c r="EM196" s="5"/>
      <c r="EN196" s="1"/>
      <c r="EO196" s="5"/>
    </row>
    <row r="197" spans="90:145" hidden="1"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5"/>
      <c r="CW197" s="5"/>
      <c r="CX197" s="45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5"/>
      <c r="DM197" s="5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5"/>
      <c r="EI197" s="5"/>
      <c r="EJ197" s="5"/>
      <c r="EK197" s="5"/>
      <c r="EL197" s="5"/>
      <c r="EM197" s="5"/>
      <c r="EN197" s="1"/>
      <c r="EO197" s="5"/>
    </row>
    <row r="198" spans="90:145" hidden="1"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5"/>
      <c r="CW198" s="5"/>
      <c r="CX198" s="45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5"/>
      <c r="DM198" s="5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5"/>
      <c r="EI198" s="5"/>
      <c r="EJ198" s="5"/>
      <c r="EK198" s="5"/>
      <c r="EL198" s="5"/>
      <c r="EM198" s="5"/>
      <c r="EN198" s="1"/>
      <c r="EO198" s="5"/>
    </row>
    <row r="199" spans="90:145" hidden="1"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5"/>
      <c r="CW199" s="5"/>
      <c r="CX199" s="45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5"/>
      <c r="DM199" s="5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5"/>
      <c r="EI199" s="5"/>
      <c r="EJ199" s="5"/>
      <c r="EK199" s="5"/>
      <c r="EL199" s="5"/>
      <c r="EM199" s="5"/>
      <c r="EN199" s="1"/>
      <c r="EO199" s="5"/>
    </row>
    <row r="200" spans="90:145" hidden="1"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5"/>
      <c r="CW200" s="5"/>
      <c r="CX200" s="45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5"/>
      <c r="DM200" s="5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5"/>
      <c r="EI200" s="5"/>
      <c r="EJ200" s="5"/>
      <c r="EK200" s="5"/>
      <c r="EL200" s="5"/>
      <c r="EM200" s="5"/>
      <c r="EN200" s="1"/>
      <c r="EO200" s="5"/>
    </row>
    <row r="201" spans="90:145" hidden="1"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5"/>
      <c r="CW201" s="5"/>
      <c r="CX201" s="45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5"/>
      <c r="DM201" s="5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5"/>
      <c r="EI201" s="5"/>
      <c r="EJ201" s="5"/>
      <c r="EK201" s="5"/>
      <c r="EL201" s="5"/>
      <c r="EM201" s="5"/>
      <c r="EN201" s="1"/>
      <c r="EO201" s="5"/>
    </row>
    <row r="202" spans="90:145" hidden="1"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5"/>
      <c r="CW202" s="5"/>
      <c r="CX202" s="45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5"/>
      <c r="DM202" s="5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5"/>
      <c r="EI202" s="5"/>
      <c r="EJ202" s="5"/>
      <c r="EK202" s="5"/>
      <c r="EL202" s="5"/>
      <c r="EM202" s="5"/>
      <c r="EN202" s="1"/>
      <c r="EO202" s="5"/>
    </row>
    <row r="203" spans="90:145" hidden="1"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5"/>
      <c r="CW203" s="5"/>
      <c r="CX203" s="45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5"/>
      <c r="DM203" s="5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5"/>
      <c r="EI203" s="5"/>
      <c r="EJ203" s="5"/>
      <c r="EK203" s="5"/>
      <c r="EL203" s="5"/>
      <c r="EM203" s="5"/>
      <c r="EN203" s="1"/>
      <c r="EO203" s="5"/>
    </row>
    <row r="204" spans="90:145" hidden="1"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5"/>
      <c r="CW204" s="5"/>
      <c r="CX204" s="45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5"/>
      <c r="DM204" s="5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5"/>
      <c r="EI204" s="5"/>
      <c r="EJ204" s="5"/>
      <c r="EK204" s="5"/>
      <c r="EL204" s="5"/>
      <c r="EM204" s="5"/>
      <c r="EN204" s="1"/>
      <c r="EO204" s="5"/>
    </row>
    <row r="205" spans="90:145" hidden="1"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5"/>
      <c r="CW205" s="5"/>
      <c r="CX205" s="45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5"/>
      <c r="DM205" s="5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5"/>
      <c r="EI205" s="5"/>
      <c r="EJ205" s="5"/>
      <c r="EK205" s="5"/>
      <c r="EL205" s="5"/>
      <c r="EM205" s="5"/>
      <c r="EN205" s="1"/>
      <c r="EO205" s="5"/>
    </row>
    <row r="206" spans="90:145" hidden="1"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5"/>
      <c r="CW206" s="5"/>
      <c r="CX206" s="45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5"/>
      <c r="DM206" s="5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5"/>
      <c r="EI206" s="5"/>
      <c r="EJ206" s="5"/>
      <c r="EK206" s="5"/>
      <c r="EL206" s="5"/>
      <c r="EM206" s="5"/>
      <c r="EN206" s="1"/>
      <c r="EO206" s="5"/>
    </row>
    <row r="207" spans="90:145" hidden="1"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5"/>
      <c r="CW207" s="5"/>
      <c r="CX207" s="45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5"/>
      <c r="DM207" s="5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5"/>
      <c r="EI207" s="5"/>
      <c r="EJ207" s="5"/>
      <c r="EK207" s="5"/>
      <c r="EL207" s="5"/>
      <c r="EM207" s="5"/>
      <c r="EN207" s="1"/>
      <c r="EO207" s="5"/>
    </row>
    <row r="208" spans="90:145" hidden="1"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5"/>
      <c r="CW208" s="5"/>
      <c r="CX208" s="45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5"/>
      <c r="DM208" s="5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5"/>
      <c r="EI208" s="5"/>
      <c r="EJ208" s="5"/>
      <c r="EK208" s="5"/>
      <c r="EL208" s="5"/>
      <c r="EM208" s="5"/>
      <c r="EN208" s="1"/>
      <c r="EO208" s="5"/>
    </row>
    <row r="209" spans="90:145" hidden="1"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5"/>
      <c r="CW209" s="5"/>
      <c r="CX209" s="45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5"/>
      <c r="DM209" s="5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5"/>
      <c r="EI209" s="5"/>
      <c r="EJ209" s="5"/>
      <c r="EK209" s="5"/>
      <c r="EL209" s="5"/>
      <c r="EM209" s="5"/>
      <c r="EN209" s="1"/>
      <c r="EO209" s="5"/>
    </row>
    <row r="210" spans="90:145" hidden="1"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5"/>
      <c r="CW210" s="5"/>
      <c r="CX210" s="45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5"/>
      <c r="DM210" s="5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5"/>
      <c r="EI210" s="5"/>
      <c r="EJ210" s="5"/>
      <c r="EK210" s="5"/>
      <c r="EL210" s="5"/>
      <c r="EM210" s="5"/>
      <c r="EN210" s="1"/>
      <c r="EO210" s="5"/>
    </row>
    <row r="211" spans="90:145" hidden="1"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5"/>
      <c r="CW211" s="5"/>
      <c r="CX211" s="45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5"/>
      <c r="DM211" s="5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5"/>
      <c r="EI211" s="5"/>
      <c r="EJ211" s="5"/>
      <c r="EK211" s="5"/>
      <c r="EL211" s="5"/>
      <c r="EM211" s="5"/>
      <c r="EN211" s="1"/>
      <c r="EO211" s="5"/>
    </row>
    <row r="212" spans="90:145" hidden="1"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5"/>
      <c r="CW212" s="5"/>
      <c r="CX212" s="45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5"/>
      <c r="DM212" s="5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5"/>
      <c r="EI212" s="5"/>
      <c r="EJ212" s="5"/>
      <c r="EK212" s="5"/>
      <c r="EL212" s="5"/>
      <c r="EM212" s="5"/>
      <c r="EN212" s="1"/>
      <c r="EO212" s="5"/>
    </row>
    <row r="213" spans="90:145" hidden="1"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5"/>
      <c r="CW213" s="5"/>
      <c r="CX213" s="45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5"/>
      <c r="DM213" s="5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5"/>
      <c r="EI213" s="5"/>
      <c r="EJ213" s="5"/>
      <c r="EK213" s="5"/>
      <c r="EL213" s="5"/>
      <c r="EM213" s="5"/>
      <c r="EN213" s="1"/>
      <c r="EO213" s="5"/>
    </row>
    <row r="214" spans="90:145" hidden="1"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5"/>
      <c r="CW214" s="5"/>
      <c r="CX214" s="45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5"/>
      <c r="DM214" s="5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5"/>
      <c r="EI214" s="5"/>
      <c r="EJ214" s="5"/>
      <c r="EK214" s="5"/>
      <c r="EL214" s="5"/>
      <c r="EM214" s="5"/>
      <c r="EN214" s="1"/>
      <c r="EO214" s="5"/>
    </row>
    <row r="215" spans="90:145" hidden="1"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5"/>
      <c r="CW215" s="5"/>
      <c r="CX215" s="45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5"/>
      <c r="DM215" s="5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5"/>
      <c r="EI215" s="5"/>
      <c r="EJ215" s="5"/>
      <c r="EK215" s="5"/>
      <c r="EL215" s="5"/>
      <c r="EM215" s="5"/>
      <c r="EN215" s="1"/>
      <c r="EO215" s="5"/>
    </row>
    <row r="216" spans="90:145" hidden="1"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5"/>
      <c r="CW216" s="5"/>
      <c r="CX216" s="45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5"/>
      <c r="DM216" s="5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5"/>
      <c r="EI216" s="5"/>
      <c r="EJ216" s="5"/>
      <c r="EK216" s="5"/>
      <c r="EL216" s="5"/>
      <c r="EM216" s="5"/>
      <c r="EN216" s="1"/>
      <c r="EO216" s="5"/>
    </row>
    <row r="217" spans="90:145" hidden="1"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5"/>
      <c r="CW217" s="5"/>
      <c r="CX217" s="45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5"/>
      <c r="DM217" s="5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5"/>
      <c r="EI217" s="5"/>
      <c r="EJ217" s="5"/>
      <c r="EK217" s="5"/>
      <c r="EL217" s="5"/>
      <c r="EM217" s="5"/>
      <c r="EN217" s="1"/>
      <c r="EO217" s="5"/>
    </row>
    <row r="218" spans="90:145" hidden="1"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5"/>
      <c r="CW218" s="5"/>
      <c r="CX218" s="45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5"/>
      <c r="DM218" s="5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5"/>
      <c r="EI218" s="5"/>
      <c r="EJ218" s="5"/>
      <c r="EK218" s="5"/>
      <c r="EL218" s="5"/>
      <c r="EM218" s="5"/>
      <c r="EN218" s="1"/>
      <c r="EO218" s="5"/>
    </row>
    <row r="219" spans="90:145" hidden="1"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5"/>
      <c r="CW219" s="5"/>
      <c r="CX219" s="45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5"/>
      <c r="DM219" s="5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5"/>
      <c r="EI219" s="5"/>
      <c r="EJ219" s="5"/>
      <c r="EK219" s="5"/>
      <c r="EL219" s="5"/>
      <c r="EM219" s="5"/>
      <c r="EN219" s="1"/>
      <c r="EO219" s="5"/>
    </row>
    <row r="220" spans="90:145" hidden="1"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5"/>
      <c r="CW220" s="5"/>
      <c r="CX220" s="45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5"/>
      <c r="DM220" s="5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5"/>
      <c r="EI220" s="5"/>
      <c r="EJ220" s="5"/>
      <c r="EK220" s="5"/>
      <c r="EL220" s="5"/>
      <c r="EM220" s="5"/>
      <c r="EN220" s="1"/>
      <c r="EO220" s="5"/>
    </row>
    <row r="221" spans="90:145" hidden="1"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5"/>
      <c r="CW221" s="5"/>
      <c r="CX221" s="45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5"/>
      <c r="DM221" s="5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5"/>
      <c r="EI221" s="5"/>
      <c r="EJ221" s="5"/>
      <c r="EK221" s="5"/>
      <c r="EL221" s="5"/>
      <c r="EM221" s="5"/>
      <c r="EN221" s="1"/>
      <c r="EO221" s="5"/>
    </row>
    <row r="222" spans="90:145" hidden="1"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5"/>
      <c r="CW222" s="5"/>
      <c r="CX222" s="45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5"/>
      <c r="DM222" s="5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5"/>
      <c r="EI222" s="5"/>
      <c r="EJ222" s="5"/>
      <c r="EK222" s="5"/>
      <c r="EL222" s="5"/>
      <c r="EM222" s="5"/>
      <c r="EN222" s="1"/>
      <c r="EO222" s="5"/>
    </row>
    <row r="223" spans="90:145" hidden="1"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5"/>
      <c r="CW223" s="5"/>
      <c r="CX223" s="45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5"/>
      <c r="DM223" s="5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5"/>
      <c r="EI223" s="5"/>
      <c r="EJ223" s="5"/>
      <c r="EK223" s="5"/>
      <c r="EL223" s="5"/>
      <c r="EM223" s="5"/>
      <c r="EN223" s="1"/>
      <c r="EO223" s="5"/>
    </row>
    <row r="224" spans="90:145" hidden="1"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5"/>
      <c r="CW224" s="5"/>
      <c r="CX224" s="45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5"/>
      <c r="DM224" s="5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5"/>
      <c r="EI224" s="5"/>
      <c r="EJ224" s="5"/>
      <c r="EK224" s="5"/>
      <c r="EL224" s="5"/>
      <c r="EM224" s="5"/>
      <c r="EN224" s="1"/>
      <c r="EO224" s="5"/>
    </row>
    <row r="225" spans="90:145" hidden="1"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5"/>
      <c r="CW225" s="5"/>
      <c r="CX225" s="45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5"/>
      <c r="DM225" s="5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5"/>
      <c r="EI225" s="5"/>
      <c r="EJ225" s="5"/>
      <c r="EK225" s="5"/>
      <c r="EL225" s="5"/>
      <c r="EM225" s="5"/>
      <c r="EN225" s="1"/>
      <c r="EO225" s="5"/>
    </row>
    <row r="226" spans="90:145" hidden="1"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5"/>
      <c r="CW226" s="5"/>
      <c r="CX226" s="45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5"/>
      <c r="DM226" s="5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5"/>
      <c r="EI226" s="5"/>
      <c r="EJ226" s="5"/>
      <c r="EK226" s="5"/>
      <c r="EL226" s="5"/>
      <c r="EM226" s="5"/>
      <c r="EN226" s="1"/>
      <c r="EO226" s="5"/>
    </row>
    <row r="227" spans="90:145" hidden="1"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5"/>
      <c r="CW227" s="5"/>
      <c r="CX227" s="45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5"/>
      <c r="DM227" s="5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5"/>
      <c r="EI227" s="5"/>
      <c r="EJ227" s="5"/>
      <c r="EK227" s="5"/>
      <c r="EL227" s="5"/>
      <c r="EM227" s="5"/>
      <c r="EN227" s="1"/>
      <c r="EO227" s="5"/>
    </row>
    <row r="228" spans="90:145" hidden="1"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5"/>
      <c r="CW228" s="5"/>
      <c r="CX228" s="45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5"/>
      <c r="DM228" s="5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5"/>
      <c r="EI228" s="5"/>
      <c r="EJ228" s="5"/>
      <c r="EK228" s="5"/>
      <c r="EL228" s="5"/>
      <c r="EM228" s="5"/>
      <c r="EN228" s="1"/>
      <c r="EO228" s="5"/>
    </row>
    <row r="229" spans="90:145" hidden="1"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5"/>
      <c r="CW229" s="5"/>
      <c r="CX229" s="45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5"/>
      <c r="DM229" s="5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5"/>
      <c r="EI229" s="5"/>
      <c r="EJ229" s="5"/>
      <c r="EK229" s="5"/>
      <c r="EL229" s="5"/>
      <c r="EM229" s="5"/>
      <c r="EN229" s="1"/>
      <c r="EO229" s="5"/>
    </row>
    <row r="230" spans="90:145" hidden="1"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5"/>
      <c r="CW230" s="5"/>
      <c r="CX230" s="45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5"/>
      <c r="DM230" s="5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5"/>
      <c r="EI230" s="5"/>
      <c r="EJ230" s="5"/>
      <c r="EK230" s="5"/>
      <c r="EL230" s="5"/>
      <c r="EM230" s="5"/>
      <c r="EN230" s="1"/>
      <c r="EO230" s="5"/>
    </row>
    <row r="231" spans="90:145" hidden="1"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5"/>
      <c r="CW231" s="5"/>
      <c r="CX231" s="45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5"/>
      <c r="DM231" s="5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5"/>
      <c r="EI231" s="5"/>
      <c r="EJ231" s="5"/>
      <c r="EK231" s="5"/>
      <c r="EL231" s="5"/>
      <c r="EM231" s="5"/>
      <c r="EN231" s="1"/>
      <c r="EO231" s="5"/>
    </row>
    <row r="232" spans="90:145" hidden="1"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5"/>
      <c r="CW232" s="5"/>
      <c r="CX232" s="45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5"/>
      <c r="DM232" s="5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5"/>
      <c r="EI232" s="5"/>
      <c r="EJ232" s="5"/>
      <c r="EK232" s="5"/>
      <c r="EL232" s="5"/>
      <c r="EM232" s="5"/>
      <c r="EN232" s="1"/>
      <c r="EO232" s="5"/>
    </row>
    <row r="233" spans="90:145" hidden="1"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5"/>
      <c r="CW233" s="5"/>
      <c r="CX233" s="45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5"/>
      <c r="DM233" s="5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5"/>
      <c r="EI233" s="5"/>
      <c r="EJ233" s="5"/>
      <c r="EK233" s="5"/>
      <c r="EL233" s="5"/>
      <c r="EM233" s="5"/>
      <c r="EN233" s="1"/>
      <c r="EO233" s="5"/>
    </row>
    <row r="234" spans="90:145" hidden="1"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5"/>
      <c r="CW234" s="5"/>
      <c r="CX234" s="45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5"/>
      <c r="DM234" s="5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5"/>
      <c r="EI234" s="5"/>
      <c r="EJ234" s="5"/>
      <c r="EK234" s="5"/>
      <c r="EL234" s="5"/>
      <c r="EM234" s="5"/>
      <c r="EN234" s="1"/>
      <c r="EO234" s="5"/>
    </row>
    <row r="235" spans="90:145" hidden="1"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5"/>
      <c r="CW235" s="5"/>
      <c r="CX235" s="45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5"/>
      <c r="DM235" s="5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5"/>
      <c r="EI235" s="5"/>
      <c r="EJ235" s="5"/>
      <c r="EK235" s="5"/>
      <c r="EL235" s="5"/>
      <c r="EM235" s="5"/>
      <c r="EN235" s="1"/>
      <c r="EO235" s="5"/>
    </row>
    <row r="236" spans="90:145" hidden="1"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5"/>
      <c r="CW236" s="5"/>
      <c r="CX236" s="45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5"/>
      <c r="DM236" s="5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5"/>
      <c r="EI236" s="5"/>
      <c r="EJ236" s="5"/>
      <c r="EK236" s="5"/>
      <c r="EL236" s="5"/>
      <c r="EM236" s="5"/>
      <c r="EN236" s="1"/>
      <c r="EO236" s="5"/>
    </row>
    <row r="237" spans="90:145" hidden="1"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5"/>
      <c r="CW237" s="5"/>
      <c r="CX237" s="45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5"/>
      <c r="DM237" s="5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5"/>
      <c r="EI237" s="5"/>
      <c r="EJ237" s="5"/>
      <c r="EK237" s="5"/>
      <c r="EL237" s="5"/>
      <c r="EM237" s="5"/>
      <c r="EN237" s="1"/>
      <c r="EO237" s="5"/>
    </row>
    <row r="238" spans="90:145" hidden="1"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5"/>
      <c r="CW238" s="5"/>
      <c r="CX238" s="45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5"/>
      <c r="DM238" s="5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5"/>
      <c r="EI238" s="5"/>
      <c r="EJ238" s="5"/>
      <c r="EK238" s="5"/>
      <c r="EL238" s="5"/>
      <c r="EM238" s="5"/>
      <c r="EN238" s="1"/>
      <c r="EO238" s="5"/>
    </row>
    <row r="239" spans="90:145" hidden="1"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5"/>
      <c r="CW239" s="5"/>
      <c r="CX239" s="45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5"/>
      <c r="DM239" s="5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5"/>
      <c r="EI239" s="5"/>
      <c r="EJ239" s="5"/>
      <c r="EK239" s="5"/>
      <c r="EL239" s="5"/>
      <c r="EM239" s="5"/>
      <c r="EN239" s="1"/>
      <c r="EO239" s="5"/>
    </row>
    <row r="240" spans="90:145" hidden="1"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5"/>
      <c r="CW240" s="5"/>
      <c r="CX240" s="45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5"/>
      <c r="DM240" s="5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5"/>
      <c r="EI240" s="5"/>
      <c r="EJ240" s="5"/>
      <c r="EK240" s="5"/>
      <c r="EL240" s="5"/>
      <c r="EM240" s="5"/>
      <c r="EN240" s="1"/>
      <c r="EO240" s="5"/>
    </row>
    <row r="241" spans="90:145" hidden="1"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5"/>
      <c r="CW241" s="5"/>
      <c r="CX241" s="45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5"/>
      <c r="DM241" s="5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5"/>
      <c r="EI241" s="5"/>
      <c r="EJ241" s="5"/>
      <c r="EK241" s="5"/>
      <c r="EL241" s="5"/>
      <c r="EM241" s="5"/>
      <c r="EN241" s="1"/>
      <c r="EO241" s="5"/>
    </row>
    <row r="242" spans="90:145" hidden="1"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5"/>
      <c r="CW242" s="5"/>
      <c r="CX242" s="45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5"/>
      <c r="DM242" s="5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5"/>
      <c r="EI242" s="5"/>
      <c r="EJ242" s="5"/>
      <c r="EK242" s="5"/>
      <c r="EL242" s="5"/>
      <c r="EM242" s="5"/>
      <c r="EN242" s="1"/>
      <c r="EO242" s="5"/>
    </row>
    <row r="243" spans="90:145" hidden="1"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5"/>
      <c r="CW243" s="5"/>
      <c r="CX243" s="45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5"/>
      <c r="DM243" s="5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5"/>
      <c r="EI243" s="5"/>
      <c r="EJ243" s="5"/>
      <c r="EK243" s="5"/>
      <c r="EL243" s="5"/>
      <c r="EM243" s="5"/>
      <c r="EN243" s="1"/>
      <c r="EO243" s="5"/>
    </row>
    <row r="244" spans="90:145" hidden="1"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5"/>
      <c r="CW244" s="5"/>
      <c r="CX244" s="45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5"/>
      <c r="DM244" s="5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5"/>
      <c r="EI244" s="5"/>
      <c r="EJ244" s="5"/>
      <c r="EK244" s="5"/>
      <c r="EL244" s="5"/>
      <c r="EM244" s="5"/>
      <c r="EN244" s="1"/>
      <c r="EO244" s="5"/>
    </row>
    <row r="245" spans="90:145" hidden="1"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5"/>
      <c r="CW245" s="5"/>
      <c r="CX245" s="45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5"/>
      <c r="DM245" s="5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5"/>
      <c r="EI245" s="5"/>
      <c r="EJ245" s="5"/>
      <c r="EK245" s="5"/>
      <c r="EL245" s="5"/>
      <c r="EM245" s="5"/>
      <c r="EN245" s="1"/>
      <c r="EO245" s="5"/>
    </row>
    <row r="246" spans="90:145" hidden="1"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5"/>
      <c r="CW246" s="5"/>
      <c r="CX246" s="45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5"/>
      <c r="DM246" s="5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5"/>
      <c r="EI246" s="5"/>
      <c r="EJ246" s="5"/>
      <c r="EK246" s="5"/>
      <c r="EL246" s="5"/>
      <c r="EM246" s="5"/>
      <c r="EN246" s="1"/>
      <c r="EO246" s="5"/>
    </row>
    <row r="247" spans="90:145" hidden="1"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5"/>
      <c r="CW247" s="5"/>
      <c r="CX247" s="45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5"/>
      <c r="DM247" s="5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5"/>
      <c r="EI247" s="5"/>
      <c r="EJ247" s="5"/>
      <c r="EK247" s="5"/>
      <c r="EL247" s="5"/>
      <c r="EM247" s="5"/>
      <c r="EN247" s="1"/>
      <c r="EO247" s="5"/>
    </row>
    <row r="248" spans="90:145" hidden="1"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5"/>
      <c r="CW248" s="5"/>
      <c r="CX248" s="45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5"/>
      <c r="DM248" s="5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5"/>
      <c r="EI248" s="5"/>
      <c r="EJ248" s="5"/>
      <c r="EK248" s="5"/>
      <c r="EL248" s="5"/>
      <c r="EM248" s="5"/>
      <c r="EN248" s="1"/>
      <c r="EO248" s="5"/>
    </row>
    <row r="249" spans="90:145" hidden="1"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5"/>
      <c r="CW249" s="5"/>
      <c r="CX249" s="45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5"/>
      <c r="DM249" s="5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5"/>
      <c r="EI249" s="5"/>
      <c r="EJ249" s="5"/>
      <c r="EK249" s="5"/>
      <c r="EL249" s="5"/>
      <c r="EM249" s="5"/>
      <c r="EN249" s="1"/>
      <c r="EO249" s="5"/>
    </row>
    <row r="250" spans="90:145" hidden="1"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5"/>
      <c r="CW250" s="5"/>
      <c r="CX250" s="45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5"/>
      <c r="DM250" s="5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5"/>
      <c r="EI250" s="5"/>
      <c r="EJ250" s="5"/>
      <c r="EK250" s="5"/>
      <c r="EL250" s="5"/>
      <c r="EM250" s="5"/>
      <c r="EN250" s="1"/>
      <c r="EO250" s="5"/>
    </row>
    <row r="251" spans="90:145" hidden="1"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5"/>
      <c r="CW251" s="5"/>
      <c r="CX251" s="45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5"/>
      <c r="DM251" s="5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5"/>
      <c r="EI251" s="5"/>
      <c r="EJ251" s="5"/>
      <c r="EK251" s="5"/>
      <c r="EL251" s="5"/>
      <c r="EM251" s="5"/>
      <c r="EN251" s="1"/>
      <c r="EO251" s="5"/>
    </row>
    <row r="252" spans="90:145" hidden="1"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5"/>
      <c r="CW252" s="5"/>
      <c r="CX252" s="45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5"/>
      <c r="DM252" s="5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5"/>
      <c r="EI252" s="5"/>
      <c r="EJ252" s="5"/>
      <c r="EK252" s="5"/>
      <c r="EL252" s="5"/>
      <c r="EM252" s="5"/>
      <c r="EN252" s="1"/>
      <c r="EO252" s="5"/>
    </row>
    <row r="253" spans="90:145" hidden="1"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5"/>
      <c r="CW253" s="5"/>
      <c r="CX253" s="45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5"/>
      <c r="DM253" s="5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5"/>
      <c r="EI253" s="5"/>
      <c r="EJ253" s="5"/>
      <c r="EK253" s="5"/>
      <c r="EL253" s="5"/>
      <c r="EM253" s="5"/>
      <c r="EN253" s="1"/>
      <c r="EO253" s="5"/>
    </row>
    <row r="254" spans="90:145" hidden="1"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5"/>
      <c r="CW254" s="5"/>
      <c r="CX254" s="45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5"/>
      <c r="DM254" s="5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5"/>
      <c r="EI254" s="5"/>
      <c r="EJ254" s="5"/>
      <c r="EK254" s="5"/>
      <c r="EL254" s="5"/>
      <c r="EM254" s="5"/>
      <c r="EN254" s="1"/>
      <c r="EO254" s="5"/>
    </row>
    <row r="255" spans="90:145" hidden="1"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5"/>
      <c r="CW255" s="5"/>
      <c r="CX255" s="45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5"/>
      <c r="DM255" s="5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5"/>
      <c r="EI255" s="5"/>
      <c r="EJ255" s="5"/>
      <c r="EK255" s="5"/>
      <c r="EL255" s="5"/>
      <c r="EM255" s="5"/>
      <c r="EN255" s="1"/>
      <c r="EO255" s="5"/>
    </row>
    <row r="256" spans="90:145" hidden="1"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5"/>
      <c r="CW256" s="5"/>
      <c r="CX256" s="45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5"/>
      <c r="DM256" s="5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5"/>
      <c r="EI256" s="5"/>
      <c r="EJ256" s="5"/>
      <c r="EK256" s="5"/>
      <c r="EL256" s="5"/>
      <c r="EM256" s="5"/>
      <c r="EN256" s="1"/>
      <c r="EO256" s="5"/>
    </row>
    <row r="257" spans="90:145" hidden="1"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5"/>
      <c r="CW257" s="5"/>
      <c r="CX257" s="45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5"/>
      <c r="DM257" s="5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5"/>
      <c r="EI257" s="5"/>
      <c r="EJ257" s="5"/>
      <c r="EK257" s="5"/>
      <c r="EL257" s="5"/>
      <c r="EM257" s="5"/>
      <c r="EN257" s="1"/>
      <c r="EO257" s="5"/>
    </row>
    <row r="258" spans="90:145" hidden="1"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5"/>
      <c r="CW258" s="5"/>
      <c r="CX258" s="45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5"/>
      <c r="DM258" s="5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5"/>
      <c r="EI258" s="5"/>
      <c r="EJ258" s="5"/>
      <c r="EK258" s="5"/>
      <c r="EL258" s="5"/>
      <c r="EM258" s="5"/>
      <c r="EN258" s="1"/>
      <c r="EO258" s="5"/>
    </row>
    <row r="259" spans="90:145" hidden="1"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5"/>
      <c r="CW259" s="5"/>
      <c r="CX259" s="45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5"/>
      <c r="DM259" s="5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5"/>
      <c r="EI259" s="5"/>
      <c r="EJ259" s="5"/>
      <c r="EK259" s="5"/>
      <c r="EL259" s="5"/>
      <c r="EM259" s="5"/>
      <c r="EN259" s="1"/>
      <c r="EO259" s="5"/>
    </row>
    <row r="260" spans="90:145" hidden="1"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5"/>
      <c r="CW260" s="5"/>
      <c r="CX260" s="45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5"/>
      <c r="DM260" s="5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5"/>
      <c r="EI260" s="5"/>
      <c r="EJ260" s="5"/>
      <c r="EK260" s="5"/>
      <c r="EL260" s="5"/>
      <c r="EM260" s="5"/>
      <c r="EN260" s="1"/>
      <c r="EO260" s="5"/>
    </row>
    <row r="261" spans="90:145" hidden="1"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5"/>
      <c r="CW261" s="5"/>
      <c r="CX261" s="45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5"/>
      <c r="DM261" s="5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5"/>
      <c r="EI261" s="5"/>
      <c r="EJ261" s="5"/>
      <c r="EK261" s="5"/>
      <c r="EL261" s="5"/>
      <c r="EM261" s="5"/>
      <c r="EN261" s="1"/>
      <c r="EO261" s="5"/>
    </row>
    <row r="262" spans="90:145" hidden="1"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5"/>
      <c r="CW262" s="5"/>
      <c r="CX262" s="45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5"/>
      <c r="DM262" s="5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5"/>
      <c r="EI262" s="5"/>
      <c r="EJ262" s="5"/>
      <c r="EK262" s="5"/>
      <c r="EL262" s="5"/>
      <c r="EM262" s="5"/>
      <c r="EN262" s="1"/>
      <c r="EO262" s="5"/>
    </row>
    <row r="263" spans="90:145" hidden="1"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5"/>
      <c r="CW263" s="5"/>
      <c r="CX263" s="45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5"/>
      <c r="DM263" s="5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5"/>
      <c r="EI263" s="5"/>
      <c r="EJ263" s="5"/>
      <c r="EK263" s="5"/>
      <c r="EL263" s="5"/>
      <c r="EM263" s="5"/>
      <c r="EN263" s="1"/>
      <c r="EO263" s="5"/>
    </row>
    <row r="264" spans="90:145" hidden="1"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5"/>
      <c r="CW264" s="5"/>
      <c r="CX264" s="45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5"/>
      <c r="DM264" s="5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5"/>
      <c r="EI264" s="5"/>
      <c r="EJ264" s="5"/>
      <c r="EK264" s="5"/>
      <c r="EL264" s="5"/>
      <c r="EM264" s="5"/>
      <c r="EN264" s="1"/>
      <c r="EO264" s="5"/>
    </row>
    <row r="265" spans="90:145" hidden="1"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5"/>
      <c r="CW265" s="5"/>
      <c r="CX265" s="45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5"/>
      <c r="DM265" s="5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5"/>
      <c r="EI265" s="5"/>
      <c r="EJ265" s="5"/>
      <c r="EK265" s="5"/>
      <c r="EL265" s="5"/>
      <c r="EM265" s="5"/>
      <c r="EN265" s="1"/>
      <c r="EO265" s="5"/>
    </row>
    <row r="266" spans="90:145" hidden="1"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5"/>
      <c r="CW266" s="5"/>
      <c r="CX266" s="45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5"/>
      <c r="DM266" s="5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5"/>
      <c r="EI266" s="5"/>
      <c r="EJ266" s="5"/>
      <c r="EK266" s="5"/>
      <c r="EL266" s="5"/>
      <c r="EM266" s="5"/>
      <c r="EN266" s="1"/>
      <c r="EO266" s="5"/>
    </row>
    <row r="267" spans="90:145" hidden="1"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5"/>
      <c r="CW267" s="5"/>
      <c r="CX267" s="45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5"/>
      <c r="DM267" s="5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5"/>
      <c r="EI267" s="5"/>
      <c r="EJ267" s="5"/>
      <c r="EK267" s="5"/>
      <c r="EL267" s="5"/>
      <c r="EM267" s="5"/>
      <c r="EN267" s="1"/>
      <c r="EO267" s="5"/>
    </row>
    <row r="268" spans="90:145" hidden="1"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5"/>
      <c r="CW268" s="5"/>
      <c r="CX268" s="45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5"/>
      <c r="DM268" s="5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5"/>
      <c r="EI268" s="5"/>
      <c r="EJ268" s="5"/>
      <c r="EK268" s="5"/>
      <c r="EL268" s="5"/>
      <c r="EM268" s="5"/>
      <c r="EN268" s="1"/>
      <c r="EO268" s="5"/>
    </row>
    <row r="269" spans="90:145" hidden="1"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5"/>
      <c r="CW269" s="5"/>
      <c r="CX269" s="45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5"/>
      <c r="DM269" s="5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5"/>
      <c r="EI269" s="5"/>
      <c r="EJ269" s="5"/>
      <c r="EK269" s="5"/>
      <c r="EL269" s="5"/>
      <c r="EM269" s="5"/>
      <c r="EN269" s="1"/>
      <c r="EO269" s="5"/>
    </row>
    <row r="270" spans="90:145" hidden="1"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5"/>
      <c r="CW270" s="5"/>
      <c r="CX270" s="45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5"/>
      <c r="DM270" s="5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5"/>
      <c r="EI270" s="5"/>
      <c r="EJ270" s="5"/>
      <c r="EK270" s="5"/>
      <c r="EL270" s="5"/>
      <c r="EM270" s="5"/>
      <c r="EN270" s="1"/>
      <c r="EO270" s="5"/>
    </row>
    <row r="271" spans="90:145" hidden="1"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5"/>
      <c r="CW271" s="5"/>
      <c r="CX271" s="45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5"/>
      <c r="DM271" s="5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5"/>
      <c r="EI271" s="5"/>
      <c r="EJ271" s="5"/>
      <c r="EK271" s="5"/>
      <c r="EL271" s="5"/>
      <c r="EM271" s="5"/>
      <c r="EN271" s="1"/>
      <c r="EO271" s="5"/>
    </row>
    <row r="272" spans="90:145" hidden="1"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5"/>
      <c r="CW272" s="5"/>
      <c r="CX272" s="45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5"/>
      <c r="DM272" s="5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5"/>
      <c r="EI272" s="5"/>
      <c r="EJ272" s="5"/>
      <c r="EK272" s="5"/>
      <c r="EL272" s="5"/>
      <c r="EM272" s="5"/>
      <c r="EN272" s="1"/>
      <c r="EO272" s="5"/>
    </row>
    <row r="273" spans="90:145" hidden="1"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5"/>
      <c r="CW273" s="5"/>
      <c r="CX273" s="45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5"/>
      <c r="DM273" s="5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5"/>
      <c r="EI273" s="5"/>
      <c r="EJ273" s="5"/>
      <c r="EK273" s="5"/>
      <c r="EL273" s="5"/>
      <c r="EM273" s="5"/>
      <c r="EN273" s="1"/>
      <c r="EO273" s="5"/>
    </row>
    <row r="274" spans="90:145" hidden="1"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5"/>
      <c r="CW274" s="5"/>
      <c r="CX274" s="45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5"/>
      <c r="DM274" s="5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5"/>
      <c r="EI274" s="5"/>
      <c r="EJ274" s="5"/>
      <c r="EK274" s="5"/>
      <c r="EL274" s="5"/>
      <c r="EM274" s="5"/>
      <c r="EN274" s="1"/>
      <c r="EO274" s="5"/>
    </row>
    <row r="275" spans="90:145" hidden="1"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5"/>
      <c r="CW275" s="5"/>
      <c r="CX275" s="45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5"/>
      <c r="DM275" s="5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5"/>
      <c r="EI275" s="5"/>
      <c r="EJ275" s="5"/>
      <c r="EK275" s="5"/>
      <c r="EL275" s="5"/>
      <c r="EM275" s="5"/>
      <c r="EN275" s="1"/>
      <c r="EO275" s="5"/>
    </row>
    <row r="276" spans="90:145" hidden="1"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5"/>
      <c r="CW276" s="5"/>
      <c r="CX276" s="45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5"/>
      <c r="DM276" s="5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5"/>
      <c r="EI276" s="5"/>
      <c r="EJ276" s="5"/>
      <c r="EK276" s="5"/>
      <c r="EL276" s="5"/>
      <c r="EM276" s="5"/>
      <c r="EN276" s="1"/>
      <c r="EO276" s="5"/>
    </row>
    <row r="277" spans="90:145" hidden="1"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5"/>
      <c r="CW277" s="5"/>
      <c r="CX277" s="45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5"/>
      <c r="DM277" s="5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5"/>
      <c r="EI277" s="5"/>
      <c r="EJ277" s="5"/>
      <c r="EK277" s="5"/>
      <c r="EL277" s="5"/>
      <c r="EM277" s="5"/>
      <c r="EN277" s="1"/>
      <c r="EO277" s="5"/>
    </row>
    <row r="278" spans="90:145" hidden="1"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5"/>
      <c r="CW278" s="5"/>
      <c r="CX278" s="45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5"/>
      <c r="DM278" s="5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5"/>
      <c r="EI278" s="5"/>
      <c r="EJ278" s="5"/>
      <c r="EK278" s="5"/>
      <c r="EL278" s="5"/>
      <c r="EM278" s="5"/>
      <c r="EN278" s="1"/>
      <c r="EO278" s="5"/>
    </row>
    <row r="279" spans="90:145" hidden="1"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5"/>
      <c r="CW279" s="5"/>
      <c r="CX279" s="45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5"/>
      <c r="DM279" s="5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5"/>
      <c r="EI279" s="5"/>
      <c r="EJ279" s="5"/>
      <c r="EK279" s="5"/>
      <c r="EL279" s="5"/>
      <c r="EM279" s="5"/>
      <c r="EN279" s="1"/>
      <c r="EO279" s="5"/>
    </row>
    <row r="280" spans="90:145" hidden="1"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5"/>
      <c r="CW280" s="5"/>
      <c r="CX280" s="45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5"/>
      <c r="DM280" s="5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5"/>
      <c r="EI280" s="5"/>
      <c r="EJ280" s="5"/>
      <c r="EK280" s="5"/>
      <c r="EL280" s="5"/>
      <c r="EM280" s="5"/>
      <c r="EN280" s="1"/>
      <c r="EO280" s="5"/>
    </row>
    <row r="281" spans="90:145" hidden="1"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5"/>
      <c r="CW281" s="5"/>
      <c r="CX281" s="45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5"/>
      <c r="DM281" s="5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5"/>
      <c r="EI281" s="5"/>
      <c r="EJ281" s="5"/>
      <c r="EK281" s="5"/>
      <c r="EL281" s="5"/>
      <c r="EM281" s="5"/>
      <c r="EN281" s="1"/>
      <c r="EO281" s="5"/>
    </row>
    <row r="282" spans="90:145" hidden="1"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5"/>
      <c r="CW282" s="5"/>
      <c r="CX282" s="45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5"/>
      <c r="DM282" s="5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5"/>
      <c r="EI282" s="5"/>
      <c r="EJ282" s="5"/>
      <c r="EK282" s="5"/>
      <c r="EL282" s="5"/>
      <c r="EM282" s="5"/>
      <c r="EN282" s="1"/>
      <c r="EO282" s="5"/>
    </row>
    <row r="283" spans="90:145" hidden="1"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5"/>
      <c r="CW283" s="5"/>
      <c r="CX283" s="45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5"/>
      <c r="DM283" s="5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5"/>
      <c r="EI283" s="5"/>
      <c r="EJ283" s="5"/>
      <c r="EK283" s="5"/>
      <c r="EL283" s="5"/>
      <c r="EM283" s="5"/>
      <c r="EN283" s="1"/>
      <c r="EO283" s="5"/>
    </row>
    <row r="284" spans="90:145" hidden="1"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5"/>
      <c r="CW284" s="5"/>
      <c r="CX284" s="45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5"/>
      <c r="DM284" s="5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5"/>
      <c r="EI284" s="5"/>
      <c r="EJ284" s="5"/>
      <c r="EK284" s="5"/>
      <c r="EL284" s="5"/>
      <c r="EM284" s="5"/>
      <c r="EN284" s="1"/>
      <c r="EO284" s="5"/>
    </row>
    <row r="285" spans="90:145" hidden="1"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5"/>
      <c r="CW285" s="5"/>
      <c r="CX285" s="45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5"/>
      <c r="DM285" s="5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5"/>
      <c r="EI285" s="5"/>
      <c r="EJ285" s="5"/>
      <c r="EK285" s="5"/>
      <c r="EL285" s="5"/>
      <c r="EM285" s="5"/>
      <c r="EN285" s="1"/>
      <c r="EO285" s="5"/>
    </row>
    <row r="286" spans="90:145" hidden="1"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5"/>
      <c r="CW286" s="5"/>
      <c r="CX286" s="45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5"/>
      <c r="DM286" s="5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5"/>
      <c r="EI286" s="5"/>
      <c r="EJ286" s="5"/>
      <c r="EK286" s="5"/>
      <c r="EL286" s="5"/>
      <c r="EM286" s="5"/>
      <c r="EN286" s="1"/>
      <c r="EO286" s="5"/>
    </row>
    <row r="287" spans="90:145" hidden="1"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5"/>
      <c r="CW287" s="5"/>
      <c r="CX287" s="45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5"/>
      <c r="DM287" s="5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5"/>
      <c r="EI287" s="5"/>
      <c r="EJ287" s="5"/>
      <c r="EK287" s="5"/>
      <c r="EL287" s="5"/>
      <c r="EM287" s="5"/>
      <c r="EN287" s="1"/>
      <c r="EO287" s="5"/>
    </row>
    <row r="288" spans="90:145" hidden="1"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5"/>
      <c r="CW288" s="5"/>
      <c r="CX288" s="45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5"/>
      <c r="DM288" s="5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5"/>
      <c r="EI288" s="5"/>
      <c r="EJ288" s="5"/>
      <c r="EK288" s="5"/>
      <c r="EL288" s="5"/>
      <c r="EM288" s="5"/>
      <c r="EN288" s="1"/>
      <c r="EO288" s="5"/>
    </row>
    <row r="289" spans="90:145" hidden="1"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5"/>
      <c r="CW289" s="5"/>
      <c r="CX289" s="45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5"/>
      <c r="DM289" s="5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5"/>
      <c r="EI289" s="5"/>
      <c r="EJ289" s="5"/>
      <c r="EK289" s="5"/>
      <c r="EL289" s="5"/>
      <c r="EM289" s="5"/>
      <c r="EN289" s="1"/>
      <c r="EO289" s="5"/>
    </row>
    <row r="290" spans="90:145" hidden="1"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5"/>
      <c r="CW290" s="5"/>
      <c r="CX290" s="45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5"/>
      <c r="DM290" s="5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5"/>
      <c r="EI290" s="5"/>
      <c r="EJ290" s="5"/>
      <c r="EK290" s="5"/>
      <c r="EL290" s="5"/>
      <c r="EM290" s="5"/>
      <c r="EN290" s="1"/>
      <c r="EO290" s="5"/>
    </row>
    <row r="291" spans="90:145" hidden="1"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5"/>
      <c r="CW291" s="5"/>
      <c r="CX291" s="45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5"/>
      <c r="DM291" s="5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5"/>
      <c r="EI291" s="5"/>
      <c r="EJ291" s="5"/>
      <c r="EK291" s="5"/>
      <c r="EL291" s="5"/>
      <c r="EM291" s="5"/>
      <c r="EN291" s="1"/>
      <c r="EO291" s="5"/>
    </row>
    <row r="292" spans="90:145" hidden="1"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5"/>
      <c r="CW292" s="5"/>
      <c r="CX292" s="45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5"/>
      <c r="DM292" s="5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5"/>
      <c r="EI292" s="5"/>
      <c r="EJ292" s="5"/>
      <c r="EK292" s="5"/>
      <c r="EL292" s="5"/>
      <c r="EM292" s="5"/>
      <c r="EN292" s="1"/>
      <c r="EO292" s="5"/>
    </row>
    <row r="293" spans="90:145" hidden="1"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5"/>
      <c r="CW293" s="5"/>
      <c r="CX293" s="45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5"/>
      <c r="DM293" s="5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5"/>
      <c r="EI293" s="5"/>
      <c r="EJ293" s="5"/>
      <c r="EK293" s="5"/>
      <c r="EL293" s="5"/>
      <c r="EM293" s="5"/>
      <c r="EN293" s="1"/>
      <c r="EO293" s="5"/>
    </row>
    <row r="294" spans="90:145" hidden="1"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5"/>
      <c r="CW294" s="5"/>
      <c r="CX294" s="45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5"/>
      <c r="DM294" s="5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5"/>
      <c r="EI294" s="5"/>
      <c r="EJ294" s="5"/>
      <c r="EK294" s="5"/>
      <c r="EL294" s="5"/>
      <c r="EM294" s="5"/>
      <c r="EN294" s="1"/>
      <c r="EO294" s="5"/>
    </row>
    <row r="295" spans="90:145" hidden="1"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5"/>
      <c r="CW295" s="5"/>
      <c r="CX295" s="45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5"/>
      <c r="DM295" s="5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5"/>
      <c r="EI295" s="5"/>
      <c r="EJ295" s="5"/>
      <c r="EK295" s="5"/>
      <c r="EL295" s="5"/>
      <c r="EM295" s="5"/>
      <c r="EN295" s="1"/>
      <c r="EO295" s="5"/>
    </row>
    <row r="296" spans="90:145" hidden="1"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5"/>
      <c r="CW296" s="5"/>
      <c r="CX296" s="45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5"/>
      <c r="DM296" s="5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5"/>
      <c r="EI296" s="5"/>
      <c r="EJ296" s="5"/>
      <c r="EK296" s="5"/>
      <c r="EL296" s="5"/>
      <c r="EM296" s="5"/>
      <c r="EN296" s="1"/>
      <c r="EO296" s="5"/>
    </row>
    <row r="297" spans="90:145" hidden="1"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5"/>
      <c r="CW297" s="5"/>
      <c r="CX297" s="45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5"/>
      <c r="DM297" s="5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5"/>
      <c r="EI297" s="5"/>
      <c r="EJ297" s="5"/>
      <c r="EK297" s="5"/>
      <c r="EL297" s="5"/>
      <c r="EM297" s="5"/>
      <c r="EN297" s="1"/>
      <c r="EO297" s="5"/>
    </row>
    <row r="298" spans="90:145" hidden="1"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5"/>
      <c r="CW298" s="5"/>
      <c r="CX298" s="45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5"/>
      <c r="DM298" s="5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5"/>
      <c r="EI298" s="5"/>
      <c r="EJ298" s="5"/>
      <c r="EK298" s="5"/>
      <c r="EL298" s="5"/>
      <c r="EM298" s="5"/>
      <c r="EN298" s="1"/>
      <c r="EO298" s="5"/>
    </row>
    <row r="299" spans="90:145" hidden="1"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5"/>
      <c r="CW299" s="5"/>
      <c r="CX299" s="45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5"/>
      <c r="DM299" s="5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5"/>
      <c r="EI299" s="5"/>
      <c r="EJ299" s="5"/>
      <c r="EK299" s="5"/>
      <c r="EL299" s="5"/>
      <c r="EM299" s="5"/>
      <c r="EN299" s="1"/>
      <c r="EO299" s="5"/>
    </row>
    <row r="300" spans="90:145" hidden="1"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5"/>
      <c r="CW300" s="5"/>
      <c r="CX300" s="45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5"/>
      <c r="DM300" s="5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5"/>
      <c r="EI300" s="5"/>
      <c r="EJ300" s="5"/>
      <c r="EK300" s="5"/>
      <c r="EL300" s="5"/>
      <c r="EM300" s="5"/>
      <c r="EN300" s="1"/>
      <c r="EO300" s="5"/>
    </row>
    <row r="301" spans="90:145" hidden="1"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5"/>
      <c r="CW301" s="5"/>
      <c r="CX301" s="45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5"/>
      <c r="DM301" s="5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5"/>
      <c r="EI301" s="5"/>
      <c r="EJ301" s="5"/>
      <c r="EK301" s="5"/>
      <c r="EL301" s="5"/>
      <c r="EM301" s="5"/>
      <c r="EN301" s="1"/>
      <c r="EO301" s="5"/>
    </row>
    <row r="302" spans="90:145" hidden="1"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5"/>
      <c r="CW302" s="5"/>
      <c r="CX302" s="45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5"/>
      <c r="DM302" s="5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5"/>
      <c r="EI302" s="5"/>
      <c r="EJ302" s="5"/>
      <c r="EK302" s="5"/>
      <c r="EL302" s="5"/>
      <c r="EM302" s="5"/>
      <c r="EN302" s="1"/>
      <c r="EO302" s="5"/>
    </row>
    <row r="303" spans="90:145" hidden="1"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5"/>
      <c r="CW303" s="5"/>
      <c r="CX303" s="45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5"/>
      <c r="DM303" s="5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5"/>
      <c r="EI303" s="5"/>
      <c r="EJ303" s="5"/>
      <c r="EK303" s="5"/>
      <c r="EL303" s="5"/>
      <c r="EM303" s="5"/>
      <c r="EN303" s="1"/>
      <c r="EO303" s="5"/>
    </row>
    <row r="304" spans="90:145" hidden="1"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5"/>
      <c r="CW304" s="5"/>
      <c r="CX304" s="45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5"/>
      <c r="DM304" s="5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5"/>
      <c r="EI304" s="5"/>
      <c r="EJ304" s="5"/>
      <c r="EK304" s="5"/>
      <c r="EL304" s="5"/>
      <c r="EM304" s="5"/>
      <c r="EN304" s="1"/>
      <c r="EO304" s="5"/>
    </row>
    <row r="305" spans="90:145" hidden="1"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5"/>
      <c r="CW305" s="5"/>
      <c r="CX305" s="45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5"/>
      <c r="DM305" s="5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5"/>
      <c r="EI305" s="5"/>
      <c r="EJ305" s="5"/>
      <c r="EK305" s="5"/>
      <c r="EL305" s="5"/>
      <c r="EM305" s="5"/>
      <c r="EN305" s="1"/>
      <c r="EO305" s="5"/>
    </row>
    <row r="306" spans="90:145" hidden="1"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5"/>
      <c r="CW306" s="5"/>
      <c r="CX306" s="45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5"/>
      <c r="DM306" s="5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5"/>
      <c r="EI306" s="5"/>
      <c r="EJ306" s="5"/>
      <c r="EK306" s="5"/>
      <c r="EL306" s="5"/>
      <c r="EM306" s="5"/>
      <c r="EN306" s="1"/>
      <c r="EO306" s="5"/>
    </row>
    <row r="307" spans="90:145" hidden="1"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5"/>
      <c r="CW307" s="5"/>
      <c r="CX307" s="45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5"/>
      <c r="DM307" s="5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5"/>
      <c r="EI307" s="5"/>
      <c r="EJ307" s="5"/>
      <c r="EK307" s="5"/>
      <c r="EL307" s="5"/>
      <c r="EM307" s="5"/>
      <c r="EN307" s="1"/>
      <c r="EO307" s="5"/>
    </row>
    <row r="308" spans="90:145" hidden="1"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5"/>
      <c r="CW308" s="5"/>
      <c r="CX308" s="45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5"/>
      <c r="DM308" s="5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5"/>
      <c r="EI308" s="5"/>
      <c r="EJ308" s="5"/>
      <c r="EK308" s="5"/>
      <c r="EL308" s="5"/>
      <c r="EM308" s="5"/>
      <c r="EN308" s="1"/>
      <c r="EO308" s="5"/>
    </row>
    <row r="309" spans="90:145" hidden="1"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5"/>
      <c r="CW309" s="5"/>
      <c r="CX309" s="45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5"/>
      <c r="DM309" s="5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5"/>
      <c r="EI309" s="5"/>
      <c r="EJ309" s="5"/>
      <c r="EK309" s="5"/>
      <c r="EL309" s="5"/>
      <c r="EM309" s="5"/>
      <c r="EN309" s="1"/>
      <c r="EO309" s="5"/>
    </row>
    <row r="310" spans="90:145" hidden="1"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5"/>
      <c r="CW310" s="5"/>
      <c r="CX310" s="45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5"/>
      <c r="DM310" s="5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5"/>
      <c r="EI310" s="5"/>
      <c r="EJ310" s="5"/>
      <c r="EK310" s="5"/>
      <c r="EL310" s="5"/>
      <c r="EM310" s="5"/>
      <c r="EN310" s="1"/>
      <c r="EO310" s="5"/>
    </row>
    <row r="311" spans="90:145" hidden="1"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5"/>
      <c r="CW311" s="5"/>
      <c r="CX311" s="45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5"/>
      <c r="DM311" s="5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5"/>
      <c r="EI311" s="5"/>
      <c r="EJ311" s="5"/>
      <c r="EK311" s="5"/>
      <c r="EL311" s="5"/>
      <c r="EM311" s="5"/>
      <c r="EN311" s="1"/>
      <c r="EO311" s="5"/>
    </row>
    <row r="312" spans="90:145" hidden="1"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5"/>
      <c r="CW312" s="5"/>
      <c r="CX312" s="45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5"/>
      <c r="DM312" s="5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5"/>
      <c r="EI312" s="5"/>
      <c r="EJ312" s="5"/>
      <c r="EK312" s="5"/>
      <c r="EL312" s="5"/>
      <c r="EM312" s="5"/>
      <c r="EN312" s="1"/>
      <c r="EO312" s="5"/>
    </row>
    <row r="313" spans="90:145" hidden="1"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5"/>
      <c r="CW313" s="5"/>
      <c r="CX313" s="45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5"/>
      <c r="DM313" s="5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5"/>
      <c r="EI313" s="5"/>
      <c r="EJ313" s="5"/>
      <c r="EK313" s="5"/>
      <c r="EL313" s="5"/>
      <c r="EM313" s="5"/>
      <c r="EN313" s="1"/>
      <c r="EO313" s="5"/>
    </row>
    <row r="314" spans="90:145" hidden="1"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5"/>
      <c r="CW314" s="5"/>
      <c r="CX314" s="45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5"/>
      <c r="DM314" s="5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5"/>
      <c r="EI314" s="5"/>
      <c r="EJ314" s="5"/>
      <c r="EK314" s="5"/>
      <c r="EL314" s="5"/>
      <c r="EM314" s="5"/>
      <c r="EN314" s="1"/>
      <c r="EO314" s="5"/>
    </row>
    <row r="315" spans="90:145" hidden="1"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5"/>
      <c r="CW315" s="5"/>
      <c r="CX315" s="45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5"/>
      <c r="DM315" s="5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5"/>
      <c r="EI315" s="5"/>
      <c r="EJ315" s="5"/>
      <c r="EK315" s="5"/>
      <c r="EL315" s="5"/>
      <c r="EM315" s="5"/>
      <c r="EN315" s="1"/>
      <c r="EO315" s="5"/>
    </row>
    <row r="316" spans="90:145" hidden="1"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5"/>
      <c r="CW316" s="5"/>
      <c r="CX316" s="45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5"/>
      <c r="DM316" s="5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5"/>
      <c r="EI316" s="5"/>
      <c r="EJ316" s="5"/>
      <c r="EK316" s="5"/>
      <c r="EL316" s="5"/>
      <c r="EM316" s="5"/>
      <c r="EN316" s="1"/>
      <c r="EO316" s="5"/>
    </row>
    <row r="317" spans="90:145" hidden="1"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5"/>
      <c r="CW317" s="5"/>
      <c r="CX317" s="45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5"/>
      <c r="DM317" s="5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5"/>
      <c r="EI317" s="5"/>
      <c r="EJ317" s="5"/>
      <c r="EK317" s="5"/>
      <c r="EL317" s="5"/>
      <c r="EM317" s="5"/>
      <c r="EN317" s="1"/>
      <c r="EO317" s="5"/>
    </row>
    <row r="318" spans="90:145" hidden="1"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5"/>
      <c r="CW318" s="5"/>
      <c r="CX318" s="45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5"/>
      <c r="DM318" s="5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5"/>
      <c r="EI318" s="5"/>
      <c r="EJ318" s="5"/>
      <c r="EK318" s="5"/>
      <c r="EL318" s="5"/>
      <c r="EM318" s="5"/>
      <c r="EN318" s="1"/>
      <c r="EO318" s="5"/>
    </row>
    <row r="319" spans="90:145" hidden="1"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5"/>
      <c r="CW319" s="5"/>
      <c r="CX319" s="45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5"/>
      <c r="DM319" s="5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5"/>
      <c r="EI319" s="5"/>
      <c r="EJ319" s="5"/>
      <c r="EK319" s="5"/>
      <c r="EL319" s="5"/>
      <c r="EM319" s="5"/>
      <c r="EN319" s="1"/>
      <c r="EO319" s="5"/>
    </row>
    <row r="320" spans="90:145" hidden="1"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5"/>
      <c r="CW320" s="5"/>
      <c r="CX320" s="45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5"/>
      <c r="DM320" s="5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5"/>
      <c r="EI320" s="5"/>
      <c r="EJ320" s="5"/>
      <c r="EK320" s="5"/>
      <c r="EL320" s="5"/>
      <c r="EM320" s="5"/>
      <c r="EN320" s="1"/>
      <c r="EO320" s="5"/>
    </row>
    <row r="321" spans="90:145" hidden="1"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5"/>
      <c r="CW321" s="5"/>
      <c r="CX321" s="45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5"/>
      <c r="DM321" s="5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5"/>
      <c r="EI321" s="5"/>
      <c r="EJ321" s="5"/>
      <c r="EK321" s="5"/>
      <c r="EL321" s="5"/>
      <c r="EM321" s="5"/>
      <c r="EN321" s="1"/>
      <c r="EO321" s="5"/>
    </row>
    <row r="322" spans="90:145" hidden="1"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5"/>
      <c r="CW322" s="5"/>
      <c r="CX322" s="45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5"/>
      <c r="DM322" s="5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5"/>
      <c r="EI322" s="5"/>
      <c r="EJ322" s="5"/>
      <c r="EK322" s="5"/>
      <c r="EL322" s="5"/>
      <c r="EM322" s="5"/>
      <c r="EN322" s="1"/>
      <c r="EO322" s="5"/>
    </row>
    <row r="323" spans="90:145" hidden="1"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5"/>
      <c r="CW323" s="5"/>
      <c r="CX323" s="45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5"/>
      <c r="DM323" s="5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5"/>
      <c r="EI323" s="5"/>
      <c r="EJ323" s="5"/>
      <c r="EK323" s="5"/>
      <c r="EL323" s="5"/>
      <c r="EM323" s="5"/>
      <c r="EN323" s="1"/>
      <c r="EO323" s="5"/>
    </row>
    <row r="324" spans="90:145" hidden="1"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5"/>
      <c r="CW324" s="5"/>
      <c r="CX324" s="45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5"/>
      <c r="DM324" s="5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5"/>
      <c r="EI324" s="5"/>
      <c r="EJ324" s="5"/>
      <c r="EK324" s="5"/>
      <c r="EL324" s="5"/>
      <c r="EM324" s="5"/>
      <c r="EN324" s="1"/>
      <c r="EO324" s="5"/>
    </row>
    <row r="325" spans="90:145" hidden="1"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5"/>
      <c r="CW325" s="5"/>
      <c r="CX325" s="45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5"/>
      <c r="DM325" s="5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5"/>
      <c r="EI325" s="5"/>
      <c r="EJ325" s="5"/>
      <c r="EK325" s="5"/>
      <c r="EL325" s="5"/>
      <c r="EM325" s="5"/>
      <c r="EN325" s="1"/>
      <c r="EO325" s="5"/>
    </row>
    <row r="326" spans="90:145" hidden="1"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5"/>
      <c r="CW326" s="5"/>
      <c r="CX326" s="45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5"/>
      <c r="DM326" s="5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5"/>
      <c r="EI326" s="5"/>
      <c r="EJ326" s="5"/>
      <c r="EK326" s="5"/>
      <c r="EL326" s="5"/>
      <c r="EM326" s="5"/>
      <c r="EN326" s="1"/>
      <c r="EO326" s="5"/>
    </row>
    <row r="327" spans="90:145" hidden="1"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5"/>
      <c r="CW327" s="5"/>
      <c r="CX327" s="45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5"/>
      <c r="DM327" s="5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5"/>
      <c r="EI327" s="5"/>
      <c r="EJ327" s="5"/>
      <c r="EK327" s="5"/>
      <c r="EL327" s="5"/>
      <c r="EM327" s="5"/>
      <c r="EN327" s="1"/>
      <c r="EO327" s="5"/>
    </row>
    <row r="328" spans="90:145" hidden="1"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5"/>
      <c r="CW328" s="5"/>
      <c r="CX328" s="45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5"/>
      <c r="DM328" s="5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5"/>
      <c r="EI328" s="5"/>
      <c r="EJ328" s="5"/>
      <c r="EK328" s="5"/>
      <c r="EL328" s="5"/>
      <c r="EM328" s="5"/>
      <c r="EN328" s="1"/>
      <c r="EO328" s="5"/>
    </row>
    <row r="329" spans="90:145" hidden="1"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5"/>
      <c r="CW329" s="5"/>
      <c r="CX329" s="45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5"/>
      <c r="DM329" s="5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5"/>
      <c r="EI329" s="5"/>
      <c r="EJ329" s="5"/>
      <c r="EK329" s="5"/>
      <c r="EL329" s="5"/>
      <c r="EM329" s="5"/>
      <c r="EN329" s="1"/>
      <c r="EO329" s="5"/>
    </row>
    <row r="330" spans="90:145" hidden="1"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5"/>
      <c r="CW330" s="5"/>
      <c r="CX330" s="45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5"/>
      <c r="DM330" s="5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5"/>
      <c r="EI330" s="5"/>
      <c r="EJ330" s="5"/>
      <c r="EK330" s="5"/>
      <c r="EL330" s="5"/>
      <c r="EM330" s="5"/>
      <c r="EN330" s="1"/>
      <c r="EO330" s="5"/>
    </row>
    <row r="331" spans="90:145" hidden="1"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5"/>
      <c r="CW331" s="5"/>
      <c r="CX331" s="45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5"/>
      <c r="DM331" s="5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5"/>
      <c r="EI331" s="5"/>
      <c r="EJ331" s="5"/>
      <c r="EK331" s="5"/>
      <c r="EL331" s="5"/>
      <c r="EM331" s="5"/>
      <c r="EN331" s="1"/>
      <c r="EO331" s="5"/>
    </row>
    <row r="332" spans="90:145" hidden="1"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5"/>
      <c r="CW332" s="5"/>
      <c r="CX332" s="45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5"/>
      <c r="DM332" s="5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5"/>
      <c r="EI332" s="5"/>
      <c r="EJ332" s="5"/>
      <c r="EK332" s="5"/>
      <c r="EL332" s="5"/>
      <c r="EM332" s="5"/>
      <c r="EN332" s="1"/>
      <c r="EO332" s="5"/>
    </row>
    <row r="333" spans="90:145" hidden="1"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5"/>
      <c r="CW333" s="5"/>
      <c r="CX333" s="45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5"/>
      <c r="DM333" s="5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5"/>
      <c r="EI333" s="5"/>
      <c r="EJ333" s="5"/>
      <c r="EK333" s="5"/>
      <c r="EL333" s="5"/>
      <c r="EM333" s="5"/>
      <c r="EN333" s="1"/>
      <c r="EO333" s="5"/>
    </row>
    <row r="334" spans="90:145" hidden="1"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5"/>
      <c r="CW334" s="5"/>
      <c r="CX334" s="45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5"/>
      <c r="DM334" s="5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5"/>
      <c r="EI334" s="5"/>
      <c r="EJ334" s="5"/>
      <c r="EK334" s="5"/>
      <c r="EL334" s="5"/>
      <c r="EM334" s="5"/>
      <c r="EN334" s="1"/>
      <c r="EO334" s="5"/>
    </row>
    <row r="335" spans="90:145" hidden="1"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5"/>
      <c r="CW335" s="5"/>
      <c r="CX335" s="45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5"/>
      <c r="DM335" s="5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5"/>
      <c r="EI335" s="5"/>
      <c r="EJ335" s="5"/>
      <c r="EK335" s="5"/>
      <c r="EL335" s="5"/>
      <c r="EM335" s="5"/>
      <c r="EN335" s="1"/>
      <c r="EO335" s="5"/>
    </row>
    <row r="336" spans="90:145" hidden="1"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5"/>
      <c r="CW336" s="5"/>
      <c r="CX336" s="45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5"/>
      <c r="DM336" s="5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5"/>
      <c r="EI336" s="5"/>
      <c r="EJ336" s="5"/>
      <c r="EK336" s="5"/>
      <c r="EL336" s="5"/>
      <c r="EM336" s="5"/>
      <c r="EN336" s="1"/>
      <c r="EO336" s="5"/>
    </row>
    <row r="337" spans="90:145" hidden="1"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5"/>
      <c r="CW337" s="5"/>
      <c r="CX337" s="45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5"/>
      <c r="DM337" s="5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5"/>
      <c r="EI337" s="5"/>
      <c r="EJ337" s="5"/>
      <c r="EK337" s="5"/>
      <c r="EL337" s="5"/>
      <c r="EM337" s="5"/>
      <c r="EN337" s="1"/>
      <c r="EO337" s="5"/>
    </row>
    <row r="338" spans="90:145" hidden="1"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5"/>
      <c r="CW338" s="5"/>
      <c r="CX338" s="45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5"/>
      <c r="DM338" s="5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5"/>
      <c r="EI338" s="5"/>
      <c r="EJ338" s="5"/>
      <c r="EK338" s="5"/>
      <c r="EL338" s="5"/>
      <c r="EM338" s="5"/>
      <c r="EN338" s="1"/>
      <c r="EO338" s="5"/>
    </row>
    <row r="339" spans="90:145" hidden="1"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5"/>
      <c r="CW339" s="5"/>
      <c r="CX339" s="45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5"/>
      <c r="DM339" s="5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5"/>
      <c r="EI339" s="5"/>
      <c r="EJ339" s="5"/>
      <c r="EK339" s="5"/>
      <c r="EL339" s="5"/>
      <c r="EM339" s="5"/>
      <c r="EN339" s="1"/>
      <c r="EO339" s="5"/>
    </row>
    <row r="340" spans="90:145" hidden="1"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5"/>
      <c r="CW340" s="5"/>
      <c r="CX340" s="45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5"/>
      <c r="DM340" s="5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5"/>
      <c r="EI340" s="5"/>
      <c r="EJ340" s="5"/>
      <c r="EK340" s="5"/>
      <c r="EL340" s="5"/>
      <c r="EM340" s="5"/>
      <c r="EN340" s="1"/>
      <c r="EO340" s="5"/>
    </row>
    <row r="341" spans="90:145" hidden="1"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5"/>
      <c r="CW341" s="5"/>
      <c r="CX341" s="45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5"/>
      <c r="DM341" s="5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5"/>
      <c r="EI341" s="5"/>
      <c r="EJ341" s="5"/>
      <c r="EK341" s="5"/>
      <c r="EL341" s="5"/>
      <c r="EM341" s="5"/>
      <c r="EN341" s="1"/>
      <c r="EO341" s="5"/>
    </row>
    <row r="342" spans="90:145" hidden="1"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5"/>
      <c r="CW342" s="5"/>
      <c r="CX342" s="45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5"/>
      <c r="DM342" s="5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5"/>
      <c r="EI342" s="5"/>
      <c r="EJ342" s="5"/>
      <c r="EK342" s="5"/>
      <c r="EL342" s="5"/>
      <c r="EM342" s="5"/>
      <c r="EN342" s="1"/>
      <c r="EO342" s="5"/>
    </row>
    <row r="343" spans="90:145" hidden="1"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5"/>
      <c r="CW343" s="5"/>
      <c r="CX343" s="45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5"/>
      <c r="DM343" s="5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5"/>
      <c r="EI343" s="5"/>
      <c r="EJ343" s="5"/>
      <c r="EK343" s="5"/>
      <c r="EL343" s="5"/>
      <c r="EM343" s="5"/>
      <c r="EN343" s="1"/>
      <c r="EO343" s="5"/>
    </row>
    <row r="344" spans="90:145" hidden="1"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5"/>
      <c r="CW344" s="5"/>
      <c r="CX344" s="45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5"/>
      <c r="DM344" s="5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5"/>
      <c r="EI344" s="5"/>
      <c r="EJ344" s="5"/>
      <c r="EK344" s="5"/>
      <c r="EL344" s="5"/>
      <c r="EM344" s="5"/>
      <c r="EN344" s="1"/>
      <c r="EO344" s="5"/>
    </row>
    <row r="345" spans="90:145" hidden="1"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5"/>
      <c r="CW345" s="5"/>
      <c r="CX345" s="45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5"/>
      <c r="DM345" s="5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5"/>
      <c r="EI345" s="5"/>
      <c r="EJ345" s="5"/>
      <c r="EK345" s="5"/>
      <c r="EL345" s="5"/>
      <c r="EM345" s="5"/>
      <c r="EN345" s="1"/>
      <c r="EO345" s="5"/>
    </row>
    <row r="346" spans="90:145" hidden="1"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5"/>
      <c r="CW346" s="5"/>
      <c r="CX346" s="45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5"/>
      <c r="DM346" s="5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5"/>
      <c r="EI346" s="5"/>
      <c r="EJ346" s="5"/>
      <c r="EK346" s="5"/>
      <c r="EL346" s="5"/>
      <c r="EM346" s="5"/>
      <c r="EN346" s="1"/>
      <c r="EO346" s="5"/>
    </row>
    <row r="347" spans="90:145" hidden="1"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5"/>
      <c r="CW347" s="5"/>
      <c r="CX347" s="45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5"/>
      <c r="DM347" s="5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5"/>
      <c r="EI347" s="5"/>
      <c r="EJ347" s="5"/>
      <c r="EK347" s="5"/>
      <c r="EL347" s="5"/>
      <c r="EM347" s="5"/>
      <c r="EN347" s="1"/>
      <c r="EO347" s="5"/>
    </row>
    <row r="348" spans="90:145" hidden="1"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5"/>
      <c r="CW348" s="5"/>
      <c r="CX348" s="45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5"/>
      <c r="DM348" s="5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5"/>
      <c r="EI348" s="5"/>
      <c r="EJ348" s="5"/>
      <c r="EK348" s="5"/>
      <c r="EL348" s="5"/>
      <c r="EM348" s="5"/>
      <c r="EN348" s="1"/>
      <c r="EO348" s="5"/>
    </row>
    <row r="349" spans="90:145" hidden="1"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5"/>
      <c r="CW349" s="5"/>
      <c r="CX349" s="45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5"/>
      <c r="DM349" s="5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5"/>
      <c r="EI349" s="5"/>
      <c r="EJ349" s="5"/>
      <c r="EK349" s="5"/>
      <c r="EL349" s="5"/>
      <c r="EM349" s="5"/>
      <c r="EN349" s="1"/>
      <c r="EO349" s="5"/>
    </row>
    <row r="350" spans="90:145" hidden="1"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5"/>
      <c r="CW350" s="5"/>
      <c r="CX350" s="45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5"/>
      <c r="DM350" s="5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5"/>
      <c r="EI350" s="5"/>
      <c r="EJ350" s="5"/>
      <c r="EK350" s="5"/>
      <c r="EL350" s="5"/>
      <c r="EM350" s="5"/>
      <c r="EN350" s="1"/>
      <c r="EO350" s="5"/>
    </row>
    <row r="351" spans="90:145" hidden="1"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5"/>
      <c r="CW351" s="5"/>
      <c r="CX351" s="45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5"/>
      <c r="DM351" s="5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5"/>
      <c r="EI351" s="5"/>
      <c r="EJ351" s="5"/>
      <c r="EK351" s="5"/>
      <c r="EL351" s="5"/>
      <c r="EM351" s="5"/>
      <c r="EN351" s="1"/>
      <c r="EO351" s="5"/>
    </row>
    <row r="352" spans="90:145" hidden="1"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5"/>
      <c r="CW352" s="5"/>
      <c r="CX352" s="45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5"/>
      <c r="DM352" s="5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5"/>
      <c r="EI352" s="5"/>
      <c r="EJ352" s="5"/>
      <c r="EK352" s="5"/>
      <c r="EL352" s="5"/>
      <c r="EM352" s="5"/>
      <c r="EN352" s="1"/>
      <c r="EO352" s="5"/>
    </row>
    <row r="353" spans="90:145" hidden="1"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5"/>
      <c r="CW353" s="5"/>
      <c r="CX353" s="45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5"/>
      <c r="DM353" s="5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5"/>
      <c r="EI353" s="5"/>
      <c r="EJ353" s="5"/>
      <c r="EK353" s="5"/>
      <c r="EL353" s="5"/>
      <c r="EM353" s="5"/>
      <c r="EN353" s="1"/>
      <c r="EO353" s="5"/>
    </row>
    <row r="354" spans="90:145" hidden="1"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5"/>
      <c r="CW354" s="5"/>
      <c r="CX354" s="45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5"/>
      <c r="DM354" s="5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5"/>
      <c r="EI354" s="5"/>
      <c r="EJ354" s="5"/>
      <c r="EK354" s="5"/>
      <c r="EL354" s="5"/>
      <c r="EM354" s="5"/>
      <c r="EN354" s="1"/>
      <c r="EO354" s="5"/>
    </row>
    <row r="355" spans="90:145" hidden="1"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5"/>
      <c r="CW355" s="5"/>
      <c r="CX355" s="45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5"/>
      <c r="DM355" s="5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5"/>
      <c r="EI355" s="5"/>
      <c r="EJ355" s="5"/>
      <c r="EK355" s="5"/>
      <c r="EL355" s="5"/>
      <c r="EM355" s="5"/>
      <c r="EN355" s="1"/>
      <c r="EO355" s="5"/>
    </row>
    <row r="356" spans="90:145" hidden="1"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5"/>
      <c r="CW356" s="5"/>
      <c r="CX356" s="45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5"/>
      <c r="DM356" s="5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5"/>
      <c r="EI356" s="5"/>
      <c r="EJ356" s="5"/>
      <c r="EK356" s="5"/>
      <c r="EL356" s="5"/>
      <c r="EM356" s="5"/>
      <c r="EN356" s="1"/>
      <c r="EO356" s="5"/>
    </row>
    <row r="357" spans="90:145" hidden="1"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5"/>
      <c r="CW357" s="5"/>
      <c r="CX357" s="45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5"/>
      <c r="DM357" s="5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5"/>
      <c r="EI357" s="5"/>
      <c r="EJ357" s="5"/>
      <c r="EK357" s="5"/>
      <c r="EL357" s="5"/>
      <c r="EM357" s="5"/>
      <c r="EN357" s="1"/>
      <c r="EO357" s="5"/>
    </row>
    <row r="358" spans="90:145" hidden="1"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5"/>
      <c r="CW358" s="5"/>
      <c r="CX358" s="45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5"/>
      <c r="DM358" s="5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5"/>
      <c r="EI358" s="5"/>
      <c r="EJ358" s="5"/>
      <c r="EK358" s="5"/>
      <c r="EL358" s="5"/>
      <c r="EM358" s="5"/>
      <c r="EN358" s="1"/>
      <c r="EO358" s="5"/>
    </row>
    <row r="359" spans="90:145" hidden="1"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5"/>
      <c r="CW359" s="5"/>
      <c r="CX359" s="45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5"/>
      <c r="DM359" s="5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5"/>
      <c r="EI359" s="5"/>
      <c r="EJ359" s="5"/>
      <c r="EK359" s="5"/>
      <c r="EL359" s="5"/>
      <c r="EM359" s="5"/>
      <c r="EN359" s="1"/>
      <c r="EO359" s="5"/>
    </row>
    <row r="360" spans="90:145" hidden="1"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5"/>
      <c r="CW360" s="5"/>
      <c r="CX360" s="45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5"/>
      <c r="DM360" s="5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5"/>
      <c r="EI360" s="5"/>
      <c r="EJ360" s="5"/>
      <c r="EK360" s="5"/>
      <c r="EL360" s="5"/>
      <c r="EM360" s="5"/>
      <c r="EN360" s="1"/>
      <c r="EO360" s="5"/>
    </row>
    <row r="361" spans="90:145" hidden="1"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5"/>
      <c r="CW361" s="5"/>
      <c r="CX361" s="45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5"/>
      <c r="DM361" s="5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5"/>
      <c r="EI361" s="5"/>
      <c r="EJ361" s="5"/>
      <c r="EK361" s="5"/>
      <c r="EL361" s="5"/>
      <c r="EM361" s="5"/>
      <c r="EN361" s="1"/>
      <c r="EO361" s="5"/>
    </row>
    <row r="362" spans="90:145" hidden="1"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5"/>
      <c r="CW362" s="5"/>
      <c r="CX362" s="45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5"/>
      <c r="DM362" s="5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5"/>
      <c r="EI362" s="5"/>
      <c r="EJ362" s="5"/>
      <c r="EK362" s="5"/>
      <c r="EL362" s="5"/>
      <c r="EM362" s="5"/>
      <c r="EN362" s="1"/>
      <c r="EO362" s="5"/>
    </row>
    <row r="363" spans="90:145" hidden="1"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5"/>
      <c r="CW363" s="5"/>
      <c r="CX363" s="45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5"/>
      <c r="DM363" s="5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5"/>
      <c r="EI363" s="5"/>
      <c r="EJ363" s="5"/>
      <c r="EK363" s="5"/>
      <c r="EL363" s="5"/>
      <c r="EM363" s="5"/>
      <c r="EN363" s="1"/>
      <c r="EO363" s="5"/>
    </row>
    <row r="364" spans="90:145" hidden="1"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5"/>
      <c r="CW364" s="5"/>
      <c r="CX364" s="45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5"/>
      <c r="DM364" s="5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5"/>
      <c r="EI364" s="5"/>
      <c r="EJ364" s="5"/>
      <c r="EK364" s="5"/>
      <c r="EL364" s="5"/>
      <c r="EM364" s="5"/>
      <c r="EN364" s="1"/>
      <c r="EO364" s="5"/>
    </row>
    <row r="365" spans="90:145" hidden="1"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5"/>
      <c r="CW365" s="5"/>
      <c r="CX365" s="45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5"/>
      <c r="DM365" s="5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5"/>
      <c r="EI365" s="5"/>
      <c r="EJ365" s="5"/>
      <c r="EK365" s="5"/>
      <c r="EL365" s="5"/>
      <c r="EM365" s="5"/>
      <c r="EN365" s="1"/>
      <c r="EO365" s="5"/>
    </row>
    <row r="366" spans="90:145" hidden="1"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5"/>
      <c r="CW366" s="5"/>
      <c r="CX366" s="45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5"/>
      <c r="DM366" s="5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5"/>
      <c r="EI366" s="5"/>
      <c r="EJ366" s="5"/>
      <c r="EK366" s="5"/>
      <c r="EL366" s="5"/>
      <c r="EM366" s="5"/>
      <c r="EN366" s="1"/>
      <c r="EO366" s="5"/>
    </row>
    <row r="367" spans="90:145" hidden="1"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5"/>
      <c r="CW367" s="5"/>
      <c r="CX367" s="45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5"/>
      <c r="DM367" s="5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5"/>
      <c r="EI367" s="5"/>
      <c r="EJ367" s="5"/>
      <c r="EK367" s="5"/>
      <c r="EL367" s="5"/>
      <c r="EM367" s="5"/>
      <c r="EN367" s="1"/>
      <c r="EO367" s="5"/>
    </row>
    <row r="368" spans="90:145" hidden="1"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5"/>
      <c r="CW368" s="5"/>
      <c r="CX368" s="45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5"/>
      <c r="DM368" s="5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5"/>
      <c r="EI368" s="5"/>
      <c r="EJ368" s="5"/>
      <c r="EK368" s="5"/>
      <c r="EL368" s="5"/>
      <c r="EM368" s="5"/>
      <c r="EN368" s="1"/>
      <c r="EO368" s="5"/>
    </row>
    <row r="369" spans="90:145" hidden="1"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5"/>
      <c r="CW369" s="5"/>
      <c r="CX369" s="45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5"/>
      <c r="DM369" s="5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5"/>
      <c r="EI369" s="5"/>
      <c r="EJ369" s="5"/>
      <c r="EK369" s="5"/>
      <c r="EL369" s="5"/>
      <c r="EM369" s="5"/>
      <c r="EN369" s="1"/>
      <c r="EO369" s="5"/>
    </row>
    <row r="370" spans="90:145" hidden="1"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5"/>
      <c r="CW370" s="5"/>
      <c r="CX370" s="45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5"/>
      <c r="DM370" s="5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5"/>
      <c r="EI370" s="5"/>
      <c r="EJ370" s="5"/>
      <c r="EK370" s="5"/>
      <c r="EL370" s="5"/>
      <c r="EM370" s="5"/>
      <c r="EN370" s="1"/>
      <c r="EO370" s="5"/>
    </row>
    <row r="371" spans="90:145" hidden="1"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5"/>
      <c r="CW371" s="5"/>
      <c r="CX371" s="45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5"/>
      <c r="DM371" s="5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5"/>
      <c r="EI371" s="5"/>
      <c r="EJ371" s="5"/>
      <c r="EK371" s="5"/>
      <c r="EL371" s="5"/>
      <c r="EM371" s="5"/>
      <c r="EN371" s="1"/>
      <c r="EO371" s="5"/>
    </row>
    <row r="372" spans="90:145" hidden="1"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5"/>
      <c r="CW372" s="5"/>
      <c r="CX372" s="45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5"/>
      <c r="DM372" s="5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5"/>
      <c r="EI372" s="5"/>
      <c r="EJ372" s="5"/>
      <c r="EK372" s="5"/>
      <c r="EL372" s="5"/>
      <c r="EM372" s="5"/>
      <c r="EN372" s="1"/>
      <c r="EO372" s="5"/>
    </row>
    <row r="373" spans="90:145" hidden="1"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5"/>
      <c r="CW373" s="5"/>
      <c r="CX373" s="45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5"/>
      <c r="DM373" s="5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5"/>
      <c r="EI373" s="5"/>
      <c r="EJ373" s="5"/>
      <c r="EK373" s="5"/>
      <c r="EL373" s="5"/>
      <c r="EM373" s="5"/>
      <c r="EN373" s="1"/>
      <c r="EO373" s="5"/>
    </row>
    <row r="374" spans="90:145" hidden="1"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5"/>
      <c r="CW374" s="5"/>
      <c r="CX374" s="45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5"/>
      <c r="DM374" s="5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5"/>
      <c r="EI374" s="5"/>
      <c r="EJ374" s="5"/>
      <c r="EK374" s="5"/>
      <c r="EL374" s="5"/>
      <c r="EM374" s="5"/>
      <c r="EN374" s="1"/>
      <c r="EO374" s="5"/>
    </row>
    <row r="375" spans="90:145" hidden="1"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5"/>
      <c r="CW375" s="5"/>
      <c r="CX375" s="45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5"/>
      <c r="DM375" s="5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5"/>
      <c r="EI375" s="5"/>
      <c r="EJ375" s="5"/>
      <c r="EK375" s="5"/>
      <c r="EL375" s="5"/>
      <c r="EM375" s="5"/>
      <c r="EN375" s="1"/>
      <c r="EO375" s="5"/>
    </row>
    <row r="376" spans="90:145" hidden="1"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5"/>
      <c r="CW376" s="5"/>
      <c r="CX376" s="45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5"/>
      <c r="DM376" s="5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5"/>
      <c r="EI376" s="5"/>
      <c r="EJ376" s="5"/>
      <c r="EK376" s="5"/>
      <c r="EL376" s="5"/>
      <c r="EM376" s="5"/>
      <c r="EN376" s="1"/>
      <c r="EO376" s="5"/>
    </row>
    <row r="377" spans="90:145" hidden="1"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5"/>
      <c r="CW377" s="5"/>
      <c r="CX377" s="45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5"/>
      <c r="DM377" s="5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5"/>
      <c r="EI377" s="5"/>
      <c r="EJ377" s="5"/>
      <c r="EK377" s="5"/>
      <c r="EL377" s="5"/>
      <c r="EM377" s="5"/>
      <c r="EN377" s="1"/>
      <c r="EO377" s="5"/>
    </row>
    <row r="378" spans="90:145" hidden="1"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5"/>
      <c r="CW378" s="5"/>
      <c r="CX378" s="45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5"/>
      <c r="DM378" s="5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5"/>
      <c r="EI378" s="5"/>
      <c r="EJ378" s="5"/>
      <c r="EK378" s="5"/>
      <c r="EL378" s="5"/>
      <c r="EM378" s="5"/>
      <c r="EN378" s="1"/>
      <c r="EO378" s="5"/>
    </row>
    <row r="379" spans="90:145" hidden="1"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5"/>
      <c r="CW379" s="5"/>
      <c r="CX379" s="45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5"/>
      <c r="DM379" s="5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5"/>
      <c r="EI379" s="5"/>
      <c r="EJ379" s="5"/>
      <c r="EK379" s="5"/>
      <c r="EL379" s="5"/>
      <c r="EM379" s="5"/>
      <c r="EN379" s="1"/>
      <c r="EO379" s="5"/>
    </row>
    <row r="380" spans="90:145" hidden="1"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5"/>
      <c r="CW380" s="5"/>
      <c r="CX380" s="45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5"/>
      <c r="DM380" s="5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5"/>
      <c r="EI380" s="5"/>
      <c r="EJ380" s="5"/>
      <c r="EK380" s="5"/>
      <c r="EL380" s="5"/>
      <c r="EM380" s="5"/>
      <c r="EN380" s="1"/>
      <c r="EO380" s="5"/>
    </row>
    <row r="381" spans="90:145" hidden="1"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5"/>
      <c r="CW381" s="5"/>
      <c r="CX381" s="45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5"/>
      <c r="DM381" s="5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5"/>
      <c r="EI381" s="5"/>
      <c r="EJ381" s="5"/>
      <c r="EK381" s="5"/>
      <c r="EL381" s="5"/>
      <c r="EM381" s="5"/>
      <c r="EN381" s="1"/>
      <c r="EO381" s="5"/>
    </row>
    <row r="382" spans="90:145" hidden="1"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5"/>
      <c r="CW382" s="5"/>
      <c r="CX382" s="45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5"/>
      <c r="DM382" s="5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5"/>
      <c r="EI382" s="5"/>
      <c r="EJ382" s="5"/>
      <c r="EK382" s="5"/>
      <c r="EL382" s="5"/>
      <c r="EM382" s="5"/>
      <c r="EN382" s="1"/>
      <c r="EO382" s="5"/>
    </row>
    <row r="383" spans="90:145" hidden="1"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5"/>
      <c r="CW383" s="5"/>
      <c r="CX383" s="45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5"/>
      <c r="DM383" s="5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5"/>
      <c r="EI383" s="5"/>
      <c r="EJ383" s="5"/>
      <c r="EK383" s="5"/>
      <c r="EL383" s="5"/>
      <c r="EM383" s="5"/>
      <c r="EN383" s="1"/>
      <c r="EO383" s="5"/>
    </row>
    <row r="384" spans="90:145" hidden="1"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5"/>
      <c r="CW384" s="5"/>
      <c r="CX384" s="45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5"/>
      <c r="DM384" s="5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5"/>
      <c r="EI384" s="5"/>
      <c r="EJ384" s="5"/>
      <c r="EK384" s="5"/>
      <c r="EL384" s="5"/>
      <c r="EM384" s="5"/>
      <c r="EN384" s="1"/>
      <c r="EO384" s="5"/>
    </row>
    <row r="385" spans="90:145" hidden="1"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5"/>
      <c r="CW385" s="5"/>
      <c r="CX385" s="45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5"/>
      <c r="DM385" s="5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5"/>
      <c r="EI385" s="5"/>
      <c r="EJ385" s="5"/>
      <c r="EK385" s="5"/>
      <c r="EL385" s="5"/>
      <c r="EM385" s="5"/>
      <c r="EN385" s="1"/>
      <c r="EO385" s="5"/>
    </row>
    <row r="386" spans="90:145" hidden="1"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5"/>
      <c r="CW386" s="5"/>
      <c r="CX386" s="45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5"/>
      <c r="DM386" s="5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5"/>
      <c r="EI386" s="5"/>
      <c r="EJ386" s="5"/>
      <c r="EK386" s="5"/>
      <c r="EL386" s="5"/>
      <c r="EM386" s="5"/>
      <c r="EN386" s="1"/>
      <c r="EO386" s="5"/>
    </row>
    <row r="387" spans="90:145" hidden="1"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5"/>
      <c r="CW387" s="5"/>
      <c r="CX387" s="45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5"/>
      <c r="DM387" s="5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5"/>
      <c r="EI387" s="5"/>
      <c r="EJ387" s="5"/>
      <c r="EK387" s="5"/>
      <c r="EL387" s="5"/>
      <c r="EM387" s="5"/>
      <c r="EN387" s="1"/>
      <c r="EO387" s="5"/>
    </row>
    <row r="388" spans="90:145" hidden="1"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5"/>
      <c r="CW388" s="5"/>
      <c r="CX388" s="45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5"/>
      <c r="DM388" s="5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5"/>
      <c r="EI388" s="5"/>
      <c r="EJ388" s="5"/>
      <c r="EK388" s="5"/>
      <c r="EL388" s="5"/>
      <c r="EM388" s="5"/>
      <c r="EN388" s="1"/>
      <c r="EO388" s="5"/>
    </row>
    <row r="389" spans="90:145" hidden="1"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5"/>
      <c r="CW389" s="5"/>
      <c r="CX389" s="45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5"/>
      <c r="DM389" s="5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5"/>
      <c r="EI389" s="5"/>
      <c r="EJ389" s="5"/>
      <c r="EK389" s="5"/>
      <c r="EL389" s="5"/>
      <c r="EM389" s="5"/>
      <c r="EN389" s="1"/>
      <c r="EO389" s="5"/>
    </row>
    <row r="390" spans="90:145" hidden="1"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5"/>
      <c r="CW390" s="5"/>
      <c r="CX390" s="45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5"/>
      <c r="DM390" s="5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5"/>
      <c r="EI390" s="5"/>
      <c r="EJ390" s="5"/>
      <c r="EK390" s="5"/>
      <c r="EL390" s="5"/>
      <c r="EM390" s="5"/>
      <c r="EN390" s="1"/>
      <c r="EO390" s="5"/>
    </row>
    <row r="391" spans="90:145" hidden="1"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5"/>
      <c r="CW391" s="5"/>
      <c r="CX391" s="45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5"/>
      <c r="DM391" s="5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5"/>
      <c r="EI391" s="5"/>
      <c r="EJ391" s="5"/>
      <c r="EK391" s="5"/>
      <c r="EL391" s="5"/>
      <c r="EM391" s="5"/>
      <c r="EN391" s="1"/>
      <c r="EO391" s="5"/>
    </row>
    <row r="392" spans="90:145" hidden="1"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5"/>
      <c r="CW392" s="5"/>
      <c r="CX392" s="45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5"/>
      <c r="DM392" s="5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5"/>
      <c r="EI392" s="5"/>
      <c r="EJ392" s="5"/>
      <c r="EK392" s="5"/>
      <c r="EL392" s="5"/>
      <c r="EM392" s="5"/>
      <c r="EN392" s="1"/>
      <c r="EO392" s="5"/>
    </row>
    <row r="393" spans="90:145" hidden="1"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5"/>
      <c r="CW393" s="5"/>
      <c r="CX393" s="45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5"/>
      <c r="DM393" s="5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5"/>
      <c r="EI393" s="5"/>
      <c r="EJ393" s="5"/>
      <c r="EK393" s="5"/>
      <c r="EL393" s="5"/>
      <c r="EM393" s="5"/>
      <c r="EN393" s="1"/>
      <c r="EO393" s="5"/>
    </row>
    <row r="394" spans="90:145" hidden="1"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5"/>
      <c r="CW394" s="5"/>
      <c r="CX394" s="45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5"/>
      <c r="DM394" s="5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5"/>
      <c r="EI394" s="5"/>
      <c r="EJ394" s="5"/>
      <c r="EK394" s="5"/>
      <c r="EL394" s="5"/>
      <c r="EM394" s="5"/>
      <c r="EN394" s="1"/>
      <c r="EO394" s="5"/>
    </row>
    <row r="395" spans="90:145" hidden="1"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5"/>
      <c r="CW395" s="5"/>
      <c r="CX395" s="45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5"/>
      <c r="DM395" s="5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5"/>
      <c r="EI395" s="5"/>
      <c r="EJ395" s="5"/>
      <c r="EK395" s="5"/>
      <c r="EL395" s="5"/>
      <c r="EM395" s="5"/>
      <c r="EN395" s="1"/>
      <c r="EO395" s="5"/>
    </row>
    <row r="396" spans="90:145" hidden="1"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5"/>
      <c r="CW396" s="5"/>
      <c r="CX396" s="45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5"/>
      <c r="DM396" s="5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5"/>
      <c r="EI396" s="5"/>
      <c r="EJ396" s="5"/>
      <c r="EK396" s="5"/>
      <c r="EL396" s="5"/>
      <c r="EM396" s="5"/>
      <c r="EN396" s="1"/>
      <c r="EO396" s="5"/>
    </row>
    <row r="397" spans="90:145" hidden="1"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5"/>
      <c r="CW397" s="5"/>
      <c r="CX397" s="45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5"/>
      <c r="DM397" s="5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5"/>
      <c r="EI397" s="5"/>
      <c r="EJ397" s="5"/>
      <c r="EK397" s="5"/>
      <c r="EL397" s="5"/>
      <c r="EM397" s="5"/>
      <c r="EN397" s="1"/>
      <c r="EO397" s="5"/>
    </row>
    <row r="398" spans="90:145" hidden="1"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5"/>
      <c r="CW398" s="5"/>
      <c r="CX398" s="45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5"/>
      <c r="DM398" s="5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5"/>
      <c r="EI398" s="5"/>
      <c r="EJ398" s="5"/>
      <c r="EK398" s="5"/>
      <c r="EL398" s="5"/>
      <c r="EM398" s="5"/>
      <c r="EN398" s="1"/>
      <c r="EO398" s="5"/>
    </row>
    <row r="399" spans="90:145" hidden="1"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5"/>
      <c r="CW399" s="5"/>
      <c r="CX399" s="45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5"/>
      <c r="DM399" s="5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5"/>
      <c r="EI399" s="5"/>
      <c r="EJ399" s="5"/>
      <c r="EK399" s="5"/>
      <c r="EL399" s="5"/>
      <c r="EM399" s="5"/>
      <c r="EN399" s="1"/>
      <c r="EO399" s="5"/>
    </row>
    <row r="400" spans="90:145" hidden="1"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5"/>
      <c r="CW400" s="5"/>
      <c r="CX400" s="45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5"/>
      <c r="DM400" s="5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5"/>
      <c r="EI400" s="5"/>
      <c r="EJ400" s="5"/>
      <c r="EK400" s="5"/>
      <c r="EL400" s="5"/>
      <c r="EM400" s="5"/>
      <c r="EN400" s="1"/>
      <c r="EO400" s="5"/>
    </row>
    <row r="401" spans="90:145"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5"/>
      <c r="CW401" s="5"/>
      <c r="CX401" s="45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5"/>
      <c r="DM401" s="5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5"/>
      <c r="EI401" s="5"/>
      <c r="EJ401" s="5"/>
      <c r="EK401" s="5"/>
      <c r="EL401" s="5"/>
      <c r="EM401" s="5"/>
      <c r="EN401" s="1"/>
      <c r="EO401" s="5"/>
    </row>
    <row r="402" spans="90:145"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5"/>
      <c r="CW402" s="5"/>
      <c r="CX402" s="45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5"/>
      <c r="DM402" s="5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5"/>
      <c r="EI402" s="5"/>
      <c r="EJ402" s="5"/>
      <c r="EK402" s="5"/>
      <c r="EL402" s="5"/>
      <c r="EM402" s="5"/>
      <c r="EN402" s="1"/>
      <c r="EO402" s="5"/>
    </row>
    <row r="403" spans="90:145"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5"/>
      <c r="CW403" s="5"/>
      <c r="CX403" s="45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5"/>
      <c r="DM403" s="5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5"/>
      <c r="EI403" s="5"/>
      <c r="EJ403" s="5"/>
      <c r="EK403" s="5"/>
      <c r="EL403" s="5"/>
      <c r="EM403" s="5"/>
      <c r="EN403" s="1"/>
      <c r="EO403" s="5"/>
    </row>
    <row r="404" spans="90:145"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5"/>
      <c r="CW404" s="5"/>
      <c r="CX404" s="45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5"/>
      <c r="DM404" s="5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5"/>
      <c r="EI404" s="5"/>
      <c r="EJ404" s="5"/>
      <c r="EK404" s="5"/>
      <c r="EL404" s="5"/>
      <c r="EM404" s="5"/>
      <c r="EN404" s="1"/>
      <c r="EO404" s="5"/>
    </row>
    <row r="405" spans="90:145"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5"/>
      <c r="CW405" s="5"/>
      <c r="CX405" s="45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5"/>
      <c r="DM405" s="5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5"/>
      <c r="EI405" s="5"/>
      <c r="EJ405" s="5"/>
      <c r="EK405" s="5"/>
      <c r="EL405" s="5"/>
      <c r="EM405" s="5"/>
      <c r="EN405" s="1"/>
      <c r="EO405" s="5"/>
    </row>
    <row r="406" spans="90:145"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5"/>
      <c r="CW406" s="5"/>
      <c r="CX406" s="45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5"/>
      <c r="DM406" s="5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5"/>
      <c r="EI406" s="5"/>
      <c r="EJ406" s="5"/>
      <c r="EK406" s="5"/>
      <c r="EL406" s="5"/>
      <c r="EM406" s="5"/>
      <c r="EN406" s="1"/>
      <c r="EO406" s="5"/>
    </row>
    <row r="407" spans="90:145"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5"/>
      <c r="CW407" s="5"/>
      <c r="CX407" s="45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5"/>
      <c r="DM407" s="5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5"/>
      <c r="EI407" s="5"/>
      <c r="EJ407" s="5"/>
      <c r="EK407" s="5"/>
      <c r="EL407" s="5"/>
      <c r="EM407" s="5"/>
      <c r="EN407" s="1"/>
      <c r="EO407" s="5"/>
    </row>
    <row r="408" spans="90:145"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5"/>
      <c r="CW408" s="5"/>
      <c r="CX408" s="45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5"/>
      <c r="DM408" s="5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5"/>
      <c r="EI408" s="5"/>
      <c r="EJ408" s="5"/>
      <c r="EK408" s="5"/>
      <c r="EL408" s="5"/>
      <c r="EM408" s="5"/>
      <c r="EN408" s="1"/>
      <c r="EO408" s="5"/>
    </row>
    <row r="409" spans="90:145"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5"/>
      <c r="CW409" s="5"/>
      <c r="CX409" s="45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5"/>
      <c r="DM409" s="5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5"/>
      <c r="EI409" s="5"/>
      <c r="EJ409" s="5"/>
      <c r="EK409" s="5"/>
      <c r="EL409" s="5"/>
      <c r="EM409" s="5"/>
      <c r="EN409" s="1"/>
      <c r="EO409" s="5"/>
    </row>
    <row r="410" spans="90:145"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5"/>
      <c r="CW410" s="5"/>
      <c r="CX410" s="45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5"/>
      <c r="DM410" s="5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"/>
      <c r="EE410" s="1"/>
      <c r="EF410" s="1"/>
      <c r="EG410" s="1"/>
      <c r="EH410" s="5"/>
      <c r="EI410" s="5"/>
      <c r="EJ410" s="5"/>
      <c r="EK410" s="5"/>
      <c r="EL410" s="5"/>
      <c r="EM410" s="5"/>
      <c r="EN410" s="1"/>
      <c r="EO410" s="5"/>
    </row>
    <row r="411" spans="90:145"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5"/>
      <c r="CW411" s="5"/>
      <c r="CX411" s="45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5"/>
      <c r="DM411" s="5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"/>
      <c r="EE411" s="1"/>
      <c r="EF411" s="1"/>
      <c r="EG411" s="1"/>
      <c r="EH411" s="5"/>
      <c r="EI411" s="5"/>
      <c r="EJ411" s="5"/>
      <c r="EK411" s="5"/>
      <c r="EL411" s="5"/>
      <c r="EM411" s="5"/>
      <c r="EN411" s="1"/>
      <c r="EO411" s="5"/>
    </row>
    <row r="412" spans="90:145"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5"/>
      <c r="CW412" s="5"/>
      <c r="CX412" s="45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5"/>
      <c r="DM412" s="5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"/>
      <c r="EE412" s="1"/>
      <c r="EF412" s="1"/>
      <c r="EG412" s="1"/>
      <c r="EH412" s="5"/>
      <c r="EI412" s="5"/>
      <c r="EJ412" s="5"/>
      <c r="EK412" s="5"/>
      <c r="EL412" s="5"/>
      <c r="EM412" s="5"/>
      <c r="EN412" s="1"/>
      <c r="EO412" s="5"/>
    </row>
    <row r="413" spans="90:145"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5"/>
      <c r="CW413" s="5"/>
      <c r="CX413" s="45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5"/>
      <c r="DM413" s="5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"/>
      <c r="EE413" s="1"/>
      <c r="EF413" s="1"/>
      <c r="EG413" s="1"/>
      <c r="EH413" s="5"/>
      <c r="EI413" s="5"/>
      <c r="EJ413" s="5"/>
      <c r="EK413" s="5"/>
      <c r="EL413" s="5"/>
      <c r="EM413" s="5"/>
      <c r="EN413" s="1"/>
      <c r="EO413" s="5"/>
    </row>
    <row r="414" spans="90:145"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5"/>
      <c r="CW414" s="5"/>
      <c r="CX414" s="45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5"/>
      <c r="DM414" s="5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"/>
      <c r="EE414" s="1"/>
      <c r="EF414" s="1"/>
      <c r="EG414" s="1"/>
      <c r="EH414" s="5"/>
      <c r="EI414" s="5"/>
      <c r="EJ414" s="5"/>
      <c r="EK414" s="5"/>
      <c r="EL414" s="5"/>
      <c r="EM414" s="5"/>
      <c r="EN414" s="1"/>
      <c r="EO414" s="5"/>
    </row>
    <row r="415" spans="90:145"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5"/>
      <c r="CW415" s="5"/>
      <c r="CX415" s="45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5"/>
      <c r="DM415" s="5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"/>
      <c r="EE415" s="1"/>
      <c r="EF415" s="1"/>
      <c r="EG415" s="1"/>
      <c r="EH415" s="5"/>
      <c r="EI415" s="5"/>
      <c r="EJ415" s="5"/>
      <c r="EK415" s="5"/>
      <c r="EL415" s="5"/>
      <c r="EM415" s="5"/>
      <c r="EN415" s="1"/>
      <c r="EO415" s="5"/>
    </row>
    <row r="416" spans="90:145"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5"/>
      <c r="CW416" s="5"/>
      <c r="CX416" s="45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5"/>
      <c r="DM416" s="5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"/>
      <c r="EE416" s="1"/>
      <c r="EF416" s="1"/>
      <c r="EG416" s="1"/>
      <c r="EH416" s="5"/>
      <c r="EI416" s="5"/>
      <c r="EJ416" s="5"/>
      <c r="EK416" s="5"/>
      <c r="EL416" s="5"/>
      <c r="EM416" s="5"/>
      <c r="EN416" s="1"/>
      <c r="EO416" s="5"/>
    </row>
    <row r="417" spans="90:145"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5"/>
      <c r="CW417" s="5"/>
      <c r="CX417" s="45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5"/>
      <c r="DM417" s="5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"/>
      <c r="EE417" s="1"/>
      <c r="EF417" s="1"/>
      <c r="EG417" s="1"/>
      <c r="EH417" s="5"/>
      <c r="EI417" s="5"/>
      <c r="EJ417" s="5"/>
      <c r="EK417" s="5"/>
      <c r="EL417" s="5"/>
      <c r="EM417" s="5"/>
      <c r="EN417" s="1"/>
      <c r="EO417" s="5"/>
    </row>
    <row r="418" spans="90:145"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5"/>
      <c r="CW418" s="5"/>
      <c r="CX418" s="45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5"/>
      <c r="DM418" s="5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"/>
      <c r="EE418" s="1"/>
      <c r="EF418" s="1"/>
      <c r="EG418" s="1"/>
      <c r="EH418" s="5"/>
      <c r="EI418" s="5"/>
      <c r="EJ418" s="5"/>
      <c r="EK418" s="5"/>
      <c r="EL418" s="5"/>
      <c r="EM418" s="5"/>
      <c r="EN418" s="1"/>
      <c r="EO418" s="5"/>
    </row>
    <row r="419" spans="90:145"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5"/>
      <c r="CW419" s="5"/>
      <c r="CX419" s="45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5"/>
      <c r="DM419" s="5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"/>
      <c r="EE419" s="1"/>
      <c r="EF419" s="1"/>
      <c r="EG419" s="1"/>
      <c r="EH419" s="5"/>
      <c r="EI419" s="5"/>
      <c r="EJ419" s="5"/>
      <c r="EK419" s="5"/>
      <c r="EL419" s="5"/>
      <c r="EM419" s="5"/>
      <c r="EN419" s="1"/>
      <c r="EO419" s="5"/>
    </row>
    <row r="420" spans="90:145"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5"/>
      <c r="CW420" s="5"/>
      <c r="CX420" s="45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5"/>
      <c r="DM420" s="5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"/>
      <c r="EE420" s="1"/>
      <c r="EF420" s="1"/>
      <c r="EG420" s="1"/>
      <c r="EH420" s="5"/>
      <c r="EI420" s="5"/>
      <c r="EJ420" s="5"/>
      <c r="EK420" s="5"/>
      <c r="EL420" s="5"/>
      <c r="EM420" s="5"/>
      <c r="EN420" s="1"/>
      <c r="EO420" s="5"/>
    </row>
    <row r="421" spans="90:145"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5"/>
      <c r="CW421" s="5"/>
      <c r="CX421" s="45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5"/>
      <c r="DM421" s="5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"/>
      <c r="EE421" s="1"/>
      <c r="EF421" s="1"/>
      <c r="EG421" s="1"/>
      <c r="EH421" s="5"/>
      <c r="EI421" s="5"/>
      <c r="EJ421" s="5"/>
      <c r="EK421" s="5"/>
      <c r="EL421" s="5"/>
      <c r="EM421" s="5"/>
      <c r="EN421" s="1"/>
      <c r="EO421" s="5"/>
    </row>
    <row r="422" spans="90:145"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5"/>
      <c r="CW422" s="5"/>
      <c r="CX422" s="45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5"/>
      <c r="DM422" s="5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"/>
      <c r="EE422" s="1"/>
      <c r="EF422" s="1"/>
      <c r="EG422" s="1"/>
      <c r="EH422" s="5"/>
      <c r="EI422" s="5"/>
      <c r="EJ422" s="5"/>
      <c r="EK422" s="5"/>
      <c r="EL422" s="5"/>
      <c r="EM422" s="5"/>
      <c r="EN422" s="1"/>
      <c r="EO422" s="5"/>
    </row>
    <row r="423" spans="90:145"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5"/>
      <c r="CW423" s="5"/>
      <c r="CX423" s="45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5"/>
      <c r="DM423" s="5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1"/>
      <c r="EF423" s="1"/>
      <c r="EG423" s="1"/>
      <c r="EH423" s="5"/>
      <c r="EI423" s="5"/>
      <c r="EJ423" s="5"/>
      <c r="EK423" s="5"/>
      <c r="EL423" s="5"/>
      <c r="EM423" s="5"/>
      <c r="EN423" s="1"/>
      <c r="EO423" s="5"/>
    </row>
    <row r="424" spans="90:145"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5"/>
      <c r="CW424" s="5"/>
      <c r="CX424" s="45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5"/>
      <c r="DM424" s="5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"/>
      <c r="EE424" s="1"/>
      <c r="EF424" s="1"/>
      <c r="EG424" s="1"/>
      <c r="EH424" s="5"/>
      <c r="EI424" s="5"/>
      <c r="EJ424" s="5"/>
      <c r="EK424" s="5"/>
      <c r="EL424" s="5"/>
      <c r="EM424" s="5"/>
      <c r="EN424" s="1"/>
      <c r="EO424" s="5"/>
    </row>
    <row r="425" spans="90:145"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5"/>
      <c r="CW425" s="5"/>
      <c r="CX425" s="45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5"/>
      <c r="DM425" s="5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"/>
      <c r="EE425" s="1"/>
      <c r="EF425" s="1"/>
      <c r="EG425" s="1"/>
      <c r="EH425" s="5"/>
      <c r="EI425" s="5"/>
      <c r="EJ425" s="5"/>
      <c r="EK425" s="5"/>
      <c r="EL425" s="5"/>
      <c r="EM425" s="5"/>
      <c r="EN425" s="1"/>
      <c r="EO425" s="5"/>
    </row>
    <row r="426" spans="90:145"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5"/>
      <c r="CW426" s="5"/>
      <c r="CX426" s="45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5"/>
      <c r="DM426" s="5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"/>
      <c r="ED426" s="1"/>
      <c r="EE426" s="1"/>
      <c r="EF426" s="1"/>
      <c r="EG426" s="1"/>
      <c r="EH426" s="5"/>
      <c r="EI426" s="5"/>
      <c r="EJ426" s="5"/>
      <c r="EK426" s="5"/>
      <c r="EL426" s="5"/>
      <c r="EM426" s="5"/>
      <c r="EN426" s="1"/>
      <c r="EO426" s="5"/>
    </row>
    <row r="427" spans="90:145"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5"/>
      <c r="CW427" s="5"/>
      <c r="CX427" s="45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5"/>
      <c r="DM427" s="5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"/>
      <c r="ED427" s="1"/>
      <c r="EE427" s="1"/>
      <c r="EF427" s="1"/>
      <c r="EG427" s="1"/>
      <c r="EH427" s="5"/>
      <c r="EI427" s="5"/>
      <c r="EJ427" s="5"/>
      <c r="EK427" s="5"/>
      <c r="EL427" s="5"/>
      <c r="EM427" s="5"/>
      <c r="EN427" s="1"/>
      <c r="EO427" s="5"/>
    </row>
    <row r="428" spans="90:145"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5"/>
      <c r="CW428" s="5"/>
      <c r="CX428" s="45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5"/>
      <c r="DM428" s="5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"/>
      <c r="ED428" s="1"/>
      <c r="EE428" s="1"/>
      <c r="EF428" s="1"/>
      <c r="EG428" s="1"/>
      <c r="EH428" s="5"/>
      <c r="EI428" s="5"/>
      <c r="EJ428" s="5"/>
      <c r="EK428" s="5"/>
      <c r="EL428" s="5"/>
      <c r="EM428" s="5"/>
      <c r="EN428" s="1"/>
      <c r="EO428" s="5"/>
    </row>
    <row r="429" spans="90:145"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5"/>
      <c r="CW429" s="5"/>
      <c r="CX429" s="45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5"/>
      <c r="DM429" s="5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"/>
      <c r="ED429" s="1"/>
      <c r="EE429" s="1"/>
      <c r="EF429" s="1"/>
      <c r="EG429" s="1"/>
      <c r="EH429" s="5"/>
      <c r="EI429" s="5"/>
      <c r="EJ429" s="5"/>
      <c r="EK429" s="5"/>
      <c r="EL429" s="5"/>
      <c r="EM429" s="5"/>
      <c r="EN429" s="1"/>
      <c r="EO429" s="5"/>
    </row>
    <row r="430" spans="90:145"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5"/>
      <c r="CW430" s="5"/>
      <c r="CX430" s="45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5"/>
      <c r="DM430" s="5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"/>
      <c r="ED430" s="1"/>
      <c r="EE430" s="1"/>
      <c r="EF430" s="1"/>
      <c r="EG430" s="1"/>
      <c r="EH430" s="5"/>
      <c r="EI430" s="5"/>
      <c r="EJ430" s="5"/>
      <c r="EK430" s="5"/>
      <c r="EL430" s="5"/>
      <c r="EM430" s="5"/>
      <c r="EN430" s="1"/>
      <c r="EO430" s="5"/>
    </row>
    <row r="431" spans="90:145"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5"/>
      <c r="CW431" s="5"/>
      <c r="CX431" s="45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5"/>
      <c r="DM431" s="5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"/>
      <c r="ED431" s="1"/>
      <c r="EE431" s="1"/>
      <c r="EF431" s="1"/>
      <c r="EG431" s="1"/>
      <c r="EH431" s="5"/>
      <c r="EI431" s="5"/>
      <c r="EJ431" s="5"/>
      <c r="EK431" s="5"/>
      <c r="EL431" s="5"/>
      <c r="EM431" s="5"/>
      <c r="EN431" s="1"/>
      <c r="EO431" s="5"/>
    </row>
    <row r="432" spans="90:145"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5"/>
      <c r="CW432" s="5"/>
      <c r="CX432" s="45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5"/>
      <c r="DM432" s="5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"/>
      <c r="ED432" s="1"/>
      <c r="EE432" s="1"/>
      <c r="EF432" s="1"/>
      <c r="EG432" s="1"/>
      <c r="EH432" s="5"/>
      <c r="EI432" s="5"/>
      <c r="EJ432" s="5"/>
      <c r="EK432" s="5"/>
      <c r="EL432" s="5"/>
      <c r="EM432" s="5"/>
      <c r="EN432" s="1"/>
      <c r="EO432" s="5"/>
    </row>
    <row r="433" spans="90:145"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5"/>
      <c r="CW433" s="5"/>
      <c r="CX433" s="45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5"/>
      <c r="DM433" s="5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"/>
      <c r="ED433" s="1"/>
      <c r="EE433" s="1"/>
      <c r="EF433" s="1"/>
      <c r="EG433" s="1"/>
      <c r="EH433" s="5"/>
      <c r="EI433" s="5"/>
      <c r="EJ433" s="5"/>
      <c r="EK433" s="5"/>
      <c r="EL433" s="5"/>
      <c r="EM433" s="5"/>
      <c r="EN433" s="1"/>
      <c r="EO433" s="5"/>
    </row>
    <row r="434" spans="90:145"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5"/>
      <c r="CW434" s="5"/>
      <c r="CX434" s="45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5"/>
      <c r="DM434" s="5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"/>
      <c r="ED434" s="1"/>
      <c r="EE434" s="1"/>
      <c r="EF434" s="1"/>
      <c r="EG434" s="1"/>
      <c r="EH434" s="5"/>
      <c r="EI434" s="5"/>
      <c r="EJ434" s="5"/>
      <c r="EK434" s="5"/>
      <c r="EL434" s="5"/>
      <c r="EM434" s="5"/>
      <c r="EN434" s="1"/>
      <c r="EO434" s="5"/>
    </row>
    <row r="435" spans="90:145"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5"/>
      <c r="CW435" s="5"/>
      <c r="CX435" s="45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5"/>
      <c r="DM435" s="5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"/>
      <c r="ED435" s="1"/>
      <c r="EE435" s="1"/>
      <c r="EF435" s="1"/>
      <c r="EG435" s="1"/>
      <c r="EH435" s="5"/>
      <c r="EI435" s="5"/>
      <c r="EJ435" s="5"/>
      <c r="EK435" s="5"/>
      <c r="EL435" s="5"/>
      <c r="EM435" s="5"/>
      <c r="EN435" s="1"/>
      <c r="EO435" s="5"/>
    </row>
    <row r="436" spans="90:145"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5"/>
      <c r="CW436" s="5"/>
      <c r="CX436" s="45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5"/>
      <c r="DM436" s="5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"/>
      <c r="ED436" s="1"/>
      <c r="EE436" s="1"/>
      <c r="EF436" s="1"/>
      <c r="EG436" s="1"/>
      <c r="EH436" s="5"/>
      <c r="EI436" s="5"/>
      <c r="EJ436" s="5"/>
      <c r="EK436" s="5"/>
      <c r="EL436" s="5"/>
      <c r="EM436" s="5"/>
      <c r="EN436" s="1"/>
      <c r="EO436" s="5"/>
    </row>
    <row r="437" spans="90:145"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5"/>
      <c r="CW437" s="5"/>
      <c r="CX437" s="45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5"/>
      <c r="DM437" s="5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"/>
      <c r="ED437" s="1"/>
      <c r="EE437" s="1"/>
      <c r="EF437" s="1"/>
      <c r="EG437" s="1"/>
      <c r="EH437" s="5"/>
      <c r="EI437" s="5"/>
      <c r="EJ437" s="5"/>
      <c r="EK437" s="5"/>
      <c r="EL437" s="5"/>
      <c r="EM437" s="5"/>
      <c r="EN437" s="1"/>
      <c r="EO437" s="5"/>
    </row>
    <row r="438" spans="90:145"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5"/>
      <c r="CW438" s="5"/>
      <c r="CX438" s="45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5"/>
      <c r="DM438" s="5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"/>
      <c r="ED438" s="1"/>
      <c r="EE438" s="1"/>
      <c r="EF438" s="1"/>
      <c r="EG438" s="1"/>
      <c r="EH438" s="5"/>
      <c r="EI438" s="5"/>
      <c r="EJ438" s="5"/>
      <c r="EK438" s="5"/>
      <c r="EL438" s="5"/>
      <c r="EM438" s="5"/>
      <c r="EN438" s="1"/>
      <c r="EO438" s="5"/>
    </row>
    <row r="439" spans="90:145"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5"/>
      <c r="CW439" s="5"/>
      <c r="CX439" s="45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5"/>
      <c r="DM439" s="5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"/>
      <c r="ED439" s="1"/>
      <c r="EE439" s="1"/>
      <c r="EF439" s="1"/>
      <c r="EG439" s="1"/>
      <c r="EH439" s="5"/>
      <c r="EI439" s="5"/>
      <c r="EJ439" s="5"/>
      <c r="EK439" s="5"/>
      <c r="EL439" s="5"/>
      <c r="EM439" s="5"/>
      <c r="EN439" s="1"/>
      <c r="EO439" s="5"/>
    </row>
    <row r="440" spans="90:145"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5"/>
      <c r="CW440" s="5"/>
      <c r="CX440" s="45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5"/>
      <c r="DM440" s="5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"/>
      <c r="EE440" s="1"/>
      <c r="EF440" s="1"/>
      <c r="EG440" s="1"/>
      <c r="EH440" s="5"/>
      <c r="EI440" s="5"/>
      <c r="EJ440" s="5"/>
      <c r="EK440" s="5"/>
      <c r="EL440" s="5"/>
      <c r="EM440" s="5"/>
      <c r="EN440" s="1"/>
      <c r="EO440" s="5"/>
    </row>
    <row r="441" spans="90:145"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5"/>
      <c r="CW441" s="5"/>
      <c r="CX441" s="45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5"/>
      <c r="DM441" s="5"/>
      <c r="DN441" s="1"/>
      <c r="DO441" s="1"/>
      <c r="DP441" s="1"/>
      <c r="DQ441" s="1"/>
      <c r="DR441" s="1"/>
      <c r="DS441" s="1"/>
      <c r="DT441" s="1"/>
      <c r="DU441" s="1"/>
      <c r="DV441" s="1"/>
      <c r="DW441" s="1"/>
      <c r="DX441" s="1"/>
      <c r="DY441" s="1"/>
      <c r="DZ441" s="1"/>
      <c r="EA441" s="1"/>
      <c r="EB441" s="1"/>
      <c r="EC441" s="1"/>
      <c r="ED441" s="1"/>
      <c r="EE441" s="1"/>
      <c r="EF441" s="1"/>
      <c r="EG441" s="1"/>
      <c r="EH441" s="5"/>
      <c r="EI441" s="5"/>
      <c r="EJ441" s="5"/>
      <c r="EK441" s="5"/>
      <c r="EL441" s="5"/>
      <c r="EM441" s="5"/>
      <c r="EN441" s="1"/>
      <c r="EO441" s="5"/>
    </row>
    <row r="442" spans="90:145"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5"/>
      <c r="CW442" s="5"/>
      <c r="CX442" s="45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5"/>
      <c r="DM442" s="5"/>
      <c r="DN442" s="1"/>
      <c r="DO442" s="1"/>
      <c r="DP442" s="1"/>
      <c r="DQ442" s="1"/>
      <c r="DR442" s="1"/>
      <c r="DS442" s="1"/>
      <c r="DT442" s="1"/>
      <c r="DU442" s="1"/>
      <c r="DV442" s="1"/>
      <c r="DW442" s="1"/>
      <c r="DX442" s="1"/>
      <c r="DY442" s="1"/>
      <c r="DZ442" s="1"/>
      <c r="EA442" s="1"/>
      <c r="EB442" s="1"/>
      <c r="EC442" s="1"/>
      <c r="ED442" s="1"/>
      <c r="EE442" s="1"/>
      <c r="EF442" s="1"/>
      <c r="EG442" s="1"/>
      <c r="EH442" s="5"/>
      <c r="EI442" s="5"/>
      <c r="EJ442" s="5"/>
      <c r="EK442" s="5"/>
      <c r="EL442" s="5"/>
      <c r="EM442" s="5"/>
      <c r="EN442" s="1"/>
      <c r="EO442" s="5"/>
    </row>
    <row r="443" spans="90:145"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5"/>
      <c r="CW443" s="5"/>
      <c r="CX443" s="45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5"/>
      <c r="DM443" s="5"/>
      <c r="DN443" s="1"/>
      <c r="DO443" s="1"/>
      <c r="DP443" s="1"/>
      <c r="DQ443" s="1"/>
      <c r="DR443" s="1"/>
      <c r="DS443" s="1"/>
      <c r="DT443" s="1"/>
      <c r="DU443" s="1"/>
      <c r="DV443" s="1"/>
      <c r="DW443" s="1"/>
      <c r="DX443" s="1"/>
      <c r="DY443" s="1"/>
      <c r="DZ443" s="1"/>
      <c r="EA443" s="1"/>
      <c r="EB443" s="1"/>
      <c r="EC443" s="1"/>
      <c r="ED443" s="1"/>
      <c r="EE443" s="1"/>
      <c r="EF443" s="1"/>
      <c r="EG443" s="1"/>
      <c r="EH443" s="5"/>
      <c r="EI443" s="5"/>
      <c r="EJ443" s="5"/>
      <c r="EK443" s="5"/>
      <c r="EL443" s="5"/>
      <c r="EM443" s="5"/>
      <c r="EN443" s="1"/>
      <c r="EO443" s="5"/>
    </row>
    <row r="444" spans="90:145"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5"/>
      <c r="CW444" s="5"/>
      <c r="CX444" s="45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5"/>
      <c r="DM444" s="5"/>
      <c r="DN444" s="1"/>
      <c r="DO444" s="1"/>
      <c r="DP444" s="1"/>
      <c r="DQ444" s="1"/>
      <c r="DR444" s="1"/>
      <c r="DS444" s="1"/>
      <c r="DT444" s="1"/>
      <c r="DU444" s="1"/>
      <c r="DV444" s="1"/>
      <c r="DW444" s="1"/>
      <c r="DX444" s="1"/>
      <c r="DY444" s="1"/>
      <c r="DZ444" s="1"/>
      <c r="EA444" s="1"/>
      <c r="EB444" s="1"/>
      <c r="EC444" s="1"/>
      <c r="ED444" s="1"/>
      <c r="EE444" s="1"/>
      <c r="EF444" s="1"/>
      <c r="EG444" s="1"/>
      <c r="EH444" s="5"/>
      <c r="EI444" s="5"/>
      <c r="EJ444" s="5"/>
      <c r="EK444" s="5"/>
      <c r="EL444" s="5"/>
      <c r="EM444" s="5"/>
      <c r="EN444" s="1"/>
      <c r="EO444" s="5"/>
    </row>
    <row r="445" spans="90:145"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5"/>
      <c r="CW445" s="5"/>
      <c r="CX445" s="45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5"/>
      <c r="DM445" s="5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"/>
      <c r="ED445" s="1"/>
      <c r="EE445" s="1"/>
      <c r="EF445" s="1"/>
      <c r="EG445" s="1"/>
      <c r="EH445" s="5"/>
      <c r="EI445" s="5"/>
      <c r="EJ445" s="5"/>
      <c r="EK445" s="5"/>
      <c r="EL445" s="5"/>
      <c r="EM445" s="5"/>
      <c r="EN445" s="1"/>
      <c r="EO445" s="5"/>
    </row>
    <row r="446" spans="90:145"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5"/>
      <c r="CW446" s="5"/>
      <c r="CX446" s="45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5"/>
      <c r="DM446" s="5"/>
      <c r="DN446" s="1"/>
      <c r="DO446" s="1"/>
      <c r="DP446" s="1"/>
      <c r="DQ446" s="1"/>
      <c r="DR446" s="1"/>
      <c r="DS446" s="1"/>
      <c r="DT446" s="1"/>
      <c r="DU446" s="1"/>
      <c r="DV446" s="1"/>
      <c r="DW446" s="1"/>
      <c r="DX446" s="1"/>
      <c r="DY446" s="1"/>
      <c r="DZ446" s="1"/>
      <c r="EA446" s="1"/>
      <c r="EB446" s="1"/>
      <c r="EC446" s="1"/>
      <c r="ED446" s="1"/>
      <c r="EE446" s="1"/>
      <c r="EF446" s="1"/>
      <c r="EG446" s="1"/>
      <c r="EH446" s="5"/>
      <c r="EI446" s="5"/>
      <c r="EJ446" s="5"/>
      <c r="EK446" s="5"/>
      <c r="EL446" s="5"/>
      <c r="EM446" s="5"/>
      <c r="EN446" s="1"/>
      <c r="EO446" s="5"/>
    </row>
    <row r="447" spans="90:145"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5"/>
      <c r="CW447" s="5"/>
      <c r="CX447" s="45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5"/>
      <c r="DM447" s="5"/>
      <c r="DN447" s="1"/>
      <c r="DO447" s="1"/>
      <c r="DP447" s="1"/>
      <c r="DQ447" s="1"/>
      <c r="DR447" s="1"/>
      <c r="DS447" s="1"/>
      <c r="DT447" s="1"/>
      <c r="DU447" s="1"/>
      <c r="DV447" s="1"/>
      <c r="DW447" s="1"/>
      <c r="DX447" s="1"/>
      <c r="DY447" s="1"/>
      <c r="DZ447" s="1"/>
      <c r="EA447" s="1"/>
      <c r="EB447" s="1"/>
      <c r="EC447" s="1"/>
      <c r="ED447" s="1"/>
      <c r="EE447" s="1"/>
      <c r="EF447" s="1"/>
      <c r="EG447" s="1"/>
      <c r="EH447" s="5"/>
      <c r="EI447" s="5"/>
      <c r="EJ447" s="5"/>
      <c r="EK447" s="5"/>
      <c r="EL447" s="5"/>
      <c r="EM447" s="5"/>
      <c r="EN447" s="1"/>
      <c r="EO447" s="5"/>
    </row>
    <row r="448" spans="90:145"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5"/>
      <c r="CW448" s="5"/>
      <c r="CX448" s="45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5"/>
      <c r="DM448" s="5"/>
      <c r="DN448" s="1"/>
      <c r="DO448" s="1"/>
      <c r="DP448" s="1"/>
      <c r="DQ448" s="1"/>
      <c r="DR448" s="1"/>
      <c r="DS448" s="1"/>
      <c r="DT448" s="1"/>
      <c r="DU448" s="1"/>
      <c r="DV448" s="1"/>
      <c r="DW448" s="1"/>
      <c r="DX448" s="1"/>
      <c r="DY448" s="1"/>
      <c r="DZ448" s="1"/>
      <c r="EA448" s="1"/>
      <c r="EB448" s="1"/>
      <c r="EC448" s="1"/>
      <c r="ED448" s="1"/>
      <c r="EE448" s="1"/>
      <c r="EF448" s="1"/>
      <c r="EG448" s="1"/>
      <c r="EH448" s="5"/>
      <c r="EI448" s="5"/>
      <c r="EJ448" s="5"/>
      <c r="EK448" s="5"/>
      <c r="EL448" s="5"/>
      <c r="EM448" s="5"/>
      <c r="EN448" s="1"/>
      <c r="EO448" s="5"/>
    </row>
    <row r="449" spans="90:145"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5"/>
      <c r="CW449" s="5"/>
      <c r="CX449" s="45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5"/>
      <c r="DM449" s="5"/>
      <c r="DN449" s="1"/>
      <c r="DO449" s="1"/>
      <c r="DP449" s="1"/>
      <c r="DQ449" s="1"/>
      <c r="DR449" s="1"/>
      <c r="DS449" s="1"/>
      <c r="DT449" s="1"/>
      <c r="DU449" s="1"/>
      <c r="DV449" s="1"/>
      <c r="DW449" s="1"/>
      <c r="DX449" s="1"/>
      <c r="DY449" s="1"/>
      <c r="DZ449" s="1"/>
      <c r="EA449" s="1"/>
      <c r="EB449" s="1"/>
      <c r="EC449" s="1"/>
      <c r="ED449" s="1"/>
      <c r="EE449" s="1"/>
      <c r="EF449" s="1"/>
      <c r="EG449" s="1"/>
      <c r="EH449" s="5"/>
      <c r="EI449" s="5"/>
      <c r="EJ449" s="5"/>
      <c r="EK449" s="5"/>
      <c r="EL449" s="5"/>
      <c r="EM449" s="5"/>
      <c r="EN449" s="1"/>
      <c r="EO449" s="5"/>
    </row>
    <row r="450" spans="90:145"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5"/>
      <c r="CW450" s="5"/>
      <c r="CX450" s="45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5"/>
      <c r="DM450" s="5"/>
      <c r="DN450" s="1"/>
      <c r="DO450" s="1"/>
      <c r="DP450" s="1"/>
      <c r="DQ450" s="1"/>
      <c r="DR450" s="1"/>
      <c r="DS450" s="1"/>
      <c r="DT450" s="1"/>
      <c r="DU450" s="1"/>
      <c r="DV450" s="1"/>
      <c r="DW450" s="1"/>
      <c r="DX450" s="1"/>
      <c r="DY450" s="1"/>
      <c r="DZ450" s="1"/>
      <c r="EA450" s="1"/>
      <c r="EB450" s="1"/>
      <c r="EC450" s="1"/>
      <c r="ED450" s="1"/>
      <c r="EE450" s="1"/>
      <c r="EF450" s="1"/>
      <c r="EG450" s="1"/>
      <c r="EH450" s="5"/>
      <c r="EI450" s="5"/>
      <c r="EJ450" s="5"/>
      <c r="EK450" s="5"/>
      <c r="EL450" s="5"/>
      <c r="EM450" s="5"/>
      <c r="EN450" s="1"/>
      <c r="EO450" s="5"/>
    </row>
    <row r="451" spans="90:145"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5"/>
      <c r="CW451" s="5"/>
      <c r="CX451" s="45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5"/>
      <c r="DM451" s="5"/>
      <c r="DN451" s="1"/>
      <c r="DO451" s="1"/>
      <c r="DP451" s="1"/>
      <c r="DQ451" s="1"/>
      <c r="DR451" s="1"/>
      <c r="DS451" s="1"/>
      <c r="DT451" s="1"/>
      <c r="DU451" s="1"/>
      <c r="DV451" s="1"/>
      <c r="DW451" s="1"/>
      <c r="DX451" s="1"/>
      <c r="DY451" s="1"/>
      <c r="DZ451" s="1"/>
      <c r="EA451" s="1"/>
      <c r="EB451" s="1"/>
      <c r="EC451" s="1"/>
      <c r="ED451" s="1"/>
      <c r="EE451" s="1"/>
      <c r="EF451" s="1"/>
      <c r="EG451" s="1"/>
      <c r="EH451" s="5"/>
      <c r="EI451" s="5"/>
      <c r="EJ451" s="5"/>
      <c r="EK451" s="5"/>
      <c r="EL451" s="5"/>
      <c r="EM451" s="5"/>
      <c r="EN451" s="1"/>
      <c r="EO451" s="5"/>
    </row>
    <row r="452" spans="90:145"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5"/>
      <c r="CW452" s="5"/>
      <c r="CX452" s="45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5"/>
      <c r="DM452" s="5"/>
      <c r="DN452" s="1"/>
      <c r="DO452" s="1"/>
      <c r="DP452" s="1"/>
      <c r="DQ452" s="1"/>
      <c r="DR452" s="1"/>
      <c r="DS452" s="1"/>
      <c r="DT452" s="1"/>
      <c r="DU452" s="1"/>
      <c r="DV452" s="1"/>
      <c r="DW452" s="1"/>
      <c r="DX452" s="1"/>
      <c r="DY452" s="1"/>
      <c r="DZ452" s="1"/>
      <c r="EA452" s="1"/>
      <c r="EB452" s="1"/>
      <c r="EC452" s="1"/>
      <c r="ED452" s="1"/>
      <c r="EE452" s="1"/>
      <c r="EF452" s="1"/>
      <c r="EG452" s="1"/>
      <c r="EH452" s="5"/>
      <c r="EI452" s="5"/>
      <c r="EJ452" s="5"/>
      <c r="EK452" s="5"/>
      <c r="EL452" s="5"/>
      <c r="EM452" s="5"/>
      <c r="EN452" s="1"/>
      <c r="EO452" s="5"/>
    </row>
    <row r="453" spans="90:145"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5"/>
      <c r="CW453" s="5"/>
      <c r="CX453" s="45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5"/>
      <c r="DM453" s="5"/>
      <c r="DN453" s="1"/>
      <c r="DO453" s="1"/>
      <c r="DP453" s="1"/>
      <c r="DQ453" s="1"/>
      <c r="DR453" s="1"/>
      <c r="DS453" s="1"/>
      <c r="DT453" s="1"/>
      <c r="DU453" s="1"/>
      <c r="DV453" s="1"/>
      <c r="DW453" s="1"/>
      <c r="DX453" s="1"/>
      <c r="DY453" s="1"/>
      <c r="DZ453" s="1"/>
      <c r="EA453" s="1"/>
      <c r="EB453" s="1"/>
      <c r="EC453" s="1"/>
      <c r="ED453" s="1"/>
      <c r="EE453" s="1"/>
      <c r="EF453" s="1"/>
      <c r="EG453" s="1"/>
      <c r="EH453" s="5"/>
      <c r="EI453" s="5"/>
      <c r="EJ453" s="5"/>
      <c r="EK453" s="5"/>
      <c r="EL453" s="5"/>
      <c r="EM453" s="5"/>
      <c r="EN453" s="1"/>
      <c r="EO453" s="5"/>
    </row>
    <row r="454" spans="90:145"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5"/>
      <c r="CW454" s="5"/>
      <c r="CX454" s="45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5"/>
      <c r="DM454" s="5"/>
      <c r="DN454" s="1"/>
      <c r="DO454" s="1"/>
      <c r="DP454" s="1"/>
      <c r="DQ454" s="1"/>
      <c r="DR454" s="1"/>
      <c r="DS454" s="1"/>
      <c r="DT454" s="1"/>
      <c r="DU454" s="1"/>
      <c r="DV454" s="1"/>
      <c r="DW454" s="1"/>
      <c r="DX454" s="1"/>
      <c r="DY454" s="1"/>
      <c r="DZ454" s="1"/>
      <c r="EA454" s="1"/>
      <c r="EB454" s="1"/>
      <c r="EC454" s="1"/>
      <c r="ED454" s="1"/>
      <c r="EE454" s="1"/>
      <c r="EF454" s="1"/>
      <c r="EG454" s="1"/>
      <c r="EH454" s="5"/>
      <c r="EI454" s="5"/>
      <c r="EJ454" s="5"/>
      <c r="EK454" s="5"/>
      <c r="EL454" s="5"/>
      <c r="EM454" s="5"/>
      <c r="EN454" s="1"/>
      <c r="EO454" s="5"/>
    </row>
    <row r="455" spans="90:145"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5"/>
      <c r="CW455" s="5"/>
      <c r="CX455" s="45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5"/>
      <c r="DM455" s="5"/>
      <c r="DN455" s="1"/>
      <c r="DO455" s="1"/>
      <c r="DP455" s="1"/>
      <c r="DQ455" s="1"/>
      <c r="DR455" s="1"/>
      <c r="DS455" s="1"/>
      <c r="DT455" s="1"/>
      <c r="DU455" s="1"/>
      <c r="DV455" s="1"/>
      <c r="DW455" s="1"/>
      <c r="DX455" s="1"/>
      <c r="DY455" s="1"/>
      <c r="DZ455" s="1"/>
      <c r="EA455" s="1"/>
      <c r="EB455" s="1"/>
      <c r="EC455" s="1"/>
      <c r="ED455" s="1"/>
      <c r="EE455" s="1"/>
      <c r="EF455" s="1"/>
      <c r="EG455" s="1"/>
      <c r="EH455" s="5"/>
      <c r="EI455" s="5"/>
      <c r="EJ455" s="5"/>
      <c r="EK455" s="5"/>
      <c r="EL455" s="5"/>
      <c r="EM455" s="5"/>
      <c r="EN455" s="1"/>
      <c r="EO455" s="5"/>
    </row>
    <row r="456" spans="90:145"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5"/>
      <c r="CW456" s="5"/>
      <c r="CX456" s="45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5"/>
      <c r="DM456" s="5"/>
      <c r="DN456" s="1"/>
      <c r="DO456" s="1"/>
      <c r="DP456" s="1"/>
      <c r="DQ456" s="1"/>
      <c r="DR456" s="1"/>
      <c r="DS456" s="1"/>
      <c r="DT456" s="1"/>
      <c r="DU456" s="1"/>
      <c r="DV456" s="1"/>
      <c r="DW456" s="1"/>
      <c r="DX456" s="1"/>
      <c r="DY456" s="1"/>
      <c r="DZ456" s="1"/>
      <c r="EA456" s="1"/>
      <c r="EB456" s="1"/>
      <c r="EC456" s="1"/>
      <c r="ED456" s="1"/>
      <c r="EE456" s="1"/>
      <c r="EF456" s="1"/>
      <c r="EG456" s="1"/>
      <c r="EH456" s="5"/>
      <c r="EI456" s="5"/>
      <c r="EJ456" s="5"/>
      <c r="EK456" s="5"/>
      <c r="EL456" s="5"/>
      <c r="EM456" s="5"/>
      <c r="EN456" s="1"/>
      <c r="EO456" s="5"/>
    </row>
    <row r="457" spans="90:145"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5"/>
      <c r="CW457" s="5"/>
      <c r="CX457" s="45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5"/>
      <c r="DM457" s="5"/>
      <c r="DN457" s="1"/>
      <c r="DO457" s="1"/>
      <c r="DP457" s="1"/>
      <c r="DQ457" s="1"/>
      <c r="DR457" s="1"/>
      <c r="DS457" s="1"/>
      <c r="DT457" s="1"/>
      <c r="DU457" s="1"/>
      <c r="DV457" s="1"/>
      <c r="DW457" s="1"/>
      <c r="DX457" s="1"/>
      <c r="DY457" s="1"/>
      <c r="DZ457" s="1"/>
      <c r="EA457" s="1"/>
      <c r="EB457" s="1"/>
      <c r="EC457" s="1"/>
      <c r="ED457" s="1"/>
      <c r="EE457" s="1"/>
      <c r="EF457" s="1"/>
      <c r="EG457" s="1"/>
      <c r="EH457" s="5"/>
      <c r="EI457" s="5"/>
      <c r="EJ457" s="5"/>
      <c r="EK457" s="5"/>
      <c r="EL457" s="5"/>
      <c r="EM457" s="5"/>
      <c r="EN457" s="1"/>
      <c r="EO457" s="5"/>
    </row>
    <row r="458" spans="90:145"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5"/>
      <c r="CW458" s="5"/>
      <c r="CX458" s="45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5"/>
      <c r="DM458" s="5"/>
      <c r="DN458" s="1"/>
      <c r="DO458" s="1"/>
      <c r="DP458" s="1"/>
      <c r="DQ458" s="1"/>
      <c r="DR458" s="1"/>
      <c r="DS458" s="1"/>
      <c r="DT458" s="1"/>
      <c r="DU458" s="1"/>
      <c r="DV458" s="1"/>
      <c r="DW458" s="1"/>
      <c r="DX458" s="1"/>
      <c r="DY458" s="1"/>
      <c r="DZ458" s="1"/>
      <c r="EA458" s="1"/>
      <c r="EB458" s="1"/>
      <c r="EC458" s="1"/>
      <c r="ED458" s="1"/>
      <c r="EE458" s="1"/>
      <c r="EF458" s="1"/>
      <c r="EG458" s="1"/>
      <c r="EH458" s="5"/>
      <c r="EI458" s="5"/>
      <c r="EJ458" s="5"/>
      <c r="EK458" s="5"/>
      <c r="EL458" s="5"/>
      <c r="EM458" s="5"/>
      <c r="EN458" s="1"/>
      <c r="EO458" s="5"/>
    </row>
    <row r="459" spans="90:145"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5"/>
      <c r="CW459" s="5"/>
      <c r="CX459" s="45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5"/>
      <c r="DM459" s="5"/>
      <c r="DN459" s="1"/>
      <c r="DO459" s="1"/>
      <c r="DP459" s="1"/>
      <c r="DQ459" s="1"/>
      <c r="DR459" s="1"/>
      <c r="DS459" s="1"/>
      <c r="DT459" s="1"/>
      <c r="DU459" s="1"/>
      <c r="DV459" s="1"/>
      <c r="DW459" s="1"/>
      <c r="DX459" s="1"/>
      <c r="DY459" s="1"/>
      <c r="DZ459" s="1"/>
      <c r="EA459" s="1"/>
      <c r="EB459" s="1"/>
      <c r="EC459" s="1"/>
      <c r="ED459" s="1"/>
      <c r="EE459" s="1"/>
      <c r="EF459" s="1"/>
      <c r="EG459" s="1"/>
      <c r="EH459" s="5"/>
      <c r="EI459" s="5"/>
      <c r="EJ459" s="5"/>
      <c r="EK459" s="5"/>
      <c r="EL459" s="5"/>
      <c r="EM459" s="5"/>
      <c r="EN459" s="1"/>
      <c r="EO459" s="5"/>
    </row>
    <row r="460" spans="90:145"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5"/>
      <c r="CW460" s="5"/>
      <c r="CX460" s="45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5"/>
      <c r="DM460" s="5"/>
      <c r="DN460" s="1"/>
      <c r="DO460" s="1"/>
      <c r="DP460" s="1"/>
      <c r="DQ460" s="1"/>
      <c r="DR460" s="1"/>
      <c r="DS460" s="1"/>
      <c r="DT460" s="1"/>
      <c r="DU460" s="1"/>
      <c r="DV460" s="1"/>
      <c r="DW460" s="1"/>
      <c r="DX460" s="1"/>
      <c r="DY460" s="1"/>
      <c r="DZ460" s="1"/>
      <c r="EA460" s="1"/>
      <c r="EB460" s="1"/>
      <c r="EC460" s="1"/>
      <c r="ED460" s="1"/>
      <c r="EE460" s="1"/>
      <c r="EF460" s="1"/>
      <c r="EG460" s="1"/>
      <c r="EH460" s="5"/>
      <c r="EI460" s="5"/>
      <c r="EJ460" s="5"/>
      <c r="EK460" s="5"/>
      <c r="EL460" s="5"/>
      <c r="EM460" s="5"/>
      <c r="EN460" s="1"/>
      <c r="EO460" s="5"/>
    </row>
    <row r="461" spans="90:145"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5"/>
      <c r="CW461" s="5"/>
      <c r="CX461" s="45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5"/>
      <c r="DM461" s="5"/>
      <c r="DN461" s="1"/>
      <c r="DO461" s="1"/>
      <c r="DP461" s="1"/>
      <c r="DQ461" s="1"/>
      <c r="DR461" s="1"/>
      <c r="DS461" s="1"/>
      <c r="DT461" s="1"/>
      <c r="DU461" s="1"/>
      <c r="DV461" s="1"/>
      <c r="DW461" s="1"/>
      <c r="DX461" s="1"/>
      <c r="DY461" s="1"/>
      <c r="DZ461" s="1"/>
      <c r="EA461" s="1"/>
      <c r="EB461" s="1"/>
      <c r="EC461" s="1"/>
      <c r="ED461" s="1"/>
      <c r="EE461" s="1"/>
      <c r="EF461" s="1"/>
      <c r="EG461" s="1"/>
      <c r="EH461" s="5"/>
      <c r="EI461" s="5"/>
      <c r="EJ461" s="5"/>
      <c r="EK461" s="5"/>
      <c r="EL461" s="5"/>
      <c r="EM461" s="5"/>
      <c r="EN461" s="1"/>
      <c r="EO461" s="5"/>
    </row>
    <row r="462" spans="90:145"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5"/>
      <c r="CW462" s="5"/>
      <c r="CX462" s="45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5"/>
      <c r="DM462" s="5"/>
      <c r="DN462" s="1"/>
      <c r="DO462" s="1"/>
      <c r="DP462" s="1"/>
      <c r="DQ462" s="1"/>
      <c r="DR462" s="1"/>
      <c r="DS462" s="1"/>
      <c r="DT462" s="1"/>
      <c r="DU462" s="1"/>
      <c r="DV462" s="1"/>
      <c r="DW462" s="1"/>
      <c r="DX462" s="1"/>
      <c r="DY462" s="1"/>
      <c r="DZ462" s="1"/>
      <c r="EA462" s="1"/>
      <c r="EB462" s="1"/>
      <c r="EC462" s="1"/>
      <c r="ED462" s="1"/>
      <c r="EE462" s="1"/>
      <c r="EF462" s="1"/>
      <c r="EG462" s="1"/>
      <c r="EH462" s="5"/>
      <c r="EI462" s="5"/>
      <c r="EJ462" s="5"/>
      <c r="EK462" s="5"/>
      <c r="EL462" s="5"/>
      <c r="EM462" s="5"/>
      <c r="EN462" s="1"/>
      <c r="EO462" s="5"/>
    </row>
    <row r="463" spans="90:145"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5"/>
      <c r="CW463" s="5"/>
      <c r="CX463" s="45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5"/>
      <c r="DM463" s="5"/>
      <c r="DN463" s="1"/>
      <c r="DO463" s="1"/>
      <c r="DP463" s="1"/>
      <c r="DQ463" s="1"/>
      <c r="DR463" s="1"/>
      <c r="DS463" s="1"/>
      <c r="DT463" s="1"/>
      <c r="DU463" s="1"/>
      <c r="DV463" s="1"/>
      <c r="DW463" s="1"/>
      <c r="DX463" s="1"/>
      <c r="DY463" s="1"/>
      <c r="DZ463" s="1"/>
      <c r="EA463" s="1"/>
      <c r="EB463" s="1"/>
      <c r="EC463" s="1"/>
      <c r="ED463" s="1"/>
      <c r="EE463" s="1"/>
      <c r="EF463" s="1"/>
      <c r="EG463" s="1"/>
      <c r="EH463" s="5"/>
      <c r="EI463" s="5"/>
      <c r="EJ463" s="5"/>
      <c r="EK463" s="5"/>
      <c r="EL463" s="5"/>
      <c r="EM463" s="5"/>
      <c r="EN463" s="1"/>
      <c r="EO463" s="5"/>
    </row>
    <row r="464" spans="90:145"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5"/>
      <c r="CW464" s="5"/>
      <c r="CX464" s="45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5"/>
      <c r="DM464" s="5"/>
      <c r="DN464" s="1"/>
      <c r="DO464" s="1"/>
      <c r="DP464" s="1"/>
      <c r="DQ464" s="1"/>
      <c r="DR464" s="1"/>
      <c r="DS464" s="1"/>
      <c r="DT464" s="1"/>
      <c r="DU464" s="1"/>
      <c r="DV464" s="1"/>
      <c r="DW464" s="1"/>
      <c r="DX464" s="1"/>
      <c r="DY464" s="1"/>
      <c r="DZ464" s="1"/>
      <c r="EA464" s="1"/>
      <c r="EB464" s="1"/>
      <c r="EC464" s="1"/>
      <c r="ED464" s="1"/>
      <c r="EE464" s="1"/>
      <c r="EF464" s="1"/>
      <c r="EG464" s="1"/>
      <c r="EH464" s="5"/>
      <c r="EI464" s="5"/>
      <c r="EJ464" s="5"/>
      <c r="EK464" s="5"/>
      <c r="EL464" s="5"/>
      <c r="EM464" s="5"/>
      <c r="EN464" s="1"/>
      <c r="EO464" s="5"/>
    </row>
    <row r="465" spans="90:145"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5"/>
      <c r="CW465" s="5"/>
      <c r="CX465" s="45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5"/>
      <c r="DM465" s="5"/>
      <c r="DN465" s="1"/>
      <c r="DO465" s="1"/>
      <c r="DP465" s="1"/>
      <c r="DQ465" s="1"/>
      <c r="DR465" s="1"/>
      <c r="DS465" s="1"/>
      <c r="DT465" s="1"/>
      <c r="DU465" s="1"/>
      <c r="DV465" s="1"/>
      <c r="DW465" s="1"/>
      <c r="DX465" s="1"/>
      <c r="DY465" s="1"/>
      <c r="DZ465" s="1"/>
      <c r="EA465" s="1"/>
      <c r="EB465" s="1"/>
      <c r="EC465" s="1"/>
      <c r="ED465" s="1"/>
      <c r="EE465" s="1"/>
      <c r="EF465" s="1"/>
      <c r="EG465" s="1"/>
      <c r="EH465" s="5"/>
      <c r="EI465" s="5"/>
      <c r="EJ465" s="5"/>
      <c r="EK465" s="5"/>
      <c r="EL465" s="5"/>
      <c r="EM465" s="5"/>
      <c r="EN465" s="1"/>
      <c r="EO465" s="5"/>
    </row>
    <row r="466" spans="90:145"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5"/>
      <c r="CW466" s="5"/>
      <c r="CX466" s="45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5"/>
      <c r="DM466" s="5"/>
      <c r="DN466" s="1"/>
      <c r="DO466" s="1"/>
      <c r="DP466" s="1"/>
      <c r="DQ466" s="1"/>
      <c r="DR466" s="1"/>
      <c r="DS466" s="1"/>
      <c r="DT466" s="1"/>
      <c r="DU466" s="1"/>
      <c r="DV466" s="1"/>
      <c r="DW466" s="1"/>
      <c r="DX466" s="1"/>
      <c r="DY466" s="1"/>
      <c r="DZ466" s="1"/>
      <c r="EA466" s="1"/>
      <c r="EB466" s="1"/>
      <c r="EC466" s="1"/>
      <c r="ED466" s="1"/>
      <c r="EE466" s="1"/>
      <c r="EF466" s="1"/>
      <c r="EG466" s="1"/>
      <c r="EH466" s="5"/>
      <c r="EI466" s="5"/>
      <c r="EJ466" s="5"/>
      <c r="EK466" s="5"/>
      <c r="EL466" s="5"/>
      <c r="EM466" s="5"/>
      <c r="EN466" s="1"/>
      <c r="EO466" s="5"/>
    </row>
    <row r="467" spans="90:145"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5"/>
      <c r="CW467" s="5"/>
      <c r="CX467" s="45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5"/>
      <c r="DM467" s="5"/>
      <c r="DN467" s="1"/>
      <c r="DO467" s="1"/>
      <c r="DP467" s="1"/>
      <c r="DQ467" s="1"/>
      <c r="DR467" s="1"/>
      <c r="DS467" s="1"/>
      <c r="DT467" s="1"/>
      <c r="DU467" s="1"/>
      <c r="DV467" s="1"/>
      <c r="DW467" s="1"/>
      <c r="DX467" s="1"/>
      <c r="DY467" s="1"/>
      <c r="DZ467" s="1"/>
      <c r="EA467" s="1"/>
      <c r="EB467" s="1"/>
      <c r="EC467" s="1"/>
      <c r="ED467" s="1"/>
      <c r="EE467" s="1"/>
      <c r="EF467" s="1"/>
      <c r="EG467" s="1"/>
      <c r="EH467" s="5"/>
      <c r="EI467" s="5"/>
      <c r="EJ467" s="5"/>
      <c r="EK467" s="5"/>
      <c r="EL467" s="5"/>
      <c r="EM467" s="5"/>
      <c r="EN467" s="1"/>
      <c r="EO467" s="5"/>
    </row>
    <row r="468" spans="90:145"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5"/>
      <c r="CW468" s="5"/>
      <c r="CX468" s="45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5"/>
      <c r="DM468" s="5"/>
      <c r="DN468" s="1"/>
      <c r="DO468" s="1"/>
      <c r="DP468" s="1"/>
      <c r="DQ468" s="1"/>
      <c r="DR468" s="1"/>
      <c r="DS468" s="1"/>
      <c r="DT468" s="1"/>
      <c r="DU468" s="1"/>
      <c r="DV468" s="1"/>
      <c r="DW468" s="1"/>
      <c r="DX468" s="1"/>
      <c r="DY468" s="1"/>
      <c r="DZ468" s="1"/>
      <c r="EA468" s="1"/>
      <c r="EB468" s="1"/>
      <c r="EC468" s="1"/>
      <c r="ED468" s="1"/>
      <c r="EE468" s="1"/>
      <c r="EF468" s="1"/>
      <c r="EG468" s="1"/>
      <c r="EH468" s="5"/>
      <c r="EI468" s="5"/>
      <c r="EJ468" s="5"/>
      <c r="EK468" s="5"/>
      <c r="EL468" s="5"/>
      <c r="EM468" s="5"/>
      <c r="EN468" s="1"/>
      <c r="EO468" s="5"/>
    </row>
    <row r="469" spans="90:145"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5"/>
      <c r="CW469" s="5"/>
      <c r="CX469" s="45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5"/>
      <c r="DM469" s="5"/>
      <c r="DN469" s="1"/>
      <c r="DO469" s="1"/>
      <c r="DP469" s="1"/>
      <c r="DQ469" s="1"/>
      <c r="DR469" s="1"/>
      <c r="DS469" s="1"/>
      <c r="DT469" s="1"/>
      <c r="DU469" s="1"/>
      <c r="DV469" s="1"/>
      <c r="DW469" s="1"/>
      <c r="DX469" s="1"/>
      <c r="DY469" s="1"/>
      <c r="DZ469" s="1"/>
      <c r="EA469" s="1"/>
      <c r="EB469" s="1"/>
      <c r="EC469" s="1"/>
      <c r="ED469" s="1"/>
      <c r="EE469" s="1"/>
      <c r="EF469" s="1"/>
      <c r="EG469" s="1"/>
      <c r="EH469" s="5"/>
      <c r="EI469" s="5"/>
      <c r="EJ469" s="5"/>
      <c r="EK469" s="5"/>
      <c r="EL469" s="5"/>
      <c r="EM469" s="5"/>
      <c r="EN469" s="1"/>
      <c r="EO469" s="5"/>
    </row>
    <row r="470" spans="90:145"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5"/>
      <c r="CW470" s="5"/>
      <c r="CX470" s="45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5"/>
      <c r="DM470" s="5"/>
      <c r="DN470" s="1"/>
      <c r="DO470" s="1"/>
      <c r="DP470" s="1"/>
      <c r="DQ470" s="1"/>
      <c r="DR470" s="1"/>
      <c r="DS470" s="1"/>
      <c r="DT470" s="1"/>
      <c r="DU470" s="1"/>
      <c r="DV470" s="1"/>
      <c r="DW470" s="1"/>
      <c r="DX470" s="1"/>
      <c r="DY470" s="1"/>
      <c r="DZ470" s="1"/>
      <c r="EA470" s="1"/>
      <c r="EB470" s="1"/>
      <c r="EC470" s="1"/>
      <c r="ED470" s="1"/>
      <c r="EE470" s="1"/>
      <c r="EF470" s="1"/>
      <c r="EG470" s="1"/>
      <c r="EH470" s="5"/>
      <c r="EI470" s="5"/>
      <c r="EJ470" s="5"/>
      <c r="EK470" s="5"/>
      <c r="EL470" s="5"/>
      <c r="EM470" s="5"/>
      <c r="EN470" s="1"/>
      <c r="EO470" s="5"/>
    </row>
    <row r="471" spans="90:145"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5"/>
      <c r="CW471" s="5"/>
      <c r="CX471" s="45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5"/>
      <c r="DM471" s="5"/>
      <c r="DN471" s="1"/>
      <c r="DO471" s="1"/>
      <c r="DP471" s="1"/>
      <c r="DQ471" s="1"/>
      <c r="DR471" s="1"/>
      <c r="DS471" s="1"/>
      <c r="DT471" s="1"/>
      <c r="DU471" s="1"/>
      <c r="DV471" s="1"/>
      <c r="DW471" s="1"/>
      <c r="DX471" s="1"/>
      <c r="DY471" s="1"/>
      <c r="DZ471" s="1"/>
      <c r="EA471" s="1"/>
      <c r="EB471" s="1"/>
      <c r="EC471" s="1"/>
      <c r="ED471" s="1"/>
      <c r="EE471" s="1"/>
      <c r="EF471" s="1"/>
      <c r="EG471" s="1"/>
      <c r="EH471" s="5"/>
      <c r="EI471" s="5"/>
      <c r="EJ471" s="5"/>
      <c r="EK471" s="5"/>
      <c r="EL471" s="5"/>
      <c r="EM471" s="5"/>
      <c r="EN471" s="1"/>
      <c r="EO471" s="5"/>
    </row>
    <row r="472" spans="90:145"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5"/>
      <c r="CW472" s="5"/>
      <c r="CX472" s="45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5"/>
      <c r="DM472" s="5"/>
      <c r="DN472" s="1"/>
      <c r="DO472" s="1"/>
      <c r="DP472" s="1"/>
      <c r="DQ472" s="1"/>
      <c r="DR472" s="1"/>
      <c r="DS472" s="1"/>
      <c r="DT472" s="1"/>
      <c r="DU472" s="1"/>
      <c r="DV472" s="1"/>
      <c r="DW472" s="1"/>
      <c r="DX472" s="1"/>
      <c r="DY472" s="1"/>
      <c r="DZ472" s="1"/>
      <c r="EA472" s="1"/>
      <c r="EB472" s="1"/>
      <c r="EC472" s="1"/>
      <c r="ED472" s="1"/>
      <c r="EE472" s="1"/>
      <c r="EF472" s="1"/>
      <c r="EG472" s="1"/>
      <c r="EH472" s="5"/>
      <c r="EI472" s="5"/>
      <c r="EJ472" s="5"/>
      <c r="EK472" s="5"/>
      <c r="EL472" s="5"/>
      <c r="EM472" s="5"/>
      <c r="EN472" s="1"/>
      <c r="EO472" s="5"/>
    </row>
    <row r="473" spans="90:145"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5"/>
      <c r="CW473" s="5"/>
      <c r="CX473" s="45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5"/>
      <c r="DM473" s="5"/>
      <c r="DN473" s="1"/>
      <c r="DO473" s="1"/>
      <c r="DP473" s="1"/>
      <c r="DQ473" s="1"/>
      <c r="DR473" s="1"/>
      <c r="DS473" s="1"/>
      <c r="DT473" s="1"/>
      <c r="DU473" s="1"/>
      <c r="DV473" s="1"/>
      <c r="DW473" s="1"/>
      <c r="DX473" s="1"/>
      <c r="DY473" s="1"/>
      <c r="DZ473" s="1"/>
      <c r="EA473" s="1"/>
      <c r="EB473" s="1"/>
      <c r="EC473" s="1"/>
      <c r="ED473" s="1"/>
      <c r="EE473" s="1"/>
      <c r="EF473" s="1"/>
      <c r="EG473" s="1"/>
      <c r="EH473" s="5"/>
      <c r="EI473" s="5"/>
      <c r="EJ473" s="5"/>
      <c r="EK473" s="5"/>
      <c r="EL473" s="5"/>
      <c r="EM473" s="5"/>
      <c r="EN473" s="1"/>
      <c r="EO473" s="5"/>
    </row>
    <row r="474" spans="90:145"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5"/>
      <c r="CW474" s="5"/>
      <c r="CX474" s="45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5"/>
      <c r="DM474" s="5"/>
      <c r="DN474" s="1"/>
      <c r="DO474" s="1"/>
      <c r="DP474" s="1"/>
      <c r="DQ474" s="1"/>
      <c r="DR474" s="1"/>
      <c r="DS474" s="1"/>
      <c r="DT474" s="1"/>
      <c r="DU474" s="1"/>
      <c r="DV474" s="1"/>
      <c r="DW474" s="1"/>
      <c r="DX474" s="1"/>
      <c r="DY474" s="1"/>
      <c r="DZ474" s="1"/>
      <c r="EA474" s="1"/>
      <c r="EB474" s="1"/>
      <c r="EC474" s="1"/>
      <c r="ED474" s="1"/>
      <c r="EE474" s="1"/>
      <c r="EF474" s="1"/>
      <c r="EG474" s="1"/>
      <c r="EH474" s="5"/>
      <c r="EI474" s="5"/>
      <c r="EJ474" s="5"/>
      <c r="EK474" s="5"/>
      <c r="EL474" s="5"/>
      <c r="EM474" s="5"/>
      <c r="EN474" s="1"/>
      <c r="EO474" s="5"/>
    </row>
    <row r="475" spans="90:145"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5"/>
      <c r="CW475" s="5"/>
      <c r="CX475" s="45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5"/>
      <c r="DM475" s="5"/>
      <c r="DN475" s="1"/>
      <c r="DO475" s="1"/>
      <c r="DP475" s="1"/>
      <c r="DQ475" s="1"/>
      <c r="DR475" s="1"/>
      <c r="DS475" s="1"/>
      <c r="DT475" s="1"/>
      <c r="DU475" s="1"/>
      <c r="DV475" s="1"/>
      <c r="DW475" s="1"/>
      <c r="DX475" s="1"/>
      <c r="DY475" s="1"/>
      <c r="DZ475" s="1"/>
      <c r="EA475" s="1"/>
      <c r="EB475" s="1"/>
      <c r="EC475" s="1"/>
      <c r="ED475" s="1"/>
      <c r="EE475" s="1"/>
      <c r="EF475" s="1"/>
      <c r="EG475" s="1"/>
      <c r="EH475" s="5"/>
      <c r="EI475" s="5"/>
      <c r="EJ475" s="5"/>
      <c r="EK475" s="5"/>
      <c r="EL475" s="5"/>
      <c r="EM475" s="5"/>
      <c r="EN475" s="1"/>
      <c r="EO475" s="5"/>
    </row>
    <row r="476" spans="90:145"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5"/>
      <c r="CW476" s="5"/>
      <c r="CX476" s="45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5"/>
      <c r="DM476" s="5"/>
      <c r="DN476" s="1"/>
      <c r="DO476" s="1"/>
      <c r="DP476" s="1"/>
      <c r="DQ476" s="1"/>
      <c r="DR476" s="1"/>
      <c r="DS476" s="1"/>
      <c r="DT476" s="1"/>
      <c r="DU476" s="1"/>
      <c r="DV476" s="1"/>
      <c r="DW476" s="1"/>
      <c r="DX476" s="1"/>
      <c r="DY476" s="1"/>
      <c r="DZ476" s="1"/>
      <c r="EA476" s="1"/>
      <c r="EB476" s="1"/>
      <c r="EC476" s="1"/>
      <c r="ED476" s="1"/>
      <c r="EE476" s="1"/>
      <c r="EF476" s="1"/>
      <c r="EG476" s="1"/>
      <c r="EH476" s="5"/>
      <c r="EI476" s="5"/>
      <c r="EJ476" s="5"/>
      <c r="EK476" s="5"/>
      <c r="EL476" s="5"/>
      <c r="EM476" s="5"/>
      <c r="EN476" s="1"/>
      <c r="EO476" s="5"/>
    </row>
    <row r="477" spans="90:145"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5"/>
      <c r="CW477" s="5"/>
      <c r="CX477" s="45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5"/>
      <c r="DM477" s="5"/>
      <c r="DN477" s="1"/>
      <c r="DO477" s="1"/>
      <c r="DP477" s="1"/>
      <c r="DQ477" s="1"/>
      <c r="DR477" s="1"/>
      <c r="DS477" s="1"/>
      <c r="DT477" s="1"/>
      <c r="DU477" s="1"/>
      <c r="DV477" s="1"/>
      <c r="DW477" s="1"/>
      <c r="DX477" s="1"/>
      <c r="DY477" s="1"/>
      <c r="DZ477" s="1"/>
      <c r="EA477" s="1"/>
      <c r="EB477" s="1"/>
      <c r="EC477" s="1"/>
      <c r="ED477" s="1"/>
      <c r="EE477" s="1"/>
      <c r="EF477" s="1"/>
      <c r="EG477" s="1"/>
      <c r="EH477" s="5"/>
      <c r="EI477" s="5"/>
      <c r="EJ477" s="5"/>
      <c r="EK477" s="5"/>
      <c r="EL477" s="5"/>
      <c r="EM477" s="5"/>
      <c r="EN477" s="1"/>
      <c r="EO477" s="5"/>
    </row>
    <row r="478" spans="90:145"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5"/>
      <c r="CW478" s="5"/>
      <c r="CX478" s="45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5"/>
      <c r="DM478" s="5"/>
      <c r="DN478" s="1"/>
      <c r="DO478" s="1"/>
      <c r="DP478" s="1"/>
      <c r="DQ478" s="1"/>
      <c r="DR478" s="1"/>
      <c r="DS478" s="1"/>
      <c r="DT478" s="1"/>
      <c r="DU478" s="1"/>
      <c r="DV478" s="1"/>
      <c r="DW478" s="1"/>
      <c r="DX478" s="1"/>
      <c r="DY478" s="1"/>
      <c r="DZ478" s="1"/>
      <c r="EA478" s="1"/>
      <c r="EB478" s="1"/>
      <c r="EC478" s="1"/>
      <c r="ED478" s="1"/>
      <c r="EE478" s="1"/>
      <c r="EF478" s="1"/>
      <c r="EG478" s="1"/>
      <c r="EH478" s="5"/>
      <c r="EI478" s="5"/>
      <c r="EJ478" s="5"/>
      <c r="EK478" s="5"/>
      <c r="EL478" s="5"/>
      <c r="EM478" s="5"/>
      <c r="EN478" s="1"/>
      <c r="EO478" s="5"/>
    </row>
    <row r="479" spans="90:145"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5"/>
      <c r="CW479" s="5"/>
      <c r="CX479" s="45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5"/>
      <c r="DM479" s="5"/>
      <c r="DN479" s="1"/>
      <c r="DO479" s="1"/>
      <c r="DP479" s="1"/>
      <c r="DQ479" s="1"/>
      <c r="DR479" s="1"/>
      <c r="DS479" s="1"/>
      <c r="DT479" s="1"/>
      <c r="DU479" s="1"/>
      <c r="DV479" s="1"/>
      <c r="DW479" s="1"/>
      <c r="DX479" s="1"/>
      <c r="DY479" s="1"/>
      <c r="DZ479" s="1"/>
      <c r="EA479" s="1"/>
      <c r="EB479" s="1"/>
      <c r="EC479" s="1"/>
      <c r="ED479" s="1"/>
      <c r="EE479" s="1"/>
      <c r="EF479" s="1"/>
      <c r="EG479" s="1"/>
      <c r="EH479" s="5"/>
      <c r="EI479" s="5"/>
      <c r="EJ479" s="5"/>
      <c r="EK479" s="5"/>
      <c r="EL479" s="5"/>
      <c r="EM479" s="5"/>
      <c r="EN479" s="1"/>
      <c r="EO479" s="5"/>
    </row>
    <row r="480" spans="90:145"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5"/>
      <c r="CW480" s="5"/>
      <c r="CX480" s="45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5"/>
      <c r="DM480" s="5"/>
      <c r="DN480" s="1"/>
      <c r="DO480" s="1"/>
      <c r="DP480" s="1"/>
      <c r="DQ480" s="1"/>
      <c r="DR480" s="1"/>
      <c r="DS480" s="1"/>
      <c r="DT480" s="1"/>
      <c r="DU480" s="1"/>
      <c r="DV480" s="1"/>
      <c r="DW480" s="1"/>
      <c r="DX480" s="1"/>
      <c r="DY480" s="1"/>
      <c r="DZ480" s="1"/>
      <c r="EA480" s="1"/>
      <c r="EB480" s="1"/>
      <c r="EC480" s="1"/>
      <c r="ED480" s="1"/>
      <c r="EE480" s="1"/>
      <c r="EF480" s="1"/>
      <c r="EG480" s="1"/>
      <c r="EH480" s="5"/>
      <c r="EI480" s="5"/>
      <c r="EJ480" s="5"/>
      <c r="EK480" s="5"/>
      <c r="EL480" s="5"/>
      <c r="EM480" s="5"/>
      <c r="EN480" s="1"/>
      <c r="EO480" s="5"/>
    </row>
    <row r="481" spans="90:145"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5"/>
      <c r="CW481" s="5"/>
      <c r="CX481" s="45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5"/>
      <c r="DM481" s="5"/>
      <c r="DN481" s="1"/>
      <c r="DO481" s="1"/>
      <c r="DP481" s="1"/>
      <c r="DQ481" s="1"/>
      <c r="DR481" s="1"/>
      <c r="DS481" s="1"/>
      <c r="DT481" s="1"/>
      <c r="DU481" s="1"/>
      <c r="DV481" s="1"/>
      <c r="DW481" s="1"/>
      <c r="DX481" s="1"/>
      <c r="DY481" s="1"/>
      <c r="DZ481" s="1"/>
      <c r="EA481" s="1"/>
      <c r="EB481" s="1"/>
      <c r="EC481" s="1"/>
      <c r="ED481" s="1"/>
      <c r="EE481" s="1"/>
      <c r="EF481" s="1"/>
      <c r="EG481" s="1"/>
      <c r="EH481" s="5"/>
      <c r="EI481" s="5"/>
      <c r="EJ481" s="5"/>
      <c r="EK481" s="5"/>
      <c r="EL481" s="5"/>
      <c r="EM481" s="5"/>
      <c r="EN481" s="1"/>
      <c r="EO481" s="5"/>
    </row>
    <row r="482" spans="90:145"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5"/>
      <c r="CW482" s="5"/>
      <c r="CX482" s="45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5"/>
      <c r="DM482" s="5"/>
      <c r="DN482" s="1"/>
      <c r="DO482" s="1"/>
      <c r="DP482" s="1"/>
      <c r="DQ482" s="1"/>
      <c r="DR482" s="1"/>
      <c r="DS482" s="1"/>
      <c r="DT482" s="1"/>
      <c r="DU482" s="1"/>
      <c r="DV482" s="1"/>
      <c r="DW482" s="1"/>
      <c r="DX482" s="1"/>
      <c r="DY482" s="1"/>
      <c r="DZ482" s="1"/>
      <c r="EA482" s="1"/>
      <c r="EB482" s="1"/>
      <c r="EC482" s="1"/>
      <c r="ED482" s="1"/>
      <c r="EE482" s="1"/>
      <c r="EF482" s="1"/>
      <c r="EG482" s="1"/>
      <c r="EH482" s="5"/>
      <c r="EI482" s="5"/>
      <c r="EJ482" s="5"/>
      <c r="EK482" s="5"/>
      <c r="EL482" s="5"/>
      <c r="EM482" s="5"/>
      <c r="EN482" s="1"/>
      <c r="EO482" s="5"/>
    </row>
    <row r="483" spans="90:145"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5"/>
      <c r="CW483" s="5"/>
      <c r="CX483" s="45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5"/>
      <c r="DM483" s="5"/>
      <c r="DN483" s="1"/>
      <c r="DO483" s="1"/>
      <c r="DP483" s="1"/>
      <c r="DQ483" s="1"/>
      <c r="DR483" s="1"/>
      <c r="DS483" s="1"/>
      <c r="DT483" s="1"/>
      <c r="DU483" s="1"/>
      <c r="DV483" s="1"/>
      <c r="DW483" s="1"/>
      <c r="DX483" s="1"/>
      <c r="DY483" s="1"/>
      <c r="DZ483" s="1"/>
      <c r="EA483" s="1"/>
      <c r="EB483" s="1"/>
      <c r="EC483" s="1"/>
      <c r="ED483" s="1"/>
      <c r="EE483" s="1"/>
      <c r="EF483" s="1"/>
      <c r="EG483" s="1"/>
      <c r="EH483" s="5"/>
      <c r="EI483" s="5"/>
      <c r="EJ483" s="5"/>
      <c r="EK483" s="5"/>
      <c r="EL483" s="5"/>
      <c r="EM483" s="5"/>
      <c r="EN483" s="1"/>
      <c r="EO483" s="5"/>
    </row>
    <row r="484" spans="90:145"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5"/>
      <c r="CW484" s="5"/>
      <c r="CX484" s="45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5"/>
      <c r="DM484" s="5"/>
      <c r="DN484" s="1"/>
      <c r="DO484" s="1"/>
      <c r="DP484" s="1"/>
      <c r="DQ484" s="1"/>
      <c r="DR484" s="1"/>
      <c r="DS484" s="1"/>
      <c r="DT484" s="1"/>
      <c r="DU484" s="1"/>
      <c r="DV484" s="1"/>
      <c r="DW484" s="1"/>
      <c r="DX484" s="1"/>
      <c r="DY484" s="1"/>
      <c r="DZ484" s="1"/>
      <c r="EA484" s="1"/>
      <c r="EB484" s="1"/>
      <c r="EC484" s="1"/>
      <c r="ED484" s="1"/>
      <c r="EE484" s="1"/>
      <c r="EF484" s="1"/>
      <c r="EG484" s="1"/>
      <c r="EH484" s="5"/>
      <c r="EI484" s="5"/>
      <c r="EJ484" s="5"/>
      <c r="EK484" s="5"/>
      <c r="EL484" s="5"/>
      <c r="EM484" s="5"/>
      <c r="EN484" s="1"/>
      <c r="EO484" s="5"/>
    </row>
    <row r="485" spans="90:145"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5"/>
      <c r="CW485" s="5"/>
      <c r="CX485" s="45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5"/>
      <c r="DM485" s="5"/>
      <c r="DN485" s="1"/>
      <c r="DO485" s="1"/>
      <c r="DP485" s="1"/>
      <c r="DQ485" s="1"/>
      <c r="DR485" s="1"/>
      <c r="DS485" s="1"/>
      <c r="DT485" s="1"/>
      <c r="DU485" s="1"/>
      <c r="DV485" s="1"/>
      <c r="DW485" s="1"/>
      <c r="DX485" s="1"/>
      <c r="DY485" s="1"/>
      <c r="DZ485" s="1"/>
      <c r="EA485" s="1"/>
      <c r="EB485" s="1"/>
      <c r="EC485" s="1"/>
      <c r="ED485" s="1"/>
      <c r="EE485" s="1"/>
      <c r="EF485" s="1"/>
      <c r="EG485" s="1"/>
      <c r="EH485" s="5"/>
      <c r="EI485" s="5"/>
      <c r="EJ485" s="5"/>
      <c r="EK485" s="5"/>
      <c r="EL485" s="5"/>
      <c r="EM485" s="5"/>
      <c r="EN485" s="1"/>
      <c r="EO485" s="5"/>
    </row>
    <row r="486" spans="90:145"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5"/>
      <c r="CW486" s="5"/>
      <c r="CX486" s="45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5"/>
      <c r="DM486" s="5"/>
      <c r="DN486" s="1"/>
      <c r="DO486" s="1"/>
      <c r="DP486" s="1"/>
      <c r="DQ486" s="1"/>
      <c r="DR486" s="1"/>
      <c r="DS486" s="1"/>
      <c r="DT486" s="1"/>
      <c r="DU486" s="1"/>
      <c r="DV486" s="1"/>
      <c r="DW486" s="1"/>
      <c r="DX486" s="1"/>
      <c r="DY486" s="1"/>
      <c r="DZ486" s="1"/>
      <c r="EA486" s="1"/>
      <c r="EB486" s="1"/>
      <c r="EC486" s="1"/>
      <c r="ED486" s="1"/>
      <c r="EE486" s="1"/>
      <c r="EF486" s="1"/>
      <c r="EG486" s="1"/>
      <c r="EH486" s="5"/>
      <c r="EI486" s="5"/>
      <c r="EJ486" s="5"/>
      <c r="EK486" s="5"/>
      <c r="EL486" s="5"/>
      <c r="EM486" s="5"/>
      <c r="EN486" s="1"/>
      <c r="EO486" s="5"/>
    </row>
    <row r="487" spans="90:145"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5"/>
      <c r="CW487" s="5"/>
      <c r="CX487" s="45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5"/>
      <c r="DM487" s="5"/>
      <c r="DN487" s="1"/>
      <c r="DO487" s="1"/>
      <c r="DP487" s="1"/>
      <c r="DQ487" s="1"/>
      <c r="DR487" s="1"/>
      <c r="DS487" s="1"/>
      <c r="DT487" s="1"/>
      <c r="DU487" s="1"/>
      <c r="DV487" s="1"/>
      <c r="DW487" s="1"/>
      <c r="DX487" s="1"/>
      <c r="DY487" s="1"/>
      <c r="DZ487" s="1"/>
      <c r="EA487" s="1"/>
      <c r="EB487" s="1"/>
      <c r="EC487" s="1"/>
      <c r="ED487" s="1"/>
      <c r="EE487" s="1"/>
      <c r="EF487" s="1"/>
      <c r="EG487" s="1"/>
      <c r="EH487" s="5"/>
      <c r="EI487" s="5"/>
      <c r="EJ487" s="5"/>
      <c r="EK487" s="5"/>
      <c r="EL487" s="5"/>
      <c r="EM487" s="5"/>
      <c r="EN487" s="1"/>
      <c r="EO487" s="5"/>
    </row>
    <row r="488" spans="90:145"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5"/>
      <c r="CW488" s="5"/>
      <c r="CX488" s="45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5"/>
      <c r="DM488" s="5"/>
      <c r="DN488" s="1"/>
      <c r="DO488" s="1"/>
      <c r="DP488" s="1"/>
      <c r="DQ488" s="1"/>
      <c r="DR488" s="1"/>
      <c r="DS488" s="1"/>
      <c r="DT488" s="1"/>
      <c r="DU488" s="1"/>
      <c r="DV488" s="1"/>
      <c r="DW488" s="1"/>
      <c r="DX488" s="1"/>
      <c r="DY488" s="1"/>
      <c r="DZ488" s="1"/>
      <c r="EA488" s="1"/>
      <c r="EB488" s="1"/>
      <c r="EC488" s="1"/>
      <c r="ED488" s="1"/>
      <c r="EE488" s="1"/>
      <c r="EF488" s="1"/>
      <c r="EG488" s="1"/>
      <c r="EH488" s="5"/>
      <c r="EI488" s="5"/>
      <c r="EJ488" s="5"/>
      <c r="EK488" s="5"/>
      <c r="EL488" s="5"/>
      <c r="EM488" s="5"/>
      <c r="EN488" s="1"/>
      <c r="EO488" s="5"/>
    </row>
    <row r="489" spans="90:145"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5"/>
      <c r="CW489" s="5"/>
      <c r="CX489" s="45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5"/>
      <c r="DM489" s="5"/>
      <c r="DN489" s="1"/>
      <c r="DO489" s="1"/>
      <c r="DP489" s="1"/>
      <c r="DQ489" s="1"/>
      <c r="DR489" s="1"/>
      <c r="DS489" s="1"/>
      <c r="DT489" s="1"/>
      <c r="DU489" s="1"/>
      <c r="DV489" s="1"/>
      <c r="DW489" s="1"/>
      <c r="DX489" s="1"/>
      <c r="DY489" s="1"/>
      <c r="DZ489" s="1"/>
      <c r="EA489" s="1"/>
      <c r="EB489" s="1"/>
      <c r="EC489" s="1"/>
      <c r="ED489" s="1"/>
      <c r="EE489" s="1"/>
      <c r="EF489" s="1"/>
      <c r="EG489" s="1"/>
      <c r="EH489" s="5"/>
      <c r="EI489" s="5"/>
      <c r="EJ489" s="5"/>
      <c r="EK489" s="5"/>
      <c r="EL489" s="5"/>
      <c r="EM489" s="5"/>
      <c r="EN489" s="1"/>
      <c r="EO489" s="5"/>
    </row>
    <row r="490" spans="90:145"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5"/>
      <c r="CW490" s="5"/>
      <c r="CX490" s="45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5"/>
      <c r="DM490" s="5"/>
      <c r="DN490" s="1"/>
      <c r="DO490" s="1"/>
      <c r="DP490" s="1"/>
      <c r="DQ490" s="1"/>
      <c r="DR490" s="1"/>
      <c r="DS490" s="1"/>
      <c r="DT490" s="1"/>
      <c r="DU490" s="1"/>
      <c r="DV490" s="1"/>
      <c r="DW490" s="1"/>
      <c r="DX490" s="1"/>
      <c r="DY490" s="1"/>
      <c r="DZ490" s="1"/>
      <c r="EA490" s="1"/>
      <c r="EB490" s="1"/>
      <c r="EC490" s="1"/>
      <c r="ED490" s="1"/>
      <c r="EE490" s="1"/>
      <c r="EF490" s="1"/>
      <c r="EG490" s="1"/>
      <c r="EH490" s="5"/>
      <c r="EI490" s="5"/>
      <c r="EJ490" s="5"/>
      <c r="EK490" s="5"/>
      <c r="EL490" s="5"/>
      <c r="EM490" s="5"/>
      <c r="EN490" s="1"/>
      <c r="EO490" s="5"/>
    </row>
    <row r="491" spans="90:145"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5"/>
      <c r="CW491" s="5"/>
      <c r="CX491" s="45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5"/>
      <c r="DM491" s="5"/>
      <c r="DN491" s="1"/>
      <c r="DO491" s="1"/>
      <c r="DP491" s="1"/>
      <c r="DQ491" s="1"/>
      <c r="DR491" s="1"/>
      <c r="DS491" s="1"/>
      <c r="DT491" s="1"/>
      <c r="DU491" s="1"/>
      <c r="DV491" s="1"/>
      <c r="DW491" s="1"/>
      <c r="DX491" s="1"/>
      <c r="DY491" s="1"/>
      <c r="DZ491" s="1"/>
      <c r="EA491" s="1"/>
      <c r="EB491" s="1"/>
      <c r="EC491" s="1"/>
      <c r="ED491" s="1"/>
      <c r="EE491" s="1"/>
      <c r="EF491" s="1"/>
      <c r="EG491" s="1"/>
      <c r="EH491" s="5"/>
      <c r="EI491" s="5"/>
      <c r="EJ491" s="5"/>
      <c r="EK491" s="5"/>
      <c r="EL491" s="5"/>
      <c r="EM491" s="5"/>
      <c r="EN491" s="1"/>
      <c r="EO491" s="5"/>
    </row>
    <row r="492" spans="90:145"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5"/>
      <c r="CW492" s="5"/>
      <c r="CX492" s="45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5"/>
      <c r="DM492" s="5"/>
      <c r="DN492" s="1"/>
      <c r="DO492" s="1"/>
      <c r="DP492" s="1"/>
      <c r="DQ492" s="1"/>
      <c r="DR492" s="1"/>
      <c r="DS492" s="1"/>
      <c r="DT492" s="1"/>
      <c r="DU492" s="1"/>
      <c r="DV492" s="1"/>
      <c r="DW492" s="1"/>
      <c r="DX492" s="1"/>
      <c r="DY492" s="1"/>
      <c r="DZ492" s="1"/>
      <c r="EA492" s="1"/>
      <c r="EB492" s="1"/>
      <c r="EC492" s="1"/>
      <c r="ED492" s="1"/>
      <c r="EE492" s="1"/>
      <c r="EF492" s="1"/>
      <c r="EG492" s="1"/>
      <c r="EH492" s="5"/>
      <c r="EI492" s="5"/>
      <c r="EJ492" s="5"/>
      <c r="EK492" s="5"/>
      <c r="EL492" s="5"/>
      <c r="EM492" s="5"/>
      <c r="EN492" s="1"/>
      <c r="EO492" s="5"/>
    </row>
    <row r="493" spans="90:145"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5"/>
      <c r="CW493" s="5"/>
      <c r="CX493" s="45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5"/>
      <c r="DM493" s="5"/>
      <c r="DN493" s="1"/>
      <c r="DO493" s="1"/>
      <c r="DP493" s="1"/>
      <c r="DQ493" s="1"/>
      <c r="DR493" s="1"/>
      <c r="DS493" s="1"/>
      <c r="DT493" s="1"/>
      <c r="DU493" s="1"/>
      <c r="DV493" s="1"/>
      <c r="DW493" s="1"/>
      <c r="DX493" s="1"/>
      <c r="DY493" s="1"/>
      <c r="DZ493" s="1"/>
      <c r="EA493" s="1"/>
      <c r="EB493" s="1"/>
      <c r="EC493" s="1"/>
      <c r="ED493" s="1"/>
      <c r="EE493" s="1"/>
      <c r="EF493" s="1"/>
      <c r="EG493" s="1"/>
      <c r="EH493" s="5"/>
      <c r="EI493" s="5"/>
      <c r="EJ493" s="5"/>
      <c r="EK493" s="5"/>
      <c r="EL493" s="5"/>
      <c r="EM493" s="5"/>
      <c r="EN493" s="1"/>
      <c r="EO493" s="5"/>
    </row>
    <row r="494" spans="90:145"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5"/>
      <c r="CW494" s="5"/>
      <c r="CX494" s="45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5"/>
      <c r="DM494" s="5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"/>
      <c r="ED494" s="1"/>
      <c r="EE494" s="1"/>
      <c r="EF494" s="1"/>
      <c r="EG494" s="1"/>
      <c r="EH494" s="5"/>
      <c r="EI494" s="5"/>
      <c r="EJ494" s="5"/>
      <c r="EK494" s="5"/>
      <c r="EL494" s="5"/>
      <c r="EM494" s="5"/>
      <c r="EN494" s="1"/>
      <c r="EO494" s="5"/>
    </row>
    <row r="495" spans="90:145"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5"/>
      <c r="CW495" s="5"/>
      <c r="CX495" s="45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5"/>
      <c r="DM495" s="5"/>
      <c r="DN495" s="1"/>
      <c r="DO495" s="1"/>
      <c r="DP495" s="1"/>
      <c r="DQ495" s="1"/>
      <c r="DR495" s="1"/>
      <c r="DS495" s="1"/>
      <c r="DT495" s="1"/>
      <c r="DU495" s="1"/>
      <c r="DV495" s="1"/>
      <c r="DW495" s="1"/>
      <c r="DX495" s="1"/>
      <c r="DY495" s="1"/>
      <c r="DZ495" s="1"/>
      <c r="EA495" s="1"/>
      <c r="EB495" s="1"/>
      <c r="EC495" s="1"/>
      <c r="ED495" s="1"/>
      <c r="EE495" s="1"/>
      <c r="EF495" s="1"/>
      <c r="EG495" s="1"/>
      <c r="EH495" s="5"/>
      <c r="EI495" s="5"/>
      <c r="EJ495" s="5"/>
      <c r="EK495" s="5"/>
      <c r="EL495" s="5"/>
      <c r="EM495" s="5"/>
      <c r="EN495" s="1"/>
      <c r="EO495" s="5"/>
    </row>
    <row r="496" spans="90:145"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5"/>
      <c r="CW496" s="5"/>
      <c r="CX496" s="45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5"/>
      <c r="DM496" s="5"/>
      <c r="DN496" s="1"/>
      <c r="DO496" s="1"/>
      <c r="DP496" s="1"/>
      <c r="DQ496" s="1"/>
      <c r="DR496" s="1"/>
      <c r="DS496" s="1"/>
      <c r="DT496" s="1"/>
      <c r="DU496" s="1"/>
      <c r="DV496" s="1"/>
      <c r="DW496" s="1"/>
      <c r="DX496" s="1"/>
      <c r="DY496" s="1"/>
      <c r="DZ496" s="1"/>
      <c r="EA496" s="1"/>
      <c r="EB496" s="1"/>
      <c r="EC496" s="1"/>
      <c r="ED496" s="1"/>
      <c r="EE496" s="1"/>
      <c r="EF496" s="1"/>
      <c r="EG496" s="1"/>
      <c r="EH496" s="5"/>
      <c r="EI496" s="5"/>
      <c r="EJ496" s="5"/>
      <c r="EK496" s="5"/>
      <c r="EL496" s="5"/>
      <c r="EM496" s="5"/>
      <c r="EN496" s="1"/>
      <c r="EO496" s="5"/>
    </row>
    <row r="497" spans="1:198"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5"/>
      <c r="CW497" s="5"/>
      <c r="CX497" s="45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5"/>
      <c r="DM497" s="5"/>
      <c r="DN497" s="1"/>
      <c r="DO497" s="1"/>
      <c r="DP497" s="1"/>
      <c r="DQ497" s="1"/>
      <c r="DR497" s="1"/>
      <c r="DS497" s="1"/>
      <c r="DT497" s="1"/>
      <c r="DU497" s="1"/>
      <c r="DV497" s="1"/>
      <c r="DW497" s="1"/>
      <c r="DX497" s="1"/>
      <c r="DY497" s="1"/>
      <c r="DZ497" s="1"/>
      <c r="EA497" s="1"/>
      <c r="EB497" s="1"/>
      <c r="EC497" s="1"/>
      <c r="ED497" s="1"/>
      <c r="EE497" s="1"/>
      <c r="EF497" s="1"/>
      <c r="EG497" s="1"/>
      <c r="EH497" s="5"/>
      <c r="EI497" s="5"/>
      <c r="EJ497" s="5"/>
      <c r="EK497" s="5"/>
      <c r="EL497" s="5"/>
      <c r="EM497" s="5"/>
      <c r="EN497" s="1"/>
      <c r="EO497" s="5"/>
    </row>
    <row r="498" spans="1:198"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5"/>
      <c r="CW498" s="5"/>
      <c r="CX498" s="45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5"/>
      <c r="DM498" s="5"/>
      <c r="DN498" s="1"/>
      <c r="DO498" s="1"/>
      <c r="DP498" s="1"/>
      <c r="DQ498" s="1"/>
      <c r="DR498" s="1"/>
      <c r="DS498" s="1"/>
      <c r="DT498" s="1"/>
      <c r="DU498" s="1"/>
      <c r="DV498" s="1"/>
      <c r="DW498" s="1"/>
      <c r="DX498" s="1"/>
      <c r="DY498" s="1"/>
      <c r="DZ498" s="1"/>
      <c r="EA498" s="1"/>
      <c r="EB498" s="1"/>
      <c r="EC498" s="1"/>
      <c r="ED498" s="1"/>
      <c r="EE498" s="1"/>
      <c r="EF498" s="1"/>
      <c r="EG498" s="1"/>
      <c r="EH498" s="5"/>
      <c r="EI498" s="5"/>
      <c r="EJ498" s="5"/>
      <c r="EK498" s="5"/>
      <c r="EL498" s="5"/>
      <c r="EM498" s="5"/>
      <c r="EN498" s="1"/>
      <c r="EO498" s="5"/>
    </row>
    <row r="499" spans="1:198"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5"/>
      <c r="CW499" s="5"/>
      <c r="CX499" s="45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5"/>
      <c r="DM499" s="5"/>
      <c r="DN499" s="1"/>
      <c r="DO499" s="1"/>
      <c r="DP499" s="1"/>
      <c r="DQ499" s="1"/>
      <c r="DR499" s="1"/>
      <c r="DS499" s="1"/>
      <c r="DT499" s="1"/>
      <c r="DU499" s="1"/>
      <c r="DV499" s="1"/>
      <c r="DW499" s="1"/>
      <c r="DX499" s="1"/>
      <c r="DY499" s="1"/>
      <c r="DZ499" s="1"/>
      <c r="EA499" s="1"/>
      <c r="EB499" s="1"/>
      <c r="EC499" s="1"/>
      <c r="ED499" s="1"/>
      <c r="EE499" s="1"/>
      <c r="EF499" s="1"/>
      <c r="EG499" s="1"/>
      <c r="EH499" s="5"/>
      <c r="EI499" s="5"/>
      <c r="EJ499" s="5"/>
      <c r="EK499" s="5"/>
      <c r="EL499" s="5"/>
      <c r="EM499" s="5"/>
      <c r="EN499" s="1"/>
      <c r="EO499" s="5"/>
    </row>
    <row r="500" spans="1:198" hidden="1">
      <c r="A500" s="8" t="s">
        <v>1737</v>
      </c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5"/>
      <c r="CW500" s="5"/>
      <c r="CX500" s="45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5"/>
      <c r="DM500" s="5"/>
      <c r="DN500" s="1"/>
      <c r="DO500" s="1"/>
      <c r="DP500" s="1"/>
      <c r="DQ500" s="1"/>
      <c r="DR500" s="1"/>
      <c r="DS500" s="1"/>
      <c r="DT500" s="1"/>
      <c r="DU500" s="1"/>
      <c r="DV500" s="1"/>
      <c r="DW500" s="1"/>
      <c r="DX500" s="1"/>
      <c r="DY500" s="1"/>
      <c r="DZ500" s="1"/>
      <c r="EA500" s="1"/>
      <c r="EB500" s="1"/>
      <c r="EC500" s="1"/>
      <c r="ED500" s="1"/>
      <c r="EE500" s="1"/>
      <c r="EF500" s="1"/>
      <c r="EG500" s="1"/>
      <c r="EH500" s="5"/>
      <c r="EI500" s="5"/>
      <c r="EJ500" s="5"/>
      <c r="EK500" s="5"/>
      <c r="EL500" s="5"/>
      <c r="EM500" s="5"/>
      <c r="EN500" s="1"/>
      <c r="EO500" s="5"/>
    </row>
    <row r="501" spans="1:198" hidden="1">
      <c r="A501" s="1">
        <v>52</v>
      </c>
      <c r="CL501" s="1"/>
      <c r="CM501" s="1"/>
      <c r="CN501" s="1"/>
      <c r="CO501" s="1"/>
      <c r="CP501" s="1"/>
      <c r="CQ501" s="1"/>
      <c r="CR501" s="1"/>
      <c r="CS501" s="1"/>
      <c r="CT501" s="1"/>
      <c r="CU501" s="1"/>
      <c r="CV501" s="5"/>
      <c r="CW501" s="5"/>
      <c r="CX501" s="45"/>
      <c r="CY501" s="1"/>
      <c r="CZ501" s="1"/>
      <c r="DA501" s="1"/>
      <c r="DB501" s="1"/>
      <c r="DC501" s="1"/>
      <c r="DD501" s="1"/>
      <c r="DE501" s="1"/>
      <c r="DF501" s="1"/>
      <c r="DG501" s="1"/>
      <c r="DH501" s="1"/>
      <c r="DI501" s="1"/>
      <c r="DJ501" s="1"/>
      <c r="DK501" s="1"/>
      <c r="DL501" s="5"/>
      <c r="DM501" s="5"/>
      <c r="DN501" s="1"/>
      <c r="DO501" s="1"/>
      <c r="DP501" s="1"/>
      <c r="DQ501" s="1"/>
      <c r="DR501" s="1"/>
      <c r="DS501" s="1"/>
      <c r="DT501" s="1"/>
      <c r="DU501" s="1"/>
      <c r="DV501" s="1"/>
      <c r="DW501" s="1"/>
      <c r="DX501" s="1"/>
      <c r="DY501" s="1"/>
      <c r="DZ501" s="1"/>
      <c r="EA501" s="1"/>
      <c r="EB501" s="1"/>
      <c r="EC501" s="1"/>
      <c r="ED501" s="1"/>
      <c r="EE501" s="1"/>
      <c r="EF501" s="1"/>
      <c r="EG501" s="1"/>
      <c r="EH501" s="5"/>
      <c r="EI501" s="5"/>
      <c r="EJ501" s="5"/>
      <c r="EK501" s="5"/>
      <c r="EL501" s="5"/>
      <c r="EM501" s="5"/>
      <c r="EN501" s="1"/>
      <c r="EO501" s="5"/>
    </row>
    <row r="502" spans="1:198">
      <c r="CL502" s="1"/>
      <c r="CM502" s="1"/>
      <c r="CN502" s="1"/>
      <c r="CO502" s="1"/>
      <c r="CP502" s="1"/>
      <c r="CQ502" s="1"/>
      <c r="CR502" s="1"/>
      <c r="CS502" s="1"/>
      <c r="CT502" s="1"/>
      <c r="CU502" s="1"/>
      <c r="CV502" s="5"/>
      <c r="CW502" s="5"/>
      <c r="CX502" s="45"/>
      <c r="CY502" s="1"/>
      <c r="CZ502" s="1"/>
      <c r="DA502" s="1"/>
      <c r="DB502" s="1"/>
      <c r="DC502" s="1"/>
      <c r="DD502" s="1"/>
      <c r="DE502" s="1"/>
      <c r="DF502" s="1"/>
      <c r="DG502" s="1"/>
      <c r="DH502" s="1"/>
      <c r="DI502" s="1"/>
      <c r="DJ502" s="1"/>
      <c r="DK502" s="1"/>
      <c r="DL502" s="5"/>
      <c r="DM502" s="5"/>
      <c r="DN502" s="1"/>
      <c r="DO502" s="1"/>
      <c r="DP502" s="1"/>
      <c r="DQ502" s="1"/>
      <c r="DR502" s="1"/>
      <c r="DS502" s="1"/>
      <c r="DT502" s="1"/>
      <c r="DU502" s="1"/>
      <c r="DV502" s="1"/>
      <c r="DW502" s="1"/>
      <c r="DX502" s="1"/>
      <c r="DY502" s="1"/>
      <c r="DZ502" s="1"/>
      <c r="EA502" s="1"/>
      <c r="EB502" s="1"/>
      <c r="EC502" s="1"/>
      <c r="ED502" s="1"/>
      <c r="EE502" s="1"/>
      <c r="EF502" s="1"/>
      <c r="EG502" s="1"/>
      <c r="EH502" s="5"/>
      <c r="EI502" s="5"/>
      <c r="EJ502" s="5"/>
      <c r="EK502" s="5"/>
      <c r="EL502" s="5"/>
      <c r="EM502" s="5"/>
      <c r="EN502" s="1"/>
      <c r="EO502" s="5"/>
    </row>
    <row r="503" spans="1:198">
      <c r="CL503" s="1"/>
      <c r="CM503" s="1"/>
      <c r="CN503" s="1"/>
      <c r="CO503" s="1"/>
      <c r="CP503" s="1"/>
      <c r="CQ503" s="1"/>
      <c r="CR503" s="1"/>
      <c r="CS503" s="1"/>
      <c r="CT503" s="1"/>
      <c r="CU503" s="1"/>
      <c r="CV503" s="5"/>
      <c r="CW503" s="5"/>
      <c r="CX503" s="45"/>
      <c r="CY503" s="1"/>
      <c r="CZ503" s="1"/>
      <c r="DA503" s="1"/>
      <c r="DB503" s="1"/>
      <c r="DC503" s="1"/>
      <c r="DD503" s="1"/>
      <c r="DE503" s="1"/>
      <c r="DF503" s="1"/>
      <c r="DG503" s="1"/>
      <c r="DH503" s="1"/>
      <c r="DI503" s="1"/>
      <c r="DJ503" s="1"/>
      <c r="DK503" s="1"/>
      <c r="DL503" s="5"/>
      <c r="DM503" s="5"/>
      <c r="DN503" s="1"/>
      <c r="DO503" s="1"/>
      <c r="DP503" s="1"/>
      <c r="DQ503" s="1"/>
      <c r="DR503" s="1"/>
      <c r="DS503" s="1"/>
      <c r="DT503" s="1"/>
      <c r="DU503" s="1"/>
      <c r="DV503" s="1"/>
      <c r="DW503" s="1"/>
      <c r="DX503" s="1"/>
      <c r="DY503" s="1"/>
      <c r="DZ503" s="1"/>
      <c r="EA503" s="1"/>
      <c r="EB503" s="1"/>
      <c r="EC503" s="1"/>
      <c r="ED503" s="1"/>
      <c r="EE503" s="1"/>
      <c r="EF503" s="1"/>
      <c r="EG503" s="1"/>
      <c r="EH503" s="5"/>
      <c r="EI503" s="5"/>
      <c r="EJ503" s="5"/>
      <c r="EK503" s="5"/>
      <c r="EL503" s="5"/>
      <c r="EM503" s="5"/>
      <c r="EN503" s="1"/>
      <c r="EO503" s="5"/>
    </row>
    <row r="504" spans="1:198">
      <c r="CL504" s="1"/>
      <c r="CM504" s="1"/>
      <c r="CN504" s="1"/>
      <c r="CO504" s="1"/>
      <c r="CP504" s="1"/>
      <c r="CQ504" s="1"/>
      <c r="CR504" s="1"/>
      <c r="CS504" s="1"/>
      <c r="CT504" s="1"/>
      <c r="CU504" s="1"/>
      <c r="CV504" s="5"/>
      <c r="CW504" s="5"/>
      <c r="CX504" s="45"/>
      <c r="CY504" s="1"/>
      <c r="CZ504" s="1"/>
      <c r="DA504" s="1"/>
      <c r="DB504" s="1"/>
      <c r="DC504" s="1"/>
      <c r="DD504" s="1"/>
      <c r="DE504" s="1"/>
      <c r="DF504" s="1"/>
      <c r="DG504" s="1"/>
      <c r="DH504" s="1"/>
      <c r="DI504" s="1"/>
      <c r="DJ504" s="1"/>
      <c r="DK504" s="1"/>
      <c r="DL504" s="5"/>
      <c r="DM504" s="5"/>
      <c r="DN504" s="1"/>
      <c r="DO504" s="1"/>
      <c r="DP504" s="1"/>
      <c r="DQ504" s="1"/>
      <c r="DR504" s="1"/>
      <c r="DS504" s="1"/>
      <c r="DT504" s="1"/>
      <c r="DU504" s="1"/>
      <c r="DV504" s="1"/>
      <c r="DW504" s="1"/>
      <c r="DX504" s="1"/>
      <c r="DY504" s="1"/>
      <c r="DZ504" s="1"/>
      <c r="EA504" s="1"/>
      <c r="EB504" s="1"/>
      <c r="EC504" s="1"/>
      <c r="ED504" s="1"/>
      <c r="EE504" s="1"/>
      <c r="EF504" s="1"/>
      <c r="EG504" s="1"/>
      <c r="EH504" s="5"/>
      <c r="EI504" s="5"/>
      <c r="EJ504" s="5"/>
      <c r="EK504" s="5"/>
      <c r="EL504" s="5"/>
      <c r="EM504" s="5"/>
      <c r="EN504" s="1"/>
      <c r="EO504" s="5"/>
    </row>
    <row r="505" spans="1:198">
      <c r="CL505" s="1"/>
      <c r="CM505" s="1"/>
      <c r="CN505" s="1"/>
      <c r="CO505" s="1"/>
      <c r="CP505" s="1"/>
      <c r="CQ505" s="1"/>
      <c r="CR505" s="1"/>
      <c r="CS505" s="1"/>
      <c r="CT505" s="1"/>
      <c r="CU505" s="1"/>
      <c r="CV505" s="5"/>
      <c r="CW505" s="5"/>
      <c r="CX505" s="45"/>
      <c r="CY505" s="1"/>
      <c r="CZ505" s="1"/>
      <c r="DA505" s="1"/>
      <c r="DB505" s="1"/>
      <c r="DC505" s="1"/>
      <c r="DD505" s="1"/>
      <c r="DE505" s="1"/>
      <c r="DF505" s="1"/>
      <c r="DG505" s="1"/>
      <c r="DH505" s="1"/>
      <c r="DI505" s="1"/>
      <c r="DJ505" s="1"/>
      <c r="DK505" s="1"/>
      <c r="DL505" s="5"/>
      <c r="DM505" s="5"/>
      <c r="DN505" s="1"/>
      <c r="DO505" s="1"/>
      <c r="DP505" s="1"/>
      <c r="DQ505" s="1"/>
      <c r="DR505" s="1"/>
      <c r="DS505" s="1"/>
      <c r="DT505" s="1"/>
      <c r="DU505" s="1"/>
      <c r="DV505" s="1"/>
      <c r="DW505" s="1"/>
      <c r="DX505" s="1"/>
      <c r="DY505" s="1"/>
      <c r="DZ505" s="1"/>
      <c r="EA505" s="1"/>
      <c r="EB505" s="1"/>
      <c r="EC505" s="1"/>
      <c r="ED505" s="1"/>
      <c r="EE505" s="1"/>
      <c r="EF505" s="1"/>
      <c r="EG505" s="1"/>
      <c r="EH505" s="5"/>
      <c r="EI505" s="5"/>
      <c r="EJ505" s="5"/>
      <c r="EK505" s="5"/>
      <c r="EL505" s="5"/>
      <c r="EM505" s="5"/>
      <c r="EN505" s="1"/>
      <c r="EO505" s="5"/>
    </row>
    <row r="506" spans="1:198">
      <c r="CL506" s="1"/>
      <c r="CM506" s="1"/>
      <c r="CN506" s="1"/>
      <c r="CO506" s="1"/>
      <c r="CP506" s="1"/>
      <c r="CQ506" s="1"/>
      <c r="CR506" s="1"/>
      <c r="CS506" s="1"/>
      <c r="CT506" s="1"/>
      <c r="CU506" s="1"/>
      <c r="CV506" s="5"/>
      <c r="CW506" s="5"/>
      <c r="CX506" s="45"/>
      <c r="CY506" s="1"/>
      <c r="CZ506" s="1"/>
      <c r="DA506" s="1"/>
      <c r="DB506" s="1"/>
      <c r="DC506" s="1"/>
      <c r="DD506" s="1"/>
      <c r="DE506" s="1"/>
      <c r="DF506" s="1"/>
      <c r="DG506" s="1"/>
      <c r="DH506" s="1"/>
      <c r="DI506" s="1"/>
      <c r="DJ506" s="1"/>
      <c r="DK506" s="1"/>
      <c r="DL506" s="5"/>
      <c r="DM506" s="5"/>
      <c r="DN506" s="1"/>
      <c r="DO506" s="1"/>
      <c r="DP506" s="1"/>
      <c r="DQ506" s="1"/>
      <c r="DR506" s="1"/>
      <c r="DS506" s="1"/>
      <c r="DT506" s="1"/>
      <c r="DU506" s="1"/>
      <c r="DV506" s="1"/>
      <c r="DW506" s="1"/>
      <c r="DX506" s="1"/>
      <c r="DY506" s="1"/>
      <c r="DZ506" s="1"/>
      <c r="EA506" s="1"/>
      <c r="EB506" s="1"/>
      <c r="EC506" s="1"/>
      <c r="ED506" s="1"/>
      <c r="EE506" s="1"/>
      <c r="EF506" s="1"/>
      <c r="EG506" s="1"/>
      <c r="EH506" s="5"/>
      <c r="EI506" s="5"/>
      <c r="EJ506" s="5"/>
      <c r="EK506" s="5"/>
      <c r="EL506" s="5"/>
      <c r="EM506" s="5"/>
      <c r="EN506" s="1"/>
      <c r="EO506" s="5"/>
    </row>
    <row r="507" spans="1:198">
      <c r="CL507" s="1"/>
      <c r="CM507" s="1"/>
      <c r="CN507" s="1"/>
      <c r="CO507" s="1"/>
      <c r="CP507" s="1"/>
      <c r="CQ507" s="1"/>
      <c r="CR507" s="1"/>
      <c r="CS507" s="1"/>
      <c r="CT507" s="1"/>
      <c r="CU507" s="1"/>
      <c r="CV507" s="5"/>
      <c r="CW507" s="5"/>
      <c r="CX507" s="45"/>
      <c r="CY507" s="1"/>
      <c r="CZ507" s="1"/>
      <c r="DA507" s="1"/>
      <c r="DB507" s="1"/>
      <c r="DC507" s="1"/>
      <c r="DD507" s="1"/>
      <c r="DE507" s="1"/>
      <c r="DF507" s="1"/>
      <c r="DG507" s="1"/>
      <c r="DH507" s="1"/>
      <c r="DI507" s="1"/>
      <c r="DJ507" s="1"/>
      <c r="DK507" s="1"/>
      <c r="DL507" s="5"/>
      <c r="DM507" s="5"/>
      <c r="DN507" s="1"/>
      <c r="DO507" s="1"/>
      <c r="DP507" s="1"/>
      <c r="DQ507" s="1"/>
      <c r="DR507" s="1"/>
      <c r="DS507" s="1"/>
      <c r="DT507" s="1"/>
      <c r="DU507" s="1"/>
      <c r="DV507" s="1"/>
      <c r="DW507" s="1"/>
      <c r="DX507" s="1"/>
      <c r="DY507" s="1"/>
      <c r="DZ507" s="1"/>
      <c r="EA507" s="1"/>
      <c r="EB507" s="1"/>
      <c r="EC507" s="1"/>
      <c r="ED507" s="1"/>
      <c r="EE507" s="1"/>
      <c r="EF507" s="1"/>
      <c r="EG507" s="1"/>
      <c r="EH507" s="5"/>
      <c r="EI507" s="5"/>
      <c r="EJ507" s="5"/>
      <c r="EK507" s="5"/>
      <c r="EL507" s="5"/>
      <c r="EM507" s="5"/>
      <c r="EN507" s="1"/>
      <c r="EO507" s="5"/>
    </row>
    <row r="508" spans="1:198">
      <c r="CL508" s="1"/>
      <c r="CM508" s="1"/>
      <c r="CN508" s="1"/>
      <c r="CO508" s="1"/>
      <c r="CP508" s="1"/>
      <c r="CQ508" s="1"/>
      <c r="CR508" s="1"/>
      <c r="CS508" s="1"/>
      <c r="CT508" s="1"/>
      <c r="CU508" s="1"/>
      <c r="CV508" s="5"/>
      <c r="CW508" s="5"/>
      <c r="CX508" s="45"/>
      <c r="CY508" s="1"/>
      <c r="CZ508" s="1"/>
      <c r="DA508" s="1"/>
      <c r="DB508" s="1"/>
      <c r="DC508" s="1"/>
      <c r="DD508" s="1"/>
      <c r="DE508" s="1"/>
      <c r="DF508" s="1"/>
      <c r="DG508" s="1"/>
      <c r="DH508" s="1"/>
      <c r="DI508" s="1"/>
      <c r="DJ508" s="1"/>
      <c r="DK508" s="1"/>
      <c r="DL508" s="5"/>
      <c r="DM508" s="5"/>
      <c r="DN508" s="1"/>
      <c r="DO508" s="1"/>
      <c r="DP508" s="1"/>
      <c r="DQ508" s="1"/>
      <c r="DR508" s="1"/>
      <c r="DS508" s="1"/>
      <c r="DT508" s="1"/>
      <c r="DU508" s="1"/>
      <c r="DV508" s="1"/>
      <c r="DW508" s="1"/>
      <c r="DX508" s="1"/>
      <c r="DY508" s="1"/>
      <c r="DZ508" s="1"/>
      <c r="EA508" s="1"/>
      <c r="EB508" s="1"/>
      <c r="EC508" s="1"/>
      <c r="ED508" s="1"/>
      <c r="EE508" s="1"/>
      <c r="EF508" s="1"/>
      <c r="EG508" s="1"/>
      <c r="EH508" s="5"/>
      <c r="EI508" s="5"/>
      <c r="EJ508" s="5"/>
      <c r="EK508" s="5"/>
      <c r="EL508" s="5"/>
      <c r="EM508" s="5"/>
      <c r="EN508" s="1"/>
      <c r="EO508" s="5"/>
    </row>
    <row r="509" spans="1:198">
      <c r="CL509" s="1"/>
      <c r="CM509" s="1"/>
      <c r="CN509" s="1"/>
      <c r="CO509" s="1"/>
      <c r="CP509" s="1"/>
      <c r="CQ509" s="1"/>
      <c r="CR509" s="1"/>
      <c r="CS509" s="1"/>
      <c r="CT509" s="1"/>
      <c r="CU509" s="1"/>
      <c r="CV509" s="5"/>
      <c r="CW509" s="5"/>
      <c r="CX509" s="45"/>
      <c r="CY509" s="1"/>
      <c r="CZ509" s="1"/>
      <c r="DA509" s="1"/>
      <c r="DB509" s="1"/>
      <c r="DC509" s="1"/>
      <c r="DD509" s="1"/>
      <c r="DE509" s="1"/>
      <c r="DF509" s="1"/>
      <c r="DG509" s="1"/>
      <c r="DH509" s="1"/>
      <c r="DI509" s="1"/>
      <c r="DJ509" s="1"/>
      <c r="DK509" s="1"/>
      <c r="DL509" s="5"/>
      <c r="DM509" s="5"/>
      <c r="DN509" s="1"/>
      <c r="DO509" s="1"/>
      <c r="DP509" s="1"/>
      <c r="DQ509" s="1"/>
      <c r="DR509" s="1"/>
      <c r="DS509" s="1"/>
      <c r="DT509" s="1"/>
      <c r="DU509" s="1"/>
      <c r="DV509" s="1"/>
      <c r="DW509" s="1"/>
      <c r="DX509" s="1"/>
      <c r="DY509" s="1"/>
      <c r="DZ509" s="1"/>
      <c r="EA509" s="1"/>
      <c r="EB509" s="1"/>
      <c r="EC509" s="1"/>
      <c r="ED509" s="1"/>
      <c r="EE509" s="1"/>
      <c r="EF509" s="1"/>
      <c r="EG509" s="1"/>
      <c r="EH509" s="5"/>
      <c r="EI509" s="5"/>
      <c r="EJ509" s="5"/>
      <c r="EK509" s="5"/>
      <c r="EL509" s="5"/>
      <c r="EM509" s="5"/>
      <c r="EN509" s="1"/>
      <c r="EO509" s="5"/>
    </row>
    <row r="510" spans="1:198" s="3" customFormat="1" hidden="1">
      <c r="A510" s="706"/>
      <c r="B510" s="869">
        <v>40</v>
      </c>
      <c r="C510" s="870" t="str">
        <f t="shared" ref="C510" si="162">IF(F510&gt;1,B510+2,"")</f>
        <v/>
      </c>
      <c r="D510" s="870" t="str">
        <f t="shared" ref="D510" si="163">IF(F510&gt;2,B510+4,"")</f>
        <v/>
      </c>
      <c r="E510" s="871"/>
      <c r="F510" s="872">
        <v>1</v>
      </c>
      <c r="G510" s="716">
        <f t="shared" ref="G510" si="164">IF(AND(H510="A",F510&gt;1),F510,IF(AND(OR(H510="M",H510="HVAC"),F510&gt;1),F510,IF(AND(H510="TR",F510&gt;1),F510,F510+1)))</f>
        <v>2</v>
      </c>
      <c r="H510" s="873" t="s">
        <v>12</v>
      </c>
      <c r="I510" s="874" t="str">
        <f t="shared" ref="I510" si="165">$F$15</f>
        <v>CU</v>
      </c>
      <c r="J510" s="875">
        <v>6</v>
      </c>
      <c r="K510" s="876">
        <v>10</v>
      </c>
      <c r="L510" s="876">
        <v>3</v>
      </c>
      <c r="M510" s="877">
        <v>1</v>
      </c>
      <c r="N510" s="877">
        <v>1</v>
      </c>
      <c r="O510" s="878">
        <v>1</v>
      </c>
      <c r="P510" s="879">
        <v>4</v>
      </c>
      <c r="Q510" s="880">
        <v>1</v>
      </c>
      <c r="R510" s="880">
        <v>1</v>
      </c>
      <c r="S510" s="881">
        <v>1</v>
      </c>
      <c r="T510" s="881">
        <v>1</v>
      </c>
      <c r="U510" s="882">
        <v>1</v>
      </c>
      <c r="V510" s="883">
        <v>1</v>
      </c>
      <c r="W510" s="874" t="str">
        <f t="shared" ref="W510" si="166">IF(H510&lt;&gt;"BC","SI","NO")</f>
        <v>SI</v>
      </c>
      <c r="X510" s="884"/>
      <c r="Y510" s="885"/>
      <c r="Z510" s="885"/>
      <c r="AA510" s="885"/>
      <c r="AB510" s="885"/>
      <c r="AC510" s="885"/>
      <c r="AD510" s="885"/>
      <c r="AE510" s="885"/>
      <c r="AF510" s="885"/>
      <c r="AG510" s="885"/>
      <c r="AH510" s="885"/>
      <c r="AI510" s="885"/>
      <c r="AJ510" s="885"/>
      <c r="AK510" s="885"/>
      <c r="AL510" s="885"/>
      <c r="AM510" s="885"/>
      <c r="AN510" s="885"/>
      <c r="AO510" s="885"/>
      <c r="AP510" s="885"/>
      <c r="AQ510" s="885"/>
      <c r="AR510" s="885"/>
      <c r="AS510" s="885"/>
      <c r="AT510" s="885"/>
      <c r="AU510" s="885"/>
      <c r="AV510" s="885"/>
      <c r="AW510" s="885"/>
      <c r="AX510" s="885"/>
      <c r="AY510" s="885"/>
      <c r="AZ510" s="885"/>
      <c r="BA510" s="886"/>
      <c r="BB510" s="887">
        <f t="shared" ref="BB510" si="167">IF(CV510="","",CV510)</f>
        <v>0</v>
      </c>
      <c r="BC510" s="888" t="str">
        <f t="shared" ref="BC510" si="168">IF(BB510="","",IF(AND(H510="A",CR510&lt;&gt;"N/C",W510&lt;&gt;"NO"),BT510,""))</f>
        <v/>
      </c>
      <c r="BD510" s="889" t="str">
        <f t="shared" ref="BD510" si="169">IF(BB510="","",IF(AND(H510="R",CR510&lt;&gt;"N/C",W510&lt;&gt;"NO"),BT510,""))</f>
        <v/>
      </c>
      <c r="BE510" s="889" t="str">
        <f t="shared" ref="BE510" si="170">IF(BB510="","",IF(AND(H510="O",CR510&lt;&gt;"N/C",W510&lt;&gt;"NO"),BT510,""))</f>
        <v/>
      </c>
      <c r="BF510" s="889" t="str">
        <f t="shared" ref="BF510" si="171">IF(BB510="","",IF(AND(OR(H510="M",H510="MV",H510="HVAC"),CR510&lt;&gt;"N/C",W510&lt;&gt;"NO"),BT510,""))</f>
        <v/>
      </c>
      <c r="BG510" s="889" t="str">
        <f t="shared" ref="BG510" si="172">IF(BB510="","",IF(AND(H510="TB",CR510&lt;&gt;"N/C",W510&lt;&gt;"NO"),BT510,""))</f>
        <v/>
      </c>
      <c r="BH510" s="889" t="str">
        <f t="shared" ref="BH510" si="173">IF(BB510="","",IF(AND(OR(H510="TR",H510="PE"),CR510&lt;&gt;"N/C",W510&lt;&gt;"NO"),BT510,""))</f>
        <v/>
      </c>
      <c r="BI510" s="890" t="str">
        <f t="shared" ref="BI510" si="174">IF(BB510="","",IF(AND(H510="RE",CR510&lt;&gt;"N/C",W510&lt;&gt;"NO"),BT510,""))</f>
        <v/>
      </c>
      <c r="BJ510" s="891" t="str">
        <f t="shared" ref="BJ510" si="175">IF(BB510="","",IF(AND(H510="A",CR510="N/C",W510&lt;&gt;"NO"),BT510,""))</f>
        <v/>
      </c>
      <c r="BK510" s="892" t="str">
        <f t="shared" ref="BK510" si="176">IF(BB510="","",IF(AND(H510="R",CR510="N/C",W510&lt;&gt;"NO"),BT510,IF(AND(H510="UPS",CR510="N/C",W510&lt;&gt;"NO"),BT510,"")))</f>
        <v/>
      </c>
      <c r="BL510" s="892" t="str">
        <f t="shared" ref="BL510" si="177">IF(BB510="","",IF(AND(H510="O",CR510="N/C",W510&lt;&gt;"NO"),BT510,""))</f>
        <v/>
      </c>
      <c r="BM510" s="892" t="str">
        <f t="shared" ref="BM510" si="178">IF(BB510="","",IF(AND(OR(H510="M",H510="MV",H510="HVAC"),CR510="N/C",W510&lt;&gt;"NO"),BT510,""))</f>
        <v/>
      </c>
      <c r="BN510" s="892" t="str">
        <f t="shared" ref="BN510" si="179">IF(BB510="","",IF(AND(H510="TB",CR510="N/C",W510&lt;&gt;"NO"),BT510,""))</f>
        <v/>
      </c>
      <c r="BO510" s="892" t="str">
        <f t="shared" ref="BO510" si="180">IF(BB510="","",IF(AND(OR(H510="TR",H510="PE"),CR510="N/C",W510&lt;&gt;"NO"),BT510,""))</f>
        <v/>
      </c>
      <c r="BP510" s="893" t="str">
        <f t="shared" ref="BP510" si="181">IF(BB510="","",IF(AND(H510="RE",CR510="N/C",W510&lt;&gt;"NO"),BT510,""))</f>
        <v/>
      </c>
      <c r="BQ510" s="894" t="str">
        <f t="shared" ref="BQ510" si="182">IF(BB510="","",IF(AND(OR(H510="M",H510="MV",,H510="HVAC"),W510&lt;&gt;"NO"),BT510,""))</f>
        <v/>
      </c>
      <c r="BR510" s="895" t="str">
        <f t="shared" ref="BR510" si="183">BQ510</f>
        <v/>
      </c>
      <c r="BS510" s="896" t="str">
        <f t="shared" ref="BS510" si="184">IF(BB510="","",IF(AND(OR(H510="M",H510="MV",H510="HVAC"),W510&lt;&gt;"NO"),BW510,""))</f>
        <v/>
      </c>
      <c r="BT510" s="897" t="str">
        <f t="shared" ref="BT510" si="185">IF(BB510=0,"",BB510*V510)</f>
        <v/>
      </c>
      <c r="BU510" s="231" t="str">
        <f t="shared" ref="BU510" si="186">IF(CW510="","",CW510)</f>
        <v/>
      </c>
      <c r="BV510" s="898">
        <f t="shared" ref="BV510" si="187">IF(F510="","",IF(F510=1,$H$9,$F$9))</f>
        <v>127</v>
      </c>
      <c r="BW510" s="845" t="str">
        <f t="shared" ref="BW510" si="188">IF(CX510="","",CX510)</f>
        <v/>
      </c>
      <c r="BX510" s="899" t="str">
        <f t="shared" ref="BX510" si="189">IF(DN510="","",DN510)</f>
        <v/>
      </c>
      <c r="BY510" s="900" t="str" cm="1">
        <f t="array" ref="BY510">[1]!ACAELE_CAPACIDADCABLE(BB510,H510,I510,M510,BX510,N510)</f>
        <v/>
      </c>
      <c r="BZ510" s="900" t="str">
        <f t="shared" ref="BZ510" si="190">IF(OR(BT510=0,BT510="",H510="RE"),"",(DS510/BV510)*100)</f>
        <v/>
      </c>
      <c r="CA510" s="901" t="str" cm="1">
        <f t="array" ref="CA510">[1]!ACAELE_cabledetierra(BZ510,$N$9,I510,BW510,BX510,G510)</f>
        <v/>
      </c>
      <c r="CB510" s="902" t="str" cm="1">
        <f t="array" ref="CB510">[1]!ACAELE_TAMATUBERIA(BX510,DU510,$N$9,M510,I510)</f>
        <v/>
      </c>
      <c r="CC510" s="846" t="str">
        <f t="shared" ref="CC510" si="191">IF(DV510="","",DV510)</f>
        <v/>
      </c>
      <c r="CD510" s="903" t="str" cm="1">
        <f t="array" ref="CD510">[1]!ACAELE_CAPACIDADCABLE(BB510,H510,I510,M510,CC510,N510)</f>
        <v/>
      </c>
      <c r="CE510" s="903" t="str">
        <f t="shared" ref="CE510" si="192">IF(OR(BB510=0,Q510="",H510="RE",$A$27=1),"",(EA510/BV510)*100)</f>
        <v/>
      </c>
      <c r="CF510" s="904" t="str" cm="1">
        <f t="array" ref="CF510">[1]!ACAELE_cabledetierra(CE510,$N$9,I510,BW510,CC510,G510)</f>
        <v/>
      </c>
      <c r="CG510" s="905" t="str" cm="1">
        <f t="array" ref="CG510">[1]!ACAELE_TAMATUBERIA(CC510,EC510,$N$9,S510,I510)</f>
        <v/>
      </c>
      <c r="CH510" s="906" t="str">
        <f t="shared" ref="CH510" si="193">IF(AND(CE510="",BZ510=""),"",IF(CE510="",0,CE510)+IF(BZ510="",0,BZ510))</f>
        <v/>
      </c>
      <c r="CI510" s="510" t="str">
        <f t="shared" ref="CI510" si="194">IF(CL510="","",CL510)</f>
        <v>-</v>
      </c>
      <c r="CJ510" s="511" t="str">
        <f t="shared" ref="CJ510" si="195">IF(CM510="","",CM510)</f>
        <v>-</v>
      </c>
      <c r="CK510" s="512" t="str">
        <f t="shared" ref="CK510" si="196">IF(CN510="","",CN510)</f>
        <v>-</v>
      </c>
      <c r="CL510" s="907" t="str">
        <f t="shared" ref="CL510" si="197">IF(W510="NO","-",IF(BB510=0,"-",IF(OR($CO510="A",$CP510="A",$CQ510="A"),(BT510/F510)*1000,"-")))</f>
        <v>-</v>
      </c>
      <c r="CM510" s="908" t="str">
        <f t="shared" ref="CM510" si="198">IF(W510="NO","-",IF(BB510=0,"-",IF(OR($CO510="B",$CP510="B",$CQ510="B"),(BT510/F510)*1000,"-")))</f>
        <v>-</v>
      </c>
      <c r="CN510" s="909" t="str">
        <f t="shared" ref="CN510" si="199">IF(W510="NO","-",IF(BB510=0,"-",IF(OR($CO510="C",$CP510="C",$CQ510="C"),(BT510/F510)*1000,"-")))</f>
        <v>-</v>
      </c>
      <c r="CO510" s="910" t="str" cm="1">
        <f t="array" ref="CO510">[1]!ACAELE_fasecorresponde(B510,$F$10,$P$5)</f>
        <v>B</v>
      </c>
      <c r="CP510" s="910" t="str" cm="1">
        <f t="array" ref="CP510">[1]!ACAELE_fasecorresponde(C510,$F$10,$P$5)</f>
        <v>-</v>
      </c>
      <c r="CQ510" s="910" t="str" cm="1">
        <f t="array" ref="CQ510">[1]!ACAELE_fasecorresponde(D510,$F$10,$P$5)</f>
        <v>-</v>
      </c>
      <c r="CR510" s="911" t="str">
        <f t="shared" ref="CR510" si="200">IF(OR(H510="A",H510="O",H510="M",H510="MV",,H510="HVAC"),"C","N/C")</f>
        <v>C</v>
      </c>
      <c r="CS510" s="912">
        <f t="shared" ref="CS510" si="201">IF(BU510&gt;100,VLOOKUP($F$13,FCTEMP,3),VLOOKUP($F$13,FCTEMP,2))</f>
        <v>1</v>
      </c>
      <c r="CT510" s="913">
        <f t="shared" ref="CT510" si="202">IF(H510="RE","",IF(M510=1,VLOOKUP(J510,FCATUBO,2),IF(M510=6,VLOOKUP(J510,FCADUCTO,2),1)))</f>
        <v>0.8</v>
      </c>
      <c r="CU510" s="914" t="str">
        <f t="shared" ref="CU510" si="203">IF(OR(H510="RE",$A$27=1),"",IF(OR(BB510=0,Q510=""),"",IF(S510=1,VLOOKUP(P510,FCATUBO,2),IF(S510=6,VLOOKUP(P510,FCADUCTO,2),1))))</f>
        <v/>
      </c>
      <c r="CV510" s="915">
        <f t="shared" ref="CV510" si="204">SUMPRODUCT($X$29:$BA$29,$X510:$BA510/1000)</f>
        <v>0</v>
      </c>
      <c r="CW510" s="916" t="str" cm="1">
        <f t="array" ref="CW510">[1]!ACAELE_Inominal(BB510,F510,BT510,BV510,DA510,G510,V510,$P$5)</f>
        <v/>
      </c>
      <c r="CX510" s="917" t="str" cm="1">
        <f t="array" ref="CX510">[1]!ACAELE_Disparocalculado(BB510,H510,DL510,$N$21,$M$21,$O$21,BV510,$P$5)</f>
        <v/>
      </c>
      <c r="CY510" s="918" t="str" cm="1">
        <f t="array" ref="CY510">[1]!ACAELE_Icorregida($A$27,H510,BB510,BU510,CS510,CT510,$P$5)</f>
        <v/>
      </c>
      <c r="CZ510" s="919" t="str" cm="1">
        <f t="array" ref="CZ510">[1]!ACAELE_Icorregida2($A$27,H510,BB510,BU510,CS510,CU510,$P$5)</f>
        <v/>
      </c>
      <c r="DA510" s="920">
        <f t="shared" ref="DA510" si="205">IF(OR(H510="O",H510="BC"),$G$14,$F$14)</f>
        <v>0.9</v>
      </c>
      <c r="DB510" s="921">
        <f t="shared" ref="DB510" si="206">SIN(ACOS(DA510))</f>
        <v>0.43588989435406728</v>
      </c>
      <c r="DC510" s="922" t="str" cm="1">
        <f t="array" ref="DC510">[1]!ACAELE_CONDPORTCORRIENTE(H510,BB510,I510,M510,CY510,CZ510,N510,$P$5)</f>
        <v/>
      </c>
      <c r="DD510" s="923" t="str" cm="1">
        <f t="array" ref="DD510">[1]!ACAELE_CAPACONDCORRIENTE(BB510,H510,I510,M510,CY510,CZ510,$P$5)</f>
        <v/>
      </c>
      <c r="DE510" s="923" t="str" cm="1">
        <f t="array" ref="DE510">[1]!ACAELE_CAPACIDADCABLE(BB510,H510,I510,M510,DC510,N510,$P$5)</f>
        <v/>
      </c>
      <c r="DF510" s="924" t="str" cm="1">
        <f t="array" ref="DF510">[1]!ACAELE_encontrarcaida(BB510,H510,L510,BV510,F510,BU510,N510,K510)</f>
        <v/>
      </c>
      <c r="DG510" s="925" t="str" cm="1">
        <f t="array" ref="DG510">[1]!ACAELE_Cablecaida(BB510,H510,M510,I510,DF510)</f>
        <v/>
      </c>
      <c r="DH510" s="918" t="str" cm="1">
        <f t="array" ref="DH510">[1]!ACAELE_CAPACIDADCABLE(BB510,H510,I510,M510,DG510,N510,$P$5)</f>
        <v/>
      </c>
      <c r="DI510" s="926" t="str" cm="1">
        <f t="array" ref="DI510">IF($A$27=1,"",[1]!ACAELE_encontrarcaida(BB510,H510,R510,BV510,F510,BU510,T510,Q510,$P$5))</f>
        <v/>
      </c>
      <c r="DJ510" s="914" t="str" cm="1">
        <f t="array" ref="DJ510">IF($A$27=1,"",[1]!ACAELE_Cablecaida2(BB510,Q510,H510,S510,I510,DI510,$P$5))</f>
        <v/>
      </c>
      <c r="DK510" s="919" t="str" cm="1">
        <f t="array" ref="DK510">[1]!ACAELE_CAPACIDADCABLE(BB510,H510,I510,M510,DJ510,N510,$P$5)</f>
        <v/>
      </c>
      <c r="DL510" s="927" t="str" cm="1">
        <f t="array" ref="DL510">[1]!acaele_Iproteccion(BB510,H510,BU510,$F$20,$G$20,$F$19,$G$19,$H$20,$H$19,$P$5)</f>
        <v/>
      </c>
      <c r="DM510" s="928" cm="1">
        <f t="array" ref="DM510">[1]!acaele_ProtCalculada(CX510,H510,BT510,BW510,$G$21,$F$21,$H$21,$P$5)</f>
        <v>0</v>
      </c>
      <c r="DN510" s="929" t="str" cm="1">
        <f t="array" ref="DN510">[1]!ACAELE_cablecalculo(BB510,H510,I510,M510,EF510,$P$5)</f>
        <v/>
      </c>
      <c r="DO510" s="930" t="str" cm="1">
        <f t="array" ref="DO510">[1]!ACAELE_RESISTENCIA(BB510,H510,M510,I510,BX510, CW510,$P$5)</f>
        <v/>
      </c>
      <c r="DP510" s="931" t="str" cm="1">
        <f t="array" ref="DP510">[1]!ACAELE_REACTANCIA(BB510,H510,$F$11,M510,I510,BX510,$P$5)</f>
        <v/>
      </c>
      <c r="DQ510" s="918" t="str" cm="1">
        <f t="array" ref="DQ510">[1]!ACAELE_DIAMECAISLA(BB510,H510,I510,BX510,$P$5)</f>
        <v/>
      </c>
      <c r="DR510" s="918" t="str" cm="1">
        <f t="array" ref="DR510">[1]!ACAELE_AREACAISLAMIENTO(BB510,H510,DQ510,$P$5)</f>
        <v/>
      </c>
      <c r="DS510" s="918" t="str" cm="1">
        <f t="array" ref="DS510">[1]!ACAELE_CAIDAVOLTSFINAL(BB510,H510,F510,K510,BU510,N510,DO510,DA510,DP510,DB510,$P$5)</f>
        <v/>
      </c>
      <c r="DT510" s="918" t="str" cm="1">
        <f t="array" ref="DT510">[1]!ACAELE_AREACONDPTE(BB510,H510,CA510,$P$5)</f>
        <v/>
      </c>
      <c r="DU510" s="932" t="str" cm="1">
        <f t="array" ref="DU510">[1]!ACAELE_AREATOTAL(BZ510,M510,EO510,N510,DQ510,G510,DR510,DT510,N$20,$P$5)</f>
        <v/>
      </c>
      <c r="DV510" s="933" t="str" cm="1">
        <f t="array" ref="DV510">IF($A$27=1,"",[1]!ACAELE_cablecalculo(BB510,H510,I510,M510,EG510,$P$5))</f>
        <v/>
      </c>
      <c r="DW510" s="934" t="str" cm="1">
        <f t="array" ref="DW510">IF($A$27=1,"",[1]!ACAELE_RESISTENCIA(BB510,H510,M510,I510,CC510,CW510,$P$5))</f>
        <v/>
      </c>
      <c r="DX510" s="926" t="str" cm="1">
        <f t="array" ref="DX510">IF($A$27=1,"",[1]!ACAELE_REACTANCIA(BB510,H510,$F$11,M510,I510,CC510,$P$5))</f>
        <v/>
      </c>
      <c r="DY510" s="935" t="str" cm="1">
        <f t="array" ref="DY510">IF($A$27=1,"",[1]!ACAELE_DIAMECAISLA(BB510,H510,I510,CC510,$P$5))</f>
        <v/>
      </c>
      <c r="DZ510" s="935" t="str" cm="1">
        <f t="array" ref="DZ510">IF($A$27=1,"",[1]!ACAELE_AREACAISLAMIENTO(BB510,H510,DY510,$P$5))</f>
        <v/>
      </c>
      <c r="EA510" s="935" t="str" cm="1">
        <f t="array" ref="EA510">[1]!ACAELE_CAIDAVOLTSFINAL2(BB510,Q510,H510,F510,$A$27,BU510,T510,DW510,DA510,DX510,DB510)</f>
        <v/>
      </c>
      <c r="EB510" s="935" t="str" cm="1">
        <f t="array" ref="EB510">IF($A$27=1,"",[1]!ACAELE_AREACONDPTE(BB510,H510,CF510,$P$5))</f>
        <v/>
      </c>
      <c r="EC510" s="936" t="str" cm="1">
        <f t="array" ref="EC510">[1]!ACAELE_AREATOTAL2(H510,$A$27,DY510,S510,G510,T510,DZ510,U510,EB510)</f>
        <v/>
      </c>
      <c r="ED510" s="937" t="str">
        <f t="shared" ref="ED510" si="207">IF(OR(BB510=0,H510="RE"),"",VLOOKUP(BX510,nomenclaturacables,2,0))</f>
        <v/>
      </c>
      <c r="EE510" s="938" t="str">
        <f t="shared" ref="EE510" si="208">IF(CC510="","",VLOOKUP(CC510,nomenclaturacables,2,0))</f>
        <v/>
      </c>
      <c r="EF510" s="939" t="str">
        <f t="shared" ref="EF510" si="209">IF(BB510=0,"",IF(OR(H510="M",H510="MV"),MAX(DE510/N510,DH510/N510),MAX(DM510/N510,BW510/N510,IF(DE510="",0,DE510/N510),DH510/N510)))</f>
        <v/>
      </c>
      <c r="EG510" s="940">
        <f t="shared" ref="EG510" si="210">MAX(DM510,IF(DE510="",0,DE510/N510),DK510)</f>
        <v>0</v>
      </c>
      <c r="EH510" s="941" t="str">
        <f t="shared" ref="EH510" si="211">IF(OR(H510&lt;&gt;"TB",(SUM(BC510:BP510)&lt;&gt;0)),"",BU510)</f>
        <v/>
      </c>
      <c r="EI510" s="942">
        <f t="shared" ref="EI510" si="212">$F$13</f>
        <v>30</v>
      </c>
      <c r="EJ510" s="943" t="str">
        <f t="shared" ref="EJ510" si="213">IF(X510&gt;0,X$26,IF(Y510&gt;0,Y$26,IF(Z510&gt;0,Z$26,IF(AA510&gt;0,AA$26,IF(AB510&gt;0,AB$26,IF(AC510&gt;0,AC$26,IF(AD510&gt;0,AD$26,IF(AE510&gt;0,AE$26,""))))))))</f>
        <v/>
      </c>
      <c r="EK510" s="943" t="str">
        <f t="shared" ref="EK510" si="214">IF(AF510&gt;0,AF$26,IF(AG510&gt;0,AG$26,IF(AH510&gt;0,AH$26,IF(AI510&gt;0,AI$26,IF(AJ510&gt;0,AJ$26,IF(AK510&gt;0,AK$26,IF(AL510&gt;0,AL$26,IF(AM510&gt;0,AM$26,""))))))))</f>
        <v/>
      </c>
      <c r="EL510" s="943" t="str">
        <f t="shared" ref="EL510" si="215">IF(AN510&gt;0,AN$26,IF(AO510&gt;0,AO$26,IF(AP510&gt;0,AP$26,IF(AQ510&gt;0,AQ$26,IF(AR510&gt;0,AR$26,IF(AS510&gt;0,AS$26,IF(AT510&gt;0,AT$26,IF(AU510&gt;0,AU$26,""))))))))</f>
        <v/>
      </c>
      <c r="EM510" s="944" t="str">
        <f t="shared" ref="EM510" si="216">IF(AV510&gt;0,AV$26,IF(AW510&gt;0,AW$26,IF(AX510&gt;0,AX$26,IF(AY510&gt;0,AY$26,IF(AZ510&gt;0,AZ$26,IF(BA510&gt;0,BA$26,""))))))</f>
        <v/>
      </c>
      <c r="EN510" s="945" t="str" cm="1">
        <f t="array" ref="EN510">[1]!ACAELE_MOTOR(H510,X510:BA510,$X$26:$BA$26,$P$5)</f>
        <v/>
      </c>
      <c r="EO510" s="550" t="str">
        <f t="shared" ref="EO510" si="217">IF(BZ510="","",(G510*N510*DR510)/O510+DT510)</f>
        <v/>
      </c>
      <c r="EP510" s="431" t="s">
        <v>1214</v>
      </c>
      <c r="EQ510" s="434" t="str">
        <f t="shared" ref="EQ510" ca="1" si="218">FL510</f>
        <v/>
      </c>
      <c r="ER510" s="32"/>
      <c r="ES510" s="32"/>
      <c r="ET510" s="3" t="str">
        <f t="shared" ref="ET510" si="219">IF(BW510="","",F510&amp;"P-"&amp;BW510&amp;" A")</f>
        <v/>
      </c>
      <c r="EU510" s="3" t="str">
        <f t="shared" ref="EU510" si="220">IF(BW510="","",G510*N510&amp;"-"&amp;BX510&amp;", "&amp;O510&amp;"-"&amp;CA510&amp;"T, "&amp;O510&amp;CB510)</f>
        <v/>
      </c>
      <c r="EV510" s="3" t="str">
        <f t="shared" ref="EV510" si="221">IF(BW510="","",K510)</f>
        <v/>
      </c>
      <c r="EW510" s="3" t="str">
        <f t="shared" ref="EW510" si="222">IF(BW510="","",G510*N510)</f>
        <v/>
      </c>
      <c r="EX510" s="3" t="str">
        <f t="shared" ref="EX510" si="223">IF(BW510="","",BX510)</f>
        <v/>
      </c>
      <c r="EY510" s="3" t="str">
        <f t="shared" ref="EY510" si="224">IF(BW510="","",O510)</f>
        <v/>
      </c>
      <c r="EZ510" s="3" t="str">
        <f t="shared" ref="EZ510" si="225">IF(BW510="","",CA510)</f>
        <v/>
      </c>
      <c r="FA510" s="3" t="str">
        <f t="shared" ref="FA510" si="226">IF(BW510="","",O510)</f>
        <v/>
      </c>
      <c r="FB510" s="3" t="str">
        <f t="shared" ref="FB510" si="227">IF(BW510="","",CB510)</f>
        <v/>
      </c>
      <c r="FC510" s="3">
        <f t="shared" ref="FC510" si="228">IF(EV510="",0,EV510)</f>
        <v>0</v>
      </c>
      <c r="FD510" s="32"/>
      <c r="FE510" s="32"/>
      <c r="FF510" s="103">
        <v>1</v>
      </c>
      <c r="FG510" s="32"/>
      <c r="FH510" s="103"/>
      <c r="FI510" s="32"/>
      <c r="FJ510" s="103"/>
      <c r="FK510" s="3">
        <f t="shared" ref="FK510" si="229">IF(BB510&lt;&gt;0,MAX(B510:D510),0)</f>
        <v>0</v>
      </c>
      <c r="FL510" s="3" t="str" cm="1">
        <f t="array" aca="1" ref="FL510" ca="1">[1]!acaele_DIB_UNIFILAR(BB510,H510,F510,COUNTIF(X510:BA510,1),BW510)</f>
        <v/>
      </c>
      <c r="FM510" s="3" t="str">
        <f>IF(DATOS!$T$4=0,"",IF(DATOS!$T$4=1," (QO)",IF(DATOS!$T$4=2," (QOB)",IF(DATOS!$T$4=3," (EDB)",IF(DATOS!$T$4=4,IF(BW510&lt;151," (H"&amp;FN510&amp;")",IF(BW510&lt;251," (J"&amp;FN510&amp;")", IF(BW510&lt;401," (LA)",IF(BW510&lt;801," (MG)",IF(BW510&lt;5001," (POWERPACK)",""))))))))))</f>
        <v xml:space="preserve"> (QOB)</v>
      </c>
      <c r="FN510" s="3" t="str">
        <f t="shared" ref="FN510" si="230">IF(BB510=0,"",IF($BW$116&gt;2000,"G",IF($BW$116&gt;1000,"J","D")))</f>
        <v/>
      </c>
      <c r="FO510" s="146"/>
      <c r="FP510" s="146"/>
      <c r="FQ510" s="146"/>
      <c r="FR510" s="146"/>
      <c r="FS510" s="146"/>
      <c r="FT510" s="146"/>
      <c r="FU510" s="146"/>
      <c r="FV510" s="146"/>
      <c r="FW510" s="146"/>
      <c r="FX510" s="146" t="str">
        <f t="shared" ref="FX510" si="231">IF(FY510=GA510,"",1)</f>
        <v/>
      </c>
      <c r="FY510" s="736"/>
      <c r="FZ510" s="740"/>
      <c r="GA510" s="740"/>
      <c r="GB510" s="717"/>
      <c r="GC510" s="838"/>
      <c r="GD510" s="736"/>
      <c r="GE510" s="146"/>
      <c r="GF510" s="506"/>
      <c r="GG510" s="506"/>
      <c r="GH510" s="506"/>
      <c r="GI510" s="506"/>
      <c r="GJ510" s="506"/>
      <c r="GM510" s="3">
        <f>IF(OR(GN510&gt;TABLERO!$M$19,GO510&gt;TABLERO!$M$19,GP510&gt;TABLERO!$M$19,B510=0,C510=0,D510=0),2,CUADROACAD!A510)</f>
        <v>2</v>
      </c>
      <c r="GN510" s="3">
        <f>IF(TABLERO!B510="",0,TABLERO!B510)</f>
        <v>40</v>
      </c>
      <c r="GO510" s="3">
        <f>IF(TABLERO!C510="",GN510,TABLERO!C510)</f>
        <v>40</v>
      </c>
      <c r="GP510" s="3">
        <f>IF(TABLERO!D510="",GN510,TABLERO!D510)</f>
        <v>40</v>
      </c>
    </row>
    <row r="511" spans="1:198">
      <c r="CL511" s="1"/>
      <c r="CM511" s="1"/>
      <c r="CN511" s="1"/>
      <c r="CO511" s="1"/>
      <c r="CP511" s="1"/>
      <c r="CQ511" s="1"/>
      <c r="CR511" s="1"/>
      <c r="CS511" s="1"/>
      <c r="CT511" s="1"/>
      <c r="CU511" s="1"/>
      <c r="CV511" s="5"/>
      <c r="CW511" s="5"/>
      <c r="CX511" s="45"/>
      <c r="CY511" s="1"/>
      <c r="CZ511" s="1"/>
      <c r="DA511" s="1"/>
      <c r="DB511" s="1"/>
      <c r="DC511" s="1"/>
      <c r="DD511" s="1"/>
      <c r="DE511" s="1"/>
      <c r="DF511" s="1"/>
      <c r="DG511" s="1"/>
      <c r="DH511" s="1"/>
      <c r="DI511" s="1"/>
      <c r="DJ511" s="1"/>
      <c r="DK511" s="1"/>
      <c r="DL511" s="5"/>
      <c r="DM511" s="5"/>
      <c r="DN511" s="1"/>
      <c r="DO511" s="1"/>
      <c r="DP511" s="1"/>
      <c r="DQ511" s="1"/>
      <c r="DR511" s="1"/>
      <c r="DS511" s="1"/>
      <c r="DT511" s="1"/>
      <c r="DU511" s="1"/>
      <c r="DV511" s="1"/>
      <c r="DW511" s="1"/>
      <c r="DX511" s="1"/>
      <c r="DY511" s="1"/>
      <c r="DZ511" s="1"/>
      <c r="EA511" s="1"/>
      <c r="EB511" s="1"/>
      <c r="EC511" s="1"/>
      <c r="ED511" s="1"/>
      <c r="EE511" s="1"/>
      <c r="EF511" s="1"/>
      <c r="EG511" s="1"/>
      <c r="EH511" s="5"/>
      <c r="EI511" s="5"/>
      <c r="EJ511" s="5"/>
      <c r="EK511" s="5"/>
      <c r="EL511" s="5"/>
      <c r="EM511" s="5"/>
      <c r="EN511" s="1"/>
      <c r="EO511" s="5"/>
    </row>
    <row r="512" spans="1:198">
      <c r="CL512" s="1"/>
      <c r="CM512" s="1"/>
      <c r="CN512" s="1"/>
      <c r="CO512" s="1"/>
      <c r="CP512" s="1"/>
      <c r="CQ512" s="1"/>
      <c r="CR512" s="1"/>
      <c r="CS512" s="1"/>
      <c r="CT512" s="1"/>
      <c r="CU512" s="1"/>
      <c r="CV512" s="5"/>
      <c r="CW512" s="5"/>
      <c r="CX512" s="45"/>
      <c r="CY512" s="1"/>
      <c r="CZ512" s="1"/>
      <c r="DA512" s="1"/>
      <c r="DB512" s="1"/>
      <c r="DC512" s="1"/>
      <c r="DD512" s="1"/>
      <c r="DE512" s="1"/>
      <c r="DF512" s="1"/>
      <c r="DG512" s="1"/>
      <c r="DH512" s="1"/>
      <c r="DI512" s="1"/>
      <c r="DJ512" s="1"/>
      <c r="DK512" s="1"/>
      <c r="DL512" s="5"/>
      <c r="DM512" s="5"/>
      <c r="DN512" s="1"/>
      <c r="DO512" s="1"/>
      <c r="DP512" s="1"/>
      <c r="DQ512" s="1"/>
      <c r="DR512" s="1"/>
      <c r="DS512" s="1"/>
      <c r="DT512" s="1"/>
      <c r="DU512" s="1"/>
      <c r="DV512" s="1"/>
      <c r="DW512" s="1"/>
      <c r="DX512" s="1"/>
      <c r="DY512" s="1"/>
      <c r="DZ512" s="1"/>
      <c r="EA512" s="1"/>
      <c r="EB512" s="1"/>
      <c r="EC512" s="1"/>
      <c r="ED512" s="1"/>
      <c r="EE512" s="1"/>
      <c r="EF512" s="1"/>
      <c r="EG512" s="1"/>
      <c r="EH512" s="5"/>
      <c r="EI512" s="5"/>
      <c r="EJ512" s="5"/>
      <c r="EK512" s="5"/>
      <c r="EL512" s="5"/>
      <c r="EM512" s="5"/>
      <c r="EN512" s="1"/>
      <c r="EO512" s="5"/>
    </row>
    <row r="513" spans="2:196">
      <c r="CL513" s="1"/>
      <c r="CM513" s="1"/>
      <c r="CN513" s="1"/>
      <c r="CO513" s="1"/>
      <c r="CP513" s="1"/>
      <c r="CQ513" s="1"/>
      <c r="CR513" s="1"/>
      <c r="CS513" s="1"/>
      <c r="CT513" s="1"/>
      <c r="CU513" s="1"/>
      <c r="CV513" s="5"/>
      <c r="CW513" s="5"/>
      <c r="CX513" s="45"/>
      <c r="CY513" s="1"/>
      <c r="CZ513" s="1"/>
      <c r="DA513" s="1"/>
      <c r="DB513" s="1"/>
      <c r="DC513" s="1"/>
      <c r="DD513" s="1"/>
      <c r="DE513" s="1"/>
      <c r="DF513" s="1"/>
      <c r="DG513" s="1"/>
      <c r="DH513" s="1"/>
      <c r="DI513" s="1"/>
      <c r="DJ513" s="1"/>
      <c r="DK513" s="1"/>
      <c r="DL513" s="5"/>
      <c r="DM513" s="5"/>
      <c r="DN513" s="1"/>
      <c r="DO513" s="1"/>
      <c r="DP513" s="1"/>
      <c r="DQ513" s="1"/>
      <c r="DR513" s="1"/>
      <c r="DS513" s="1"/>
      <c r="DT513" s="1"/>
      <c r="DU513" s="1"/>
      <c r="DV513" s="1"/>
      <c r="DW513" s="1"/>
      <c r="DX513" s="1"/>
      <c r="DY513" s="1"/>
      <c r="DZ513" s="1"/>
      <c r="EA513" s="1"/>
      <c r="EB513" s="1"/>
      <c r="EC513" s="1"/>
      <c r="ED513" s="1"/>
      <c r="EE513" s="1"/>
      <c r="EF513" s="1"/>
      <c r="EG513" s="1"/>
      <c r="EH513" s="5"/>
      <c r="EI513" s="5"/>
      <c r="EJ513" s="5"/>
      <c r="EK513" s="5"/>
      <c r="EL513" s="5"/>
      <c r="EM513" s="5"/>
      <c r="EN513" s="1"/>
      <c r="EO513" s="5"/>
    </row>
    <row r="514" spans="2:196">
      <c r="CL514" s="1"/>
      <c r="CM514" s="1"/>
      <c r="CN514" s="1"/>
      <c r="CO514" s="1"/>
      <c r="CP514" s="1"/>
      <c r="CQ514" s="1"/>
      <c r="CR514" s="1"/>
      <c r="CS514" s="1"/>
      <c r="CT514" s="1"/>
      <c r="CU514" s="1"/>
      <c r="CV514" s="5"/>
      <c r="CW514" s="5"/>
      <c r="CX514" s="45"/>
      <c r="CY514" s="1"/>
      <c r="CZ514" s="1"/>
      <c r="DA514" s="1"/>
      <c r="DB514" s="1"/>
      <c r="DC514" s="1"/>
      <c r="DD514" s="1"/>
      <c r="DE514" s="1"/>
      <c r="DF514" s="1"/>
      <c r="DG514" s="1"/>
      <c r="DH514" s="1"/>
      <c r="DI514" s="1"/>
      <c r="DJ514" s="1"/>
      <c r="DK514" s="1"/>
      <c r="DL514" s="5"/>
      <c r="DM514" s="5"/>
      <c r="DN514" s="1"/>
      <c r="DO514" s="1"/>
      <c r="DP514" s="1"/>
      <c r="DQ514" s="1"/>
      <c r="DR514" s="1"/>
      <c r="DS514" s="1"/>
      <c r="DT514" s="1"/>
      <c r="DU514" s="1"/>
      <c r="DV514" s="1"/>
      <c r="DW514" s="1"/>
      <c r="DX514" s="1"/>
      <c r="DY514" s="1"/>
      <c r="DZ514" s="1"/>
      <c r="EA514" s="1"/>
      <c r="EB514" s="1"/>
      <c r="EC514" s="1"/>
      <c r="ED514" s="1"/>
      <c r="EE514" s="1"/>
      <c r="EF514" s="1"/>
      <c r="EG514" s="1"/>
      <c r="EH514" s="5"/>
      <c r="EI514" s="5"/>
      <c r="EJ514" s="5"/>
      <c r="EK514" s="5"/>
      <c r="EL514" s="5"/>
      <c r="EM514" s="5"/>
      <c r="EN514" s="1"/>
      <c r="EO514" s="5"/>
    </row>
    <row r="515" spans="2:196">
      <c r="CL515" s="1"/>
      <c r="CM515" s="1"/>
      <c r="CN515" s="1"/>
      <c r="CO515" s="1"/>
      <c r="CP515" s="1"/>
      <c r="CQ515" s="1"/>
      <c r="CR515" s="1"/>
      <c r="CS515" s="1"/>
      <c r="CT515" s="1"/>
      <c r="CU515" s="1"/>
      <c r="CV515" s="5"/>
      <c r="CW515" s="5"/>
      <c r="CX515" s="45"/>
      <c r="CY515" s="1"/>
      <c r="CZ515" s="1"/>
      <c r="DA515" s="1"/>
      <c r="DB515" s="1"/>
      <c r="DC515" s="1"/>
      <c r="DD515" s="1"/>
      <c r="DE515" s="1"/>
      <c r="DF515" s="1"/>
      <c r="DG515" s="1"/>
      <c r="DH515" s="1"/>
      <c r="DI515" s="1"/>
      <c r="DJ515" s="1"/>
      <c r="DK515" s="1"/>
      <c r="DL515" s="5"/>
      <c r="DM515" s="5"/>
      <c r="DN515" s="1"/>
      <c r="DO515" s="1"/>
      <c r="DP515" s="1"/>
      <c r="DQ515" s="1"/>
      <c r="DR515" s="1"/>
      <c r="DS515" s="1"/>
      <c r="DT515" s="1"/>
      <c r="DU515" s="1"/>
      <c r="DV515" s="1"/>
      <c r="DW515" s="1"/>
      <c r="DX515" s="1"/>
      <c r="DY515" s="1"/>
      <c r="DZ515" s="1"/>
      <c r="EA515" s="1"/>
      <c r="EB515" s="1"/>
      <c r="EC515" s="1"/>
      <c r="ED515" s="1"/>
      <c r="EE515" s="1"/>
      <c r="EF515" s="1"/>
      <c r="EG515" s="1"/>
      <c r="EH515" s="5"/>
      <c r="EI515" s="5"/>
      <c r="EJ515" s="5"/>
      <c r="EK515" s="5"/>
      <c r="EL515" s="5"/>
      <c r="EM515" s="5"/>
      <c r="EN515" s="1"/>
      <c r="EO515" s="5"/>
    </row>
    <row r="516" spans="2:196">
      <c r="CL516" s="1"/>
      <c r="CM516" s="1"/>
      <c r="CN516" s="1"/>
      <c r="CO516" s="1"/>
      <c r="CP516" s="1"/>
      <c r="CQ516" s="1"/>
      <c r="CR516" s="1"/>
      <c r="CS516" s="1"/>
      <c r="CT516" s="1"/>
      <c r="CU516" s="1"/>
      <c r="CV516" s="5"/>
      <c r="CW516" s="5"/>
      <c r="CX516" s="45"/>
      <c r="CY516" s="1"/>
      <c r="CZ516" s="1"/>
      <c r="DA516" s="1"/>
      <c r="DB516" s="1"/>
      <c r="DC516" s="1"/>
      <c r="DD516" s="1"/>
      <c r="DE516" s="1"/>
      <c r="DF516" s="1"/>
      <c r="DG516" s="1"/>
      <c r="DH516" s="1"/>
      <c r="DI516" s="1"/>
      <c r="DJ516" s="1"/>
      <c r="DK516" s="1"/>
      <c r="DL516" s="5"/>
      <c r="DM516" s="5"/>
      <c r="DN516" s="1"/>
      <c r="DO516" s="1"/>
      <c r="DP516" s="1"/>
      <c r="DQ516" s="1"/>
      <c r="DR516" s="1"/>
      <c r="DS516" s="1"/>
      <c r="DT516" s="1"/>
      <c r="DU516" s="1"/>
      <c r="DV516" s="1"/>
      <c r="DW516" s="1"/>
      <c r="DX516" s="1"/>
      <c r="DY516" s="1"/>
      <c r="DZ516" s="1"/>
      <c r="EA516" s="1"/>
      <c r="EB516" s="1"/>
      <c r="EC516" s="1"/>
      <c r="ED516" s="1"/>
      <c r="EE516" s="1"/>
      <c r="EF516" s="1"/>
      <c r="EG516" s="1"/>
      <c r="EH516" s="5"/>
      <c r="EI516" s="5"/>
      <c r="EJ516" s="5"/>
      <c r="EK516" s="5"/>
      <c r="EL516" s="5"/>
      <c r="EM516" s="5"/>
      <c r="EN516" s="1"/>
      <c r="EO516" s="5"/>
    </row>
    <row r="517" spans="2:196" ht="13.8" hidden="1" thickBot="1">
      <c r="CL517" s="1"/>
      <c r="CM517" s="1"/>
      <c r="CN517" s="1"/>
      <c r="CO517" s="1"/>
      <c r="CP517" s="1"/>
      <c r="CQ517" s="1"/>
      <c r="CR517" s="1"/>
      <c r="CS517" s="1"/>
      <c r="CT517" s="1"/>
      <c r="CU517" s="1"/>
      <c r="CV517" s="5"/>
      <c r="CW517" s="5"/>
      <c r="CX517" s="45"/>
      <c r="CY517" s="1"/>
      <c r="CZ517" s="1"/>
      <c r="DA517" s="1"/>
      <c r="DB517" s="1"/>
      <c r="DC517" s="1"/>
      <c r="DD517" s="1"/>
      <c r="DE517" s="1"/>
      <c r="DF517" s="1"/>
      <c r="DG517" s="1"/>
      <c r="DH517" s="1"/>
      <c r="DI517" s="1"/>
      <c r="DJ517" s="1"/>
      <c r="DK517" s="1"/>
      <c r="DL517" s="5"/>
      <c r="DM517" s="5"/>
      <c r="DN517" s="1"/>
      <c r="DO517" s="1"/>
      <c r="DP517" s="1"/>
      <c r="DQ517" s="1"/>
      <c r="DR517" s="1"/>
      <c r="DS517" s="1"/>
      <c r="DT517" s="1"/>
      <c r="DU517" s="1"/>
      <c r="DV517" s="1"/>
      <c r="DW517" s="1"/>
      <c r="DX517" s="1"/>
      <c r="DY517" s="1"/>
      <c r="DZ517" s="1"/>
      <c r="EA517" s="1"/>
      <c r="EB517" s="1"/>
      <c r="EC517" s="1"/>
      <c r="ED517" s="1"/>
      <c r="EE517" s="1"/>
      <c r="EF517" s="1"/>
      <c r="EG517" s="1"/>
      <c r="EH517" s="5"/>
      <c r="EI517" s="5"/>
      <c r="EJ517" s="5"/>
      <c r="EK517" s="5"/>
      <c r="EL517" s="5"/>
      <c r="EM517" s="5"/>
      <c r="EN517" s="1"/>
      <c r="EO517" s="5"/>
    </row>
    <row r="518" spans="2:196" ht="13.8" hidden="1" thickBot="1">
      <c r="B518" s="21"/>
      <c r="C518" s="22"/>
      <c r="D518" s="22"/>
      <c r="E518" s="23" t="str">
        <f>"TAB-"&amp;F408</f>
        <v>TAB-</v>
      </c>
      <c r="F518" s="33">
        <f>F412</f>
        <v>0</v>
      </c>
      <c r="G518" s="34">
        <f>H412</f>
        <v>0</v>
      </c>
      <c r="H518" s="34" t="s">
        <v>840</v>
      </c>
      <c r="I518" s="35" t="str">
        <f>$F$16</f>
        <v>CU</v>
      </c>
      <c r="J518" s="442">
        <f>G518</f>
        <v>0</v>
      </c>
      <c r="K518" s="439">
        <v>40</v>
      </c>
      <c r="L518" s="439">
        <f>IF(5-$CH$26&lt;0,0.5,5-$CH$26)</f>
        <v>5</v>
      </c>
      <c r="M518" s="440">
        <v>1</v>
      </c>
      <c r="N518" s="440">
        <v>1</v>
      </c>
      <c r="O518" s="441">
        <v>1</v>
      </c>
      <c r="P518" s="36">
        <v>4</v>
      </c>
      <c r="Q518" s="37"/>
      <c r="R518" s="37">
        <v>2</v>
      </c>
      <c r="S518" s="38">
        <v>1</v>
      </c>
      <c r="T518" s="38">
        <v>1</v>
      </c>
      <c r="U518" s="39">
        <v>1</v>
      </c>
      <c r="V518" s="40">
        <v>1</v>
      </c>
      <c r="W518" s="35" t="s">
        <v>1467</v>
      </c>
      <c r="X518" s="24">
        <f>SUM(X432:X517)</f>
        <v>0</v>
      </c>
      <c r="Y518" s="25">
        <f t="shared" ref="Y518:BA518" si="232">SUM(Y432:Y517)</f>
        <v>0</v>
      </c>
      <c r="Z518" s="25">
        <f t="shared" si="232"/>
        <v>0</v>
      </c>
      <c r="AA518" s="25">
        <f t="shared" si="232"/>
        <v>0</v>
      </c>
      <c r="AB518" s="25">
        <f t="shared" si="232"/>
        <v>0</v>
      </c>
      <c r="AC518" s="25">
        <f t="shared" si="232"/>
        <v>0</v>
      </c>
      <c r="AD518" s="25">
        <f t="shared" si="232"/>
        <v>0</v>
      </c>
      <c r="AE518" s="25">
        <f t="shared" si="232"/>
        <v>0</v>
      </c>
      <c r="AF518" s="25">
        <f t="shared" si="232"/>
        <v>0</v>
      </c>
      <c r="AG518" s="25">
        <f t="shared" si="232"/>
        <v>0</v>
      </c>
      <c r="AH518" s="25">
        <f t="shared" si="232"/>
        <v>0</v>
      </c>
      <c r="AI518" s="25">
        <f t="shared" si="232"/>
        <v>0</v>
      </c>
      <c r="AJ518" s="25">
        <f t="shared" si="232"/>
        <v>0</v>
      </c>
      <c r="AK518" s="25">
        <f t="shared" si="232"/>
        <v>0</v>
      </c>
      <c r="AL518" s="25">
        <f t="shared" si="232"/>
        <v>0</v>
      </c>
      <c r="AM518" s="25">
        <f t="shared" si="232"/>
        <v>0</v>
      </c>
      <c r="AN518" s="25">
        <f t="shared" si="232"/>
        <v>0</v>
      </c>
      <c r="AO518" s="25">
        <f t="shared" si="232"/>
        <v>0</v>
      </c>
      <c r="AP518" s="25">
        <f t="shared" si="232"/>
        <v>0</v>
      </c>
      <c r="AQ518" s="25">
        <f t="shared" si="232"/>
        <v>0</v>
      </c>
      <c r="AR518" s="25">
        <f t="shared" si="232"/>
        <v>0</v>
      </c>
      <c r="AS518" s="25">
        <f t="shared" si="232"/>
        <v>0</v>
      </c>
      <c r="AT518" s="25">
        <f t="shared" si="232"/>
        <v>0</v>
      </c>
      <c r="AU518" s="25">
        <f t="shared" si="232"/>
        <v>0</v>
      </c>
      <c r="AV518" s="25">
        <f t="shared" si="232"/>
        <v>0</v>
      </c>
      <c r="AW518" s="25">
        <f t="shared" si="232"/>
        <v>0</v>
      </c>
      <c r="AX518" s="25">
        <f t="shared" si="232"/>
        <v>0</v>
      </c>
      <c r="AY518" s="25">
        <f t="shared" si="232"/>
        <v>0</v>
      </c>
      <c r="AZ518" s="25">
        <f t="shared" si="232"/>
        <v>0</v>
      </c>
      <c r="BA518" s="26">
        <f t="shared" si="232"/>
        <v>0</v>
      </c>
      <c r="BB518" s="41">
        <f>SUM(BC518:BP518)</f>
        <v>0</v>
      </c>
      <c r="BC518" s="42">
        <f>SUM(BC432:BC474)</f>
        <v>0</v>
      </c>
      <c r="BD518" s="42">
        <f t="shared" ref="BD518:BP518" si="233">SUM(BD432:BD474)</f>
        <v>0</v>
      </c>
      <c r="BE518" s="42">
        <f t="shared" si="233"/>
        <v>0</v>
      </c>
      <c r="BF518" s="42">
        <f t="shared" si="233"/>
        <v>0</v>
      </c>
      <c r="BG518" s="42">
        <f t="shared" si="233"/>
        <v>0</v>
      </c>
      <c r="BH518" s="42">
        <f t="shared" si="233"/>
        <v>0</v>
      </c>
      <c r="BI518" s="42">
        <f t="shared" si="233"/>
        <v>0</v>
      </c>
      <c r="BJ518" s="42">
        <f t="shared" si="233"/>
        <v>0</v>
      </c>
      <c r="BK518" s="42">
        <f t="shared" si="233"/>
        <v>0</v>
      </c>
      <c r="BL518" s="42">
        <f t="shared" si="233"/>
        <v>0</v>
      </c>
      <c r="BM518" s="42">
        <f t="shared" si="233"/>
        <v>0</v>
      </c>
      <c r="BN518" s="42">
        <f t="shared" si="233"/>
        <v>0</v>
      </c>
      <c r="BO518" s="42">
        <f t="shared" si="233"/>
        <v>0</v>
      </c>
      <c r="BP518" s="42">
        <f t="shared" si="233"/>
        <v>0</v>
      </c>
      <c r="BQ518" s="28">
        <f>(SUM(BQ432:BQ474))</f>
        <v>0</v>
      </c>
      <c r="BR518" s="20">
        <f>MAX(BR432:BR517)</f>
        <v>0</v>
      </c>
      <c r="BS518" s="51">
        <f>MAX(BS432:BS517)</f>
        <v>0</v>
      </c>
      <c r="BT518" s="43">
        <f>BM430+BF430</f>
        <v>0</v>
      </c>
      <c r="BU518" s="48">
        <f>IF(CW518="","",CW518)</f>
        <v>0</v>
      </c>
      <c r="BV518" s="27">
        <f>IF(F518=1,$H$9,$F$9)</f>
        <v>220</v>
      </c>
      <c r="BW518" s="847" t="str">
        <f>IF(CX518="","",CX518)</f>
        <v/>
      </c>
      <c r="BX518" s="946" t="str">
        <f>IF(DN518="","",DN518)</f>
        <v/>
      </c>
      <c r="BY518" s="848" t="str" cm="1">
        <f t="array" ref="BY518">[1]!ACAELE_CAPACIDADCABLE(BB518,H518,I518,M518,BX518,N518)</f>
        <v/>
      </c>
      <c r="BZ518" s="848" t="str">
        <f>IF(OR(BB518=0,H518="RE"),"",(DS518/BV518)*100)</f>
        <v/>
      </c>
      <c r="CA518" s="849" t="str" cm="1">
        <f t="array" ref="CA518">[1]!ACAELE_cabledetierra(BZ518,$N$9,I518,BW518,BX518,G518)</f>
        <v/>
      </c>
      <c r="CB518" s="849" t="str" cm="1">
        <f t="array" ref="CB518">[1]!ACAELE_TAMATUBERIA(BZ518,DU518,$M$9,M518,I518)</f>
        <v/>
      </c>
      <c r="CC518" s="850" t="str">
        <f>IF(DV518="","",DV518)</f>
        <v/>
      </c>
      <c r="CD518" s="851"/>
      <c r="CE518" s="851" t="str">
        <f>IF(OR(BB518=0,Q518=""),"",(EA518/BV518)*100)</f>
        <v/>
      </c>
      <c r="CF518" s="852"/>
      <c r="CG518" s="853"/>
      <c r="CH518" s="418" t="str">
        <f>IF(AND(CE518="",BZ518=""),"",IF(CE518="",0,CE518)+IF(BZ518="",0,BZ518))</f>
        <v/>
      </c>
      <c r="CI518" s="513">
        <f>SUM(CI432:CI474)</f>
        <v>0</v>
      </c>
      <c r="CJ518" s="514">
        <f>SUM(CJ432:CJ474)</f>
        <v>0</v>
      </c>
      <c r="CK518" s="515">
        <f>SUM(CK432:CK474)</f>
        <v>0</v>
      </c>
      <c r="CL518" s="639"/>
      <c r="CM518" s="640"/>
      <c r="CN518" s="641"/>
      <c r="CO518" s="642" t="s">
        <v>447</v>
      </c>
      <c r="CP518" s="643" t="s">
        <v>447</v>
      </c>
      <c r="CQ518" s="644" t="s">
        <v>447</v>
      </c>
      <c r="CR518" s="645" t="str">
        <f t="shared" ref="CR518:CR528" si="234">IF(OR(H518="A",H518="O",H518="M"),"C","N/C")</f>
        <v>N/C</v>
      </c>
      <c r="CS518" s="646">
        <f>IF(BU518&gt;100,VLOOKUP($F$13,FCTEMP,3),VLOOKUP($F$13,FCTEMP,2))</f>
        <v>1</v>
      </c>
      <c r="CT518" s="647">
        <f>IF(H518="RE","",IF(M518=1,VLOOKUP(J518,FCATUBO,2),IF(M518=6,VLOOKUP(J518,FCADUCTO,2),1)))</f>
        <v>1</v>
      </c>
      <c r="CU518" s="508"/>
      <c r="CV518" s="648"/>
      <c r="CW518" s="649">
        <f>CW543</f>
        <v>0</v>
      </c>
      <c r="CX518" s="650" t="str" cm="1">
        <f t="array" ref="CX518">[1]!ACAELE_Disparocalculado(BB518,H518,DL518,$N$21,$M$21,$O$21,BV518,$P$5)</f>
        <v/>
      </c>
      <c r="CY518" s="651">
        <f>CY543/(CS518*CT518)</f>
        <v>0</v>
      </c>
      <c r="CZ518" s="652" t="str">
        <f>IF(CU518="","",CY543/(CS518*CU518))</f>
        <v/>
      </c>
      <c r="DA518" s="653">
        <f>$F$14</f>
        <v>0.9</v>
      </c>
      <c r="DB518" s="654">
        <f>SIN(ACOS(DA518))</f>
        <v>0.43588989435406728</v>
      </c>
      <c r="DC518" s="655" t="str" cm="1">
        <f t="array" ref="DC518">[1]!ACAELE_CONDPORTCORRIENTE(H518,BB518,I518,M518,CY518,CZ518,N518,$P$5)</f>
        <v/>
      </c>
      <c r="DD518" s="656" t="str" cm="1">
        <f t="array" ref="DD518">[1]!ACAELE_CAPACONDCORRIENTE(BB518,H518,I518,M518,CY518,CZ518,$P$5)</f>
        <v/>
      </c>
      <c r="DE518" s="656" t="str" cm="1">
        <f t="array" ref="DE518">[1]!ACAELE_CAPACIDADCABLE(BB518,H518,I518,M518,DC518,N518,$P$5)</f>
        <v/>
      </c>
      <c r="DF518" s="657" t="str" cm="1">
        <f t="array" ref="DF518">[1]!ACAELE_encontrarcaida(BB518,H518,L518,BV518,F518,BU518,N518,K518)</f>
        <v/>
      </c>
      <c r="DG518" s="841" t="str" cm="1">
        <f t="array" ref="DG518">[1]!ACAELE_Cablecaida(BB518,H518,M518,I518,DF518)</f>
        <v/>
      </c>
      <c r="DH518" s="651" t="str" cm="1">
        <f t="array" ref="DH518">[1]!ACAELE_CAPACIDADCABLE(BB518,H518,I518,M518,DG518,N518,$P$5)</f>
        <v/>
      </c>
      <c r="DI518" s="658" t="str">
        <f>IF(OR(BB518=0,Q518=""),"",((10*R518*BV518)/((IF(F518&gt;2,1.73,2)*(BU518/T518)*Q518))))</f>
        <v/>
      </c>
      <c r="DJ518" s="508"/>
      <c r="DK518" s="652" t="str" cm="1">
        <f t="array" ref="DK518">[1]!ACAELE_CAPACIDADCABLE(BB518,H518,I518,M518,DJ518,N518)</f>
        <v/>
      </c>
      <c r="DL518" s="659">
        <f>DL543</f>
        <v>0</v>
      </c>
      <c r="DM518" s="660" cm="1">
        <f t="array" ref="DM518">[1]!acaele_ProtCalculada(CX518,H518,BT518,BW518,$G$21,$F$21,$H$21,$P$5)</f>
        <v>30</v>
      </c>
      <c r="DN518" s="661" t="str">
        <f>IF(M420&lt;&gt;"TB",DN519,DO519)</f>
        <v/>
      </c>
      <c r="DO518" s="662" t="str" cm="1">
        <f t="array" ref="DO518">[1]!ACAELE_RESISTENCIA(BB518,H518,M518,I518,BX518, CW518,$P$5)</f>
        <v/>
      </c>
      <c r="DP518" s="663" t="str" cm="1">
        <f t="array" ref="DP518">[1]!ACAELE_REACTANCIA(BB518,H518,$F$11,M518,I518,BX518,$P$5)</f>
        <v/>
      </c>
      <c r="DQ518" s="651" t="str" cm="1">
        <f t="array" ref="DQ518">[1]!ACAELE_DIAMECAISLA(BB518,H518,I518,BX518,$P$5)</f>
        <v/>
      </c>
      <c r="DR518" s="651" t="str" cm="1">
        <f t="array" ref="DR518">[1]!ACAELE_AREACAISLAMIENTO(BB518,H518,DQ518,$P$5)</f>
        <v/>
      </c>
      <c r="DS518" s="651" t="str" cm="1">
        <f t="array" ref="DS518">[1]!ACAELE_CAIDAVOLTSFINAL(BB518,H518,F518,K518,BU518,N518,DO518,DA518,DP518,DB518,$P$5)</f>
        <v/>
      </c>
      <c r="DT518" s="664" t="str" cm="1">
        <f t="array" ref="DT518">[1]!ACAELE_AREACONDPTE(BB518,H518,CA518,$P$5)</f>
        <v/>
      </c>
      <c r="DU518" s="665" t="str" cm="1">
        <f t="array" ref="DU518">[1]!ACAELE_AREATOTAL(BZ518,M518,EO518,N518,DQ518,G518,DR518,DT518,N$20,$P$5)</f>
        <v/>
      </c>
      <c r="DV518" s="666"/>
      <c r="DW518" s="666"/>
      <c r="DX518" s="658"/>
      <c r="DY518" s="667"/>
      <c r="DZ518" s="667" t="str">
        <f>IF(OR(BB518=0,Q518=""),"",3.1416*(DY518/2)*(DY518/2))</f>
        <v/>
      </c>
      <c r="EA518" s="667" t="str">
        <f>IF(OR(BB518=0,Q518=""),"",IF(F518&gt;2,1.73,2)*Q518*(BU518/T518)*(((DW518*DA518)+(DX518*DB518))/1000))</f>
        <v/>
      </c>
      <c r="EB518" s="667"/>
      <c r="EC518" s="668"/>
      <c r="ED518" s="669" t="str">
        <f>IF(OR(BB518=0,H518="RE"),"",VLOOKUP(BX518,nomenclaturacables,2,0))</f>
        <v/>
      </c>
      <c r="EE518" s="670"/>
      <c r="EF518" s="671" t="str">
        <f>IF(BB518=0,"",MAX(DM518/N518,BW518/N518,IF(DE518="",0,DE518/N518),DH518/N518))</f>
        <v/>
      </c>
      <c r="EG518" s="672">
        <f>MAX(DM518,IF(DE518="",0,DE518/N518),DK518)</f>
        <v>30</v>
      </c>
      <c r="EH518" s="673">
        <f>SUM(EH432:EH517)</f>
        <v>0</v>
      </c>
      <c r="EI518" s="942">
        <f>$F$13</f>
        <v>30</v>
      </c>
      <c r="EJ518" s="943"/>
      <c r="EK518" s="947"/>
      <c r="EL518" s="947"/>
      <c r="EM518" s="947"/>
      <c r="EN518" s="948"/>
      <c r="EO518" s="550" t="str">
        <f>IF(BZ518="","",(G518*N518*DR518)/O518+DT518)</f>
        <v/>
      </c>
      <c r="EP518" s="431" t="str">
        <f>IF(AND($M$18="TB", $F$12="I"),"DIA-ACOT","DIA-ACOTZ")</f>
        <v>DIA-ACOT</v>
      </c>
      <c r="ET518" s="1" t="str">
        <f>IF($M$18="Tb",IF(BW518="","",F518&amp;"P-"&amp;BW518&amp;" A"),"")</f>
        <v/>
      </c>
      <c r="EU518" s="1" t="str">
        <f>IF($M$18="Tb",IF(BW518="","",G518*N518&amp;"-"&amp;BX518&amp;", "&amp;O518&amp;"-"&amp;CA518&amp;"T, "&amp;O518&amp;CB518),"")</f>
        <v/>
      </c>
      <c r="EV518" s="1" t="str">
        <f>IF($M$18="Tb",IF(BW518="","",K518),"")</f>
        <v/>
      </c>
      <c r="EW518" s="3" t="str">
        <f>IF($M$18="Tb",IF(BW518="","",G518*N518),"")</f>
        <v/>
      </c>
      <c r="EX518" s="3" t="str">
        <f>IF($M$18="Tb",IF(BW518="","",BX518),"")</f>
        <v/>
      </c>
      <c r="EY518" s="3" t="str">
        <f>IF($M$18="Tb",IF(BW518="","",O518),"")</f>
        <v/>
      </c>
      <c r="EZ518" s="3" t="str">
        <f>IF($M$18="Tb",IF(BW518="","",CA518),"")</f>
        <v/>
      </c>
      <c r="FA518" s="3" t="str">
        <f>IF($M$18="Tb",IF(BW518="","",O518),"")</f>
        <v/>
      </c>
      <c r="FB518" s="3" t="str">
        <f>IF($M$18="Tb",IF(BW518="","",CB518),"")</f>
        <v/>
      </c>
      <c r="FC518" s="3">
        <f t="shared" ref="FC518:FC530" si="235">IF(EV518="",0,EV518)</f>
        <v>0</v>
      </c>
      <c r="FD518" s="732"/>
      <c r="FE518" s="732"/>
      <c r="FF518" s="733">
        <v>1</v>
      </c>
      <c r="FG518" s="732"/>
      <c r="FH518" s="733"/>
      <c r="FI518" s="732"/>
      <c r="FJ518" s="733"/>
      <c r="FK518" s="3">
        <f>MAX(FK433:FK516)</f>
        <v>0</v>
      </c>
      <c r="FM518" s="3" t="str">
        <f>IF(DATOS!L406&lt;&gt;DATOS!O406,"(PONER MANUAL)",VLOOKUP(M408,DATOS!M460:P629,4,0))</f>
        <v>(PONER MANUAL)</v>
      </c>
      <c r="FX518" s="146"/>
      <c r="FZ518" s="740" t="s">
        <v>2004</v>
      </c>
      <c r="GA518" s="736" t="e">
        <f>IF(TABLERO!$M$18="TB",FIXED(IF(TABLERO!$F$17&lt;&gt;"KVA",TABLERO!BB518*1000,TABLERO!BB518*1000/TABLERO!DA518),2)&amp;"+"&amp;FIXED(IF(TABLERO!$F$17&lt;&gt;"KVA",TABLERO!BT518*1000,TABLERO!BT518*1000/TABLERO!DA518),2)&amp;"+"&amp;IF(OR(TABLERO!BU518="",TABLERO!BU518=0),"",FIXED(TABLERO!BU518,2))&amp;"+"&amp;TABLERO!F518&amp;"+"&amp;TABLERO!G518&amp;"+"&amp;TABLERO!BV518&amp;"+"&amp;TABLERO!K518&amp;"+"&amp;TABLERO!J518&amp;"+"&amp;TABLERO!CT518&amp;"+"&amp;TABLERO!CS518&amp;"+"&amp;FIXED(TABLERO!CY518,2)&amp;"+"&amp;TABLERO!N518&amp;"+"&amp;IF(TABLERO!BB518=0,"",TABLERO!BX518&amp;" "&amp;TABLERO!ED518&amp;", "&amp;TABLERO!I518)&amp;"+"&amp;FIXED(TABLERO!BZ518,2)&amp;"+"&amp;TABLERO!CA518&amp;"+"&amp;TABLERO!CB518&amp;"+"&amp;FIXED(TABLERO!DL518,2)&amp;"+"&amp;TABLERO!F518&amp;"P-"&amp;TABLERO!BW518&amp;"A"&amp;"+"&amp;IF(TABLERO!CI518="-","     -     ",FIXED(IF(TABLERO!$F$17&lt;&gt;"KVA",TABLERO!CI518,TABLERO!CI518/TABLERO!$F$14),2))&amp;"+"&amp;IF(TABLERO!CJ518="-","     -     ",FIXED(IF(TABLERO!$F$17&lt;&gt;"KVA",TABLERO!CJ518,TABLERO!CJ518/TABLERO!$F$14),2))&amp;"+"&amp;IF(TABLERO!CK518="-","     -     ",FIXED(IF(TABLERO!$F$17&lt;&gt;"KVA",TABLERO!CK518,TABLERO!CK518/TABLERO!$F$14),2))&amp;"++++++++++1","++++++++++++++++++++++++++++++")</f>
        <v>#VALUE!</v>
      </c>
      <c r="GB518" s="49">
        <f>CUADROACAD!CU518</f>
        <v>0</v>
      </c>
      <c r="GM518" s="1" t="str">
        <f>J518*N518&amp;"-"&amp;BX518&amp;" "&amp;ED518&amp;" ("&amp;N518&amp;"xF-"&amp;N518&amp;"N), "&amp;O518&amp;"-"&amp;CA518&amp;"T "&amp;"AWG, "&amp;O518&amp;CB518</f>
        <v>0-  (1xF-1N), 1-T AWG, 1</v>
      </c>
      <c r="GN518" s="1" t="str">
        <f>IF($M420="TB",J518*N518&amp;"-"&amp;BX518&amp;" "&amp;ED518&amp;" ("&amp;N518&amp;"xF-"&amp;N518&amp;"N), "&amp;O518&amp;"-"&amp;CA518&amp;"T "&amp;"AWG, "&amp;O518&amp;CB518,IF($M$18="TR",J520*N520&amp;"-"&amp;BX520&amp;" "&amp;ED520&amp;" ("&amp;N520&amp;"xF-"&amp;N520&amp;"N), "&amp;O520&amp;"-"&amp;CA520&amp;"T "&amp;"AWG, "&amp;O520&amp;CB520,IF($M$18="PE",J524*N524&amp;"-"&amp;BX524&amp;" "&amp;ED524&amp;" ("&amp;N524&amp;"xF-"&amp;N524&amp;"N), "&amp;O524&amp;"-"&amp;CA524&amp;"T "&amp;"AWG, "&amp;O524&amp;CB524,IF(OR($M$18="UPS",$M$18="REG"),J528*N528&amp;"-"&amp;BX528&amp; " "&amp;ED528&amp;" ("&amp;N528&amp;"xF-"&amp;N528&amp;"N), "&amp;O528&amp;"-"&amp;CA528&amp;"T "&amp;"AWG, "&amp;O528&amp;CB528,""))))</f>
        <v/>
      </c>
    </row>
    <row r="519" spans="2:196" s="3" customFormat="1" ht="25.2" hidden="1" customHeight="1" thickBot="1">
      <c r="H519" s="146" t="s">
        <v>1469</v>
      </c>
      <c r="I519" s="730" t="str">
        <f>DATOS!$F$23</f>
        <v>NOM</v>
      </c>
      <c r="AY519" s="146" t="s">
        <v>1744</v>
      </c>
      <c r="AZ519" s="136" t="s">
        <v>1745</v>
      </c>
      <c r="BA519" s="136" t="s">
        <v>23</v>
      </c>
      <c r="BW519" s="146"/>
      <c r="BX519" s="146"/>
      <c r="BY519" s="146" t="s">
        <v>1470</v>
      </c>
      <c r="BZ519" s="146"/>
      <c r="CA519" s="146" t="e">
        <f>IF(VLOOKUP(BX518,' '!$A$229:$F$259,4,0)*N518&gt;588,VLOOKUP(BX518,' '!$A$229:$F$259,4,0)*N518,VLOOKUP(BX518,' '!$A$229:$F$259,4,0)*N518)</f>
        <v>#N/A</v>
      </c>
      <c r="CB519" s="146" t="e">
        <f>IF(I518="CU",IF(CA519&gt;588,VLOOKUP(CA519*0.125,' '!$A$877:$D$898,3),(VLOOKUP(CA519,' '!$A$863:$B$869,2))),IF(CA519&gt;887,VLOOKUP(CA519*0.125,' '!$A$877:$D$898,4),VLOOKUP(CA519,' '!$C$863:$D$869,2)))</f>
        <v>#N/A</v>
      </c>
      <c r="CC519" s="854"/>
      <c r="CD519" s="146"/>
      <c r="CE519" s="146"/>
      <c r="CF519" s="146"/>
      <c r="CG519" s="146"/>
      <c r="CL519" s="108"/>
      <c r="CM519" s="108"/>
      <c r="CN519" s="108"/>
      <c r="CO519" s="108"/>
      <c r="CP519" s="108"/>
      <c r="CQ519" s="108"/>
      <c r="CR519" s="108" t="str">
        <f t="shared" si="234"/>
        <v>N/C</v>
      </c>
      <c r="CS519" s="108"/>
      <c r="CT519" s="108"/>
      <c r="CU519" s="108"/>
      <c r="CV519" s="108"/>
      <c r="CW519" s="108"/>
      <c r="CX519" s="674" t="str">
        <f>IF($M$18="TR",CX520,IF($M$18="PE",CX524,IF(OR($M$18="UPS",$M$18="REG"),CX528,"")))</f>
        <v/>
      </c>
      <c r="CY519" s="108"/>
      <c r="CZ519" s="108"/>
      <c r="DA519" s="108"/>
      <c r="DB519" s="108"/>
      <c r="DC519" s="108"/>
      <c r="DD519" s="108"/>
      <c r="DE519" s="108"/>
      <c r="DF519" s="108"/>
      <c r="DG519" s="108"/>
      <c r="DH519" s="108"/>
      <c r="DI519" s="108"/>
      <c r="DJ519" s="108"/>
      <c r="DK519" s="108"/>
      <c r="DL519" s="108"/>
      <c r="DM519" s="108"/>
      <c r="DN519" s="674" t="str">
        <f>IF($M$18="TR",DN520,IF($M$18="PE",DN524,IF(OR($M$18="UPS",$M$18="REG"),DN528,"")))</f>
        <v/>
      </c>
      <c r="DO519" s="108" t="e" cm="1">
        <f t="array" ref="DO519">[1]!ACAELE_CableCalTab(BB518,H518,I518,M518,EF518,N518,BV518,DL518,$P$5)</f>
        <v>#VALUE!</v>
      </c>
      <c r="DP519" s="108"/>
      <c r="DQ519" s="108"/>
      <c r="DR519" s="108"/>
      <c r="DS519" s="108"/>
      <c r="DT519" s="108"/>
      <c r="DU519" s="108"/>
      <c r="DV519" s="108"/>
      <c r="DW519" s="108"/>
      <c r="DX519" s="108"/>
      <c r="DY519" s="108"/>
      <c r="DZ519" s="108"/>
      <c r="EA519" s="108"/>
      <c r="EB519" s="108"/>
      <c r="EC519" s="108"/>
      <c r="ED519" s="108"/>
      <c r="EE519" s="108"/>
      <c r="EF519" s="108"/>
      <c r="EG519" s="108"/>
      <c r="EH519" s="108"/>
      <c r="EI519" s="108"/>
      <c r="EJ519" s="108"/>
      <c r="EK519" s="108"/>
      <c r="EL519" s="108"/>
      <c r="EM519" s="108"/>
      <c r="EN519" s="108"/>
      <c r="EO519" s="550"/>
      <c r="EW519" s="3" t="str">
        <f>IF(BW519="","",G519*N519)</f>
        <v/>
      </c>
      <c r="EX519" s="3" t="str">
        <f>IF(BW519="","",BX519)</f>
        <v/>
      </c>
      <c r="EY519" s="3" t="str">
        <f>IF(BW519="","",O519)</f>
        <v/>
      </c>
      <c r="EZ519" s="3" t="str">
        <f>IF(BW519="","",CA519)</f>
        <v/>
      </c>
      <c r="FA519" s="3" t="str">
        <f>IF(BW519="","",O519)</f>
        <v/>
      </c>
      <c r="FB519" s="3" t="str">
        <f>IF(BW519="","",CB519)</f>
        <v/>
      </c>
      <c r="FC519" s="3">
        <f t="shared" si="235"/>
        <v>0</v>
      </c>
      <c r="FD519" s="32"/>
      <c r="FE519" s="32"/>
      <c r="FF519" s="103"/>
      <c r="FG519" s="32"/>
      <c r="FH519" s="103"/>
      <c r="FI519" s="32"/>
      <c r="FJ519" s="103"/>
      <c r="FO519" s="146"/>
      <c r="FP519" s="146"/>
      <c r="FQ519" s="146"/>
      <c r="FR519" s="146"/>
      <c r="FS519" s="146"/>
      <c r="FT519" s="146"/>
      <c r="FU519" s="146"/>
      <c r="FV519" s="146"/>
      <c r="FW519" s="146"/>
      <c r="FX519" s="146"/>
      <c r="FY519" s="736"/>
      <c r="FZ519" s="740" t="s">
        <v>2002</v>
      </c>
      <c r="GA519" s="738" t="s">
        <v>1795</v>
      </c>
      <c r="GB519" s="49">
        <f>CUADROACAD!CU519</f>
        <v>0</v>
      </c>
      <c r="GC519" s="146"/>
      <c r="GD519" s="736"/>
      <c r="GE519" s="146"/>
      <c r="GF519" s="506"/>
      <c r="GG519" s="506"/>
      <c r="GH519" s="506"/>
      <c r="GI519" s="506"/>
      <c r="GJ519" s="506"/>
    </row>
    <row r="520" spans="2:196" ht="13.8" hidden="1" thickBot="1">
      <c r="B520" s="971" t="s">
        <v>1471</v>
      </c>
      <c r="C520" s="972"/>
      <c r="D520" s="973"/>
      <c r="E520" s="22" t="s">
        <v>1472</v>
      </c>
      <c r="F520" s="34">
        <f>F412</f>
        <v>0</v>
      </c>
      <c r="G520" s="34">
        <f>H412</f>
        <v>0</v>
      </c>
      <c r="H520" s="34" t="s">
        <v>1195</v>
      </c>
      <c r="I520" s="34" t="str">
        <f>$F$16</f>
        <v>CU</v>
      </c>
      <c r="J520" s="442">
        <f>G520</f>
        <v>0</v>
      </c>
      <c r="K520" s="439">
        <v>20</v>
      </c>
      <c r="L520" s="439">
        <f>5-$CH$26</f>
        <v>5</v>
      </c>
      <c r="M520" s="440">
        <f>$M$116</f>
        <v>1</v>
      </c>
      <c r="N520" s="440">
        <f>$N$116</f>
        <v>1</v>
      </c>
      <c r="O520" s="440">
        <f>$O$116</f>
        <v>1</v>
      </c>
      <c r="P520" s="44">
        <v>6</v>
      </c>
      <c r="Q520" s="37"/>
      <c r="R520" s="37">
        <v>2</v>
      </c>
      <c r="S520" s="38">
        <v>1</v>
      </c>
      <c r="T520" s="38">
        <v>1</v>
      </c>
      <c r="U520" s="38">
        <f>U518</f>
        <v>1</v>
      </c>
      <c r="V520" s="707">
        <v>1</v>
      </c>
      <c r="W520" s="708" t="s">
        <v>1467</v>
      </c>
      <c r="X520" s="167"/>
      <c r="Y520" s="167"/>
      <c r="Z520" s="167"/>
      <c r="AA520" s="167"/>
      <c r="AB520" s="167"/>
      <c r="AC520" s="167"/>
      <c r="AD520" s="167"/>
      <c r="AE520" s="167"/>
      <c r="AF520" s="167"/>
      <c r="AG520" s="167"/>
      <c r="AH520" s="167"/>
      <c r="AI520" s="167"/>
      <c r="AJ520" s="167"/>
      <c r="AK520" s="167"/>
      <c r="AL520" s="167"/>
      <c r="AM520" s="167"/>
      <c r="AN520" s="167"/>
      <c r="AO520" s="167"/>
      <c r="AP520" s="167"/>
      <c r="AQ520" s="167"/>
      <c r="AR520" s="167"/>
      <c r="AS520" s="167"/>
      <c r="AT520" s="167"/>
      <c r="AU520" s="167"/>
      <c r="AV520" s="167"/>
      <c r="AW520" s="167"/>
      <c r="AX520" s="167"/>
      <c r="AY520" s="168">
        <f>VLOOKUP(CY543*BV520*(IF(F520=3,1.73,IF(AND(F520=2,G520=3),(2/1.73),1)))/1000,' '!$A$624:$B$637,2)*DA520/0.9</f>
        <v>15</v>
      </c>
      <c r="AZ520" s="168">
        <f>AY520*0.9</f>
        <v>13.5</v>
      </c>
      <c r="BA520" s="709">
        <f>IF(F520=3,((AZ520*1000)/(1.73*BV520*DA520)),IF(AND(F520=2,G520=3),((AZ520*1000)/(2*(BV520/1.73)*DA520)),((AZ520*1000)/(BV520*DA520))))</f>
        <v>68.181818181818187</v>
      </c>
      <c r="BB520" s="710">
        <f>BB518</f>
        <v>0</v>
      </c>
      <c r="BC520" s="711">
        <f t="shared" ref="BC520:BP520" si="236">BC518</f>
        <v>0</v>
      </c>
      <c r="BD520" s="711">
        <f t="shared" si="236"/>
        <v>0</v>
      </c>
      <c r="BE520" s="711">
        <f t="shared" si="236"/>
        <v>0</v>
      </c>
      <c r="BF520" s="711">
        <f t="shared" si="236"/>
        <v>0</v>
      </c>
      <c r="BG520" s="711">
        <f t="shared" si="236"/>
        <v>0</v>
      </c>
      <c r="BH520" s="711">
        <f t="shared" si="236"/>
        <v>0</v>
      </c>
      <c r="BI520" s="711">
        <f t="shared" si="236"/>
        <v>0</v>
      </c>
      <c r="BJ520" s="711">
        <f t="shared" si="236"/>
        <v>0</v>
      </c>
      <c r="BK520" s="711">
        <f t="shared" si="236"/>
        <v>0</v>
      </c>
      <c r="BL520" s="711">
        <f t="shared" si="236"/>
        <v>0</v>
      </c>
      <c r="BM520" s="711">
        <f t="shared" si="236"/>
        <v>0</v>
      </c>
      <c r="BN520" s="711">
        <f t="shared" si="236"/>
        <v>0</v>
      </c>
      <c r="BO520" s="711">
        <f t="shared" si="236"/>
        <v>0</v>
      </c>
      <c r="BP520" s="711">
        <f t="shared" si="236"/>
        <v>0</v>
      </c>
      <c r="BQ520" s="169">
        <f>BQ518</f>
        <v>0</v>
      </c>
      <c r="BR520" s="170">
        <f>BR518</f>
        <v>0</v>
      </c>
      <c r="BS520" s="170">
        <f>BS518</f>
        <v>0</v>
      </c>
      <c r="BT520" s="48">
        <f>BT518</f>
        <v>0</v>
      </c>
      <c r="BU520" s="48" t="str">
        <f>IF(CW520="","",CW520)</f>
        <v/>
      </c>
      <c r="BV520" s="713">
        <f>IF(F520=1,$H$9,$F$9)</f>
        <v>220</v>
      </c>
      <c r="BW520" s="855" t="str">
        <f>IF(CX520="","",CX520)</f>
        <v/>
      </c>
      <c r="BX520" s="946" t="e">
        <f>IF(DN520="","",DN520)</f>
        <v>#VALUE!</v>
      </c>
      <c r="BY520" s="848" t="e" cm="1">
        <f t="array" ref="BY520">[1]!ACAELE_CAPACIDADCABLE(BB520,H520,I520,M520,BX520,N520)</f>
        <v>#VALUE!</v>
      </c>
      <c r="BZ520" s="848" t="str">
        <f>IF(OR(BB520=0,H520="RE"),"",(DS520/BV520)*100)</f>
        <v/>
      </c>
      <c r="CA520" s="849" t="str" cm="1">
        <f t="array" ref="CA520">[1]!ACAELE_cabledetierra(BZ520,$M$9,I520,BW520,BX520,G520)</f>
        <v/>
      </c>
      <c r="CB520" s="849" t="str" cm="1">
        <f t="array" ref="CB520">[1]!ACAELE_TAMATUBERIA(BZ520,DU520,I519,M520,I520)</f>
        <v/>
      </c>
      <c r="CC520" s="852" t="str">
        <f>IF(DV520="","",DV520)</f>
        <v/>
      </c>
      <c r="CD520" s="851"/>
      <c r="CE520" s="851" t="str">
        <f>IF(OR(BB520=0,Q520=""),"",(EA520/BV520)*100)</f>
        <v/>
      </c>
      <c r="CF520" s="852"/>
      <c r="CG520" s="852"/>
      <c r="CH520" s="419" t="str">
        <f>IF(AND(CE520="",BZ520=""),"",IF(CE520="",0,CE520)+IF(BZ520="",0,BZ520))</f>
        <v/>
      </c>
      <c r="CI520" s="516">
        <f>CI518</f>
        <v>0</v>
      </c>
      <c r="CJ520" s="514">
        <f>CJ518</f>
        <v>0</v>
      </c>
      <c r="CK520" s="515">
        <f>CK518</f>
        <v>0</v>
      </c>
      <c r="CL520" s="949"/>
      <c r="CM520" s="949"/>
      <c r="CN520" s="949"/>
      <c r="CO520" s="910"/>
      <c r="CP520" s="950"/>
      <c r="CQ520" s="950"/>
      <c r="CR520" s="951" t="str">
        <f t="shared" si="234"/>
        <v>N/C</v>
      </c>
      <c r="CS520" s="952">
        <f>IF(BU520&gt;100,VLOOKUP($F$13,FCTEMP,3),VLOOKUP($F$13,FCTEMP,2))</f>
        <v>1</v>
      </c>
      <c r="CT520" s="953">
        <f>IF(H520="RE","",IF(M520=1,VLOOKUP(J520,FCATUBO,2),IF(M520=6,VLOOKUP(J520,FCADUCTO,2),1)))</f>
        <v>1</v>
      </c>
      <c r="CU520" s="914"/>
      <c r="CV520" s="915"/>
      <c r="CW520" s="916" t="str">
        <f>IF(BB520=0,"",IF(F520=3,((BT520*1000)/(1.73*BV520*DA520)),IF(AND(F520=2,G520=3),((BT520*1000)/(2*(BV520/1.73)*DA520)),((BT520*1000)/(BV520*DA520)))))</f>
        <v/>
      </c>
      <c r="CX520" s="917" t="str" cm="1">
        <f t="array" ref="CX520">[1]!ACAELE_Disparocalculado(BB520,H520,DL520,$N$21,$M$21,$O$21,BV520,$P$5)</f>
        <v/>
      </c>
      <c r="CY520" s="918" t="e">
        <f>IF(CR520="C",(BU520)/(CS520*CT520),BU520/(CS520*CT520))</f>
        <v>#VALUE!</v>
      </c>
      <c r="CZ520" s="919" t="str">
        <f>IF(OR(BB520=0,Q520=""),"",IF(CR520="C",(BU520)/(CS520*CU520),BU520/(CS520*CU520)))</f>
        <v/>
      </c>
      <c r="DA520" s="951">
        <f>$F$14</f>
        <v>0.9</v>
      </c>
      <c r="DB520" s="954">
        <f>SIN(ACOS(DA520))</f>
        <v>0.43588989435406728</v>
      </c>
      <c r="DC520" s="922" t="str" cm="1">
        <f t="array" ref="DC520">[1]!ACAELE_CONDPORTCORRIENTE(H520,BB520,I520,M520,CY520,CZ520,N520,$P$5)</f>
        <v/>
      </c>
      <c r="DD520" s="923" t="str" cm="1">
        <f t="array" ref="DD520">[1]!ACAELE_CAPACONDCORRIENTE(BB520,H520,I520,M520,CY520,CZ520,$P$5)</f>
        <v/>
      </c>
      <c r="DE520" s="923" t="str" cm="1">
        <f t="array" ref="DE520">[1]!ACAELE_CAPACIDADCABLE(BB520,H520,I520,M520,DC520,N520,$P$5)</f>
        <v/>
      </c>
      <c r="DF520" s="924" t="str" cm="1">
        <f t="array" ref="DF520">[1]!ACAELE_encontrarcaidaequipo(BB520,H520,L520,BV520,F520,BA520,N520,K520)</f>
        <v/>
      </c>
      <c r="DG520" s="925" t="str" cm="1">
        <f t="array" ref="DG520">[1]!ACAELE_Cablecaida(BB520,H520,M520,I520,DF520)</f>
        <v/>
      </c>
      <c r="DH520" s="918" t="str" cm="1">
        <f t="array" ref="DH520">[1]!ACAELE_CAPACIDADCABLE(BB520,H520,I520,M520,DG520,N520,$P$5)</f>
        <v/>
      </c>
      <c r="DI520" s="926" t="str">
        <f>IF(OR(BB520=0,Q520=""),"",((10*R520*BV520)/((IF(F520&gt;2,1.73,2)*(BU520/T520)*Q520))))</f>
        <v/>
      </c>
      <c r="DJ520" s="914"/>
      <c r="DK520" s="919" t="str" cm="1">
        <f t="array" ref="DK520">[1]!ACAELE_CAPACIDADCABLE(BB520,H520,I520,M520,DJ520,N520)</f>
        <v/>
      </c>
      <c r="DL520" s="955" t="str">
        <f>(IF(BB520=0,"",BA520*($G$18/100)))</f>
        <v/>
      </c>
      <c r="DM520" s="955" cm="1">
        <f t="array" ref="DM520">[1]!acaele_ProtCalculada(CX520,H520,BT520,BW520,$G$21,$F$21,$H$21,$P$5)</f>
        <v>0</v>
      </c>
      <c r="DN520" s="913" t="e" cm="1">
        <f t="array" ref="DN520">[1]!ACAELE_CableCalTab(BB520,H520,I520,M520,EF520,N520,BV520,DL520)</f>
        <v>#VALUE!</v>
      </c>
      <c r="DO520" s="956" t="str" cm="1">
        <f t="array" ref="DO520">[1]!ACAELE_RESISTENCIA(BB520,H520,M520,I520,BX520, CW520,$P$5)</f>
        <v/>
      </c>
      <c r="DP520" s="931" t="str" cm="1">
        <f t="array" ref="DP520">[1]!ACAELE_REACTANCIA(BB520,H520,$F$11,M520,I520,BX520,$P$5)</f>
        <v/>
      </c>
      <c r="DQ520" s="918" t="str" cm="1">
        <f t="array" ref="DQ520">[1]!ACAELE_DIAMECAISLA(BB520,H520,I520,BX520,$P$5)</f>
        <v/>
      </c>
      <c r="DR520" s="918" t="str" cm="1">
        <f t="array" ref="DR520">[1]!ACAELE_AREACAISLAMIENTO(BB520,H520,DQ520,$P$5)</f>
        <v/>
      </c>
      <c r="DS520" s="918" t="str" cm="1">
        <f t="array" ref="DS520">[1]!ACAELE_CAIDAVOLTSFINAL(BB520,H520,F520,K520,BU520,N520,DO520,DA520,DP520,DB520,$P$5)</f>
        <v/>
      </c>
      <c r="DT520" s="918" t="str" cm="1">
        <f t="array" ref="DT520">[1]!ACAELE_AREACONDPTE(BB520,H520,CA520,$P$5)</f>
        <v/>
      </c>
      <c r="DU520" s="918" t="str" cm="1">
        <f t="array" ref="DU520">[1]!ACAELE_AREATOTAL(BZ520,M520,EO520,N520,DQ520,G520,DR520,DT520,N$20,$P$5)</f>
        <v/>
      </c>
      <c r="DV520" s="926"/>
      <c r="DW520" s="926"/>
      <c r="DX520" s="926"/>
      <c r="DY520" s="935"/>
      <c r="DZ520" s="935" t="str">
        <f>IF(OR(BB520=0,Q520=""),"",3.1416*(DY520/2)*(DY520/2))</f>
        <v/>
      </c>
      <c r="EA520" s="935" t="str">
        <f>IF(OR(BB520=0,Q520=""),"",IF(F520&gt;2,1.73,2)*Q520*(BU520/T520)*(((DW520*DA520)+(DX520*DB520))/1000))</f>
        <v/>
      </c>
      <c r="EB520" s="919"/>
      <c r="EC520" s="935"/>
      <c r="ED520" s="675" t="str">
        <f>IF(OR(BB520=0,H520="RE"),"",VLOOKUP(BX520,nomenclaturacables,2,0))</f>
        <v/>
      </c>
      <c r="EE520" s="670"/>
      <c r="EF520" s="671" t="str">
        <f>IF(BB520=0,"",MAX(DM520/N520,BW520/N520,IF(DE520="",0,DE520/N520),DH520/N520))</f>
        <v/>
      </c>
      <c r="EG520" s="672">
        <f>MAX(DM520,IF(DE520="",0,DE520/N520),DK520)</f>
        <v>0</v>
      </c>
      <c r="EH520" s="673"/>
      <c r="EI520" s="942">
        <f t="shared" ref="EI520:EI526" si="237">$F$13</f>
        <v>30</v>
      </c>
      <c r="EJ520" s="947"/>
      <c r="EK520" s="947"/>
      <c r="EL520" s="947"/>
      <c r="EM520" s="947"/>
      <c r="EN520" s="948"/>
      <c r="EO520" s="550" t="str">
        <f>IF(BZ520="","",(G520*N520*DR520)/O520+DT520)</f>
        <v/>
      </c>
      <c r="EP520" s="431" t="str">
        <f>VLOOKUP(DATOS!$H$24,DATOS!$D$402:$E$413,2,0)</f>
        <v>DIA-TSECOEPPAL</v>
      </c>
      <c r="ET520" s="1" t="str">
        <f>IF($M$18="TR",IF(BW520="","",F520&amp;"P-"&amp;BW520&amp;" A"),"")</f>
        <v/>
      </c>
      <c r="EU520" s="1" t="str">
        <f>IF($M$18="TR",IF(BW520="","",G520*N520&amp;"-"&amp;BX520&amp;", "&amp;O520&amp;"-"&amp;CA520&amp;"T, "&amp;O520&amp;CB520),"")</f>
        <v/>
      </c>
      <c r="EV520" s="1" t="str">
        <f>IF($M$18="TR",IF($M$18="TR",IF(BW520="","",K520),""),"")</f>
        <v/>
      </c>
      <c r="EW520" s="3" t="str">
        <f>IF($M$18="TR",IF(BW520="","",G520*N520),"")</f>
        <v/>
      </c>
      <c r="EX520" s="3" t="str">
        <f>IF($M$18="TR",IF(BW520="","",BX520),"")</f>
        <v/>
      </c>
      <c r="EY520" s="3" t="str">
        <f>IF($M$18="TR",IF(BW520="","",O520),"")</f>
        <v/>
      </c>
      <c r="EZ520" s="3" t="str">
        <f>IF($M$18="TR",IF(BW520="","",CA520),"")</f>
        <v/>
      </c>
      <c r="FA520" s="3" t="str">
        <f>IF($M$18="TR",IF(BW520="","",O520),"")</f>
        <v/>
      </c>
      <c r="FB520" s="3" t="str">
        <f>IF($M$18="TR",IF(BW520="","",CB520),"")</f>
        <v/>
      </c>
      <c r="FC520" s="3">
        <f t="shared" si="235"/>
        <v>0</v>
      </c>
      <c r="FD520" s="732"/>
      <c r="FE520" s="732"/>
      <c r="FF520" s="733"/>
      <c r="FG520" s="732"/>
      <c r="FH520" s="733"/>
      <c r="FI520" s="732"/>
      <c r="FJ520" s="733"/>
      <c r="FM520" s="3" t="str">
        <f>FM518</f>
        <v>(PONER MANUAL)</v>
      </c>
      <c r="FX520" s="146"/>
      <c r="FZ520" s="740" t="s">
        <v>2005</v>
      </c>
      <c r="GA520" s="736" t="str">
        <f>IF(TABLERO!$M$18="TR",FIXED(IF(TABLERO!$F$17&lt;&gt;"KVA",TABLERO!BB520*1000,TABLERO!BB520*1000/TABLERO!DA520),2)&amp;"+"&amp;FIXED(IF(TABLERO!$F$17&lt;&gt;"KVA",TABLERO!BT520*1000,TABLERO!BT520*1000/TABLERO!DA520),2)&amp;"+"&amp;IF(OR(TABLERO!BU520="",TABLERO!BU520=0),"",FIXED(TABLERO!BU520,2))&amp;"+"&amp;TABLERO!F520&amp;"+"&amp;TABLERO!G520&amp;"+"&amp;TABLERO!BV520&amp;"+"&amp;TABLERO!K520&amp;"+"&amp;TABLERO!J520&amp;"+"&amp;TABLERO!CT520&amp;"+"&amp;TABLERO!CS520&amp;"+"&amp;FIXED(TABLERO!CY520,2)&amp;"+"&amp;TABLERO!N520&amp;"+"&amp;IF(TABLERO!BB520=0,"",TABLERO!BX520&amp;" "&amp;TABLERO!ED520&amp;", "&amp;TABLERO!I520)&amp;"+"&amp;FIXED(TABLERO!BZ520,2)&amp;"+"&amp;TABLERO!CA520&amp;"+"&amp;TABLERO!CB520&amp;"+"&amp;FIXED(TABLERO!DL520,2)&amp;"+"&amp;TABLERO!F520&amp;"P-"&amp;TABLERO!BW520&amp;"A"&amp;"+"&amp;IF(TABLERO!CI520="-","     -     ",FIXED(IF(TABLERO!$F$17&lt;&gt;"KVA",TABLERO!CI520,TABLERO!CI520/TABLERO!$F$14),2))&amp;"+"&amp;IF(TABLERO!CJ520="-","     -     ",FIXED(IF(TABLERO!$F$17&lt;&gt;"KVA",TABLERO!CJ520,TABLERO!CJ520/TABLERO!$F$14),2))&amp;"+"&amp;IF(TABLERO!CK520="-","     -     ",FIXED(IF(TABLERO!$F$17&lt;&gt;"KVA",TABLERO!CK520,TABLERO!CK520/TABLERO!$F$14),2))&amp;"++++++++++1","++++++++++++++++++++++++++++++")</f>
        <v>++++++++++++++++++++++++++++++</v>
      </c>
      <c r="GB520" s="49">
        <f>CUADROACAD!CU520</f>
        <v>0</v>
      </c>
      <c r="GM520" s="1" t="e">
        <f>J520*N520&amp;"-"&amp;BX520&amp; " "&amp;ED520&amp;" ("&amp;N520&amp;"xF-"&amp;N520&amp;"N), "&amp;O520&amp;"-"&amp;CA520&amp;"T "&amp;"AWG, "&amp;O520&amp;CB520</f>
        <v>#VALUE!</v>
      </c>
    </row>
    <row r="521" spans="2:196" ht="13.8" hidden="1" thickBot="1">
      <c r="F521" s="29"/>
      <c r="G521" s="29"/>
      <c r="H521" s="147" t="s">
        <v>1469</v>
      </c>
      <c r="I521" s="148" t="str">
        <f>DATOS!$F$23</f>
        <v>NOM</v>
      </c>
      <c r="J521" s="443"/>
      <c r="K521" s="443"/>
      <c r="L521" s="443"/>
      <c r="M521" s="443"/>
      <c r="N521" s="443"/>
      <c r="O521" s="443"/>
      <c r="P521" s="30"/>
      <c r="Q521" s="30"/>
      <c r="R521" s="30"/>
      <c r="S521" s="30"/>
      <c r="T521" s="30"/>
      <c r="U521" s="30"/>
      <c r="V521" s="29"/>
      <c r="W521" s="29"/>
      <c r="X521" s="15"/>
      <c r="Y521" s="15"/>
      <c r="Z521" s="15"/>
      <c r="AA521" s="15"/>
      <c r="AB521" s="15"/>
      <c r="AC521" s="15"/>
      <c r="AD521" s="15"/>
      <c r="AE521" s="15"/>
      <c r="AF521" s="15"/>
      <c r="AG521" s="15"/>
      <c r="AH521" s="15"/>
      <c r="AI521" s="15"/>
      <c r="AJ521" s="15"/>
      <c r="AK521" s="15"/>
      <c r="AL521" s="15"/>
      <c r="AM521" s="15"/>
      <c r="AN521" s="15"/>
      <c r="AO521" s="15"/>
      <c r="AP521" s="15"/>
      <c r="AQ521" s="15"/>
      <c r="AR521" s="15"/>
      <c r="AS521" s="15"/>
      <c r="AT521" s="15"/>
      <c r="AU521" s="15"/>
      <c r="AV521" s="15"/>
      <c r="AW521" s="15"/>
      <c r="AX521" s="15"/>
      <c r="AY521" s="137"/>
      <c r="AZ521" s="137"/>
      <c r="BA521" s="137"/>
      <c r="BB521" s="712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T521"/>
      <c r="BU521" s="523"/>
      <c r="BV521"/>
      <c r="BW521" s="742"/>
      <c r="BX521" s="742"/>
      <c r="BY521" s="49" t="s">
        <v>1470</v>
      </c>
      <c r="BZ521" s="49"/>
      <c r="CA521" s="146" t="e">
        <f>IF(VLOOKUP(BX520,' '!$A$229:$F$259,4,0)*N520&gt;588,VLOOKUP(BX520,' '!$A$229:$F$259,4,0)*N520,VLOOKUP(BX520,' '!$A$229:$F$259,4,0)*N520)</f>
        <v>#VALUE!</v>
      </c>
      <c r="CB521" s="146" t="e">
        <f>IF(I520="CU",IF(CA521&gt;588,VLOOKUP(CA521*0.125,' '!$A$877:$D$898,3),(VLOOKUP(CA521,' '!$A$863:$B$869,2))),IF(CA521&gt;887,VLOOKUP(CA521*0.125,' '!$A$877:$D$898,4),VLOOKUP(CA521,' '!$C$863:$D$869,2)))</f>
        <v>#VALUE!</v>
      </c>
      <c r="CC521" s="742"/>
      <c r="CD521" s="742"/>
      <c r="CE521" s="742"/>
      <c r="CF521" s="742"/>
      <c r="CG521" s="742"/>
      <c r="CH521" s="420"/>
      <c r="CI521" s="423"/>
      <c r="CJ521" s="426"/>
      <c r="CK521" s="429"/>
      <c r="CL521" s="676"/>
      <c r="CM521" s="676"/>
      <c r="CN521" s="676"/>
      <c r="CR521" s="677" t="str">
        <f t="shared" si="234"/>
        <v>N/C</v>
      </c>
      <c r="CS521" s="677"/>
      <c r="CT521" s="678"/>
      <c r="CU521" s="679"/>
      <c r="CV521" s="680"/>
      <c r="CW521" s="681"/>
      <c r="CX521" s="682"/>
      <c r="CY521" s="678"/>
      <c r="CZ521" s="679"/>
      <c r="DA521" s="677"/>
      <c r="DB521" s="677"/>
      <c r="DC521" s="683"/>
      <c r="DD521" s="683"/>
      <c r="DE521" s="683"/>
      <c r="DF521" s="678"/>
      <c r="DG521" s="678"/>
      <c r="DH521" s="678"/>
      <c r="DI521" s="679"/>
      <c r="DJ521" s="679"/>
      <c r="DK521" s="679"/>
      <c r="DL521" s="684"/>
      <c r="DM521" s="684"/>
      <c r="DN521" s="678"/>
      <c r="DO521" s="678"/>
      <c r="DP521" s="678"/>
      <c r="DQ521" s="678"/>
      <c r="DR521" s="678"/>
      <c r="DS521" s="678"/>
      <c r="DT521" s="678"/>
      <c r="DU521" s="678"/>
      <c r="DV521" s="679"/>
      <c r="DW521" s="679"/>
      <c r="DX521" s="679"/>
      <c r="DY521" s="679"/>
      <c r="DZ521" s="679"/>
      <c r="EA521" s="679"/>
      <c r="EB521" s="679"/>
      <c r="EC521" s="679"/>
      <c r="ED521" s="685"/>
      <c r="EE521" s="686"/>
      <c r="EF521" s="687"/>
      <c r="EG521" s="688"/>
      <c r="EH521" s="689"/>
      <c r="EI521" s="942">
        <f t="shared" si="237"/>
        <v>30</v>
      </c>
      <c r="EJ521" s="947"/>
      <c r="EK521" s="947"/>
      <c r="EL521" s="947"/>
      <c r="EM521" s="947"/>
      <c r="EN521" s="948"/>
      <c r="EO521" s="550"/>
      <c r="EP521" s="433"/>
      <c r="EW521" s="3" t="str">
        <f>IF(BW521="","",G521*N521)</f>
        <v/>
      </c>
      <c r="EX521" s="3" t="str">
        <f>IF(BW521="","",BX521)</f>
        <v/>
      </c>
      <c r="EY521" s="3" t="str">
        <f>IF(BW521="","",O521)</f>
        <v/>
      </c>
      <c r="EZ521" s="3" t="str">
        <f>IF(BW521="","",CA521)</f>
        <v/>
      </c>
      <c r="FA521" s="3" t="str">
        <f>IF(BW521="","",O521)</f>
        <v/>
      </c>
      <c r="FB521" s="3" t="str">
        <f>IF(BW521="","",CB521)</f>
        <v/>
      </c>
      <c r="FC521" s="3">
        <f t="shared" si="235"/>
        <v>0</v>
      </c>
      <c r="FD521" s="732"/>
      <c r="FE521" s="732"/>
      <c r="FF521" s="733"/>
      <c r="FG521" s="732"/>
      <c r="FH521" s="733"/>
      <c r="FI521" s="732"/>
      <c r="FJ521" s="733"/>
      <c r="FX521" s="146"/>
      <c r="FZ521" s="740" t="s">
        <v>2002</v>
      </c>
      <c r="GA521" s="738" t="s">
        <v>1795</v>
      </c>
      <c r="GB521" s="49">
        <f>CUADROACAD!CU521</f>
        <v>0</v>
      </c>
    </row>
    <row r="522" spans="2:196" ht="13.8" hidden="1" thickBot="1">
      <c r="B522" s="971" t="s">
        <v>1473</v>
      </c>
      <c r="C522" s="972"/>
      <c r="D522" s="973"/>
      <c r="E522" s="22" t="s">
        <v>1472</v>
      </c>
      <c r="F522" s="34">
        <v>3</v>
      </c>
      <c r="G522" s="34">
        <f>IF(F522=1,2,IF(F522=2,2,3))</f>
        <v>3</v>
      </c>
      <c r="H522" s="34" t="s">
        <v>1195</v>
      </c>
      <c r="I522" s="34" t="str">
        <f>$F$16</f>
        <v>CU</v>
      </c>
      <c r="J522" s="442">
        <f>G522</f>
        <v>3</v>
      </c>
      <c r="K522" s="439">
        <v>20</v>
      </c>
      <c r="L522" s="439">
        <f>5-$CH$26</f>
        <v>5</v>
      </c>
      <c r="M522" s="440">
        <v>1</v>
      </c>
      <c r="N522" s="440">
        <v>1</v>
      </c>
      <c r="O522" s="440">
        <v>1</v>
      </c>
      <c r="P522" s="44">
        <v>6</v>
      </c>
      <c r="Q522" s="37"/>
      <c r="R522" s="37">
        <v>2</v>
      </c>
      <c r="S522" s="38">
        <v>1</v>
      </c>
      <c r="T522" s="38">
        <v>1</v>
      </c>
      <c r="U522" s="38">
        <v>1</v>
      </c>
      <c r="V522" s="707">
        <v>1</v>
      </c>
      <c r="W522" s="708" t="s">
        <v>1467</v>
      </c>
      <c r="X522" s="167"/>
      <c r="Y522" s="167"/>
      <c r="Z522" s="167"/>
      <c r="AA522" s="167"/>
      <c r="AB522" s="167"/>
      <c r="AC522" s="167"/>
      <c r="AD522" s="167"/>
      <c r="AE522" s="167"/>
      <c r="AF522" s="167"/>
      <c r="AG522" s="167"/>
      <c r="AH522" s="167"/>
      <c r="AI522" s="167"/>
      <c r="AJ522" s="167"/>
      <c r="AK522" s="167"/>
      <c r="AL522" s="167"/>
      <c r="AM522" s="167"/>
      <c r="AN522" s="167"/>
      <c r="AO522" s="167"/>
      <c r="AP522" s="167"/>
      <c r="AQ522" s="167"/>
      <c r="AR522" s="167"/>
      <c r="AS522" s="167"/>
      <c r="AT522" s="167"/>
      <c r="AU522" s="167"/>
      <c r="AV522" s="167"/>
      <c r="AW522" s="167"/>
      <c r="AX522" s="167"/>
      <c r="AY522" s="709"/>
      <c r="AZ522" s="168">
        <f>AZ520</f>
        <v>13.5</v>
      </c>
      <c r="BA522" s="709">
        <f>IF(F522=3,((AZ522*1000)/(1.73*BV522*DA522)),IF(AND(F522=2,G522=3),((AZ522*1000)/(2*(BV522/1.73)*DA522)),((AZ522*1000)/(BV522*DA522))))</f>
        <v>18.063583815028903</v>
      </c>
      <c r="BB522" s="710">
        <f t="shared" ref="BB522:BP522" si="238">BB520</f>
        <v>0</v>
      </c>
      <c r="BC522" s="711">
        <f t="shared" si="238"/>
        <v>0</v>
      </c>
      <c r="BD522" s="711">
        <f t="shared" si="238"/>
        <v>0</v>
      </c>
      <c r="BE522" s="711">
        <f t="shared" si="238"/>
        <v>0</v>
      </c>
      <c r="BF522" s="711">
        <f t="shared" si="238"/>
        <v>0</v>
      </c>
      <c r="BG522" s="711">
        <f t="shared" si="238"/>
        <v>0</v>
      </c>
      <c r="BH522" s="711">
        <f t="shared" si="238"/>
        <v>0</v>
      </c>
      <c r="BI522" s="711">
        <f t="shared" si="238"/>
        <v>0</v>
      </c>
      <c r="BJ522" s="711">
        <f t="shared" si="238"/>
        <v>0</v>
      </c>
      <c r="BK522" s="711">
        <f t="shared" si="238"/>
        <v>0</v>
      </c>
      <c r="BL522" s="711">
        <f t="shared" si="238"/>
        <v>0</v>
      </c>
      <c r="BM522" s="711">
        <f t="shared" si="238"/>
        <v>0</v>
      </c>
      <c r="BN522" s="711">
        <f t="shared" si="238"/>
        <v>0</v>
      </c>
      <c r="BO522" s="711">
        <f t="shared" si="238"/>
        <v>0</v>
      </c>
      <c r="BP522" s="711">
        <f t="shared" si="238"/>
        <v>0</v>
      </c>
      <c r="BQ522" s="169">
        <f>BQ520</f>
        <v>0</v>
      </c>
      <c r="BR522" s="170">
        <f>BR518</f>
        <v>0</v>
      </c>
      <c r="BS522" s="170">
        <f>BS520</f>
        <v>0</v>
      </c>
      <c r="BT522" s="48">
        <f>BT520</f>
        <v>0</v>
      </c>
      <c r="BU522" s="48" t="str">
        <f>IF(CW522="","",CW522)</f>
        <v/>
      </c>
      <c r="BV522" s="172">
        <v>480</v>
      </c>
      <c r="BW522" s="855" t="str">
        <f>IF(CX522="","",CX522)</f>
        <v/>
      </c>
      <c r="BX522" s="957" t="str">
        <f>IFERROR(IF(DN522="","",DN522), "REVISAR")</f>
        <v>REVISAR</v>
      </c>
      <c r="BY522" s="848" t="str" cm="1">
        <f t="array" ref="BY522">[1]!ACAELE_CAPACIDADCABLE(BB522,H522,I522,M522,BX522,N522)</f>
        <v/>
      </c>
      <c r="BZ522" s="848" t="str">
        <f>IF(OR(BB522=0,H522="RE"),"",(DS522/BV522)*100)</f>
        <v/>
      </c>
      <c r="CA522" s="849" t="str" cm="1">
        <f t="array" ref="CA522">[1]!ACAELE_cabledetierra(BZ522,$M$9,I522,BW522,BX522,G522)</f>
        <v/>
      </c>
      <c r="CB522" s="849" t="str" cm="1">
        <f t="array" ref="CB522">[1]!ACAELE_TAMATUBERIA(BZ522,DU522,I521,M522,I522)</f>
        <v/>
      </c>
      <c r="CC522" s="852" t="str">
        <f>IF(DV522="","",DV522)</f>
        <v/>
      </c>
      <c r="CD522" s="851"/>
      <c r="CE522" s="851" t="str">
        <f>IF(OR(BB522=0,Q522=""),"",(EA522/BV522)*100)</f>
        <v/>
      </c>
      <c r="CF522" s="852"/>
      <c r="CG522" s="852"/>
      <c r="CH522" s="509" t="str">
        <f>IF(AND(CE522="",BZ522=""),"",IF(CE522="",0,CE522)+IF(BZ522="",0,BZ522))</f>
        <v/>
      </c>
      <c r="CI522" s="516">
        <f>CI520</f>
        <v>0</v>
      </c>
      <c r="CJ522" s="514">
        <f>CJ520</f>
        <v>0</v>
      </c>
      <c r="CK522" s="515">
        <f>CK520</f>
        <v>0</v>
      </c>
      <c r="CL522" s="949"/>
      <c r="CM522" s="949"/>
      <c r="CN522" s="949"/>
      <c r="CO522" s="910"/>
      <c r="CP522" s="950"/>
      <c r="CQ522" s="950"/>
      <c r="CR522" s="951" t="str">
        <f t="shared" si="234"/>
        <v>N/C</v>
      </c>
      <c r="CS522" s="952">
        <f>IF(BU522&gt;100,VLOOKUP($F$13,FCTEMP,3),VLOOKUP($F$13,FCTEMP,2))</f>
        <v>1</v>
      </c>
      <c r="CT522" s="953">
        <f>IF(H522="RE","",IF(M522=1,VLOOKUP(J522,FCATUBO,2),IF(M522=6,VLOOKUP(J522,FCADUCTO,2),1)))</f>
        <v>1</v>
      </c>
      <c r="CU522" s="914"/>
      <c r="CV522" s="915"/>
      <c r="CW522" s="916" t="str">
        <f>IF(BB522=0,"",IF(F522=3,((BT522*1000)/(1.73*BV522*DA522)),IF(AND(F522=2,G522=3),((BT522*1000)/(2*(BV522/1.73)*DA522)),((BT522*1000)/(BV522*DA522)))))</f>
        <v/>
      </c>
      <c r="CX522" s="917" t="str" cm="1">
        <f t="array" ref="CX522">[1]!ACAELE_Disparocalculado(BB522,H522,DL522,$N$21,$M$21,$O$21,BV522,$P$5)</f>
        <v/>
      </c>
      <c r="CY522" s="918" t="e">
        <f>IF(CR522="C",(BU522)/(CS522*CT522),BU522/(CS522*CT522))</f>
        <v>#VALUE!</v>
      </c>
      <c r="CZ522" s="919" t="str">
        <f>IF(OR(BB522=0,Q522=""),"",IF(CR522="C",(BU522)/(CS522*CU522),BU522/(CS522*CU522)))</f>
        <v/>
      </c>
      <c r="DA522" s="951">
        <f>$F$14</f>
        <v>0.9</v>
      </c>
      <c r="DB522" s="954">
        <f>SIN(ACOS(DA522))</f>
        <v>0.43588989435406728</v>
      </c>
      <c r="DC522" s="922" t="str" cm="1">
        <f t="array" ref="DC522">[1]!ACAELE_CONDPORTCORRIENTE(H522,BB522,I522,M522,CY522,CZ522,N522,$P$5)</f>
        <v/>
      </c>
      <c r="DD522" s="923" t="str" cm="1">
        <f t="array" ref="DD522">[1]!ACAELE_CAPACONDCORRIENTE(BB522,H522,I522,M522,CY522,CZ522,$P$5)</f>
        <v/>
      </c>
      <c r="DE522" s="923" t="str" cm="1">
        <f t="array" ref="DE522">[1]!ACAELE_CAPACIDADCABLE(BB522,H522,I522,M522,DC522,N522,$P$5)</f>
        <v/>
      </c>
      <c r="DF522" s="924" t="str" cm="1">
        <f t="array" ref="DF522">[1]!ACAELE_encontrarcaidaequipo(BB522,H522,L522,BV522,F522,BA522,N522,K522)</f>
        <v/>
      </c>
      <c r="DG522" s="925" t="str" cm="1">
        <f t="array" ref="DG522">[1]!ACAELE_Cablecaida(BB522,H522,M522,I522,DF522)</f>
        <v/>
      </c>
      <c r="DH522" s="918" t="str" cm="1">
        <f t="array" ref="DH522">[1]!ACAELE_CAPACIDADCABLE(BB522,H522,I522,M522,DG522,N522,$P$5)</f>
        <v/>
      </c>
      <c r="DI522" s="926" t="str">
        <f>IF(OR(BB522=0,Q522=""),"",((10*R522*BV522)/((IF(F522&gt;2,1.73,2)*(BU522/T522)*Q522))))</f>
        <v/>
      </c>
      <c r="DJ522" s="914"/>
      <c r="DK522" s="919" t="str" cm="1">
        <f t="array" ref="DK522">[1]!ACAELE_CAPACIDADCABLE(BB522,H522,I522,M522,DJ522,N522)</f>
        <v/>
      </c>
      <c r="DL522" s="955" t="str">
        <f>(IF(BB522=0,"",BA522*($G$18/100)))</f>
        <v/>
      </c>
      <c r="DM522" s="955" cm="1">
        <f t="array" ref="DM522">[1]!acaele_ProtCalculada(CX522,H522,BT522,BW522,$G$21,$F$21,$H$21,$P$5)</f>
        <v>0</v>
      </c>
      <c r="DN522" s="913" t="e" cm="1">
        <f t="array" ref="DN522">[1]!ACAELE_CableCalTab(BB522,H522,I522,M522,EF522,N522,BV522,DL522)</f>
        <v>#VALUE!</v>
      </c>
      <c r="DO522" s="956" t="str" cm="1">
        <f t="array" ref="DO522">[1]!ACAELE_RESISTENCIA(BB522,H522,M522,I522,BX522, CW522,$P$5)</f>
        <v/>
      </c>
      <c r="DP522" s="931" t="str" cm="1">
        <f t="array" ref="DP522">[1]!ACAELE_REACTANCIA(BB522,H522,$F$11,M522,I522,BX522,$P$5)</f>
        <v/>
      </c>
      <c r="DQ522" s="918" t="str" cm="1">
        <f t="array" ref="DQ522">[1]!ACAELE_DIAMECAISLA(BB522,H522,I522,BX522,$P$5)</f>
        <v/>
      </c>
      <c r="DR522" s="918" t="str" cm="1">
        <f t="array" ref="DR522">[1]!ACAELE_AREACAISLAMIENTO(BB522,H522,DQ522,$P$5)</f>
        <v/>
      </c>
      <c r="DS522" s="918" t="str" cm="1">
        <f t="array" ref="DS522">[1]!ACAELE_CAIDAVOLTSFINAL(BB522,H522,F522,K522,BU522,N522,DO522,DA522,DP522,DB522,$P$5)</f>
        <v/>
      </c>
      <c r="DT522" s="918" t="str" cm="1">
        <f t="array" ref="DT522">[1]!ACAELE_AREACONDPTE(BB522,H522,CA522,$P$5)</f>
        <v/>
      </c>
      <c r="DU522" s="918" t="str" cm="1">
        <f t="array" ref="DU522">[1]!ACAELE_AREATOTAL(BZ522,M522,EO522,N522,DQ522,G522,DR522,DT522,N$20,$P$5)</f>
        <v/>
      </c>
      <c r="DV522" s="926"/>
      <c r="DW522" s="926"/>
      <c r="DX522" s="926"/>
      <c r="DY522" s="935"/>
      <c r="DZ522" s="935" t="str">
        <f>IF(OR(BB522=0,Q522=""),"",3.1416*(DY522/2)*(DY522/2))</f>
        <v/>
      </c>
      <c r="EA522" s="935" t="str">
        <f>IF(OR(BB522=0,Q522=""),"",IF(F522&gt;2,1.73,2)*Q522*(BU522/T522)*(((DW522*DA522)+(DX522*DB522))/1000))</f>
        <v/>
      </c>
      <c r="EB522" s="919"/>
      <c r="EC522" s="935"/>
      <c r="ED522" s="675" t="str">
        <f>IF(OR(BB522=0,H522="RE"),"",VLOOKUP(BX522,nomenclaturacables,2,0))</f>
        <v/>
      </c>
      <c r="EE522" s="670"/>
      <c r="EF522" s="671" t="str">
        <f>IF(BB522=0,"",MAX(DM522/N522,BW522/N522,IF(DE522="",0,DE522/N522),DH522/N522))</f>
        <v/>
      </c>
      <c r="EG522" s="672">
        <f>MAX(DM522,IF(DE522="",0,DE522/N522),DK522)</f>
        <v>0</v>
      </c>
      <c r="EH522" s="673"/>
      <c r="EI522" s="942">
        <f t="shared" si="237"/>
        <v>30</v>
      </c>
      <c r="EJ522" s="947"/>
      <c r="EK522" s="947"/>
      <c r="EL522" s="947"/>
      <c r="EM522" s="947"/>
      <c r="EN522" s="948"/>
      <c r="EO522" s="550" t="str">
        <f>IF(BZ522="","",(G522*N522*DR522)/O522+DT522)</f>
        <v/>
      </c>
      <c r="EP522" s="431" t="str">
        <f>$EP$118</f>
        <v>DIA-TSECOEPPAL</v>
      </c>
      <c r="ET522" s="1" t="str">
        <f>IF($M$18="TR",IF($M$18="TR",IF(BW522="","",F522&amp;"P-"&amp;BW522&amp;" A"),""),"")</f>
        <v/>
      </c>
      <c r="EU522" s="1" t="str">
        <f>IF($M$18="TR",IF(BW522="","",G522*N522&amp;"-"&amp;BX522&amp;", "&amp;O522&amp;"-"&amp;CA522&amp;"T, "&amp;O522&amp;CB522),"")</f>
        <v/>
      </c>
      <c r="EV522" s="1" t="str">
        <f>IF($M$18="TR",IF(BW522="","",K522),"")</f>
        <v/>
      </c>
      <c r="EW522" s="3" t="str">
        <f>IF($M$18="TR",IF(BW522="","",G522*N522),"")</f>
        <v/>
      </c>
      <c r="EX522" s="3" t="str">
        <f>IF($M$18="TR",IF(BW522="","",BX522),"")</f>
        <v/>
      </c>
      <c r="EY522" s="3" t="str">
        <f>IF($M$18="TR",IF(BW522="","",O522),"")</f>
        <v/>
      </c>
      <c r="EZ522" s="3" t="str">
        <f>IF($M$18="TR",IF(BW522="","",CA522),"")</f>
        <v/>
      </c>
      <c r="FA522" s="3" t="str">
        <f>IF($M$18="TR",IF(BW522="","",O522),"")</f>
        <v/>
      </c>
      <c r="FB522" s="3" t="str">
        <f>IF($M$18="TR",IF(BW522="","",CB522),"")</f>
        <v/>
      </c>
      <c r="FC522" s="3">
        <f t="shared" si="235"/>
        <v>0</v>
      </c>
      <c r="FD522" s="732"/>
      <c r="FE522" s="732"/>
      <c r="FF522" s="733"/>
      <c r="FG522" s="732"/>
      <c r="FH522" s="733"/>
      <c r="FI522" s="732"/>
      <c r="FJ522" s="733"/>
      <c r="FM522" s="3" t="str">
        <f>IF(BV522&gt;1000,"",IF(BW522&lt;151,"(HD)",IF(BW522&lt;251,"(JD)",IF(BW522&lt;401,"(LA)",IF(BW522&lt;801,"(MG)",IF(BW522&lt;1201,"(PJ)","PONER MANUAL"))))))</f>
        <v>PONER MANUAL</v>
      </c>
      <c r="FX522" s="146">
        <f t="shared" ref="FX522:FX530" si="239">IF(FY522=GA522,"",1)</f>
        <v>1</v>
      </c>
      <c r="FZ522" s="740" t="s">
        <v>2006</v>
      </c>
      <c r="GA522" s="738" t="str">
        <f>IF(TABLERO!$M$18=" ",FIXED(IF(TABLERO!$F$17&lt;&gt;"KVA",TABLERO!BB522*1000,TABLERO!BB522*1000/TABLERO!DA522),2)&amp;"+"&amp;FIXED(IF(TABLERO!$F$17&lt;&gt;"KVA",TABLERO!BT522*1000,TABLERO!BT522*1000/TABLERO!DA522),2)&amp;"+"&amp;IF(OR(TABLERO!BU522="",TABLERO!BU522=0),"",FIXED(TABLERO!BU522,2))&amp;"+"&amp;TABLERO!F522&amp;"+"&amp;TABLERO!G522&amp;"+"&amp;TABLERO!BV522&amp;"+"&amp;TABLERO!K522&amp;"+"&amp;TABLERO!J522&amp;"+"&amp;TABLERO!CT522&amp;"+"&amp;TABLERO!CS522&amp;"+"&amp;FIXED(TABLERO!CY522,2)&amp;"+"&amp;TABLERO!N522&amp;"+"&amp;IF(TABLERO!BB522=0,"",TABLERO!BX522&amp;" "&amp;TABLERO!ED522&amp;", "&amp;TABLERO!I522)&amp;"+"&amp;FIXED(TABLERO!BZ522,2)&amp;"+"&amp;TABLERO!CA522&amp;"+"&amp;TABLERO!CB522&amp;"+"&amp;FIXED(TABLERO!DL522,2)&amp;"+"&amp;TABLERO!F522&amp;"P-"&amp;TABLERO!BW522&amp;"A"&amp;"+"&amp;IF(TABLERO!CI522="-","     -     ",FIXED(IF(TABLERO!$F$17&lt;&gt;"KVA",TABLERO!CI522,TABLERO!CI522/TABLERO!$F$14),2))&amp;"+"&amp;IF(TABLERO!CJ522="-","     -     ",FIXED(IF(TABLERO!$F$17&lt;&gt;"KVA",TABLERO!CJ522,TABLERO!CJ522/TABLERO!$F$14),2))&amp;"+"&amp;IF(TABLERO!CK522="-","     -     ",FIXED(IF(TABLERO!$F$17&lt;&gt;"KVA",TABLERO!CK522,TABLERO!CK522/TABLERO!$F$14),2))&amp;"++++++++++"&amp;A522,"++++++++++++++++++++++++++++++")</f>
        <v>++++++++++++++++++++++++++++++</v>
      </c>
      <c r="GB522" s="49">
        <f>CUADROACAD!CU522</f>
        <v>0</v>
      </c>
      <c r="GM522" s="1" t="str">
        <f>J522*N522&amp;"-"&amp;BX522&amp; " "&amp;ED522&amp;" ("&amp;N522&amp;"xF-"&amp;N522&amp;"N), "&amp;O522&amp;"-"&amp;CA522&amp;"T "&amp;"AWG, "&amp;O522&amp;CB522</f>
        <v>3-REVISAR  (1xF-1N), 1-T AWG, 1</v>
      </c>
    </row>
    <row r="523" spans="2:196" ht="13.8" hidden="1" thickBot="1">
      <c r="F523" s="29"/>
      <c r="G523" s="29"/>
      <c r="H523" s="147" t="s">
        <v>1469</v>
      </c>
      <c r="I523" s="148" t="str">
        <f>DATOS!$F$23</f>
        <v>NOM</v>
      </c>
      <c r="J523" s="443"/>
      <c r="K523" s="443"/>
      <c r="L523" s="443"/>
      <c r="M523" s="443"/>
      <c r="N523" s="443"/>
      <c r="O523" s="443"/>
      <c r="P523" s="30"/>
      <c r="Q523" s="30"/>
      <c r="R523" s="30"/>
      <c r="S523" s="30"/>
      <c r="T523" s="30"/>
      <c r="U523" s="30"/>
      <c r="V523" s="29"/>
      <c r="W523" s="29"/>
      <c r="X523" s="15"/>
      <c r="Y523" s="15"/>
      <c r="Z523" s="15"/>
      <c r="AA523" s="15"/>
      <c r="AB523" s="15"/>
      <c r="AC523" s="15"/>
      <c r="AD523" s="15"/>
      <c r="AE523" s="15"/>
      <c r="AF523" s="15"/>
      <c r="AG523" s="15"/>
      <c r="AH523" s="15"/>
      <c r="AI523" s="15"/>
      <c r="AJ523" s="15"/>
      <c r="AK523" s="15"/>
      <c r="AL523" s="15"/>
      <c r="AM523" s="15"/>
      <c r="AN523" s="15"/>
      <c r="AO523" s="15"/>
      <c r="AP523" s="15"/>
      <c r="AQ523" s="15"/>
      <c r="AR523" s="15"/>
      <c r="AS523" s="15"/>
      <c r="AT523" s="15"/>
      <c r="AU523" s="15"/>
      <c r="AV523" s="15"/>
      <c r="AW523" s="15"/>
      <c r="AX523" s="15"/>
      <c r="AY523" s="137"/>
      <c r="AZ523" s="137"/>
      <c r="BA523" s="137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T523"/>
      <c r="BU523" s="523"/>
      <c r="BV523"/>
      <c r="BW523" s="742"/>
      <c r="BX523" s="742"/>
      <c r="BY523" s="49"/>
      <c r="BZ523" s="49"/>
      <c r="CA523" s="49"/>
      <c r="CB523" s="49"/>
      <c r="CC523" s="742"/>
      <c r="CD523" s="742"/>
      <c r="CE523" s="742"/>
      <c r="CF523" s="742"/>
      <c r="CG523" s="742"/>
      <c r="CH523" s="420"/>
      <c r="CI523" s="423"/>
      <c r="CJ523" s="426"/>
      <c r="CK523" s="429"/>
      <c r="CL523" s="676"/>
      <c r="CM523" s="676"/>
      <c r="CN523" s="676"/>
      <c r="CR523" s="677" t="str">
        <f t="shared" si="234"/>
        <v>N/C</v>
      </c>
      <c r="CS523" s="677"/>
      <c r="CT523" s="678"/>
      <c r="CU523" s="679"/>
      <c r="CV523" s="680"/>
      <c r="CW523" s="681"/>
      <c r="CX523" s="682"/>
      <c r="CY523" s="678"/>
      <c r="CZ523" s="679"/>
      <c r="DA523" s="677"/>
      <c r="DB523" s="677"/>
      <c r="DC523" s="683"/>
      <c r="DD523" s="683"/>
      <c r="DE523" s="683"/>
      <c r="DF523" s="678"/>
      <c r="DG523" s="678"/>
      <c r="DH523" s="678"/>
      <c r="DI523" s="679"/>
      <c r="DJ523" s="679"/>
      <c r="DK523" s="679"/>
      <c r="DL523" s="684"/>
      <c r="DM523" s="684"/>
      <c r="DN523" s="678"/>
      <c r="DO523" s="678"/>
      <c r="DP523" s="678"/>
      <c r="DQ523" s="678"/>
      <c r="DR523" s="678"/>
      <c r="DS523" s="678"/>
      <c r="DT523" s="678"/>
      <c r="DU523" s="678"/>
      <c r="DV523" s="679"/>
      <c r="DW523" s="679"/>
      <c r="DX523" s="679"/>
      <c r="DY523" s="679"/>
      <c r="DZ523" s="679"/>
      <c r="EA523" s="679"/>
      <c r="EB523" s="679"/>
      <c r="EC523" s="679"/>
      <c r="ED523" s="685"/>
      <c r="EE523" s="686"/>
      <c r="EF523" s="687"/>
      <c r="EG523" s="688"/>
      <c r="EH523" s="689"/>
      <c r="EI523" s="942">
        <f t="shared" si="237"/>
        <v>30</v>
      </c>
      <c r="EJ523" s="947"/>
      <c r="EK523" s="947"/>
      <c r="EL523" s="947"/>
      <c r="EM523" s="947"/>
      <c r="EN523" s="948"/>
      <c r="EO523" s="550"/>
      <c r="EP523" s="433"/>
      <c r="EW523" s="3" t="str">
        <f>IF(BW523="","",G523*N523)</f>
        <v/>
      </c>
      <c r="EX523" s="3" t="str">
        <f>IF(BW523="","",BX523)</f>
        <v/>
      </c>
      <c r="EY523" s="3" t="str">
        <f>IF(BW523="","",O523)</f>
        <v/>
      </c>
      <c r="EZ523" s="3" t="str">
        <f>IF(BW523="","",CA523)</f>
        <v/>
      </c>
      <c r="FA523" s="3" t="str">
        <f>IF(BW523="","",O523)</f>
        <v/>
      </c>
      <c r="FB523" s="3" t="str">
        <f>IF(BW523="","",CB523)</f>
        <v/>
      </c>
      <c r="FC523" s="3">
        <f t="shared" si="235"/>
        <v>0</v>
      </c>
      <c r="FD523" s="732"/>
      <c r="FE523" s="732"/>
      <c r="FF523" s="733"/>
      <c r="FG523" s="732"/>
      <c r="FH523" s="733"/>
      <c r="FI523" s="732"/>
      <c r="FJ523" s="733"/>
      <c r="FX523" s="146">
        <f t="shared" si="239"/>
        <v>1</v>
      </c>
      <c r="FZ523" s="740" t="s">
        <v>1813</v>
      </c>
      <c r="GA523" s="318" t="s">
        <v>1813</v>
      </c>
      <c r="GB523" s="49">
        <f>CUADROACAD!CU523</f>
        <v>0</v>
      </c>
    </row>
    <row r="524" spans="2:196" ht="13.8" hidden="1" thickBot="1">
      <c r="B524" s="971" t="s">
        <v>1474</v>
      </c>
      <c r="C524" s="972"/>
      <c r="D524" s="973"/>
      <c r="E524" s="22" t="s">
        <v>1474</v>
      </c>
      <c r="F524" s="34">
        <f>F412</f>
        <v>0</v>
      </c>
      <c r="G524" s="34">
        <f>H412</f>
        <v>0</v>
      </c>
      <c r="H524" s="34" t="s">
        <v>1207</v>
      </c>
      <c r="I524" s="34" t="str">
        <f>I518</f>
        <v>CU</v>
      </c>
      <c r="J524" s="442">
        <f>G524</f>
        <v>0</v>
      </c>
      <c r="K524" s="439">
        <v>15</v>
      </c>
      <c r="L524" s="439">
        <f>5-$CH$26</f>
        <v>5</v>
      </c>
      <c r="M524" s="440">
        <f>$M$116</f>
        <v>1</v>
      </c>
      <c r="N524" s="440">
        <f>$N$116</f>
        <v>1</v>
      </c>
      <c r="O524" s="440">
        <f>$O$116</f>
        <v>1</v>
      </c>
      <c r="P524" s="44">
        <v>6</v>
      </c>
      <c r="Q524" s="37"/>
      <c r="R524" s="37">
        <v>2</v>
      </c>
      <c r="S524" s="38">
        <v>1</v>
      </c>
      <c r="T524" s="38">
        <v>1</v>
      </c>
      <c r="U524" s="38">
        <v>1</v>
      </c>
      <c r="V524" s="707">
        <v>1</v>
      </c>
      <c r="W524" s="708" t="s">
        <v>1467</v>
      </c>
      <c r="X524" s="167"/>
      <c r="Y524" s="167"/>
      <c r="Z524" s="167"/>
      <c r="AA524" s="167"/>
      <c r="AB524" s="167"/>
      <c r="AC524" s="167"/>
      <c r="AD524" s="167"/>
      <c r="AE524" s="167"/>
      <c r="AF524" s="167"/>
      <c r="AG524" s="167"/>
      <c r="AH524" s="167"/>
      <c r="AI524" s="167"/>
      <c r="AJ524" s="167"/>
      <c r="AK524" s="167"/>
      <c r="AL524" s="167"/>
      <c r="AM524" s="167"/>
      <c r="AN524" s="167"/>
      <c r="AO524" s="167"/>
      <c r="AP524" s="167"/>
      <c r="AQ524" s="167"/>
      <c r="AR524" s="167"/>
      <c r="AS524" s="167"/>
      <c r="AT524" s="167"/>
      <c r="AU524" s="167"/>
      <c r="AV524" s="167"/>
      <c r="AW524" s="167"/>
      <c r="AX524" s="167"/>
      <c r="AY524" s="709"/>
      <c r="AZ524" s="168">
        <f>VLOOKUP($BT$116,' '!$A$741:$C$767,3)</f>
        <v>30</v>
      </c>
      <c r="BA524" s="709">
        <f>IF(F524=3,((AZ524*1000)/(1.73*BV524*DA524)),IF(AND(F524=2,G524=3),((AZ524*1000)/(2*(BV524/1.73)*DA524)),((AZ524*1000)/(BV524*DA524))))</f>
        <v>151.5151515151515</v>
      </c>
      <c r="BB524" s="710">
        <f>BB518</f>
        <v>0</v>
      </c>
      <c r="BC524" s="711">
        <f t="shared" ref="BC524:BP524" si="240">BC522</f>
        <v>0</v>
      </c>
      <c r="BD524" s="711">
        <f t="shared" si="240"/>
        <v>0</v>
      </c>
      <c r="BE524" s="711">
        <f t="shared" si="240"/>
        <v>0</v>
      </c>
      <c r="BF524" s="711">
        <f t="shared" si="240"/>
        <v>0</v>
      </c>
      <c r="BG524" s="711">
        <f t="shared" si="240"/>
        <v>0</v>
      </c>
      <c r="BH524" s="711">
        <f t="shared" si="240"/>
        <v>0</v>
      </c>
      <c r="BI524" s="711">
        <f t="shared" si="240"/>
        <v>0</v>
      </c>
      <c r="BJ524" s="711">
        <f t="shared" si="240"/>
        <v>0</v>
      </c>
      <c r="BK524" s="711">
        <f t="shared" si="240"/>
        <v>0</v>
      </c>
      <c r="BL524" s="711">
        <f t="shared" si="240"/>
        <v>0</v>
      </c>
      <c r="BM524" s="711">
        <f t="shared" si="240"/>
        <v>0</v>
      </c>
      <c r="BN524" s="711">
        <f t="shared" si="240"/>
        <v>0</v>
      </c>
      <c r="BO524" s="711">
        <f t="shared" si="240"/>
        <v>0</v>
      </c>
      <c r="BP524" s="711">
        <f t="shared" si="240"/>
        <v>0</v>
      </c>
      <c r="BQ524" s="169">
        <f>BQ522</f>
        <v>0</v>
      </c>
      <c r="BR524" s="170">
        <f>BR518</f>
        <v>0</v>
      </c>
      <c r="BS524" s="170">
        <f>BS522</f>
        <v>0</v>
      </c>
      <c r="BT524" s="48">
        <f>BT518</f>
        <v>0</v>
      </c>
      <c r="BU524" s="48" t="str">
        <f>IF(CW524="","",CW524)</f>
        <v/>
      </c>
      <c r="BV524" s="713">
        <f>IF(F524=1,$H$9,$F$9)</f>
        <v>220</v>
      </c>
      <c r="BW524" s="855" t="str">
        <f>IF(CX524="","",CX524)</f>
        <v/>
      </c>
      <c r="BX524" s="957" t="str">
        <f>IFERROR(IF(DN524="","",DN524), "REVISAR")</f>
        <v>REVISAR</v>
      </c>
      <c r="BY524" s="848" t="str" cm="1">
        <f t="array" ref="BY524">[1]!ACAELE_CAPACIDADCABLE(BB524,H524,I524,M524,BX524,N524)</f>
        <v/>
      </c>
      <c r="BZ524" s="848" t="str">
        <f>IF(OR(BB524=0,H524="RE"),"",(DS524/BV524)*100)</f>
        <v/>
      </c>
      <c r="CA524" s="849" t="str" cm="1">
        <f t="array" ref="CA524">[1]!ACAELE_cabledetierra(BZ524,$M$9,I524,BW524,BX524,G524)</f>
        <v/>
      </c>
      <c r="CB524" s="849" t="str" cm="1">
        <f t="array" ref="CB524">[1]!ACAELE_TAMATUBERIA(BZ524,DU524,I523,M524,I524)</f>
        <v/>
      </c>
      <c r="CC524" s="849" t="str">
        <f>IF(DV524="","",DV524)</f>
        <v/>
      </c>
      <c r="CD524" s="851"/>
      <c r="CE524" s="851" t="str">
        <f>IF(OR(BB524=0,Q524=""),"",(EA524/BV524)*100)</f>
        <v/>
      </c>
      <c r="CF524" s="852"/>
      <c r="CG524" s="852"/>
      <c r="CH524" s="509" t="str">
        <f>IF(AND(CE524="",BZ524=""),"",IF(CE524="",0,CE524)+IF(BZ524="",0,BZ524))</f>
        <v/>
      </c>
      <c r="CI524" s="516">
        <f>CI522</f>
        <v>0</v>
      </c>
      <c r="CJ524" s="514">
        <f>CJ522</f>
        <v>0</v>
      </c>
      <c r="CK524" s="515">
        <f>CK522</f>
        <v>0</v>
      </c>
      <c r="CL524" s="949"/>
      <c r="CM524" s="949"/>
      <c r="CN524" s="949"/>
      <c r="CO524" s="910"/>
      <c r="CP524" s="950"/>
      <c r="CQ524" s="950"/>
      <c r="CR524" s="951" t="str">
        <f t="shared" si="234"/>
        <v>N/C</v>
      </c>
      <c r="CS524" s="952">
        <f>IF(BU524&gt;100,VLOOKUP($F$13,FCTEMP,3),VLOOKUP($F$13,FCTEMP,2))</f>
        <v>1</v>
      </c>
      <c r="CT524" s="953">
        <f>IF(H524="RE","",IF(M524=1,VLOOKUP(J524,FCATUBO,2),IF(M524=6,VLOOKUP(J524,FCADUCTO,2),1)))</f>
        <v>1</v>
      </c>
      <c r="CU524" s="914"/>
      <c r="CV524" s="915"/>
      <c r="CW524" s="916" t="str">
        <f>IF(BB524=0,"",IF(F524=3,((BT524*1000)/(1.73*BV524*DA524)),IF(AND(F524=2,G524=3),((BT524*1000)/(2*(BV524/1.73)*DA524)),((BT524*1000)/(BV524*DA524)))))</f>
        <v/>
      </c>
      <c r="CX524" s="917" t="str">
        <f>CX526</f>
        <v/>
      </c>
      <c r="CY524" s="918" t="e">
        <f>IF(CR524="C",(BU524)/(CS524*CT524),BU524/(CS524*CT524))</f>
        <v>#VALUE!</v>
      </c>
      <c r="CZ524" s="919" t="str">
        <f>IF(OR(BB524=0,Q524=""),"",IF(CR524="C",(BU524)/(CS524*CU524),BU524/(CS524*CU524)))</f>
        <v/>
      </c>
      <c r="DA524" s="951">
        <f>$F$14</f>
        <v>0.9</v>
      </c>
      <c r="DB524" s="954">
        <f>SIN(ACOS(DA524))</f>
        <v>0.43588989435406728</v>
      </c>
      <c r="DC524" s="922" t="str" cm="1">
        <f t="array" ref="DC524">[1]!ACAELE_CONDPORTCORRIENTE(H524,BB524,I524,M524,CY524,CZ524,N524,$P$5)</f>
        <v/>
      </c>
      <c r="DD524" s="923" t="str" cm="1">
        <f t="array" ref="DD524">[1]!ACAELE_CAPACONDCORRIENTE(BB524,H524,I524,M524,CY524,CZ524,$P$5)</f>
        <v/>
      </c>
      <c r="DE524" s="923" t="str" cm="1">
        <f t="array" ref="DE524">[1]!ACAELE_CAPACIDADCABLE(BB524,H524,I524,M524,DC524,N524,$P$5)</f>
        <v/>
      </c>
      <c r="DF524" s="924" t="str" cm="1">
        <f t="array" ref="DF524">[1]!ACAELE_encontrarcaidaequipo(BB524,H524,L524,BV524,F524,BA524,N524,K524)</f>
        <v/>
      </c>
      <c r="DG524" s="925" t="str" cm="1">
        <f t="array" ref="DG524">[1]!ACAELE_Cablecaida(BB524,H524,M524,I524,DF524)</f>
        <v/>
      </c>
      <c r="DH524" s="918" t="str" cm="1">
        <f t="array" ref="DH524">[1]!ACAELE_CAPACIDADCABLE(BB524,H524,I524,M524,DG524,N524,$P$5)</f>
        <v/>
      </c>
      <c r="DI524" s="926" t="str">
        <f>IF(OR(BB524=0,Q524=""),"",((10*R524*BV524)/((IF(F524&gt;2,1.73,2)*(BU524/T524)*Q524))))</f>
        <v/>
      </c>
      <c r="DJ524" s="914"/>
      <c r="DK524" s="919" t="str" cm="1">
        <f t="array" ref="DK524">[1]!ACAELE_CAPACIDADCABLE(BB524,H524,I524,M524,DJ524,N524)</f>
        <v/>
      </c>
      <c r="DL524" s="955" t="str">
        <f>(IF(BB524=0,"",BA524*($G$18/100)))</f>
        <v/>
      </c>
      <c r="DM524" s="955" cm="1">
        <f t="array" ref="DM524">[1]!acaele_ProtCalculada(CX524,H524,BT524,BW524,$G$21,$F$21,$H$21,$P$5)</f>
        <v>0</v>
      </c>
      <c r="DN524" s="913" t="e" cm="1">
        <f t="array" ref="DN524">[1]!ACAELE_CableCalTab(BB524,H524,I524,M524,EF524,N524,BV524,DL524)</f>
        <v>#VALUE!</v>
      </c>
      <c r="DO524" s="956" t="str" cm="1">
        <f t="array" ref="DO524">[1]!ACAELE_RESISTENCIA(BB524,H524,M524,I524,BX524, CW524,$P$5)</f>
        <v/>
      </c>
      <c r="DP524" s="931" t="str" cm="1">
        <f t="array" ref="DP524">[1]!ACAELE_REACTANCIA(BB524,H524,$F$11,M524,I524,BX524,$P$5)</f>
        <v/>
      </c>
      <c r="DQ524" s="918" t="str" cm="1">
        <f t="array" ref="DQ524">[1]!ACAELE_DIAMECAISLA(BB524,H524,I524,BX524,$P$5)</f>
        <v/>
      </c>
      <c r="DR524" s="918" t="str" cm="1">
        <f t="array" ref="DR524">[1]!ACAELE_AREACAISLAMIENTO(BB524,H524,DQ524,$P$5)</f>
        <v/>
      </c>
      <c r="DS524" s="918" t="str" cm="1">
        <f t="array" ref="DS524">[1]!ACAELE_CAIDAVOLTSFINAL(BB524,H524,F524,K524,BU524,N524,DO524,DA524,DP524,DB524,$P$5)</f>
        <v/>
      </c>
      <c r="DT524" s="918" t="str" cm="1">
        <f t="array" ref="DT524">[1]!ACAELE_AREACONDPTE(BB524,H524,CA524,$P$5)</f>
        <v/>
      </c>
      <c r="DU524" s="918" t="str" cm="1">
        <f t="array" ref="DU524">[1]!ACAELE_AREATOTAL(BZ524,M524,EO524,N524,DQ524,G524,DR524,DT524,N$20,$P$5)</f>
        <v/>
      </c>
      <c r="DV524" s="926"/>
      <c r="DW524" s="926"/>
      <c r="DX524" s="926"/>
      <c r="DY524" s="935"/>
      <c r="DZ524" s="935" t="str">
        <f>IF(OR(BB524=0,Q524=""),"",3.1416*(DY524/2)*(DY524/2))</f>
        <v/>
      </c>
      <c r="EA524" s="935" t="str">
        <f>IF(OR(BB524=0,Q524=""),"",IF(F524&gt;2,1.73,2)*Q524*(BU524/T524)*(((DW524*DA524)+(DX524*DB524))/1000))</f>
        <v/>
      </c>
      <c r="EB524" s="919"/>
      <c r="EC524" s="935"/>
      <c r="ED524" s="675" t="str">
        <f>IF(OR(BB524=0,H524="RE"),"",VLOOKUP(BX524,nomenclaturacables,2,0))</f>
        <v/>
      </c>
      <c r="EE524" s="670"/>
      <c r="EF524" s="671" t="str">
        <f>IF(BB524=0,"",MAX(DM524/N524,BW524/N524,IF(DE524="",0,DE524/N524),DH524/N524))</f>
        <v/>
      </c>
      <c r="EG524" s="672">
        <f>MAX(DM524,IF(DE524="",0,DE524/N524),DK524)</f>
        <v>0</v>
      </c>
      <c r="EH524" s="673"/>
      <c r="EI524" s="942">
        <f t="shared" si="237"/>
        <v>30</v>
      </c>
      <c r="EJ524" s="947"/>
      <c r="EK524" s="947"/>
      <c r="EL524" s="947"/>
      <c r="EM524" s="947"/>
      <c r="EN524" s="948"/>
      <c r="EO524" s="550" t="str">
        <f>IF(BZ524="","",(G524*N524*DR524)/O524+DT524)</f>
        <v/>
      </c>
      <c r="EP524" s="433"/>
      <c r="ET524" s="1" t="str">
        <f>IF($M$18="PE",IF(BW524="","",F524&amp;"P-"&amp;BW524&amp;" A"),"")</f>
        <v/>
      </c>
      <c r="EU524" s="1" t="str">
        <f>IF($M$18="PE",IF(BW524="","",G524*N524&amp;"-"&amp;BX524&amp;", "&amp;O524&amp;"-"&amp;CA524&amp;"T, "&amp;O524&amp;CB524),"")</f>
        <v/>
      </c>
      <c r="EV524" s="1" t="str">
        <f>IF($M$18="PE",IF(BW524="","",K524),"")</f>
        <v/>
      </c>
      <c r="EW524" s="3" t="str">
        <f>IF($M$18="PE",IF(BW524="","",G524*N524),"")</f>
        <v/>
      </c>
      <c r="EX524" s="3" t="str">
        <f>IF($M$18="PE",IF(BW524="","",BX524),"")</f>
        <v/>
      </c>
      <c r="EY524" s="3" t="str">
        <f>IF($M$18="PE",IF(BW524="","",O524),"")</f>
        <v/>
      </c>
      <c r="EZ524" s="3" t="str">
        <f>IF($M$18="PE",IF(BW524="","",CA524),"")</f>
        <v/>
      </c>
      <c r="FA524" s="3" t="str">
        <f>IF($M$18="PE",IF(BW524="","",O524),"")</f>
        <v/>
      </c>
      <c r="FB524" s="3" t="str">
        <f>IF($M$18="PE",IF(BW524="","",CB524),"")</f>
        <v/>
      </c>
      <c r="FC524" s="3">
        <f t="shared" si="235"/>
        <v>0</v>
      </c>
      <c r="FD524" s="732"/>
      <c r="FE524" s="732"/>
      <c r="FF524" s="733"/>
      <c r="FG524" s="732"/>
      <c r="FH524" s="733"/>
      <c r="FI524" s="732"/>
      <c r="FJ524" s="733"/>
      <c r="FM524" s="3" t="str">
        <f>FM518</f>
        <v>(PONER MANUAL)</v>
      </c>
      <c r="FX524" s="146">
        <f t="shared" si="239"/>
        <v>1</v>
      </c>
      <c r="FZ524" s="740" t="s">
        <v>2007</v>
      </c>
      <c r="GA524" s="736" t="str">
        <f>IF(TABLERO!$M$18="PE",FIXED(IF(TABLERO!$F$17&lt;&gt;"KVA",TABLERO!BB524*1000,TABLERO!BB524*1000/TABLERO!DA524),2)&amp;"+"&amp;FIXED(IF(TABLERO!$F$17&lt;&gt;"KVA",TABLERO!BT524*1000,TABLERO!BT524*1000/TABLERO!DA524),2)&amp;"+"&amp;IF(OR(TABLERO!BU524="",TABLERO!BU524=0),"",FIXED(TABLERO!BU524,2))&amp;"+"&amp;TABLERO!F524&amp;"+"&amp;TABLERO!G524&amp;"+"&amp;TABLERO!BV524&amp;"+"&amp;TABLERO!K524&amp;"+"&amp;TABLERO!J524&amp;"+"&amp;TABLERO!CT524&amp;"+"&amp;TABLERO!CS524&amp;"+"&amp;FIXED(TABLERO!CY524,2)&amp;"+"&amp;TABLERO!N524&amp;"+"&amp;IF(TABLERO!BB524=0,"",TABLERO!BX524&amp;" "&amp;TABLERO!ED524&amp;", "&amp;TABLERO!I524)&amp;"+"&amp;FIXED(TABLERO!BZ524,2)&amp;"+"&amp;TABLERO!CA524&amp;"+"&amp;TABLERO!CB524&amp;"+"&amp;FIXED(TABLERO!DL524,2)&amp;"+"&amp;TABLERO!F524&amp;"P-"&amp;TABLERO!BW524&amp;"A"&amp;"+"&amp;IF(TABLERO!CI524="-","     -     ",FIXED(IF(TABLERO!$F$17&lt;&gt;"KVA",TABLERO!CI524,TABLERO!CI524/TABLERO!$F$14),2))&amp;"+"&amp;IF(TABLERO!CJ524="-","     -     ",FIXED(IF(TABLERO!$F$17&lt;&gt;"KVA",TABLERO!CJ524,TABLERO!CJ524/TABLERO!$F$14),2))&amp;"+"&amp;IF(TABLERO!CK524="-","     -     ",FIXED(IF(TABLERO!$F$17&lt;&gt;"KVA",TABLERO!CK524,TABLERO!CK524/TABLERO!$F$14),2))&amp;"++++++++++1","++++++++++++++++++++++++++++++")</f>
        <v>++++++++++++++++++++++++++++++</v>
      </c>
      <c r="GB524" s="49">
        <f>CUADROACAD!CU524</f>
        <v>0</v>
      </c>
      <c r="GM524" s="1" t="str">
        <f>J524*N524&amp;"-"&amp;BX524&amp; " "&amp;ED524&amp;" ("&amp;N524&amp;"xF-"&amp;N524&amp;"N), "&amp;O524&amp;"-"&amp;CA524&amp;"T "&amp;"AWG, "&amp;O524&amp;CB524</f>
        <v>0-REVISAR  (1xF-1N), 1-T AWG, 1</v>
      </c>
    </row>
    <row r="525" spans="2:196" ht="13.8" hidden="1" thickBot="1">
      <c r="F525" s="29"/>
      <c r="G525" s="29"/>
      <c r="H525" s="147" t="s">
        <v>1469</v>
      </c>
      <c r="I525" s="148" t="str">
        <f>DATOS!$F$23</f>
        <v>NOM</v>
      </c>
      <c r="J525" s="443"/>
      <c r="K525" s="443"/>
      <c r="L525" s="443"/>
      <c r="M525" s="443"/>
      <c r="N525" s="443"/>
      <c r="O525" s="443"/>
      <c r="P525" s="30"/>
      <c r="Q525" s="30"/>
      <c r="R525" s="30"/>
      <c r="S525" s="30"/>
      <c r="T525" s="30"/>
      <c r="U525" s="30"/>
      <c r="V525" s="29"/>
      <c r="W525" s="29"/>
      <c r="X525" s="15"/>
      <c r="Y525" s="15"/>
      <c r="Z525" s="15"/>
      <c r="AA525" s="15"/>
      <c r="AB525" s="15"/>
      <c r="AC525" s="15"/>
      <c r="AD525" s="15"/>
      <c r="AE525" s="15"/>
      <c r="AF525" s="15"/>
      <c r="AG525" s="15"/>
      <c r="AH525" s="15"/>
      <c r="AI525" s="15"/>
      <c r="AJ525" s="15"/>
      <c r="AK525" s="15"/>
      <c r="AL525" s="15"/>
      <c r="AM525" s="15"/>
      <c r="AN525" s="15"/>
      <c r="AO525" s="15"/>
      <c r="AP525" s="15"/>
      <c r="AQ525" s="15"/>
      <c r="AR525" s="15"/>
      <c r="AS525" s="15"/>
      <c r="AT525" s="15"/>
      <c r="AU525" s="15"/>
      <c r="AV525" s="15"/>
      <c r="AW525" s="15"/>
      <c r="AX525" s="15"/>
      <c r="AY525" s="137"/>
      <c r="AZ525" s="137"/>
      <c r="BA525" s="137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T525"/>
      <c r="BU525" s="523"/>
      <c r="BV525"/>
      <c r="BW525" s="742"/>
      <c r="BX525" s="742"/>
      <c r="BY525" s="49"/>
      <c r="BZ525" s="49"/>
      <c r="CA525" s="49"/>
      <c r="CB525" s="49"/>
      <c r="CC525" s="742"/>
      <c r="CD525" s="742"/>
      <c r="CE525" s="742"/>
      <c r="CF525" s="742"/>
      <c r="CG525" s="742"/>
      <c r="CH525" s="420"/>
      <c r="CI525" s="423"/>
      <c r="CJ525" s="426"/>
      <c r="CK525" s="429"/>
      <c r="CL525" s="676"/>
      <c r="CM525" s="676"/>
      <c r="CN525" s="676"/>
      <c r="CR525" s="677" t="str">
        <f t="shared" si="234"/>
        <v>N/C</v>
      </c>
      <c r="CS525" s="677"/>
      <c r="CT525" s="678"/>
      <c r="CU525" s="679"/>
      <c r="CV525" s="680"/>
      <c r="CW525" s="681"/>
      <c r="CX525" s="682"/>
      <c r="CY525" s="678"/>
      <c r="CZ525" s="679"/>
      <c r="DA525" s="677"/>
      <c r="DB525" s="677"/>
      <c r="DC525" s="683"/>
      <c r="DD525" s="683"/>
      <c r="DE525" s="683"/>
      <c r="DF525" s="678"/>
      <c r="DG525" s="678"/>
      <c r="DH525" s="678"/>
      <c r="DI525" s="679"/>
      <c r="DJ525" s="679"/>
      <c r="DK525" s="679"/>
      <c r="DL525" s="684"/>
      <c r="DM525" s="684"/>
      <c r="DN525" s="678"/>
      <c r="DO525" s="678"/>
      <c r="DP525" s="678"/>
      <c r="DQ525" s="678"/>
      <c r="DR525" s="678"/>
      <c r="DS525" s="678"/>
      <c r="DT525" s="678"/>
      <c r="DU525" s="678"/>
      <c r="DV525" s="679"/>
      <c r="DW525" s="679"/>
      <c r="DX525" s="679"/>
      <c r="DY525" s="679"/>
      <c r="DZ525" s="679"/>
      <c r="EA525" s="679"/>
      <c r="EB525" s="679"/>
      <c r="EC525" s="679"/>
      <c r="ED525" s="685"/>
      <c r="EE525" s="686"/>
      <c r="EF525" s="687"/>
      <c r="EG525" s="688"/>
      <c r="EH525" s="689"/>
      <c r="EI525" s="942">
        <f t="shared" si="237"/>
        <v>30</v>
      </c>
      <c r="EJ525" s="947"/>
      <c r="EK525" s="947"/>
      <c r="EL525" s="947"/>
      <c r="EM525" s="947"/>
      <c r="EN525" s="948"/>
      <c r="EO525" s="550"/>
      <c r="EP525" s="433"/>
      <c r="EV525" s="1" t="str">
        <f>IF($M$18="PE",IF(BW525="","",K525),"")</f>
        <v/>
      </c>
      <c r="EW525" s="3" t="str">
        <f>IF($M$18="PE",IF(BW525="","",G525*N525),"")</f>
        <v/>
      </c>
      <c r="EX525" s="3" t="str">
        <f>IF($M$18="PE",IF(BW525="","",BX525),"")</f>
        <v/>
      </c>
      <c r="EY525" s="3" t="str">
        <f>IF($M$18="PE",IF(BW525="","",O525),"")</f>
        <v/>
      </c>
      <c r="EZ525" s="3" t="str">
        <f>IF(BW525="","",CA525)</f>
        <v/>
      </c>
      <c r="FA525" s="3" t="str">
        <f>IF($M$18="PE",IF(BW525="","",O525),"")</f>
        <v/>
      </c>
      <c r="FB525" s="3" t="str">
        <f>IF($M$18="PE",IF(BW525="","",CB525),"")</f>
        <v/>
      </c>
      <c r="FC525" s="3">
        <f t="shared" si="235"/>
        <v>0</v>
      </c>
      <c r="FD525" s="732"/>
      <c r="FE525" s="732"/>
      <c r="FF525" s="733"/>
      <c r="FG525" s="732"/>
      <c r="FH525" s="733"/>
      <c r="FI525" s="732"/>
      <c r="FJ525" s="733"/>
      <c r="FX525" s="146">
        <f t="shared" si="239"/>
        <v>1</v>
      </c>
      <c r="FZ525" s="740" t="s">
        <v>1813</v>
      </c>
      <c r="GA525" s="318" t="s">
        <v>1813</v>
      </c>
      <c r="GB525" s="49">
        <f>CUADROACAD!CU525</f>
        <v>0</v>
      </c>
    </row>
    <row r="526" spans="2:196" ht="13.8" hidden="1" thickBot="1">
      <c r="B526" s="971" t="s">
        <v>1475</v>
      </c>
      <c r="C526" s="972"/>
      <c r="D526" s="973"/>
      <c r="E526" s="22" t="s">
        <v>1475</v>
      </c>
      <c r="F526" s="34">
        <f>F412</f>
        <v>0</v>
      </c>
      <c r="G526" s="34">
        <f>H412</f>
        <v>0</v>
      </c>
      <c r="H526" s="34" t="s">
        <v>1207</v>
      </c>
      <c r="I526" s="34" t="str">
        <f>$F$16</f>
        <v>CU</v>
      </c>
      <c r="J526" s="442">
        <f>G526</f>
        <v>0</v>
      </c>
      <c r="K526" s="439">
        <v>20</v>
      </c>
      <c r="L526" s="439">
        <f>5-$CH$26</f>
        <v>5</v>
      </c>
      <c r="M526" s="440">
        <f>$M$116</f>
        <v>1</v>
      </c>
      <c r="N526" s="440">
        <f>$N$116</f>
        <v>1</v>
      </c>
      <c r="O526" s="440">
        <f>$O$116</f>
        <v>1</v>
      </c>
      <c r="P526" s="44">
        <v>6</v>
      </c>
      <c r="Q526" s="37"/>
      <c r="R526" s="37">
        <v>2</v>
      </c>
      <c r="S526" s="38">
        <v>1</v>
      </c>
      <c r="T526" s="38">
        <v>1</v>
      </c>
      <c r="U526" s="38">
        <v>1</v>
      </c>
      <c r="V526" s="707">
        <v>1</v>
      </c>
      <c r="W526" s="708" t="s">
        <v>1467</v>
      </c>
      <c r="X526" s="167"/>
      <c r="Y526" s="167"/>
      <c r="Z526" s="167"/>
      <c r="AA526" s="167"/>
      <c r="AB526" s="167"/>
      <c r="AC526" s="167"/>
      <c r="AD526" s="167"/>
      <c r="AE526" s="167"/>
      <c r="AF526" s="167"/>
      <c r="AG526" s="167"/>
      <c r="AH526" s="167"/>
      <c r="AI526" s="167"/>
      <c r="AJ526" s="167"/>
      <c r="AK526" s="167"/>
      <c r="AL526" s="167"/>
      <c r="AM526" s="167"/>
      <c r="AN526" s="167"/>
      <c r="AO526" s="167"/>
      <c r="AP526" s="167"/>
      <c r="AQ526" s="167"/>
      <c r="AR526" s="167"/>
      <c r="AS526" s="167"/>
      <c r="AT526" s="167"/>
      <c r="AU526" s="167"/>
      <c r="AV526" s="167"/>
      <c r="AW526" s="167"/>
      <c r="AX526" s="167"/>
      <c r="AY526" s="709"/>
      <c r="AZ526" s="709">
        <f>AZ524</f>
        <v>30</v>
      </c>
      <c r="BA526" s="709">
        <f>IF(F526=3,((AZ526*1000)/(1.73*BV526*DA526)),IF(AND(F526=2,G526=3),((AZ526*1000)/(2*(BV526/1.73)*DA526)),((AZ526*1000)/(BV526*DA526))))</f>
        <v>170.45454545454547</v>
      </c>
      <c r="BB526" s="710">
        <f t="shared" ref="BB526:BP526" si="241">BB524</f>
        <v>0</v>
      </c>
      <c r="BC526" s="711">
        <f t="shared" si="241"/>
        <v>0</v>
      </c>
      <c r="BD526" s="711">
        <f t="shared" si="241"/>
        <v>0</v>
      </c>
      <c r="BE526" s="711">
        <f t="shared" si="241"/>
        <v>0</v>
      </c>
      <c r="BF526" s="711">
        <f t="shared" si="241"/>
        <v>0</v>
      </c>
      <c r="BG526" s="711">
        <f t="shared" si="241"/>
        <v>0</v>
      </c>
      <c r="BH526" s="711">
        <f t="shared" si="241"/>
        <v>0</v>
      </c>
      <c r="BI526" s="711">
        <f t="shared" si="241"/>
        <v>0</v>
      </c>
      <c r="BJ526" s="711">
        <f t="shared" si="241"/>
        <v>0</v>
      </c>
      <c r="BK526" s="711">
        <f t="shared" si="241"/>
        <v>0</v>
      </c>
      <c r="BL526" s="711">
        <f t="shared" si="241"/>
        <v>0</v>
      </c>
      <c r="BM526" s="711">
        <f t="shared" si="241"/>
        <v>0</v>
      </c>
      <c r="BN526" s="711">
        <f t="shared" si="241"/>
        <v>0</v>
      </c>
      <c r="BO526" s="711">
        <f t="shared" si="241"/>
        <v>0</v>
      </c>
      <c r="BP526" s="711">
        <f t="shared" si="241"/>
        <v>0</v>
      </c>
      <c r="BQ526" s="169">
        <f>BQ524</f>
        <v>0</v>
      </c>
      <c r="BR526" s="170">
        <f>BR518</f>
        <v>0</v>
      </c>
      <c r="BS526" s="170">
        <f>BS524</f>
        <v>0</v>
      </c>
      <c r="BT526" s="48">
        <f>BT518</f>
        <v>0</v>
      </c>
      <c r="BU526" s="48" t="str">
        <f>IF(CW526="","",CW526)</f>
        <v/>
      </c>
      <c r="BV526" s="714">
        <f>IF(F526=1,$H$9,$F$9)</f>
        <v>220</v>
      </c>
      <c r="BW526" s="855" t="str">
        <f>IF(CX526="","",CX526)</f>
        <v/>
      </c>
      <c r="BX526" s="957" t="str">
        <f>IFERROR(IF(DN526="","",DN526), "REVISAR")</f>
        <v>REVISAR</v>
      </c>
      <c r="BY526" s="848" t="str" cm="1">
        <f t="array" ref="BY526">[1]!ACAELE_CAPACIDADCABLE(BB526,H526,I526,M526,BX526,N526)</f>
        <v/>
      </c>
      <c r="BZ526" s="848" t="str">
        <f>IF(OR(BB526=0,H526="RE"),"",(DS526/BV526)*100)</f>
        <v/>
      </c>
      <c r="CA526" s="849" t="str" cm="1">
        <f t="array" ref="CA526">[1]!ACAELE_cabledetierra(BZ526,$M$9,I526,BW526,BX526,G526)</f>
        <v/>
      </c>
      <c r="CB526" s="849" t="str" cm="1">
        <f t="array" ref="CB526">[1]!ACAELE_TAMATUBERIA(BZ526,DU526,I525,M526,I526)</f>
        <v/>
      </c>
      <c r="CC526" s="852" t="str">
        <f>IF(DV526="","",DV526)</f>
        <v/>
      </c>
      <c r="CD526" s="851"/>
      <c r="CE526" s="851" t="str">
        <f>IF(OR(BB526=0,Q526=""),"",(EA526/BV526)*100)</f>
        <v/>
      </c>
      <c r="CF526" s="852"/>
      <c r="CG526" s="852"/>
      <c r="CH526" s="509" t="str">
        <f>IF(AND(CE526="",BZ526=""),"",IF(CE526="",0,CE526)+IF(BZ526="",0,BZ526))</f>
        <v/>
      </c>
      <c r="CI526" s="516">
        <f>CI524</f>
        <v>0</v>
      </c>
      <c r="CJ526" s="514">
        <f>CJ524</f>
        <v>0</v>
      </c>
      <c r="CK526" s="515">
        <f>CK524</f>
        <v>0</v>
      </c>
      <c r="CL526" s="949"/>
      <c r="CM526" s="949"/>
      <c r="CN526" s="949"/>
      <c r="CO526" s="910"/>
      <c r="CP526" s="950"/>
      <c r="CQ526" s="950"/>
      <c r="CR526" s="951" t="str">
        <f t="shared" si="234"/>
        <v>N/C</v>
      </c>
      <c r="CS526" s="952">
        <f>IF(BU526&gt;100,VLOOKUP($F$13,FCTEMP,3),VLOOKUP($F$13,FCTEMP,2))</f>
        <v>1</v>
      </c>
      <c r="CT526" s="953">
        <f>IF(H526="RE","",IF(M526=1,VLOOKUP(J526,FCATUBO,2),IF(M526=6,VLOOKUP(J526,FCADUCTO,2),1)))</f>
        <v>1</v>
      </c>
      <c r="CU526" s="914"/>
      <c r="CV526" s="915"/>
      <c r="CW526" s="916" t="str">
        <f>IF(BB526=0,"",IF(F526=3,((BT526*1000)/(1.73*BV526*DA526)),IF(AND(F526=2,G526=3),((BT526*1000)/(2*(BV526/1.73)*DA526)),((BT526*1000)/(BV526*DA526)))))</f>
        <v/>
      </c>
      <c r="CX526" s="917" t="str" cm="1">
        <f t="array" ref="CX526">[1]!ACAELE_Disparocalculado(BB526,H526,DL526,$N$21,$M$21,$O$21,BV526,$P$5)</f>
        <v/>
      </c>
      <c r="CY526" s="918" t="e">
        <f>IF(CR526="C",(BU526)/(CS526*CT526),BU526/(CS526*CT526))</f>
        <v>#VALUE!</v>
      </c>
      <c r="CZ526" s="919" t="str">
        <f>IF(OR(BB526=0,Q526=""),"",IF(CR526="C",(BU526)/(CS526*CU526),BU526/(CS526*CU526)))</f>
        <v/>
      </c>
      <c r="DA526" s="951">
        <v>0.8</v>
      </c>
      <c r="DB526" s="954">
        <f>SIN(ACOS(DA526))</f>
        <v>0.59999999999999987</v>
      </c>
      <c r="DC526" s="922" t="str" cm="1">
        <f t="array" ref="DC526">[1]!ACAELE_CONDPORTCORRIENTE(H526,BB526,I526,M526,CY526,CZ526,N526,$P$5)</f>
        <v/>
      </c>
      <c r="DD526" s="923" t="str" cm="1">
        <f t="array" ref="DD526">[1]!ACAELE_CAPACONDCORRIENTE(BB526,H526,I526,M526,CY526,CZ526,$P$5)</f>
        <v/>
      </c>
      <c r="DE526" s="923" t="str" cm="1">
        <f t="array" ref="DE526">[1]!ACAELE_CAPACIDADCABLE(BB526,H526,I526,M526,DC526,N526,$P$5)</f>
        <v/>
      </c>
      <c r="DF526" s="924" t="str" cm="1">
        <f t="array" ref="DF526">[1]!ACAELE_encontrarcaidaequipo(BB526,H526,L526,BV526,F526,BA526,N526,K526)</f>
        <v/>
      </c>
      <c r="DG526" s="925" t="str" cm="1">
        <f t="array" ref="DG526">[1]!ACAELE_Cablecaida(BB526,H526,M526,I526,DF526)</f>
        <v/>
      </c>
      <c r="DH526" s="918" t="str" cm="1">
        <f t="array" ref="DH526">[1]!ACAELE_CAPACIDADCABLE(BB526,H526,I526,M526,DG526,N526,$P$5)</f>
        <v/>
      </c>
      <c r="DI526" s="926" t="str">
        <f>IF(OR(BB526=0,Q526=""),"",((10*R526*BV526)/((IF(F526&gt;2,1.73,2)*(BU526/T526)*Q526))))</f>
        <v/>
      </c>
      <c r="DJ526" s="914"/>
      <c r="DK526" s="919" t="str" cm="1">
        <f t="array" ref="DK526">[1]!ACAELE_CAPACIDADCABLE(BB526,H526,I526,M526,DJ526,N526)</f>
        <v/>
      </c>
      <c r="DL526" s="955" t="str">
        <f>(IF(BB526=0,"",BA526*($G$18/100)))</f>
        <v/>
      </c>
      <c r="DM526" s="955" cm="1">
        <f t="array" ref="DM526">[1]!acaele_ProtCalculada(CX526,H526,BT526,BW526,$G$21,$F$21,$H$21,$P$5)</f>
        <v>0</v>
      </c>
      <c r="DN526" s="913" t="e" cm="1">
        <f t="array" ref="DN526">[1]!ACAELE_CableCalTab(BB526,H526,I526,M526,EF526,N526,BV526,DL526)</f>
        <v>#VALUE!</v>
      </c>
      <c r="DO526" s="956" t="str" cm="1">
        <f t="array" ref="DO526">[1]!ACAELE_RESISTENCIA(BB526,H526,M526,I526,BX526, CW526,$P$5)</f>
        <v/>
      </c>
      <c r="DP526" s="931" t="str" cm="1">
        <f t="array" ref="DP526">[1]!ACAELE_REACTANCIA(BB526,H526,$F$11,M526,I526,BX526,$P$5)</f>
        <v/>
      </c>
      <c r="DQ526" s="918" t="str" cm="1">
        <f t="array" ref="DQ526">[1]!ACAELE_DIAMECAISLA(BB526,H526,I526,BX526,$P$5)</f>
        <v/>
      </c>
      <c r="DR526" s="918" t="str" cm="1">
        <f t="array" ref="DR526">[1]!ACAELE_AREACAISLAMIENTO(BB526,H526,DQ526,$P$5)</f>
        <v/>
      </c>
      <c r="DS526" s="918" t="str" cm="1">
        <f t="array" ref="DS526">[1]!ACAELE_CAIDAVOLTSFINAL(BB526,H526,F526,K526,BU526,N526,DO526,DA526,DP526,DB526,$P$5)</f>
        <v/>
      </c>
      <c r="DT526" s="918" t="str" cm="1">
        <f t="array" ref="DT526">[1]!ACAELE_AREACONDPTE(BB526,H526,CA526,$P$5)</f>
        <v/>
      </c>
      <c r="DU526" s="918" t="str" cm="1">
        <f t="array" ref="DU526">[1]!ACAELE_AREATOTAL(BZ526,M526,EO526,N526,DQ526,G526,DR526,DT526,N$20,$P$5)</f>
        <v/>
      </c>
      <c r="DV526" s="926"/>
      <c r="DW526" s="926"/>
      <c r="DX526" s="926"/>
      <c r="DY526" s="935"/>
      <c r="DZ526" s="935" t="str">
        <f>IF(OR(BB526=0,Q526=""),"",3.1416*(DY526/2)*(DY526/2))</f>
        <v/>
      </c>
      <c r="EA526" s="935" t="str">
        <f>IF(OR(BB526=0,Q526=""),"",IF(F526&gt;2,1.73,2)*Q526*(BU526/T526)*(((DW526*DA526)+(DX526*DB526))/1000))</f>
        <v/>
      </c>
      <c r="EB526" s="919"/>
      <c r="EC526" s="935"/>
      <c r="ED526" s="675" t="str">
        <f>IF(OR(BB526=0,H526="RE"),"",VLOOKUP(BX526,nomenclaturacables,2,0))</f>
        <v/>
      </c>
      <c r="EE526" s="670"/>
      <c r="EF526" s="671" t="str">
        <f>IF(BB526=0,"",MAX(DM526/N526,BW526/N526,IF(DE526="",0,DE526/N526),DH526/N526))</f>
        <v/>
      </c>
      <c r="EG526" s="672">
        <f>MAX(DM526,IF(DE526="",0,DE526/N526),DK526)</f>
        <v>0</v>
      </c>
      <c r="EH526" s="673"/>
      <c r="EI526" s="958">
        <f t="shared" si="237"/>
        <v>30</v>
      </c>
      <c r="EJ526" s="959"/>
      <c r="EK526" s="959"/>
      <c r="EL526" s="959"/>
      <c r="EM526" s="959"/>
      <c r="EN526" s="960"/>
      <c r="EO526" s="550" t="str">
        <f>IF(BZ526="","",(G526*N526*DR526)/O526+DT526)</f>
        <v/>
      </c>
      <c r="EP526" s="431" t="s">
        <v>1476</v>
      </c>
      <c r="ER526" s="49"/>
      <c r="ET526" s="1" t="str">
        <f>IF($M$18="PE",IF($M$18="PE",IF(BW526="","",F526&amp;"P-"&amp;BW526&amp;" A"),""),"")</f>
        <v/>
      </c>
      <c r="EU526" s="1" t="str">
        <f>IF($M$18="PE",IF(BW526="","",G526*N526&amp;"-"&amp;BX526&amp;", "&amp;O526&amp;"-"&amp;CA526&amp;"T, "&amp;O526&amp;CB526),"")</f>
        <v/>
      </c>
      <c r="EV526" s="1" t="str">
        <f>IF($M$18="PE",IF(BW526="","",K526),"")</f>
        <v/>
      </c>
      <c r="EW526" s="3" t="str">
        <f>IF($M$18="PE",IF(BW526="","",G526*N526),"")</f>
        <v/>
      </c>
      <c r="EX526" s="3" t="str">
        <f>IF($M$18="PE",IF(BW526="","",BX526),"")</f>
        <v/>
      </c>
      <c r="EY526" s="3" t="str">
        <f>IF($M$18="PE",IF(BW526="","",O526),"")</f>
        <v/>
      </c>
      <c r="EZ526" s="3" t="str">
        <f>IF($M$18="PE",IF(BW526="","",CA526),"")</f>
        <v/>
      </c>
      <c r="FA526" s="3" t="str">
        <f>IF($M$18="PE",IF(BW526="","",O526),"")</f>
        <v/>
      </c>
      <c r="FB526" s="3" t="str">
        <f>IF($M$18="PE",IF(BW526="","",CB526),"")</f>
        <v/>
      </c>
      <c r="FC526" s="3">
        <f t="shared" si="235"/>
        <v>0</v>
      </c>
      <c r="FD526" s="732"/>
      <c r="FE526" s="732"/>
      <c r="FF526" s="733"/>
      <c r="FG526" s="732"/>
      <c r="FH526" s="733"/>
      <c r="FI526" s="732"/>
      <c r="FJ526" s="733"/>
      <c r="FM526" s="3" t="str">
        <f>FM518</f>
        <v>(PONER MANUAL)</v>
      </c>
      <c r="FX526" s="146">
        <f t="shared" si="239"/>
        <v>1</v>
      </c>
      <c r="FZ526" s="740" t="s">
        <v>2008</v>
      </c>
      <c r="GA526" s="736" t="str">
        <f>IF(TABLERO!$M$18=" ",FIXED(IF(TABLERO!$F$17&lt;&gt;"KVA",TABLERO!BB526*1000,TABLERO!BB526*1000/TABLERO!DA526),2)&amp;"+"&amp;FIXED(IF(TABLERO!$F$17&lt;&gt;"KVA",TABLERO!BT526*1000,TABLERO!BT526*1000/TABLERO!DA526),2)&amp;"+"&amp;IF(OR(TABLERO!BU526="",TABLERO!BU526=0),"",FIXED(TABLERO!BU526,2))&amp;"+"&amp;TABLERO!F526&amp;"+"&amp;TABLERO!G526&amp;"+"&amp;TABLERO!BV526&amp;"+"&amp;TABLERO!K526&amp;"+"&amp;TABLERO!J526&amp;"+"&amp;TABLERO!CT526&amp;"+"&amp;TABLERO!CS526&amp;"+"&amp;FIXED(TABLERO!CY526,2)&amp;"+"&amp;TABLERO!N526&amp;"+"&amp;IF(TABLERO!BB526=0,"",TABLERO!BX526&amp;" "&amp;TABLERO!ED526&amp;", "&amp;TABLERO!I526)&amp;"+"&amp;FIXED(TABLERO!BZ526,2)&amp;"+"&amp;TABLERO!CA526&amp;"+"&amp;TABLERO!CB526&amp;"+"&amp;FIXED(TABLERO!DL526,2)&amp;"+"&amp;TABLERO!F526&amp;"P-"&amp;TABLERO!BW526&amp;"A"&amp;"+"&amp;IF(TABLERO!CI526="-","     -     ",FIXED(IF(TABLERO!$F$17&lt;&gt;"KVA",TABLERO!CI526,TABLERO!CI526/TABLERO!$F$14),2))&amp;"+"&amp;IF(TABLERO!CJ526="-","     -     ",FIXED(IF(TABLERO!$F$17&lt;&gt;"KVA",TABLERO!CJ526,TABLERO!CJ526/TABLERO!$F$14),2))&amp;"+"&amp;IF(TABLERO!CK526="-","     -     ",FIXED(IF(TABLERO!$F$17&lt;&gt;"KVA",TABLERO!CK526,TABLERO!CK526/TABLERO!$F$14),2))&amp;"++++++++++"&amp;A526,"++++++++++++++++++++++++++++++")</f>
        <v>++++++++++++++++++++++++++++++</v>
      </c>
      <c r="GB526" s="49">
        <f>CUADROACAD!CU526</f>
        <v>0</v>
      </c>
      <c r="GM526" s="1" t="str">
        <f>J526*N526&amp;"-"&amp;BX526&amp; " "&amp;ED526&amp;" ("&amp;N526&amp;"xF-"&amp;N526&amp;"N), "&amp;O526&amp;"-"&amp;CA526&amp;"T "&amp;"AWG, "&amp;O526&amp;CB526</f>
        <v>0-REVISAR  (1xF-1N), 1-T AWG, 1</v>
      </c>
    </row>
    <row r="527" spans="2:196" ht="13.8" hidden="1" thickBot="1">
      <c r="B527" s="3"/>
      <c r="C527" s="3"/>
      <c r="D527" s="3"/>
      <c r="E527" s="3"/>
      <c r="F527" s="102"/>
      <c r="G527" s="102"/>
      <c r="H527" s="148" t="s">
        <v>1469</v>
      </c>
      <c r="I527" s="148" t="str">
        <f>DATOS!$F$23</f>
        <v>NOM</v>
      </c>
      <c r="J527" s="444"/>
      <c r="K527" s="445"/>
      <c r="L527" s="445"/>
      <c r="M527" s="446"/>
      <c r="N527" s="446"/>
      <c r="O527" s="446"/>
      <c r="P527" s="104"/>
      <c r="Q527" s="105"/>
      <c r="R527" s="105"/>
      <c r="S527" s="106"/>
      <c r="T527" s="106"/>
      <c r="U527" s="106"/>
      <c r="V527" s="107"/>
      <c r="W527" s="102"/>
      <c r="X527" s="31"/>
      <c r="Y527" s="31"/>
      <c r="Z527" s="31"/>
      <c r="AA527" s="31"/>
      <c r="AB527" s="31"/>
      <c r="AC527" s="31"/>
      <c r="AD527" s="31"/>
      <c r="AE527" s="31"/>
      <c r="AF527" s="31"/>
      <c r="AG527" s="31"/>
      <c r="AH527" s="31"/>
      <c r="AI527" s="31"/>
      <c r="AJ527" s="31"/>
      <c r="AK527" s="31"/>
      <c r="AL527" s="31"/>
      <c r="AM527" s="31"/>
      <c r="AN527" s="31"/>
      <c r="AO527" s="31"/>
      <c r="AP527" s="31"/>
      <c r="AQ527" s="31"/>
      <c r="AR527" s="31"/>
      <c r="AS527" s="31"/>
      <c r="AT527" s="31"/>
      <c r="AU527" s="31"/>
      <c r="AV527" s="31"/>
      <c r="AW527" s="31"/>
      <c r="AX527" s="31"/>
      <c r="AY527" s="136"/>
      <c r="AZ527" s="136"/>
      <c r="BA527" s="136"/>
      <c r="BB527" s="550"/>
      <c r="BC527" s="550"/>
      <c r="BD527" s="550"/>
      <c r="BE527" s="550"/>
      <c r="BF527" s="550"/>
      <c r="BG527" s="550"/>
      <c r="BH527" s="550"/>
      <c r="BI527" s="550"/>
      <c r="BJ527" s="550"/>
      <c r="BK527" s="550"/>
      <c r="BL527" s="550"/>
      <c r="BM527" s="550"/>
      <c r="BN527" s="550"/>
      <c r="BO527" s="550"/>
      <c r="BP527" s="550"/>
      <c r="BQ527" s="47"/>
      <c r="BR527" s="47"/>
      <c r="BS527" s="47"/>
      <c r="BT527" s="550"/>
      <c r="BU527" s="550"/>
      <c r="BV527" s="108"/>
      <c r="BW527" s="856"/>
      <c r="BX527" s="730"/>
      <c r="BY527" s="854"/>
      <c r="BZ527" s="854"/>
      <c r="CA527" s="730"/>
      <c r="CB527" s="146"/>
      <c r="CC527" s="730"/>
      <c r="CD527" s="857"/>
      <c r="CE527" s="857"/>
      <c r="CF527" s="730"/>
      <c r="CG527" s="730"/>
      <c r="CH527" s="421"/>
      <c r="CI527" s="424"/>
      <c r="CJ527" s="427"/>
      <c r="CK527" s="430"/>
      <c r="CL527" s="602"/>
      <c r="CM527" s="602"/>
      <c r="CN527" s="602"/>
      <c r="CO527" s="108"/>
      <c r="CP527" s="108"/>
      <c r="CQ527" s="108"/>
      <c r="CR527" s="690" t="str">
        <f t="shared" si="234"/>
        <v>N/C</v>
      </c>
      <c r="CS527" s="690"/>
      <c r="CT527" s="691"/>
      <c r="CU527" s="692"/>
      <c r="CV527" s="693"/>
      <c r="CW527" s="694"/>
      <c r="CX527" s="695"/>
      <c r="CY527" s="696"/>
      <c r="CZ527" s="697"/>
      <c r="DA527" s="690"/>
      <c r="DB527" s="698"/>
      <c r="DC527" s="699"/>
      <c r="DD527" s="700"/>
      <c r="DE527" s="700"/>
      <c r="DF527" s="701"/>
      <c r="DG527" s="702"/>
      <c r="DH527" s="696"/>
      <c r="DI527" s="703"/>
      <c r="DJ527" s="692"/>
      <c r="DK527" s="697"/>
      <c r="DL527" s="704"/>
      <c r="DM527" s="704"/>
      <c r="DN527" s="691"/>
      <c r="DO527" s="705"/>
      <c r="DP527" s="705"/>
      <c r="DQ527" s="696"/>
      <c r="DR527" s="696"/>
      <c r="DS527" s="696"/>
      <c r="DT527" s="696"/>
      <c r="DU527" s="696"/>
      <c r="DV527" s="703"/>
      <c r="DW527" s="703"/>
      <c r="DX527" s="703"/>
      <c r="DY527" s="697"/>
      <c r="DZ527" s="697"/>
      <c r="EA527" s="697"/>
      <c r="EB527" s="697"/>
      <c r="EC527" s="697"/>
      <c r="ED527" s="108"/>
      <c r="EE527" s="108"/>
      <c r="EF527" s="550"/>
      <c r="EG527" s="550"/>
      <c r="EI527" s="550"/>
      <c r="EO527" s="550"/>
      <c r="EP527" s="433"/>
      <c r="EW527" s="3"/>
      <c r="EX527" s="3"/>
      <c r="EY527" s="3"/>
      <c r="EZ527" s="3"/>
      <c r="FA527" s="3"/>
      <c r="FB527" s="3"/>
      <c r="FC527" s="3">
        <f t="shared" si="235"/>
        <v>0</v>
      </c>
      <c r="FD527" s="732"/>
      <c r="FE527" s="732"/>
      <c r="FF527" s="733"/>
      <c r="FG527" s="732"/>
      <c r="FH527" s="733"/>
      <c r="FI527" s="732"/>
      <c r="FJ527" s="733"/>
      <c r="FX527" s="146">
        <f t="shared" si="239"/>
        <v>1</v>
      </c>
      <c r="FZ527" s="740" t="s">
        <v>1813</v>
      </c>
      <c r="GA527" s="318" t="s">
        <v>1813</v>
      </c>
      <c r="GB527" s="49">
        <f>CUADROACAD!CU527</f>
        <v>0</v>
      </c>
    </row>
    <row r="528" spans="2:196" ht="13.8" hidden="1" thickBot="1">
      <c r="B528" s="971" t="s">
        <v>1477</v>
      </c>
      <c r="C528" s="972"/>
      <c r="D528" s="973"/>
      <c r="E528" s="22" t="str">
        <f>$M$18</f>
        <v>TB</v>
      </c>
      <c r="F528" s="34">
        <f>$F$10</f>
        <v>3</v>
      </c>
      <c r="G528" s="34">
        <f>$H$10</f>
        <v>4</v>
      </c>
      <c r="H528" s="34" t="str">
        <f>$M$18</f>
        <v>TB</v>
      </c>
      <c r="I528" s="34" t="str">
        <f>I518</f>
        <v>CU</v>
      </c>
      <c r="J528" s="442">
        <f>G528</f>
        <v>4</v>
      </c>
      <c r="K528" s="439">
        <v>35</v>
      </c>
      <c r="L528" s="439">
        <f>5-$CH$26</f>
        <v>5</v>
      </c>
      <c r="M528" s="440">
        <f>$M$116</f>
        <v>1</v>
      </c>
      <c r="N528" s="440">
        <f>$N$116</f>
        <v>1</v>
      </c>
      <c r="O528" s="440">
        <f>$O$116</f>
        <v>1</v>
      </c>
      <c r="P528" s="44">
        <v>6</v>
      </c>
      <c r="Q528" s="37"/>
      <c r="R528" s="37">
        <v>2</v>
      </c>
      <c r="S528" s="38">
        <v>1</v>
      </c>
      <c r="T528" s="38">
        <v>1</v>
      </c>
      <c r="U528" s="38">
        <v>1</v>
      </c>
      <c r="V528" s="707">
        <v>1</v>
      </c>
      <c r="W528" s="708" t="s">
        <v>1467</v>
      </c>
      <c r="X528" s="167"/>
      <c r="Y528" s="167"/>
      <c r="Z528" s="167"/>
      <c r="AA528" s="167"/>
      <c r="AB528" s="167"/>
      <c r="AC528" s="167"/>
      <c r="AD528" s="167"/>
      <c r="AE528" s="167"/>
      <c r="AF528" s="167"/>
      <c r="AG528" s="167"/>
      <c r="AH528" s="167"/>
      <c r="AI528" s="167"/>
      <c r="AJ528" s="167"/>
      <c r="AK528" s="167"/>
      <c r="AL528" s="167"/>
      <c r="AM528" s="167"/>
      <c r="AN528" s="167"/>
      <c r="AO528" s="167"/>
      <c r="AP528" s="167"/>
      <c r="AQ528" s="167"/>
      <c r="AR528" s="167"/>
      <c r="AS528" s="167"/>
      <c r="AT528" s="167"/>
      <c r="AU528" s="167"/>
      <c r="AV528" s="167"/>
      <c r="AW528" s="167"/>
      <c r="AX528" s="167"/>
      <c r="AY528" s="168">
        <f>VLOOKUP(CY$141*BV528*(IF(F528=3,1.73,IF(AND(F528=2,G528=3),(2/1.73),1)))/1000,' '!$A$791:$B$823,2)*DA528/0.9</f>
        <v>3</v>
      </c>
      <c r="AZ528" s="709">
        <f>AY528*0.9</f>
        <v>2.7</v>
      </c>
      <c r="BA528" s="709">
        <f>IF(F528=3,((AZ528*1000)/(1.73*BV528*DA528)),IF(AND(F528=2,G528=3),((AZ528*1000)/(2*(BV528/1.73)*DA528)),((AZ528*1000)/(BV528*DA528))))</f>
        <v>7.8822911192853384</v>
      </c>
      <c r="BB528" s="710">
        <f>BB518</f>
        <v>0</v>
      </c>
      <c r="BC528" s="711">
        <f t="shared" ref="BC528:BP528" si="242">BC526</f>
        <v>0</v>
      </c>
      <c r="BD528" s="711">
        <f t="shared" si="242"/>
        <v>0</v>
      </c>
      <c r="BE528" s="711">
        <f t="shared" si="242"/>
        <v>0</v>
      </c>
      <c r="BF528" s="711">
        <f t="shared" si="242"/>
        <v>0</v>
      </c>
      <c r="BG528" s="711">
        <f t="shared" si="242"/>
        <v>0</v>
      </c>
      <c r="BH528" s="711">
        <f t="shared" si="242"/>
        <v>0</v>
      </c>
      <c r="BI528" s="711">
        <f t="shared" si="242"/>
        <v>0</v>
      </c>
      <c r="BJ528" s="711">
        <f t="shared" si="242"/>
        <v>0</v>
      </c>
      <c r="BK528" s="711">
        <f t="shared" si="242"/>
        <v>0</v>
      </c>
      <c r="BL528" s="711">
        <f t="shared" si="242"/>
        <v>0</v>
      </c>
      <c r="BM528" s="711">
        <f t="shared" si="242"/>
        <v>0</v>
      </c>
      <c r="BN528" s="711">
        <f t="shared" si="242"/>
        <v>0</v>
      </c>
      <c r="BO528" s="711">
        <f t="shared" si="242"/>
        <v>0</v>
      </c>
      <c r="BP528" s="711">
        <f t="shared" si="242"/>
        <v>0</v>
      </c>
      <c r="BQ528" s="169">
        <f>BQ526</f>
        <v>0</v>
      </c>
      <c r="BR528" s="170">
        <f>BR526</f>
        <v>0</v>
      </c>
      <c r="BS528" s="170">
        <f>BS526</f>
        <v>0</v>
      </c>
      <c r="BT528" s="48">
        <f>BT518</f>
        <v>0</v>
      </c>
      <c r="BU528" s="48" t="str">
        <f>IF(CW528="","",CW528)</f>
        <v/>
      </c>
      <c r="BV528" s="171">
        <f>IF(F528=1,$H$9,$F$9)</f>
        <v>220</v>
      </c>
      <c r="BW528" s="855" t="str">
        <f>IF(CX528="","",CX528)</f>
        <v/>
      </c>
      <c r="BX528" s="957" t="str">
        <f>IFERROR(IF(DN528="","",DN528), "REVISAR")</f>
        <v>REVISAR</v>
      </c>
      <c r="BY528" s="848" t="str" cm="1">
        <f t="array" ref="BY528">[1]!ACAELE_CAPACIDADCABLE(BB528,H528,I528,M528,BX528,N528)</f>
        <v/>
      </c>
      <c r="BZ528" s="848" t="str">
        <f>IF(OR(BB528=0,H528="RE"),"",(DS528/BV528)*100)</f>
        <v/>
      </c>
      <c r="CA528" s="849" t="str" cm="1">
        <f t="array" ref="CA528">[1]!ACAELE_cabledetierra(BZ528,$M$9,I528,BW528,BX528,G528)</f>
        <v/>
      </c>
      <c r="CB528" s="849" t="str" cm="1">
        <f t="array" ref="CB528">[1]!ACAELE_TAMATUBERIA(BZ528,DU528,I527,M528,I528)</f>
        <v/>
      </c>
      <c r="CC528" s="852" t="str">
        <f>IF(DV528="","",DV528)</f>
        <v/>
      </c>
      <c r="CD528" s="851"/>
      <c r="CE528" s="851" t="str">
        <f>IF(OR(BB528=0,Q528=""),"",(EA528/BV528)*100)</f>
        <v/>
      </c>
      <c r="CF528" s="852"/>
      <c r="CG528" s="852"/>
      <c r="CH528" s="509" t="str">
        <f>IF(AND(CE528="",BZ528=""),"",IF(CE528="",0,CE528)+IF(BZ528="",0,BZ528))</f>
        <v/>
      </c>
      <c r="CI528" s="516">
        <f>CI526</f>
        <v>0</v>
      </c>
      <c r="CJ528" s="514">
        <f>CJ526</f>
        <v>0</v>
      </c>
      <c r="CK528" s="515">
        <f>CK526</f>
        <v>0</v>
      </c>
      <c r="CL528" s="949"/>
      <c r="CM528" s="949"/>
      <c r="CN528" s="949"/>
      <c r="CO528" s="910"/>
      <c r="CP528" s="950"/>
      <c r="CQ528" s="950"/>
      <c r="CR528" s="951" t="str">
        <f t="shared" si="234"/>
        <v>N/C</v>
      </c>
      <c r="CS528" s="952">
        <f>IF(BU528&gt;100,VLOOKUP($F$13,FCTEMP,3),VLOOKUP($F$13,FCTEMP,2))</f>
        <v>1</v>
      </c>
      <c r="CT528" s="953">
        <f>IF(H528="RE","",IF(M528=1,VLOOKUP(J528,FCATUBO,2),IF(M528=6,VLOOKUP(J528,FCADUCTO,2),1)))</f>
        <v>0.8</v>
      </c>
      <c r="CU528" s="914"/>
      <c r="CV528" s="915"/>
      <c r="CW528" s="916" t="str">
        <f>IF(BB528=0,"",IF(F528=3,((BT528*1000)/(1.73*BV528*DA528)),IF(AND(F528=2,G528=3),((BT528*1000)/(2*(BV528/1.73)*DA528)),((BT528*1000)/(BV528*DA528)))))</f>
        <v/>
      </c>
      <c r="CX528" s="917" t="str" cm="1">
        <f t="array" ref="CX528">[1]!ACAELE_Disparocalculado(BB528,H528,DL528,$N$21,$M$21,$O$21,BV528,$P$5)</f>
        <v/>
      </c>
      <c r="CY528" s="918" t="e">
        <f>IF(CR528="C",(BU528)/(CS528*CT528),BU528/(CS528*CT528))</f>
        <v>#VALUE!</v>
      </c>
      <c r="CZ528" s="919" t="str">
        <f>IF(OR(BB528=0,Q528=""),"",IF(CR528="C",(BU528)/(CS528*CU528),BU528/(CS528*CU528)))</f>
        <v/>
      </c>
      <c r="DA528" s="951">
        <f>$F$14</f>
        <v>0.9</v>
      </c>
      <c r="DB528" s="954">
        <f>SIN(ACOS(DA528))</f>
        <v>0.43588989435406728</v>
      </c>
      <c r="DC528" s="922" t="str" cm="1">
        <f t="array" ref="DC528">[1]!ACAELE_CONDPORTCORRIENTE(H528,BB528,I528,M528,CY528,CZ528,N528,$P$5)</f>
        <v/>
      </c>
      <c r="DD528" s="923" t="str" cm="1">
        <f t="array" ref="DD528">[1]!ACAELE_CAPACONDCORRIENTE(BB528,H528,I528,M528,CY528,CZ528,$P$5)</f>
        <v/>
      </c>
      <c r="DE528" s="923" t="str" cm="1">
        <f t="array" ref="DE528">[1]!ACAELE_CAPACIDADCABLE(BB528,H528,I528,M528,DC528,N528,$P$5)</f>
        <v/>
      </c>
      <c r="DF528" s="924" t="str" cm="1">
        <f t="array" ref="DF528">[1]!ACAELE_encontrarcaidaequipo(BB528,H528,L528,BV528,F528,BA528,N528,K528)</f>
        <v/>
      </c>
      <c r="DG528" s="925" t="str" cm="1">
        <f t="array" ref="DG528">[1]!ACAELE_Cablecaida(BB528,H528,M528,I528,DF528)</f>
        <v/>
      </c>
      <c r="DH528" s="918" t="str" cm="1">
        <f t="array" ref="DH528">[1]!ACAELE_CAPACIDADCABLE(BB528,H528,I528,M528,DG528,N528,$P$5)</f>
        <v/>
      </c>
      <c r="DI528" s="926" t="str">
        <f>IF(OR(BB528=0,Q528=""),"",((10*R528*BV528)/((IF(F528&gt;2,1.73,2)*(BU528/T528)*Q528))))</f>
        <v/>
      </c>
      <c r="DJ528" s="914"/>
      <c r="DK528" s="919" t="str" cm="1">
        <f t="array" ref="DK528">[1]!ACAELE_CAPACIDADCABLE(BB528,H528,I528,M528,DJ528,N528)</f>
        <v/>
      </c>
      <c r="DL528" s="955" t="str">
        <f>(IF(BB528=0,"",BA528*($G$18/100)))</f>
        <v/>
      </c>
      <c r="DM528" s="955" cm="1">
        <f t="array" ref="DM528">[1]!acaele_ProtCalculada(CX528,H528,BT528,BW528,$G$21,$F$21,$H$21,$P$5)</f>
        <v>30</v>
      </c>
      <c r="DN528" s="913" t="e" cm="1">
        <f t="array" ref="DN528">[1]!ACAELE_CableCalTab(BB528,H528,I528,M528,EF528,N528,BV528,DL528)</f>
        <v>#VALUE!</v>
      </c>
      <c r="DO528" s="956" t="str" cm="1">
        <f t="array" ref="DO528">[1]!ACAELE_RESISTENCIA(BB528,H528,M528,I528,BX528, CW528,$P$5)</f>
        <v/>
      </c>
      <c r="DP528" s="931" t="str" cm="1">
        <f t="array" ref="DP528">[1]!ACAELE_REACTANCIA(BB528,H528,$F$11,M528,I528,BX528,$P$5)</f>
        <v/>
      </c>
      <c r="DQ528" s="918" t="str" cm="1">
        <f t="array" ref="DQ528">[1]!ACAELE_DIAMECAISLA(BB528,H528,I528,BX528,$P$5)</f>
        <v/>
      </c>
      <c r="DR528" s="918" t="str" cm="1">
        <f t="array" ref="DR528">[1]!ACAELE_AREACAISLAMIENTO(BB528,H528,DQ528,$P$5)</f>
        <v/>
      </c>
      <c r="DS528" s="918" t="str" cm="1">
        <f t="array" ref="DS528">[1]!ACAELE_CAIDAVOLTSFINAL(BB528,H528,F528,K528,BU528,N528,DO528,DA528,DP528,DB528,$P$5)</f>
        <v/>
      </c>
      <c r="DT528" s="918" t="str" cm="1">
        <f t="array" ref="DT528">[1]!ACAELE_AREACONDPTE(BB528,H528,CA528,$P$5)</f>
        <v/>
      </c>
      <c r="DU528" s="918" t="str" cm="1">
        <f t="array" ref="DU528">[1]!ACAELE_AREATOTAL(BZ528,M528,EO528,N528,DQ528,G528,DR528,DT528,N$20,$P$5)</f>
        <v/>
      </c>
      <c r="DV528" s="926"/>
      <c r="DW528" s="926"/>
      <c r="DX528" s="926"/>
      <c r="DY528" s="935"/>
      <c r="DZ528" s="935" t="str">
        <f>IF(OR(BB528=0,Q528=""),"",3.1416*(DY528/2)*(DY528/2))</f>
        <v/>
      </c>
      <c r="EA528" s="935" t="str">
        <f>IF(OR(BB528=0,Q528=""),"",IF(F528&gt;2,1.73,2)*Q528*(BU528/T528)*(((DW528*DA528)+(DX528*DB528))/1000))</f>
        <v/>
      </c>
      <c r="EB528" s="919"/>
      <c r="EC528" s="935"/>
      <c r="ED528" s="675" t="str">
        <f>IF(OR(BB528=0,H528="RE"),"",VLOOKUP(BX528,nomenclaturacables,2,0))</f>
        <v/>
      </c>
      <c r="EE528" s="670"/>
      <c r="EF528" s="671" t="str">
        <f>IF(BB528=0,"",MAX(DM528/N528,BW528/N528,IF(DE528="",0,DE528/N528),DH528/N528))</f>
        <v/>
      </c>
      <c r="EG528" s="672">
        <f>MAX(DM528,IF(DE528="",0,DE528/N528),DK528)</f>
        <v>30</v>
      </c>
      <c r="EH528" s="673"/>
      <c r="EI528" s="942">
        <f>$F$13</f>
        <v>30</v>
      </c>
      <c r="EJ528" s="947"/>
      <c r="EK528" s="947"/>
      <c r="EL528" s="947"/>
      <c r="EM528" s="947"/>
      <c r="EN528" s="948"/>
      <c r="EO528" s="550" t="str">
        <f>IF(BZ528="","",(G528*N528*DR528)/O528+DT528)</f>
        <v/>
      </c>
      <c r="EP528" s="431" t="str">
        <f>IF($F$12="I",IF($E$126="UPS","DIA-AUPS","DIA-AREG"),IF($E$126="UPS","DIA-AUPS","DIA-AREG")&amp;"Z")</f>
        <v>DIA-AREG</v>
      </c>
      <c r="ET528" s="1" t="str">
        <f>IF($M$18="TR",IF(BW528="","",F528&amp;"P-"&amp;BW528&amp;" A"),"")</f>
        <v/>
      </c>
      <c r="EU528" s="1" t="str">
        <f>IF($M$18="TR",IF(BW528="","",G528*N528&amp;"-"&amp;BX528&amp;", "&amp;O528&amp;"-"&amp;CA528&amp;"T, "&amp;O528&amp;CB528),"")</f>
        <v/>
      </c>
      <c r="EV528" s="1" t="str">
        <f>IF($M$18="TR",IF($M$18="TR",IF(BW528="","",K528),""),"")</f>
        <v/>
      </c>
      <c r="EW528" s="3" t="str">
        <f>IF($M$18="TR",IF(BW528="","",G528*N528),"")</f>
        <v/>
      </c>
      <c r="EX528" s="3" t="str">
        <f>IF($M$18="TR",IF(BW528="","",BX528),"")</f>
        <v/>
      </c>
      <c r="EY528" s="3" t="str">
        <f>IF($M$18="TR",IF(BW528="","",O528),"")</f>
        <v/>
      </c>
      <c r="EZ528" s="3" t="str">
        <f>IF($M$18="TR",IF(BW528="","",CA528),"")</f>
        <v/>
      </c>
      <c r="FA528" s="3" t="str">
        <f>IF($M$18="TR",IF(BW528="","",O528),"")</f>
        <v/>
      </c>
      <c r="FB528" s="3" t="str">
        <f>IF($M$18="TR",IF(BW528="","",CB528),"")</f>
        <v/>
      </c>
      <c r="FC528" s="3">
        <f t="shared" si="235"/>
        <v>0</v>
      </c>
      <c r="FD528" s="732"/>
      <c r="FE528" s="732"/>
      <c r="FF528" s="733"/>
      <c r="FG528" s="732"/>
      <c r="FH528" s="733"/>
      <c r="FI528" s="732"/>
      <c r="FJ528" s="733"/>
      <c r="FM528" s="3" t="str">
        <f>FM518</f>
        <v>(PONER MANUAL)</v>
      </c>
      <c r="FX528" s="146">
        <f t="shared" si="239"/>
        <v>1</v>
      </c>
      <c r="FZ528" s="740" t="s">
        <v>2009</v>
      </c>
      <c r="GA528" s="736" t="str">
        <f>IF(OR(TABLERO!$M$18= "UPS", TABLERO!$M$18="REG"),FIXED(IF(TABLERO!$F$17&lt;&gt;"KVA",TABLERO!BB528*1000,TABLERO!BB528*1000/TABLERO!DA528),2)&amp;"+"&amp;FIXED(IF(TABLERO!$F$17&lt;&gt;"KVA",TABLERO!BT528*1000,TABLERO!BT528*1000/TABLERO!DA528),2)&amp;"+"&amp;IF(OR(TABLERO!BU528="",TABLERO!BU528=0),"",FIXED(TABLERO!BU528,2))&amp;"+"&amp;TABLERO!F528&amp;"+"&amp;TABLERO!G528&amp;"+"&amp;TABLERO!BV528&amp;"+"&amp;TABLERO!K528&amp;"+"&amp;TABLERO!J528&amp;"+"&amp;TABLERO!CT528&amp;"+"&amp;TABLERO!CS528&amp;"+"&amp;FIXED(TABLERO!CY528,2)&amp;"+"&amp;TABLERO!N528&amp;"+"&amp;IF(TABLERO!BB528=0,"",TABLERO!BX528&amp;" "&amp;TABLERO!ED528&amp;", "&amp;TABLERO!I528)&amp;"+"&amp;FIXED(TABLERO!BZ528,2)&amp;"+"&amp;TABLERO!CA528&amp;"+"&amp;TABLERO!CB528&amp;"+"&amp;FIXED(TABLERO!DL528,2)&amp;"+"&amp;TABLERO!F528&amp;"P-"&amp;TABLERO!BW528&amp;"A"&amp;"+"&amp;IF(TABLERO!CI528="-","     -     ",FIXED(IF(TABLERO!$F$17&lt;&gt;"KVA",TABLERO!CI528,TABLERO!CI528/TABLERO!$F$14),2))&amp;"+"&amp;IF(TABLERO!CJ528="-","     -     ",FIXED(IF(TABLERO!$F$17&lt;&gt;"KVA",TABLERO!CJ528,TABLERO!CJ528/TABLERO!$F$14),2))&amp;"+"&amp;IF(TABLERO!CK528="-","     -     ",FIXED(IF(TABLERO!$F$17&lt;&gt;"KVA",TABLERO!CK528,TABLERO!CK528/TABLERO!$F$14),2))&amp;"++++++++++1","++++++++++++++++++++++++++++++")</f>
        <v>++++++++++++++++++++++++++++++</v>
      </c>
      <c r="GB528" s="49">
        <f>CUADROACAD!CU528</f>
        <v>0</v>
      </c>
      <c r="GM528" s="1" t="str">
        <f>J528*N528&amp;"-"&amp;BX528&amp; " "&amp;ED528&amp;" ("&amp;N528&amp;"xF-"&amp;N528&amp;"N), "&amp;O528&amp;"-"&amp;CA528&amp;"T "&amp;"AWG, "&amp;O528&amp;CB528</f>
        <v>4-REVISAR  (1xF-1N), 1-T AWG, 1</v>
      </c>
    </row>
    <row r="529" spans="2:195" ht="13.8" hidden="1" thickBot="1">
      <c r="B529" s="3"/>
      <c r="C529" s="3"/>
      <c r="D529" s="3"/>
      <c r="E529" s="3"/>
      <c r="F529" s="102"/>
      <c r="G529" s="102"/>
      <c r="H529" s="148" t="s">
        <v>1469</v>
      </c>
      <c r="I529" s="148" t="str">
        <f>DATOS!$F$23</f>
        <v>NOM</v>
      </c>
      <c r="J529" s="444"/>
      <c r="K529" s="445"/>
      <c r="L529" s="445"/>
      <c r="M529" s="446"/>
      <c r="N529" s="446"/>
      <c r="O529" s="446"/>
      <c r="P529" s="104"/>
      <c r="Q529" s="105"/>
      <c r="R529" s="105"/>
      <c r="S529" s="106"/>
      <c r="T529" s="106"/>
      <c r="U529" s="106"/>
      <c r="V529" s="107"/>
      <c r="W529" s="102"/>
      <c r="X529" s="31"/>
      <c r="Y529" s="31"/>
      <c r="Z529" s="31"/>
      <c r="AA529" s="31"/>
      <c r="AB529" s="31"/>
      <c r="AC529" s="31"/>
      <c r="AD529" s="31"/>
      <c r="AE529" s="31"/>
      <c r="AF529" s="31"/>
      <c r="AG529" s="31"/>
      <c r="AH529" s="31"/>
      <c r="AI529" s="31"/>
      <c r="AJ529" s="31"/>
      <c r="AK529" s="31"/>
      <c r="AL529" s="31"/>
      <c r="AM529" s="31"/>
      <c r="AN529" s="31"/>
      <c r="AO529" s="31"/>
      <c r="AP529" s="31"/>
      <c r="AQ529" s="31"/>
      <c r="AR529" s="31"/>
      <c r="AS529" s="31"/>
      <c r="AT529" s="31"/>
      <c r="AU529" s="31"/>
      <c r="AV529" s="31"/>
      <c r="AW529" s="31"/>
      <c r="AX529" s="31"/>
      <c r="AY529" s="136"/>
      <c r="AZ529" s="136"/>
      <c r="BA529" s="136"/>
      <c r="BB529" s="550"/>
      <c r="BC529" s="550"/>
      <c r="BD529" s="550"/>
      <c r="BE529" s="550"/>
      <c r="BF529" s="550"/>
      <c r="BG529" s="550"/>
      <c r="BH529" s="550"/>
      <c r="BI529" s="550"/>
      <c r="BJ529" s="550"/>
      <c r="BK529" s="550"/>
      <c r="BL529" s="550"/>
      <c r="BM529" s="550"/>
      <c r="BN529" s="550"/>
      <c r="BO529" s="550"/>
      <c r="BP529" s="550"/>
      <c r="BQ529" s="47"/>
      <c r="BR529" s="47"/>
      <c r="BS529" s="47"/>
      <c r="BT529" s="550"/>
      <c r="BU529" s="550"/>
      <c r="BV529" s="3"/>
      <c r="BW529" s="856"/>
      <c r="BX529" s="730"/>
      <c r="BY529" s="854"/>
      <c r="BZ529" s="854"/>
      <c r="CA529" s="730"/>
      <c r="CB529" s="146"/>
      <c r="CC529" s="730"/>
      <c r="CD529" s="857"/>
      <c r="CE529" s="857"/>
      <c r="CF529" s="730"/>
      <c r="CG529" s="730"/>
      <c r="CH529" s="421"/>
      <c r="CI529" s="424"/>
      <c r="CJ529" s="427"/>
      <c r="CK529" s="430"/>
      <c r="CL529" s="602"/>
      <c r="CM529" s="602"/>
      <c r="CN529" s="602"/>
      <c r="CO529" s="108"/>
      <c r="CP529" s="108"/>
      <c r="CQ529" s="108"/>
      <c r="CR529" s="690"/>
      <c r="CS529" s="690"/>
      <c r="CT529" s="691"/>
      <c r="CU529" s="692"/>
      <c r="CV529" s="693"/>
      <c r="CW529" s="694"/>
      <c r="CX529" s="695"/>
      <c r="CY529" s="696"/>
      <c r="CZ529" s="697"/>
      <c r="DA529" s="690"/>
      <c r="DB529" s="698"/>
      <c r="DC529" s="699"/>
      <c r="DD529" s="700"/>
      <c r="DE529" s="700"/>
      <c r="DF529" s="701"/>
      <c r="DG529" s="702"/>
      <c r="DH529" s="696"/>
      <c r="DI529" s="703"/>
      <c r="DJ529" s="692"/>
      <c r="DK529" s="697"/>
      <c r="DL529" s="704"/>
      <c r="DM529" s="704"/>
      <c r="DN529" s="691"/>
      <c r="DO529" s="705"/>
      <c r="DP529" s="705"/>
      <c r="DQ529" s="696"/>
      <c r="DR529" s="696"/>
      <c r="DS529" s="696"/>
      <c r="DT529" s="696"/>
      <c r="DU529" s="696"/>
      <c r="DV529" s="703"/>
      <c r="DW529" s="703"/>
      <c r="DX529" s="703"/>
      <c r="DY529" s="697"/>
      <c r="DZ529" s="697"/>
      <c r="EA529" s="697"/>
      <c r="EB529" s="697"/>
      <c r="EC529" s="697"/>
      <c r="ED529" s="108"/>
      <c r="EE529" s="108"/>
      <c r="EF529" s="550"/>
      <c r="EG529" s="550"/>
      <c r="EI529" s="550"/>
      <c r="EO529" s="550"/>
      <c r="EP529" s="433"/>
      <c r="EW529" s="3"/>
      <c r="EX529" s="3"/>
      <c r="EY529" s="3"/>
      <c r="EZ529" s="3"/>
      <c r="FA529" s="3"/>
      <c r="FB529" s="3"/>
      <c r="FC529" s="3">
        <f t="shared" si="235"/>
        <v>0</v>
      </c>
      <c r="FD529" s="732"/>
      <c r="FE529" s="732"/>
      <c r="FF529" s="733"/>
      <c r="FG529" s="732"/>
      <c r="FH529" s="733"/>
      <c r="FI529" s="732"/>
      <c r="FJ529" s="733"/>
      <c r="FX529" s="146">
        <f t="shared" si="239"/>
        <v>1</v>
      </c>
      <c r="FZ529" s="740" t="s">
        <v>1813</v>
      </c>
      <c r="GA529" s="318" t="s">
        <v>1813</v>
      </c>
      <c r="GB529" s="49">
        <f>CUADROACAD!CU529</f>
        <v>0</v>
      </c>
    </row>
    <row r="530" spans="2:195" ht="13.8" hidden="1" thickBot="1">
      <c r="B530" s="971" t="s">
        <v>1478</v>
      </c>
      <c r="C530" s="972"/>
      <c r="D530" s="973"/>
      <c r="E530" s="22" t="str">
        <f>$M$18</f>
        <v>TB</v>
      </c>
      <c r="F530" s="34">
        <f>$F$10</f>
        <v>3</v>
      </c>
      <c r="G530" s="34">
        <f>$H$10</f>
        <v>4</v>
      </c>
      <c r="H530" s="34" t="str">
        <f>$M$18</f>
        <v>TB</v>
      </c>
      <c r="I530" s="731" t="str">
        <f>$F$16</f>
        <v>CU</v>
      </c>
      <c r="J530" s="442">
        <f>G530</f>
        <v>4</v>
      </c>
      <c r="K530" s="439">
        <v>30</v>
      </c>
      <c r="L530" s="439">
        <f>5-$CH$26</f>
        <v>5</v>
      </c>
      <c r="M530" s="440">
        <f>$M$116</f>
        <v>1</v>
      </c>
      <c r="N530" s="440">
        <f>$N$116</f>
        <v>1</v>
      </c>
      <c r="O530" s="440">
        <f>$O$116</f>
        <v>1</v>
      </c>
      <c r="P530" s="44">
        <v>6</v>
      </c>
      <c r="Q530" s="37"/>
      <c r="R530" s="37">
        <v>2</v>
      </c>
      <c r="S530" s="38">
        <v>1</v>
      </c>
      <c r="T530" s="38">
        <v>1</v>
      </c>
      <c r="U530" s="38">
        <v>1</v>
      </c>
      <c r="V530" s="707">
        <v>1</v>
      </c>
      <c r="W530" s="708" t="s">
        <v>1467</v>
      </c>
      <c r="X530" s="167"/>
      <c r="Y530" s="167"/>
      <c r="Z530" s="167"/>
      <c r="AA530" s="167"/>
      <c r="AB530" s="167"/>
      <c r="AC530" s="167"/>
      <c r="AD530" s="167"/>
      <c r="AE530" s="167"/>
      <c r="AF530" s="167"/>
      <c r="AG530" s="167"/>
      <c r="AH530" s="167"/>
      <c r="AI530" s="167"/>
      <c r="AJ530" s="167"/>
      <c r="AK530" s="167"/>
      <c r="AL530" s="167"/>
      <c r="AM530" s="167"/>
      <c r="AN530" s="167"/>
      <c r="AO530" s="167"/>
      <c r="AP530" s="167"/>
      <c r="AQ530" s="167"/>
      <c r="AR530" s="167"/>
      <c r="AS530" s="167"/>
      <c r="AT530" s="167"/>
      <c r="AU530" s="167"/>
      <c r="AV530" s="167"/>
      <c r="AW530" s="167"/>
      <c r="AX530" s="167"/>
      <c r="AY530" s="168"/>
      <c r="AZ530" s="709">
        <f>AZ528</f>
        <v>2.7</v>
      </c>
      <c r="BA530" s="709">
        <f>IF(F530=3,((AZ530*1000)/(1.73*BV530*DA530)),IF(AND(F530=2,G530=3),((AZ530*1000)/(2*(BV530/1.73)*DA530)),((AZ530*1000)/(BV530*DA530))))</f>
        <v>7.8822911192853384</v>
      </c>
      <c r="BB530" s="710">
        <f>BB528</f>
        <v>0</v>
      </c>
      <c r="BC530" s="711">
        <f t="shared" ref="BC530:BP530" si="243">BC528</f>
        <v>0</v>
      </c>
      <c r="BD530" s="711">
        <f t="shared" si="243"/>
        <v>0</v>
      </c>
      <c r="BE530" s="711">
        <f t="shared" si="243"/>
        <v>0</v>
      </c>
      <c r="BF530" s="711">
        <f t="shared" si="243"/>
        <v>0</v>
      </c>
      <c r="BG530" s="711">
        <f t="shared" si="243"/>
        <v>0</v>
      </c>
      <c r="BH530" s="711">
        <f t="shared" si="243"/>
        <v>0</v>
      </c>
      <c r="BI530" s="711">
        <f t="shared" si="243"/>
        <v>0</v>
      </c>
      <c r="BJ530" s="711">
        <f t="shared" si="243"/>
        <v>0</v>
      </c>
      <c r="BK530" s="711">
        <f t="shared" si="243"/>
        <v>0</v>
      </c>
      <c r="BL530" s="711">
        <f t="shared" si="243"/>
        <v>0</v>
      </c>
      <c r="BM530" s="711">
        <f t="shared" si="243"/>
        <v>0</v>
      </c>
      <c r="BN530" s="711">
        <f t="shared" si="243"/>
        <v>0</v>
      </c>
      <c r="BO530" s="711">
        <f t="shared" si="243"/>
        <v>0</v>
      </c>
      <c r="BP530" s="711">
        <f t="shared" si="243"/>
        <v>0</v>
      </c>
      <c r="BQ530" s="169">
        <f>BQ528</f>
        <v>0</v>
      </c>
      <c r="BR530" s="170">
        <f>BR528</f>
        <v>0</v>
      </c>
      <c r="BS530" s="170">
        <f>BS528</f>
        <v>0</v>
      </c>
      <c r="BT530" s="48">
        <f>BT518</f>
        <v>0</v>
      </c>
      <c r="BU530" s="48" t="str">
        <f>IF(CW530="","",CW530)</f>
        <v/>
      </c>
      <c r="BV530" s="715">
        <f>BV528</f>
        <v>220</v>
      </c>
      <c r="BW530" s="855" t="str">
        <f>IF(CX530="","",CX530)</f>
        <v/>
      </c>
      <c r="BX530" s="957" t="str">
        <f>IFERROR(IF(DN530="","",DN530), "REVISAR")</f>
        <v>REVISAR</v>
      </c>
      <c r="BY530" s="848" t="str" cm="1">
        <f t="array" ref="BY530">[1]!ACAELE_CAPACIDADCABLE(BB530,H530,I530,M530,BX530,N530)</f>
        <v/>
      </c>
      <c r="BZ530" s="848" t="str">
        <f>IF(OR(BB530=0,H530="RE"),"",(DS530/BV530)*100)</f>
        <v/>
      </c>
      <c r="CA530" s="849" t="str" cm="1">
        <f t="array" ref="CA530">[1]!ACAELE_cabledetierra(BZ530,$M$9,I530,BW530,BX530,G530)</f>
        <v/>
      </c>
      <c r="CB530" s="849" t="str" cm="1">
        <f t="array" ref="CB530">[1]!ACAELE_TAMATUBERIA(BZ530,DU530,I529,M530,I530)</f>
        <v/>
      </c>
      <c r="CC530" s="852" t="str">
        <f>IF(DV530="","",DV530)</f>
        <v/>
      </c>
      <c r="CD530" s="851"/>
      <c r="CE530" s="851" t="str">
        <f>IF(OR(BB530=0,Q530=""),"",(EA530/BV530)*100)</f>
        <v/>
      </c>
      <c r="CF530" s="852"/>
      <c r="CG530" s="852"/>
      <c r="CH530" s="509" t="str">
        <f>IF(AND(CE530="",BZ530=""),"",IF(CE530="",0,CE530)+IF(BZ530="",0,BZ530))</f>
        <v/>
      </c>
      <c r="CI530" s="516">
        <f>CI528</f>
        <v>0</v>
      </c>
      <c r="CJ530" s="514">
        <f>CJ528</f>
        <v>0</v>
      </c>
      <c r="CK530" s="515">
        <f>CK528</f>
        <v>0</v>
      </c>
      <c r="CL530" s="949"/>
      <c r="CM530" s="949"/>
      <c r="CN530" s="949"/>
      <c r="CO530" s="910"/>
      <c r="CP530" s="950"/>
      <c r="CQ530" s="950"/>
      <c r="CR530" s="951" t="str">
        <f>IF(OR(H530="A",H530="O",H530="M"),"C","N/C")</f>
        <v>N/C</v>
      </c>
      <c r="CS530" s="952">
        <f>IF(BU530&gt;100,VLOOKUP($F$13,FCTEMP,3),VLOOKUP($F$13,FCTEMP,2))</f>
        <v>1</v>
      </c>
      <c r="CT530" s="953">
        <f>IF(H530="RE","",IF(M530=1,VLOOKUP(J530,FCATUBO,2),IF(M530=6,VLOOKUP(J530,FCADUCTO,2),1)))</f>
        <v>0.8</v>
      </c>
      <c r="CU530" s="914"/>
      <c r="CV530" s="915"/>
      <c r="CW530" s="916" t="str">
        <f>IF(BB530=0,"",IF(F530=3,((BT530*1000)/(1.73*BV530*DA530)),IF(AND(F530=2,G530=3),((BT530*1000)/(2*(BV530/1.73)*DA530)),((BT530*1000)/(BV530*DA530)))))</f>
        <v/>
      </c>
      <c r="CX530" s="917" t="str" cm="1">
        <f t="array" ref="CX530">[1]!ACAELE_Disparocalculado(BB530,H530,DL530,$N$21,$M$21,$O$21,BV530,$P$5)</f>
        <v/>
      </c>
      <c r="CY530" s="918" t="e">
        <f>IF(CR530="C",(BU530)/(CS530*CT530),BU530/(CS530*CT530))</f>
        <v>#VALUE!</v>
      </c>
      <c r="CZ530" s="919" t="str">
        <f>IF(OR(BB530=0,Q530=""),"",IF(CR530="C",(BU530)/(CS530*CU530),BU530/(CS530*CU530)))</f>
        <v/>
      </c>
      <c r="DA530" s="951">
        <f>$F$14</f>
        <v>0.9</v>
      </c>
      <c r="DB530" s="954">
        <f>SIN(ACOS(DA530))</f>
        <v>0.43588989435406728</v>
      </c>
      <c r="DC530" s="922" t="str" cm="1">
        <f t="array" ref="DC530">[1]!ACAELE_CONDPORTCORRIENTE(H530,BB530,I530,M530,CY530,CZ530,N530,$P$5)</f>
        <v/>
      </c>
      <c r="DD530" s="923" t="str" cm="1">
        <f t="array" ref="DD530">[1]!ACAELE_CAPACONDCORRIENTE(BB530,H530,I530,M530,CY530,CZ530,$P$5)</f>
        <v/>
      </c>
      <c r="DE530" s="923" t="str" cm="1">
        <f t="array" ref="DE530">[1]!ACAELE_CAPACIDADCABLE(BB530,H530,I530,M530,DC530,N530,$P$5)</f>
        <v/>
      </c>
      <c r="DF530" s="924" t="str" cm="1">
        <f t="array" ref="DF530">[1]!ACAELE_encontrarcaidaequipo(BB530,H530,L530,BV530,F530,BA530,N530,K530)</f>
        <v/>
      </c>
      <c r="DG530" s="925" t="str" cm="1">
        <f t="array" ref="DG530">[1]!ACAELE_Cablecaida(BB530,H530,M530,I530,DF530)</f>
        <v/>
      </c>
      <c r="DH530" s="918" t="str" cm="1">
        <f t="array" ref="DH530">[1]!ACAELE_CAPACIDADCABLE(BB530,H530,I530,M530,DG530,N530,$P$5)</f>
        <v/>
      </c>
      <c r="DI530" s="926" t="str">
        <f>IF(OR(BB530=0,Q530=""),"",((10*R530*BV530)/((IF(F530&gt;2,1.73,2)*(BU530/T530)*Q530))))</f>
        <v/>
      </c>
      <c r="DJ530" s="914"/>
      <c r="DK530" s="919" t="str" cm="1">
        <f t="array" ref="DK530">[1]!ACAELE_CAPACIDADCABLE(BB530,H530,I530,M530,DJ530,N530)</f>
        <v/>
      </c>
      <c r="DL530" s="955" t="str">
        <f>(IF(BB530=0,"",BA530*($G$18/100)))</f>
        <v/>
      </c>
      <c r="DM530" s="955" cm="1">
        <f t="array" ref="DM530">[1]!acaele_ProtCalculada(CX530,H530,BT530,BW530,$G$21,$F$21,$H$21,$P$5)</f>
        <v>30</v>
      </c>
      <c r="DN530" s="913" t="e" cm="1">
        <f t="array" ref="DN530">[1]!ACAELE_CableCalTab(BB530,H530,I530,M530,EF530,N530,BV530,DL530)</f>
        <v>#VALUE!</v>
      </c>
      <c r="DO530" s="956" t="str" cm="1">
        <f t="array" ref="DO530">[1]!ACAELE_RESISTENCIA(BB530,H530,M530,I530,BX530, CW530,$P$5)</f>
        <v/>
      </c>
      <c r="DP530" s="931" t="str" cm="1">
        <f t="array" ref="DP530">[1]!ACAELE_REACTANCIA(BB530,H530,$F$11,M530,I530,BX530,$P$5)</f>
        <v/>
      </c>
      <c r="DQ530" s="918" t="str" cm="1">
        <f t="array" ref="DQ530">[1]!ACAELE_DIAMECAISLA(BB530,H530,I530,BX530,$P$5)</f>
        <v/>
      </c>
      <c r="DR530" s="918" t="str" cm="1">
        <f t="array" ref="DR530">[1]!ACAELE_AREACAISLAMIENTO(BB530,H530,DQ530,$P$5)</f>
        <v/>
      </c>
      <c r="DS530" s="918" t="str" cm="1">
        <f t="array" ref="DS530">[1]!ACAELE_CAIDAVOLTSFINAL(BB530,H530,F530,K530,BU530,N530,DO530,DA530,DP530,DB530,$P$5)</f>
        <v/>
      </c>
      <c r="DT530" s="918" t="str" cm="1">
        <f t="array" ref="DT530">[1]!ACAELE_AREACONDPTE(BB530,H530,CA530,$P$5)</f>
        <v/>
      </c>
      <c r="DU530" s="918" t="str" cm="1">
        <f t="array" ref="DU530">[1]!ACAELE_AREATOTAL(BZ530,M530,EO530,N530,DQ530,G530,DR530,DT530,N$20,$P$5)</f>
        <v/>
      </c>
      <c r="DV530" s="926"/>
      <c r="DW530" s="926"/>
      <c r="DX530" s="926"/>
      <c r="DY530" s="935"/>
      <c r="DZ530" s="935" t="str">
        <f>IF(OR(BB530=0,Q530=""),"",3.1416*(DY530/2)*(DY530/2))</f>
        <v/>
      </c>
      <c r="EA530" s="935" t="str">
        <f>IF(OR(BB530=0,Q530=""),"",IF(F530&gt;2,1.73,2)*Q530*(BU530/T530)*(((DW530*DA530)+(DX530*DB530))/1000))</f>
        <v/>
      </c>
      <c r="EB530" s="919"/>
      <c r="EC530" s="935"/>
      <c r="ED530" s="675" t="str">
        <f>IF(OR(BB530=0,H530="RE"),"",VLOOKUP(BX530,nomenclaturacables,2,0))</f>
        <v/>
      </c>
      <c r="EE530" s="670"/>
      <c r="EF530" s="671" t="str">
        <f>IF(BB530=0,"",MAX(DM530/N530,BW530/N530,IF(DE530="",0,DE530/N530),DH530/N530))</f>
        <v/>
      </c>
      <c r="EG530" s="672">
        <f>MAX(DM530,IF(DE530="",0,DE530/N530),DK530)</f>
        <v>30</v>
      </c>
      <c r="EH530" s="673"/>
      <c r="EI530" s="942">
        <f>$F$13</f>
        <v>30</v>
      </c>
      <c r="EJ530" s="947"/>
      <c r="EK530" s="947"/>
      <c r="EL530" s="947"/>
      <c r="EM530" s="947"/>
      <c r="EN530" s="948"/>
      <c r="EO530" s="550" t="str">
        <f>IF(BZ530="","",(G530*N530*DR530)/O530+DT530)</f>
        <v/>
      </c>
      <c r="EP530" s="433" t="str">
        <f>$EP$126</f>
        <v>DIA-AREG</v>
      </c>
      <c r="ET530" s="1" t="str">
        <f>IF($M$18="TR",IF(BW530="","",F530&amp;"P-"&amp;BW530&amp;" A"),"")</f>
        <v/>
      </c>
      <c r="EU530" s="1" t="str">
        <f>IF($M$18="TR",IF(BW530="","",G530*N530&amp;"-"&amp;BX530&amp;", "&amp;O530&amp;"-"&amp;CA530&amp;"T, "&amp;O530&amp;CB530),"")</f>
        <v/>
      </c>
      <c r="EV530" s="1" t="str">
        <f>IF($M$18="TR",IF($M$18="TR",IF(BW530="","",K530),""),"")</f>
        <v/>
      </c>
      <c r="EW530" s="3" t="str">
        <f>IF($M$18="TR",IF(BW530="","",G530*N530),"")</f>
        <v/>
      </c>
      <c r="EX530" s="3" t="str">
        <f>IF($M$18="TR",IF(BW530="","",BX530),"")</f>
        <v/>
      </c>
      <c r="EY530" s="3" t="str">
        <f>IF($M$18="TR",IF(BW530="","",O530),"")</f>
        <v/>
      </c>
      <c r="EZ530" s="3" t="str">
        <f>IF($M$18="TR",IF(BW530="","",CA530),"")</f>
        <v/>
      </c>
      <c r="FA530" s="3" t="str">
        <f>IF($M$18="TR",IF(BW530="","",O530),"")</f>
        <v/>
      </c>
      <c r="FB530" s="3" t="str">
        <f>IF($M$18="TR",IF(BW530="","",CB530),"")</f>
        <v/>
      </c>
      <c r="FC530" s="3">
        <f t="shared" si="235"/>
        <v>0</v>
      </c>
      <c r="FD530" s="732"/>
      <c r="FE530" s="732"/>
      <c r="FF530" s="733"/>
      <c r="FG530" s="732"/>
      <c r="FH530" s="733"/>
      <c r="FI530" s="732"/>
      <c r="FJ530" s="733"/>
      <c r="FM530" s="3" t="str">
        <f>IF(BV530&gt;1000,"",IF(BW530&lt;151,"(HD)",IF(BW530&lt;251,"(JD)",IF(BW530&lt;401,"(LA)",IF(BW530&lt;801,"(MG)",IF(BW530&lt;1201,"(PJ)","PONER MANUAL"))))))</f>
        <v>PONER MANUAL</v>
      </c>
      <c r="FX530" s="146" t="str">
        <f t="shared" si="239"/>
        <v/>
      </c>
      <c r="FZ530" s="740" t="s">
        <v>2010</v>
      </c>
      <c r="GA530" s="736">
        <f>CUADROACAD!BL531</f>
        <v>0</v>
      </c>
      <c r="GB530" s="49">
        <f>CUADROACAD!CU530</f>
        <v>0</v>
      </c>
      <c r="GM530" s="1" t="str">
        <f>J530*N530&amp;"-"&amp;BX530&amp; " "&amp;ED530&amp;" ("&amp;N530&amp;"xF-"&amp;N530&amp;"N), "&amp;O530&amp;"-"&amp;CA530&amp;"T "&amp;"AWG, "&amp;O530&amp;CB530</f>
        <v>4-REVISAR  (1xF-1N), 1-T AWG, 1</v>
      </c>
    </row>
    <row r="531" spans="2:195" hidden="1">
      <c r="CB531" s="1" t="s">
        <v>1479</v>
      </c>
      <c r="CT531" t="s">
        <v>1480</v>
      </c>
      <c r="CY531" t="s">
        <v>1481</v>
      </c>
      <c r="DJ531" t="s">
        <v>1482</v>
      </c>
      <c r="FX531" s="146" t="str">
        <f>IF(FY531=FZ531,"",1)</f>
        <v/>
      </c>
      <c r="FZ531" s="740"/>
      <c r="GA531" s="736">
        <f>CUADROACAD!BL532</f>
        <v>0</v>
      </c>
      <c r="GB531" s="49">
        <f>CUADROACAD!CU531</f>
        <v>0</v>
      </c>
    </row>
    <row r="532" spans="2:195" hidden="1">
      <c r="CB532" s="1" t="s">
        <v>1483</v>
      </c>
      <c r="CS532" t="s">
        <v>1484</v>
      </c>
      <c r="CT532" s="523"/>
      <c r="CU532" s="523"/>
      <c r="CV532" s="524"/>
      <c r="CW532" s="523">
        <f>IF(F412=3,BQ518/(1.73*(F411/1000)*F416),IF(F412=2,BQ518/((F411/1000)*F416),IF(F412=1,BQ518/((H411/1000)*F416),0)))</f>
        <v>0</v>
      </c>
      <c r="CX532" t="s">
        <v>856</v>
      </c>
      <c r="CY532" s="523">
        <f>CW532</f>
        <v>0</v>
      </c>
      <c r="CZ532" t="s">
        <v>1484</v>
      </c>
      <c r="DH532" t="s">
        <v>1485</v>
      </c>
      <c r="DI532" s="523"/>
      <c r="DJ532" s="523"/>
      <c r="DK532" s="524"/>
      <c r="DL532" s="523">
        <f>CY532-(CY533/0.25)</f>
        <v>0</v>
      </c>
      <c r="DM532" t="s">
        <v>856</v>
      </c>
      <c r="FX532" s="146" t="str">
        <f>IF(FY532=FZ532,"",1)</f>
        <v/>
      </c>
      <c r="FZ532" s="740"/>
      <c r="GB532" s="49">
        <f>CUADROACAD!CU532</f>
        <v>0</v>
      </c>
    </row>
    <row r="533" spans="2:195" hidden="1">
      <c r="CL533" s="1"/>
      <c r="CM533" s="1"/>
      <c r="CN533" s="1"/>
      <c r="CO533" s="1"/>
      <c r="CP533" s="1"/>
      <c r="CQ533" s="1"/>
      <c r="CR533" s="1"/>
      <c r="CS533" s="1"/>
      <c r="CT533" s="1"/>
      <c r="CU533" s="1"/>
      <c r="CV533" s="5"/>
      <c r="CW533" s="5"/>
      <c r="CX533" s="45"/>
      <c r="CY533" s="1"/>
      <c r="CZ533" s="1"/>
      <c r="DA533" s="1"/>
      <c r="DB533" s="1"/>
      <c r="DC533" s="1"/>
      <c r="DD533" s="1"/>
      <c r="DE533" s="1"/>
      <c r="DF533" s="1"/>
      <c r="DG533" s="1"/>
      <c r="DH533" s="1"/>
      <c r="DI533" s="1"/>
      <c r="DJ533" s="1"/>
      <c r="DK533" s="1"/>
      <c r="DL533" s="5"/>
      <c r="DM533" s="5"/>
      <c r="DN533" s="1"/>
      <c r="DO533" s="1"/>
      <c r="DP533" s="1"/>
      <c r="DQ533" s="1"/>
      <c r="DR533" s="1"/>
      <c r="DS533" s="1"/>
      <c r="DT533" s="1"/>
      <c r="DU533" s="1"/>
      <c r="DV533" s="1"/>
      <c r="DW533" s="1"/>
      <c r="DX533" s="1"/>
      <c r="DY533" s="1"/>
      <c r="DZ533" s="1"/>
      <c r="EA533" s="1"/>
      <c r="EB533" s="1"/>
      <c r="EC533" s="1"/>
      <c r="ED533" s="1"/>
      <c r="EE533" s="1"/>
      <c r="EF533" s="1"/>
      <c r="EG533" s="1"/>
      <c r="EH533" s="5"/>
      <c r="EI533" s="5"/>
      <c r="EJ533" s="5"/>
      <c r="EK533" s="5"/>
      <c r="EL533" s="5"/>
      <c r="EM533" s="5"/>
      <c r="EN533" s="1"/>
      <c r="EO533" s="5"/>
    </row>
    <row r="534" spans="2:195" hidden="1">
      <c r="CL534" s="1"/>
      <c r="CM534" s="1"/>
      <c r="CN534" s="1"/>
      <c r="CO534" s="1"/>
      <c r="CP534" s="1"/>
      <c r="CQ534" s="1"/>
      <c r="CR534" s="1"/>
      <c r="CS534" s="1"/>
      <c r="CT534" s="1"/>
      <c r="CU534" s="1"/>
      <c r="CV534" s="5"/>
      <c r="CW534" s="5"/>
      <c r="CX534" s="45"/>
      <c r="CY534" s="1"/>
      <c r="CZ534" s="1"/>
      <c r="DA534" s="1"/>
      <c r="DB534" s="1"/>
      <c r="DC534" s="1"/>
      <c r="DD534" s="1"/>
      <c r="DE534" s="1"/>
      <c r="DF534" s="1"/>
      <c r="DG534" s="1"/>
      <c r="DH534" s="1"/>
      <c r="DI534" s="1"/>
      <c r="DJ534" s="1"/>
      <c r="DK534" s="1"/>
      <c r="DL534" s="5"/>
      <c r="DM534" s="5"/>
      <c r="DN534" s="1"/>
      <c r="DO534" s="1"/>
      <c r="DP534" s="1"/>
      <c r="DQ534" s="1"/>
      <c r="DR534" s="1"/>
      <c r="DS534" s="1"/>
      <c r="DT534" s="1"/>
      <c r="DU534" s="1"/>
      <c r="DV534" s="1"/>
      <c r="DW534" s="1"/>
      <c r="DX534" s="1"/>
      <c r="DY534" s="1"/>
      <c r="DZ534" s="1"/>
      <c r="EA534" s="1"/>
      <c r="EB534" s="1"/>
      <c r="EC534" s="1"/>
      <c r="ED534" s="1"/>
      <c r="EE534" s="1"/>
      <c r="EF534" s="1"/>
      <c r="EG534" s="1"/>
      <c r="EH534" s="5"/>
      <c r="EI534" s="5"/>
      <c r="EJ534" s="5"/>
      <c r="EK534" s="5"/>
      <c r="EL534" s="5"/>
      <c r="EM534" s="5"/>
      <c r="EN534" s="1"/>
      <c r="EO534" s="5"/>
    </row>
    <row r="535" spans="2:195">
      <c r="CL535" s="1"/>
      <c r="CM535" s="1"/>
      <c r="CN535" s="1"/>
      <c r="CO535" s="1"/>
      <c r="CP535" s="1"/>
      <c r="CQ535" s="1"/>
      <c r="CR535" s="1"/>
      <c r="CS535" s="1"/>
      <c r="CT535" s="1"/>
      <c r="CU535" s="1"/>
      <c r="CV535" s="5"/>
      <c r="CW535" s="5"/>
      <c r="CX535" s="45"/>
      <c r="CY535" s="1"/>
      <c r="CZ535" s="1"/>
      <c r="DA535" s="1"/>
      <c r="DB535" s="1"/>
      <c r="DC535" s="1"/>
      <c r="DD535" s="1"/>
      <c r="DE535" s="1"/>
      <c r="DF535" s="1"/>
      <c r="DG535" s="1"/>
      <c r="DH535" s="1"/>
      <c r="DI535" s="1"/>
      <c r="DJ535" s="1"/>
      <c r="DK535" s="1"/>
      <c r="DL535" s="5"/>
      <c r="DM535" s="5"/>
      <c r="DN535" s="1"/>
      <c r="DO535" s="1"/>
      <c r="DP535" s="1"/>
      <c r="DQ535" s="1"/>
      <c r="DR535" s="1"/>
      <c r="DS535" s="1"/>
      <c r="DT535" s="1"/>
      <c r="DU535" s="1"/>
      <c r="DV535" s="1"/>
      <c r="DW535" s="1"/>
      <c r="DX535" s="1"/>
      <c r="DY535" s="1"/>
      <c r="DZ535" s="1"/>
      <c r="EA535" s="1"/>
      <c r="EB535" s="1"/>
      <c r="EC535" s="1"/>
      <c r="ED535" s="1"/>
      <c r="EE535" s="1"/>
      <c r="EF535" s="1"/>
      <c r="EG535" s="1"/>
      <c r="EH535" s="5"/>
      <c r="EI535" s="5"/>
      <c r="EJ535" s="5"/>
      <c r="EK535" s="5"/>
      <c r="EL535" s="5"/>
      <c r="EM535" s="5"/>
      <c r="EN535" s="1"/>
      <c r="EO535" s="5"/>
    </row>
    <row r="536" spans="2:195">
      <c r="CL536" s="1"/>
      <c r="CM536" s="1"/>
      <c r="CN536" s="1"/>
      <c r="CO536" s="1"/>
      <c r="CP536" s="1"/>
      <c r="CQ536" s="1"/>
      <c r="CR536" s="1"/>
      <c r="CS536" s="1"/>
      <c r="CT536" s="1"/>
      <c r="CU536" s="1"/>
      <c r="CV536" s="5"/>
      <c r="CW536" s="5"/>
      <c r="CX536" s="45"/>
      <c r="CY536" s="1"/>
      <c r="CZ536" s="1"/>
      <c r="DA536" s="1"/>
      <c r="DB536" s="1"/>
      <c r="DC536" s="1"/>
      <c r="DD536" s="1"/>
      <c r="DE536" s="1"/>
      <c r="DF536" s="1"/>
      <c r="DG536" s="1"/>
      <c r="DH536" s="1"/>
      <c r="DI536" s="1"/>
      <c r="DJ536" s="1"/>
      <c r="DK536" s="1"/>
      <c r="DL536" s="5"/>
      <c r="DM536" s="5"/>
      <c r="DN536" s="1"/>
      <c r="DO536" s="1"/>
      <c r="DP536" s="1"/>
      <c r="DQ536" s="1"/>
      <c r="DR536" s="1"/>
      <c r="DS536" s="1"/>
      <c r="DT536" s="1"/>
      <c r="DU536" s="1"/>
      <c r="DV536" s="1"/>
      <c r="DW536" s="1"/>
      <c r="DX536" s="1"/>
      <c r="DY536" s="1"/>
      <c r="DZ536" s="1"/>
      <c r="EA536" s="1"/>
      <c r="EB536" s="1"/>
      <c r="EC536" s="1"/>
      <c r="ED536" s="1"/>
      <c r="EE536" s="1"/>
      <c r="EF536" s="1"/>
      <c r="EG536" s="1"/>
      <c r="EH536" s="5"/>
      <c r="EI536" s="5"/>
      <c r="EJ536" s="5"/>
      <c r="EK536" s="5"/>
      <c r="EL536" s="5"/>
      <c r="EM536" s="5"/>
      <c r="EN536" s="1"/>
      <c r="EO536" s="5"/>
    </row>
    <row r="537" spans="2:195">
      <c r="CL537" s="1"/>
      <c r="CM537" s="1"/>
      <c r="CN537" s="1"/>
      <c r="CO537" s="1"/>
      <c r="CP537" s="1"/>
      <c r="CQ537" s="1"/>
      <c r="CR537" s="1"/>
      <c r="CS537" s="1"/>
      <c r="CT537" s="1"/>
      <c r="CU537" s="1"/>
      <c r="CV537" s="5"/>
      <c r="CW537" s="5"/>
      <c r="CX537" s="45"/>
      <c r="CY537" s="1"/>
      <c r="CZ537" s="1"/>
      <c r="DA537" s="1"/>
      <c r="DB537" s="1"/>
      <c r="DC537" s="1"/>
      <c r="DD537" s="1"/>
      <c r="DE537" s="1"/>
      <c r="DF537" s="1"/>
      <c r="DG537" s="1"/>
      <c r="DH537" s="1"/>
      <c r="DI537" s="1"/>
      <c r="DJ537" s="1"/>
      <c r="DK537" s="1"/>
      <c r="DL537" s="5"/>
      <c r="DM537" s="5"/>
      <c r="DN537" s="1"/>
      <c r="DO537" s="1"/>
      <c r="DP537" s="1"/>
      <c r="DQ537" s="1"/>
      <c r="DR537" s="1"/>
      <c r="DS537" s="1"/>
      <c r="DT537" s="1"/>
      <c r="DU537" s="1"/>
      <c r="DV537" s="1"/>
      <c r="DW537" s="1"/>
      <c r="DX537" s="1"/>
      <c r="DY537" s="1"/>
      <c r="DZ537" s="1"/>
      <c r="EA537" s="1"/>
      <c r="EB537" s="1"/>
      <c r="EC537" s="1"/>
      <c r="ED537" s="1"/>
      <c r="EE537" s="1"/>
      <c r="EF537" s="1"/>
      <c r="EG537" s="1"/>
      <c r="EH537" s="5"/>
      <c r="EI537" s="5"/>
      <c r="EJ537" s="5"/>
      <c r="EK537" s="5"/>
      <c r="EL537" s="5"/>
      <c r="EM537" s="5"/>
      <c r="EN537" s="1"/>
      <c r="EO537" s="5"/>
    </row>
    <row r="538" spans="2:195">
      <c r="CL538" s="1"/>
      <c r="CM538" s="1"/>
      <c r="CN538" s="1"/>
      <c r="CO538" s="1"/>
      <c r="CP538" s="1"/>
      <c r="CQ538" s="1"/>
      <c r="CR538" s="1"/>
      <c r="CS538" s="1"/>
      <c r="CT538" s="1"/>
      <c r="CU538" s="1"/>
      <c r="CV538" s="5"/>
      <c r="CW538" s="5"/>
      <c r="CX538" s="45"/>
      <c r="CY538" s="1"/>
      <c r="CZ538" s="1"/>
      <c r="DA538" s="1"/>
      <c r="DB538" s="1"/>
      <c r="DC538" s="1"/>
      <c r="DD538" s="1"/>
      <c r="DE538" s="1"/>
      <c r="DF538" s="1"/>
      <c r="DG538" s="1"/>
      <c r="DH538" s="1"/>
      <c r="DI538" s="1"/>
      <c r="DJ538" s="1"/>
      <c r="DK538" s="1"/>
      <c r="DL538" s="5"/>
      <c r="DM538" s="5"/>
      <c r="DN538" s="1"/>
      <c r="DO538" s="1"/>
      <c r="DP538" s="1"/>
      <c r="DQ538" s="1"/>
      <c r="DR538" s="1"/>
      <c r="DS538" s="1"/>
      <c r="DT538" s="1"/>
      <c r="DU538" s="1"/>
      <c r="DV538" s="1"/>
      <c r="DW538" s="1"/>
      <c r="DX538" s="1"/>
      <c r="DY538" s="1"/>
      <c r="DZ538" s="1"/>
      <c r="EA538" s="1"/>
      <c r="EB538" s="1"/>
      <c r="EC538" s="1"/>
      <c r="ED538" s="1"/>
      <c r="EE538" s="1"/>
      <c r="EF538" s="1"/>
      <c r="EG538" s="1"/>
      <c r="EH538" s="5"/>
      <c r="EI538" s="5"/>
      <c r="EJ538" s="5"/>
      <c r="EK538" s="5"/>
      <c r="EL538" s="5"/>
      <c r="EM538" s="5"/>
      <c r="EN538" s="1"/>
      <c r="EO538" s="5"/>
    </row>
    <row r="539" spans="2:195">
      <c r="CL539" s="1"/>
      <c r="CM539" s="1"/>
      <c r="CN539" s="1"/>
      <c r="CO539" s="1"/>
      <c r="CP539" s="1"/>
      <c r="CQ539" s="1"/>
      <c r="CR539" s="1"/>
      <c r="CS539" s="1"/>
      <c r="CT539" s="1"/>
      <c r="CU539" s="1"/>
      <c r="CV539" s="5"/>
      <c r="CW539" s="5"/>
      <c r="CX539" s="45"/>
      <c r="CY539" s="1"/>
      <c r="CZ539" s="1"/>
      <c r="DA539" s="1"/>
      <c r="DB539" s="1"/>
      <c r="DC539" s="1"/>
      <c r="DD539" s="1"/>
      <c r="DE539" s="1"/>
      <c r="DF539" s="1"/>
      <c r="DG539" s="1"/>
      <c r="DH539" s="1"/>
      <c r="DI539" s="1"/>
      <c r="DJ539" s="1"/>
      <c r="DK539" s="1"/>
      <c r="DL539" s="5"/>
      <c r="DM539" s="5"/>
      <c r="DN539" s="1"/>
      <c r="DO539" s="1"/>
      <c r="DP539" s="1"/>
      <c r="DQ539" s="1"/>
      <c r="DR539" s="1"/>
      <c r="DS539" s="1"/>
      <c r="DT539" s="1"/>
      <c r="DU539" s="1"/>
      <c r="DV539" s="1"/>
      <c r="DW539" s="1"/>
      <c r="DX539" s="1"/>
      <c r="DY539" s="1"/>
      <c r="DZ539" s="1"/>
      <c r="EA539" s="1"/>
      <c r="EB539" s="1"/>
      <c r="EC539" s="1"/>
      <c r="ED539" s="1"/>
      <c r="EE539" s="1"/>
      <c r="EF539" s="1"/>
      <c r="EG539" s="1"/>
      <c r="EH539" s="5"/>
      <c r="EI539" s="5"/>
      <c r="EJ539" s="5"/>
      <c r="EK539" s="5"/>
      <c r="EL539" s="5"/>
      <c r="EM539" s="5"/>
      <c r="EN539" s="1"/>
      <c r="EO539" s="5"/>
    </row>
    <row r="540" spans="2:195">
      <c r="CL540" s="1"/>
      <c r="CM540" s="1"/>
      <c r="CN540" s="1"/>
      <c r="CO540" s="1"/>
      <c r="CP540" s="1"/>
      <c r="CQ540" s="1"/>
      <c r="CR540" s="1"/>
      <c r="CS540" s="1"/>
      <c r="CT540" s="1"/>
      <c r="CU540" s="1"/>
      <c r="CV540" s="5"/>
      <c r="CW540" s="5"/>
      <c r="CX540" s="45"/>
      <c r="CY540" s="1"/>
      <c r="CZ540" s="1"/>
      <c r="DA540" s="1"/>
      <c r="DB540" s="1"/>
      <c r="DC540" s="1"/>
      <c r="DD540" s="1"/>
      <c r="DE540" s="1"/>
      <c r="DF540" s="1"/>
      <c r="DG540" s="1"/>
      <c r="DH540" s="1"/>
      <c r="DI540" s="1"/>
      <c r="DJ540" s="1"/>
      <c r="DK540" s="1"/>
      <c r="DL540" s="5"/>
      <c r="DM540" s="5"/>
      <c r="DN540" s="1"/>
      <c r="DO540" s="1"/>
      <c r="DP540" s="1"/>
      <c r="DQ540" s="1"/>
      <c r="DR540" s="1"/>
      <c r="DS540" s="1"/>
      <c r="DT540" s="1"/>
      <c r="DU540" s="1"/>
      <c r="DV540" s="1"/>
      <c r="DW540" s="1"/>
      <c r="DX540" s="1"/>
      <c r="DY540" s="1"/>
      <c r="DZ540" s="1"/>
      <c r="EA540" s="1"/>
      <c r="EB540" s="1"/>
      <c r="EC540" s="1"/>
      <c r="ED540" s="1"/>
      <c r="EE540" s="1"/>
      <c r="EF540" s="1"/>
      <c r="EG540" s="1"/>
      <c r="EH540" s="5"/>
      <c r="EI540" s="5"/>
      <c r="EJ540" s="5"/>
      <c r="EK540" s="5"/>
      <c r="EL540" s="5"/>
      <c r="EM540" s="5"/>
      <c r="EN540" s="1"/>
      <c r="EO540" s="5"/>
    </row>
    <row r="541" spans="2:195">
      <c r="CL541" s="1"/>
      <c r="CM541" s="1"/>
      <c r="CN541" s="1"/>
      <c r="CO541" s="1"/>
      <c r="CP541" s="1"/>
      <c r="CQ541" s="1"/>
      <c r="CR541" s="1"/>
      <c r="CS541" s="1"/>
      <c r="CT541" s="1"/>
      <c r="CU541" s="1"/>
      <c r="CV541" s="5"/>
      <c r="CW541" s="5"/>
      <c r="CX541" s="45"/>
      <c r="CY541" s="1"/>
      <c r="CZ541" s="1"/>
      <c r="DA541" s="1"/>
      <c r="DB541" s="1"/>
      <c r="DC541" s="1"/>
      <c r="DD541" s="1"/>
      <c r="DE541" s="1"/>
      <c r="DF541" s="1"/>
      <c r="DG541" s="1"/>
      <c r="DH541" s="1"/>
      <c r="DI541" s="1"/>
      <c r="DJ541" s="1"/>
      <c r="DK541" s="1"/>
      <c r="DL541" s="5"/>
      <c r="DM541" s="5"/>
      <c r="DN541" s="1"/>
      <c r="DO541" s="1"/>
      <c r="DP541" s="1"/>
      <c r="DQ541" s="1"/>
      <c r="DR541" s="1"/>
      <c r="DS541" s="1"/>
      <c r="DT541" s="1"/>
      <c r="DU541" s="1"/>
      <c r="DV541" s="1"/>
      <c r="DW541" s="1"/>
      <c r="DX541" s="1"/>
      <c r="DY541" s="1"/>
      <c r="DZ541" s="1"/>
      <c r="EA541" s="1"/>
      <c r="EB541" s="1"/>
      <c r="EC541" s="1"/>
      <c r="ED541" s="1"/>
      <c r="EE541" s="1"/>
      <c r="EF541" s="1"/>
      <c r="EG541" s="1"/>
      <c r="EH541" s="5"/>
      <c r="EI541" s="5"/>
      <c r="EJ541" s="5"/>
      <c r="EK541" s="5"/>
      <c r="EL541" s="5"/>
      <c r="EM541" s="5"/>
      <c r="EN541" s="1"/>
      <c r="EO541" s="5"/>
    </row>
    <row r="542" spans="2:195">
      <c r="CL542" s="1"/>
      <c r="CM542" s="1"/>
      <c r="CN542" s="1"/>
      <c r="CO542" s="1"/>
      <c r="CP542" s="1"/>
      <c r="CQ542" s="1"/>
      <c r="CR542" s="1"/>
      <c r="CS542" s="1"/>
      <c r="CT542" s="1"/>
      <c r="CU542" s="1"/>
      <c r="CV542" s="5"/>
      <c r="CW542" s="5"/>
      <c r="CX542" s="45"/>
      <c r="CY542" s="1"/>
      <c r="CZ542" s="1"/>
      <c r="DA542" s="1"/>
      <c r="DB542" s="1"/>
      <c r="DC542" s="1"/>
      <c r="DD542" s="1"/>
      <c r="DE542" s="1"/>
      <c r="DF542" s="1"/>
      <c r="DG542" s="1"/>
      <c r="DH542" s="1"/>
      <c r="DI542" s="1"/>
      <c r="DJ542" s="1"/>
      <c r="DK542" s="1"/>
      <c r="DL542" s="5"/>
      <c r="DM542" s="5"/>
      <c r="DN542" s="1"/>
      <c r="DO542" s="1"/>
      <c r="DP542" s="1"/>
      <c r="DQ542" s="1"/>
      <c r="DR542" s="1"/>
      <c r="DS542" s="1"/>
      <c r="DT542" s="1"/>
      <c r="DU542" s="1"/>
      <c r="DV542" s="1"/>
      <c r="DW542" s="1"/>
      <c r="DX542" s="1"/>
      <c r="DY542" s="1"/>
      <c r="DZ542" s="1"/>
      <c r="EA542" s="1"/>
      <c r="EB542" s="1"/>
      <c r="EC542" s="1"/>
      <c r="ED542" s="1"/>
      <c r="EE542" s="1"/>
      <c r="EF542" s="1"/>
      <c r="EG542" s="1"/>
      <c r="EH542" s="5"/>
      <c r="EI542" s="5"/>
      <c r="EJ542" s="5"/>
      <c r="EK542" s="5"/>
      <c r="EL542" s="5"/>
      <c r="EM542" s="5"/>
      <c r="EN542" s="1"/>
      <c r="EO542" s="5"/>
    </row>
    <row r="543" spans="2:195">
      <c r="CL543" s="1"/>
      <c r="CM543" s="1"/>
      <c r="CN543" s="1"/>
      <c r="CO543" s="1"/>
      <c r="CP543" s="1"/>
      <c r="CQ543" s="1"/>
      <c r="CR543" s="1"/>
      <c r="CS543" s="1"/>
      <c r="CT543" s="1"/>
      <c r="CU543" s="1"/>
      <c r="CV543" s="5"/>
      <c r="CW543" s="5"/>
      <c r="CX543" s="45"/>
      <c r="CY543" s="1"/>
      <c r="CZ543" s="1"/>
      <c r="DA543" s="1"/>
      <c r="DB543" s="1"/>
      <c r="DC543" s="1"/>
      <c r="DD543" s="1"/>
      <c r="DE543" s="1"/>
      <c r="DF543" s="1"/>
      <c r="DG543" s="1"/>
      <c r="DH543" s="1"/>
      <c r="DI543" s="1"/>
      <c r="DJ543" s="1"/>
      <c r="DK543" s="1"/>
      <c r="DL543" s="5"/>
      <c r="DM543" s="5"/>
      <c r="DN543" s="1"/>
      <c r="DO543" s="1"/>
      <c r="DP543" s="1"/>
      <c r="DQ543" s="1"/>
      <c r="DR543" s="1"/>
      <c r="DS543" s="1"/>
      <c r="DT543" s="1"/>
      <c r="DU543" s="1"/>
      <c r="DV543" s="1"/>
      <c r="DW543" s="1"/>
      <c r="DX543" s="1"/>
      <c r="DY543" s="1"/>
      <c r="DZ543" s="1"/>
      <c r="EA543" s="1"/>
      <c r="EB543" s="1"/>
      <c r="EC543" s="1"/>
      <c r="ED543" s="1"/>
      <c r="EE543" s="1"/>
      <c r="EF543" s="1"/>
      <c r="EG543" s="1"/>
      <c r="EH543" s="5"/>
      <c r="EI543" s="5"/>
      <c r="EJ543" s="5"/>
      <c r="EK543" s="5"/>
      <c r="EL543" s="5"/>
      <c r="EM543" s="5"/>
      <c r="EN543" s="1"/>
      <c r="EO543" s="5"/>
    </row>
    <row r="544" spans="2:195">
      <c r="CL544" s="1"/>
      <c r="CM544" s="1"/>
      <c r="CN544" s="1"/>
      <c r="CO544" s="1"/>
      <c r="CP544" s="1"/>
      <c r="CQ544" s="1"/>
      <c r="CR544" s="1"/>
      <c r="CS544" s="1"/>
      <c r="CT544" s="1"/>
      <c r="CU544" s="1"/>
      <c r="CV544" s="5"/>
      <c r="CW544" s="5"/>
      <c r="CX544" s="45"/>
      <c r="CY544" s="1"/>
      <c r="CZ544" s="1"/>
      <c r="DA544" s="1"/>
      <c r="DB544" s="1"/>
      <c r="DC544" s="1"/>
      <c r="DD544" s="1"/>
      <c r="DE544" s="1"/>
      <c r="DF544" s="1"/>
      <c r="DG544" s="1"/>
      <c r="DH544" s="1"/>
      <c r="DI544" s="1"/>
      <c r="DJ544" s="1"/>
      <c r="DK544" s="1"/>
      <c r="DL544" s="5"/>
      <c r="DM544" s="5"/>
      <c r="DN544" s="1"/>
      <c r="DO544" s="1"/>
      <c r="DP544" s="1"/>
      <c r="DQ544" s="1"/>
      <c r="DR544" s="1"/>
      <c r="DS544" s="1"/>
      <c r="DT544" s="1"/>
      <c r="DU544" s="1"/>
      <c r="DV544" s="1"/>
      <c r="DW544" s="1"/>
      <c r="DX544" s="1"/>
      <c r="DY544" s="1"/>
      <c r="DZ544" s="1"/>
      <c r="EA544" s="1"/>
      <c r="EB544" s="1"/>
      <c r="EC544" s="1"/>
      <c r="ED544" s="1"/>
      <c r="EE544" s="1"/>
      <c r="EF544" s="1"/>
      <c r="EG544" s="1"/>
      <c r="EH544" s="5"/>
      <c r="EI544" s="5"/>
      <c r="EJ544" s="5"/>
      <c r="EK544" s="5"/>
      <c r="EL544" s="5"/>
      <c r="EM544" s="5"/>
      <c r="EN544" s="1"/>
      <c r="EO544" s="5"/>
    </row>
    <row r="545" spans="90:145">
      <c r="CL545" s="1"/>
      <c r="CM545" s="1"/>
      <c r="CN545" s="1"/>
      <c r="CO545" s="1"/>
      <c r="CP545" s="1"/>
      <c r="CQ545" s="1"/>
      <c r="CR545" s="1"/>
      <c r="CS545" s="1"/>
      <c r="CT545" s="1"/>
      <c r="CU545" s="1"/>
      <c r="CV545" s="5"/>
      <c r="CW545" s="5"/>
      <c r="CX545" s="45"/>
      <c r="CY545" s="1"/>
      <c r="CZ545" s="1"/>
      <c r="DA545" s="1"/>
      <c r="DB545" s="1"/>
      <c r="DC545" s="1"/>
      <c r="DD545" s="1"/>
      <c r="DE545" s="1"/>
      <c r="DF545" s="1"/>
      <c r="DG545" s="1"/>
      <c r="DH545" s="1"/>
      <c r="DI545" s="1"/>
      <c r="DJ545" s="1"/>
      <c r="DK545" s="1"/>
      <c r="DL545" s="5"/>
      <c r="DM545" s="5"/>
      <c r="DN545" s="1"/>
      <c r="DO545" s="1"/>
      <c r="DP545" s="1"/>
      <c r="DQ545" s="1"/>
      <c r="DR545" s="1"/>
      <c r="DS545" s="1"/>
      <c r="DT545" s="1"/>
      <c r="DU545" s="1"/>
      <c r="DV545" s="1"/>
      <c r="DW545" s="1"/>
      <c r="DX545" s="1"/>
      <c r="DY545" s="1"/>
      <c r="DZ545" s="1"/>
      <c r="EA545" s="1"/>
      <c r="EB545" s="1"/>
      <c r="EC545" s="1"/>
      <c r="ED545" s="1"/>
      <c r="EE545" s="1"/>
      <c r="EF545" s="1"/>
      <c r="EG545" s="1"/>
      <c r="EH545" s="5"/>
      <c r="EI545" s="5"/>
      <c r="EJ545" s="5"/>
      <c r="EK545" s="5"/>
      <c r="EL545" s="5"/>
      <c r="EM545" s="5"/>
      <c r="EN545" s="1"/>
      <c r="EO545" s="5"/>
    </row>
    <row r="546" spans="90:145">
      <c r="CL546" s="1"/>
      <c r="CM546" s="1"/>
      <c r="CN546" s="1"/>
      <c r="CO546" s="1"/>
      <c r="CP546" s="1"/>
      <c r="CQ546" s="1"/>
      <c r="CR546" s="1"/>
      <c r="CS546" s="1"/>
      <c r="CT546" s="1"/>
      <c r="CU546" s="1"/>
      <c r="CV546" s="5"/>
      <c r="CW546" s="5"/>
      <c r="CX546" s="45"/>
      <c r="CY546" s="1"/>
      <c r="CZ546" s="1"/>
      <c r="DA546" s="1"/>
      <c r="DB546" s="1"/>
      <c r="DC546" s="1"/>
      <c r="DD546" s="1"/>
      <c r="DE546" s="1"/>
      <c r="DF546" s="1"/>
      <c r="DG546" s="1"/>
      <c r="DH546" s="1"/>
      <c r="DI546" s="1"/>
      <c r="DJ546" s="1"/>
      <c r="DK546" s="1"/>
      <c r="DL546" s="5"/>
      <c r="DM546" s="5"/>
      <c r="DN546" s="1"/>
      <c r="DO546" s="1"/>
      <c r="DP546" s="1"/>
      <c r="DQ546" s="1"/>
      <c r="DR546" s="1"/>
      <c r="DS546" s="1"/>
      <c r="DT546" s="1"/>
      <c r="DU546" s="1"/>
      <c r="DV546" s="1"/>
      <c r="DW546" s="1"/>
      <c r="DX546" s="1"/>
      <c r="DY546" s="1"/>
      <c r="DZ546" s="1"/>
      <c r="EA546" s="1"/>
      <c r="EB546" s="1"/>
      <c r="EC546" s="1"/>
      <c r="ED546" s="1"/>
      <c r="EE546" s="1"/>
      <c r="EF546" s="1"/>
      <c r="EG546" s="1"/>
      <c r="EH546" s="5"/>
      <c r="EI546" s="5"/>
      <c r="EJ546" s="5"/>
      <c r="EK546" s="5"/>
      <c r="EL546" s="5"/>
      <c r="EM546" s="5"/>
      <c r="EN546" s="1"/>
      <c r="EO546" s="5"/>
    </row>
    <row r="547" spans="90:145">
      <c r="CL547" s="1"/>
      <c r="CM547" s="1"/>
      <c r="CN547" s="1"/>
      <c r="CO547" s="1"/>
      <c r="CP547" s="1"/>
      <c r="CQ547" s="1"/>
      <c r="CR547" s="1"/>
      <c r="CS547" s="1"/>
      <c r="CT547" s="1"/>
      <c r="CU547" s="1"/>
      <c r="CV547" s="5"/>
      <c r="CW547" s="5"/>
      <c r="CX547" s="45"/>
      <c r="CY547" s="1"/>
      <c r="CZ547" s="1"/>
      <c r="DA547" s="1"/>
      <c r="DB547" s="1"/>
      <c r="DC547" s="1"/>
      <c r="DD547" s="1"/>
      <c r="DE547" s="1"/>
      <c r="DF547" s="1"/>
      <c r="DG547" s="1"/>
      <c r="DH547" s="1"/>
      <c r="DI547" s="1"/>
      <c r="DJ547" s="1"/>
      <c r="DK547" s="1"/>
      <c r="DL547" s="5"/>
      <c r="DM547" s="5"/>
      <c r="DN547" s="1"/>
      <c r="DO547" s="1"/>
      <c r="DP547" s="1"/>
      <c r="DQ547" s="1"/>
      <c r="DR547" s="1"/>
      <c r="DS547" s="1"/>
      <c r="DT547" s="1"/>
      <c r="DU547" s="1"/>
      <c r="DV547" s="1"/>
      <c r="DW547" s="1"/>
      <c r="DX547" s="1"/>
      <c r="DY547" s="1"/>
      <c r="DZ547" s="1"/>
      <c r="EA547" s="1"/>
      <c r="EB547" s="1"/>
      <c r="EC547" s="1"/>
      <c r="ED547" s="1"/>
      <c r="EE547" s="1"/>
      <c r="EF547" s="1"/>
      <c r="EG547" s="1"/>
      <c r="EH547" s="5"/>
      <c r="EI547" s="5"/>
      <c r="EJ547" s="5"/>
      <c r="EK547" s="5"/>
      <c r="EL547" s="5"/>
      <c r="EM547" s="5"/>
      <c r="EN547" s="1"/>
      <c r="EO547" s="5"/>
    </row>
    <row r="548" spans="90:145">
      <c r="CL548" s="1"/>
      <c r="CM548" s="1"/>
      <c r="CN548" s="1"/>
      <c r="CO548" s="1"/>
      <c r="CP548" s="1"/>
      <c r="CQ548" s="1"/>
      <c r="CR548" s="1"/>
      <c r="CS548" s="1"/>
      <c r="CT548" s="1"/>
      <c r="CU548" s="1"/>
      <c r="CV548" s="5"/>
      <c r="CW548" s="5"/>
      <c r="CX548" s="45"/>
      <c r="CY548" s="1"/>
      <c r="CZ548" s="1"/>
      <c r="DA548" s="1"/>
      <c r="DB548" s="1"/>
      <c r="DC548" s="1"/>
      <c r="DD548" s="1"/>
      <c r="DE548" s="1"/>
      <c r="DF548" s="1"/>
      <c r="DG548" s="1"/>
      <c r="DH548" s="1"/>
      <c r="DI548" s="1"/>
      <c r="DJ548" s="1"/>
      <c r="DK548" s="1"/>
      <c r="DL548" s="5"/>
      <c r="DM548" s="5"/>
      <c r="DN548" s="1"/>
      <c r="DO548" s="1"/>
      <c r="DP548" s="1"/>
      <c r="DQ548" s="1"/>
      <c r="DR548" s="1"/>
      <c r="DS548" s="1"/>
      <c r="DT548" s="1"/>
      <c r="DU548" s="1"/>
      <c r="DV548" s="1"/>
      <c r="DW548" s="1"/>
      <c r="DX548" s="1"/>
      <c r="DY548" s="1"/>
      <c r="DZ548" s="1"/>
      <c r="EA548" s="1"/>
      <c r="EB548" s="1"/>
      <c r="EC548" s="1"/>
      <c r="ED548" s="1"/>
      <c r="EE548" s="1"/>
      <c r="EF548" s="1"/>
      <c r="EG548" s="1"/>
      <c r="EH548" s="5"/>
      <c r="EI548" s="5"/>
      <c r="EJ548" s="5"/>
      <c r="EK548" s="5"/>
      <c r="EL548" s="5"/>
      <c r="EM548" s="5"/>
      <c r="EN548" s="1"/>
      <c r="EO548" s="5"/>
    </row>
    <row r="549" spans="90:145">
      <c r="CL549" s="1"/>
      <c r="CM549" s="1"/>
      <c r="CN549" s="1"/>
      <c r="CO549" s="1"/>
      <c r="CP549" s="1"/>
      <c r="CQ549" s="1"/>
      <c r="CR549" s="1"/>
      <c r="CS549" s="1"/>
      <c r="CT549" s="1"/>
      <c r="CU549" s="1"/>
      <c r="CV549" s="5"/>
      <c r="CW549" s="5"/>
      <c r="CX549" s="45"/>
      <c r="CY549" s="1"/>
      <c r="CZ549" s="1"/>
      <c r="DA549" s="1"/>
      <c r="DB549" s="1"/>
      <c r="DC549" s="1"/>
      <c r="DD549" s="1"/>
      <c r="DE549" s="1"/>
      <c r="DF549" s="1"/>
      <c r="DG549" s="1"/>
      <c r="DH549" s="1"/>
      <c r="DI549" s="1"/>
      <c r="DJ549" s="1"/>
      <c r="DK549" s="1"/>
      <c r="DL549" s="5"/>
      <c r="DM549" s="5"/>
      <c r="DN549" s="1"/>
      <c r="DO549" s="1"/>
      <c r="DP549" s="1"/>
      <c r="DQ549" s="1"/>
      <c r="DR549" s="1"/>
      <c r="DS549" s="1"/>
      <c r="DT549" s="1"/>
      <c r="DU549" s="1"/>
      <c r="DV549" s="1"/>
      <c r="DW549" s="1"/>
      <c r="DX549" s="1"/>
      <c r="DY549" s="1"/>
      <c r="DZ549" s="1"/>
      <c r="EA549" s="1"/>
      <c r="EB549" s="1"/>
      <c r="EC549" s="1"/>
      <c r="ED549" s="1"/>
      <c r="EE549" s="1"/>
      <c r="EF549" s="1"/>
      <c r="EG549" s="1"/>
      <c r="EH549" s="5"/>
      <c r="EI549" s="5"/>
      <c r="EJ549" s="5"/>
      <c r="EK549" s="5"/>
      <c r="EL549" s="5"/>
      <c r="EM549" s="5"/>
      <c r="EN549" s="1"/>
      <c r="EO549" s="5"/>
    </row>
    <row r="550" spans="90:145">
      <c r="CL550" s="1"/>
      <c r="CM550" s="1"/>
      <c r="CN550" s="1"/>
      <c r="CO550" s="1"/>
      <c r="CP550" s="1"/>
      <c r="CQ550" s="1"/>
      <c r="CR550" s="1"/>
      <c r="CS550" s="1"/>
      <c r="CT550" s="1"/>
      <c r="CU550" s="1"/>
      <c r="CV550" s="5"/>
      <c r="CW550" s="5"/>
      <c r="CX550" s="45"/>
      <c r="CY550" s="1"/>
      <c r="CZ550" s="1"/>
      <c r="DA550" s="1"/>
      <c r="DB550" s="1"/>
      <c r="DC550" s="1"/>
      <c r="DD550" s="1"/>
      <c r="DE550" s="1"/>
      <c r="DF550" s="1"/>
      <c r="DG550" s="1"/>
      <c r="DH550" s="1"/>
      <c r="DI550" s="1"/>
      <c r="DJ550" s="1"/>
      <c r="DK550" s="1"/>
      <c r="DL550" s="5"/>
      <c r="DM550" s="5"/>
      <c r="DN550" s="1"/>
      <c r="DO550" s="1"/>
      <c r="DP550" s="1"/>
      <c r="DQ550" s="1"/>
      <c r="DR550" s="1"/>
      <c r="DS550" s="1"/>
      <c r="DT550" s="1"/>
      <c r="DU550" s="1"/>
      <c r="DV550" s="1"/>
      <c r="DW550" s="1"/>
      <c r="DX550" s="1"/>
      <c r="DY550" s="1"/>
      <c r="DZ550" s="1"/>
      <c r="EA550" s="1"/>
      <c r="EB550" s="1"/>
      <c r="EC550" s="1"/>
      <c r="ED550" s="1"/>
      <c r="EE550" s="1"/>
      <c r="EF550" s="1"/>
      <c r="EG550" s="1"/>
      <c r="EH550" s="5"/>
      <c r="EI550" s="5"/>
      <c r="EJ550" s="5"/>
      <c r="EK550" s="5"/>
      <c r="EL550" s="5"/>
      <c r="EM550" s="5"/>
      <c r="EN550" s="1"/>
      <c r="EO550" s="5"/>
    </row>
    <row r="551" spans="90:145">
      <c r="CL551" s="1"/>
      <c r="CM551" s="1"/>
      <c r="CN551" s="1"/>
      <c r="CO551" s="1"/>
      <c r="CP551" s="1"/>
      <c r="CQ551" s="1"/>
      <c r="CR551" s="1"/>
      <c r="CS551" s="1"/>
      <c r="CT551" s="1"/>
      <c r="CU551" s="1"/>
      <c r="CV551" s="5"/>
      <c r="CW551" s="5"/>
      <c r="CX551" s="45"/>
      <c r="CY551" s="1"/>
      <c r="CZ551" s="1"/>
      <c r="DA551" s="1"/>
      <c r="DB551" s="1"/>
      <c r="DC551" s="1"/>
      <c r="DD551" s="1"/>
      <c r="DE551" s="1"/>
      <c r="DF551" s="1"/>
      <c r="DG551" s="1"/>
      <c r="DH551" s="1"/>
      <c r="DI551" s="1"/>
      <c r="DJ551" s="1"/>
      <c r="DK551" s="1"/>
      <c r="DL551" s="5"/>
      <c r="DM551" s="5"/>
      <c r="DN551" s="1"/>
      <c r="DO551" s="1"/>
      <c r="DP551" s="1"/>
      <c r="DQ551" s="1"/>
      <c r="DR551" s="1"/>
      <c r="DS551" s="1"/>
      <c r="DT551" s="1"/>
      <c r="DU551" s="1"/>
      <c r="DV551" s="1"/>
      <c r="DW551" s="1"/>
      <c r="DX551" s="1"/>
      <c r="DY551" s="1"/>
      <c r="DZ551" s="1"/>
      <c r="EA551" s="1"/>
      <c r="EB551" s="1"/>
      <c r="EC551" s="1"/>
      <c r="ED551" s="1"/>
      <c r="EE551" s="1"/>
      <c r="EF551" s="1"/>
      <c r="EG551" s="1"/>
      <c r="EH551" s="5"/>
      <c r="EI551" s="5"/>
      <c r="EJ551" s="5"/>
      <c r="EK551" s="5"/>
      <c r="EL551" s="5"/>
      <c r="EM551" s="5"/>
      <c r="EN551" s="1"/>
      <c r="EO551" s="5"/>
    </row>
    <row r="552" spans="90:145">
      <c r="CL552" s="1"/>
      <c r="CM552" s="1"/>
      <c r="CN552" s="1"/>
      <c r="CO552" s="1"/>
      <c r="CP552" s="1"/>
      <c r="CQ552" s="1"/>
      <c r="CR552" s="1"/>
      <c r="CS552" s="1"/>
      <c r="CT552" s="1"/>
      <c r="CU552" s="1"/>
      <c r="CV552" s="5"/>
      <c r="CW552" s="5"/>
      <c r="CX552" s="45"/>
      <c r="CY552" s="1"/>
      <c r="CZ552" s="1"/>
      <c r="DA552" s="1"/>
      <c r="DB552" s="1"/>
      <c r="DC552" s="1"/>
      <c r="DD552" s="1"/>
      <c r="DE552" s="1"/>
      <c r="DF552" s="1"/>
      <c r="DG552" s="1"/>
      <c r="DH552" s="1"/>
      <c r="DI552" s="1"/>
      <c r="DJ552" s="1"/>
      <c r="DK552" s="1"/>
      <c r="DL552" s="5"/>
      <c r="DM552" s="5"/>
      <c r="DN552" s="1"/>
      <c r="DO552" s="1"/>
      <c r="DP552" s="1"/>
      <c r="DQ552" s="1"/>
      <c r="DR552" s="1"/>
      <c r="DS552" s="1"/>
      <c r="DT552" s="1"/>
      <c r="DU552" s="1"/>
      <c r="DV552" s="1"/>
      <c r="DW552" s="1"/>
      <c r="DX552" s="1"/>
      <c r="DY552" s="1"/>
      <c r="DZ552" s="1"/>
      <c r="EA552" s="1"/>
      <c r="EB552" s="1"/>
      <c r="EC552" s="1"/>
      <c r="ED552" s="1"/>
      <c r="EE552" s="1"/>
      <c r="EF552" s="1"/>
      <c r="EG552" s="1"/>
      <c r="EH552" s="5"/>
      <c r="EI552" s="5"/>
      <c r="EJ552" s="5"/>
      <c r="EK552" s="5"/>
      <c r="EL552" s="5"/>
      <c r="EM552" s="5"/>
      <c r="EN552" s="1"/>
      <c r="EO552" s="5"/>
    </row>
    <row r="553" spans="90:145">
      <c r="CL553" s="1"/>
      <c r="CM553" s="1"/>
      <c r="CN553" s="1"/>
      <c r="CO553" s="1"/>
      <c r="CP553" s="1"/>
      <c r="CQ553" s="1"/>
      <c r="CR553" s="1"/>
      <c r="CS553" s="1"/>
      <c r="CT553" s="1"/>
      <c r="CU553" s="1"/>
      <c r="CV553" s="5"/>
      <c r="CW553" s="5"/>
      <c r="CX553" s="45"/>
      <c r="CY553" s="1"/>
      <c r="CZ553" s="1"/>
      <c r="DA553" s="1"/>
      <c r="DB553" s="1"/>
      <c r="DC553" s="1"/>
      <c r="DD553" s="1"/>
      <c r="DE553" s="1"/>
      <c r="DF553" s="1"/>
      <c r="DG553" s="1"/>
      <c r="DH553" s="1"/>
      <c r="DI553" s="1"/>
      <c r="DJ553" s="1"/>
      <c r="DK553" s="1"/>
      <c r="DL553" s="5"/>
      <c r="DM553" s="5"/>
      <c r="DN553" s="1"/>
      <c r="DO553" s="1"/>
      <c r="DP553" s="1"/>
      <c r="DQ553" s="1"/>
      <c r="DR553" s="1"/>
      <c r="DS553" s="1"/>
      <c r="DT553" s="1"/>
      <c r="DU553" s="1"/>
      <c r="DV553" s="1"/>
      <c r="DW553" s="1"/>
      <c r="DX553" s="1"/>
      <c r="DY553" s="1"/>
      <c r="DZ553" s="1"/>
      <c r="EA553" s="1"/>
      <c r="EB553" s="1"/>
      <c r="EC553" s="1"/>
      <c r="ED553" s="1"/>
      <c r="EE553" s="1"/>
      <c r="EF553" s="1"/>
      <c r="EG553" s="1"/>
      <c r="EH553" s="5"/>
      <c r="EI553" s="5"/>
      <c r="EJ553" s="5"/>
      <c r="EK553" s="5"/>
      <c r="EL553" s="5"/>
      <c r="EM553" s="5"/>
      <c r="EN553" s="1"/>
      <c r="EO553" s="5"/>
    </row>
    <row r="554" spans="90:145">
      <c r="CL554" s="1"/>
      <c r="CM554" s="1"/>
      <c r="CN554" s="1"/>
      <c r="CO554" s="1"/>
      <c r="CP554" s="1"/>
      <c r="CQ554" s="1"/>
      <c r="CR554" s="1"/>
      <c r="CS554" s="1"/>
      <c r="CT554" s="1"/>
      <c r="CU554" s="1"/>
      <c r="CV554" s="5"/>
      <c r="CW554" s="5"/>
      <c r="CX554" s="45"/>
      <c r="CY554" s="1"/>
      <c r="CZ554" s="1"/>
      <c r="DA554" s="1"/>
      <c r="DB554" s="1"/>
      <c r="DC554" s="1"/>
      <c r="DD554" s="1"/>
      <c r="DE554" s="1"/>
      <c r="DF554" s="1"/>
      <c r="DG554" s="1"/>
      <c r="DH554" s="1"/>
      <c r="DI554" s="1"/>
      <c r="DJ554" s="1"/>
      <c r="DK554" s="1"/>
      <c r="DL554" s="5"/>
      <c r="DM554" s="5"/>
      <c r="DN554" s="1"/>
      <c r="DO554" s="1"/>
      <c r="DP554" s="1"/>
      <c r="DQ554" s="1"/>
      <c r="DR554" s="1"/>
      <c r="DS554" s="1"/>
      <c r="DT554" s="1"/>
      <c r="DU554" s="1"/>
      <c r="DV554" s="1"/>
      <c r="DW554" s="1"/>
      <c r="DX554" s="1"/>
      <c r="DY554" s="1"/>
      <c r="DZ554" s="1"/>
      <c r="EA554" s="1"/>
      <c r="EB554" s="1"/>
      <c r="EC554" s="1"/>
      <c r="ED554" s="1"/>
      <c r="EE554" s="1"/>
      <c r="EF554" s="1"/>
      <c r="EG554" s="1"/>
      <c r="EH554" s="5"/>
      <c r="EI554" s="5"/>
      <c r="EJ554" s="5"/>
      <c r="EK554" s="5"/>
      <c r="EL554" s="5"/>
      <c r="EM554" s="5"/>
      <c r="EN554" s="1"/>
      <c r="EO554" s="5"/>
    </row>
    <row r="555" spans="90:145">
      <c r="CL555" s="1"/>
      <c r="CM555" s="1"/>
      <c r="CN555" s="1"/>
      <c r="CO555" s="1"/>
      <c r="CP555" s="1"/>
      <c r="CQ555" s="1"/>
      <c r="CR555" s="1"/>
      <c r="CS555" s="1"/>
      <c r="CT555" s="1"/>
      <c r="CU555" s="1"/>
      <c r="CV555" s="5"/>
      <c r="CW555" s="5"/>
      <c r="CX555" s="45"/>
      <c r="CY555" s="1"/>
      <c r="CZ555" s="1"/>
      <c r="DA555" s="1"/>
      <c r="DB555" s="1"/>
      <c r="DC555" s="1"/>
      <c r="DD555" s="1"/>
      <c r="DE555" s="1"/>
      <c r="DF555" s="1"/>
      <c r="DG555" s="1"/>
      <c r="DH555" s="1"/>
      <c r="DI555" s="1"/>
      <c r="DJ555" s="1"/>
      <c r="DK555" s="1"/>
      <c r="DL555" s="5"/>
      <c r="DM555" s="5"/>
      <c r="DN555" s="1"/>
      <c r="DO555" s="1"/>
      <c r="DP555" s="1"/>
      <c r="DQ555" s="1"/>
      <c r="DR555" s="1"/>
      <c r="DS555" s="1"/>
      <c r="DT555" s="1"/>
      <c r="DU555" s="1"/>
      <c r="DV555" s="1"/>
      <c r="DW555" s="1"/>
      <c r="DX555" s="1"/>
      <c r="DY555" s="1"/>
      <c r="DZ555" s="1"/>
      <c r="EA555" s="1"/>
      <c r="EB555" s="1"/>
      <c r="EC555" s="1"/>
      <c r="ED555" s="1"/>
      <c r="EE555" s="1"/>
      <c r="EF555" s="1"/>
      <c r="EG555" s="1"/>
      <c r="EH555" s="5"/>
      <c r="EI555" s="5"/>
      <c r="EJ555" s="5"/>
      <c r="EK555" s="5"/>
      <c r="EL555" s="5"/>
      <c r="EM555" s="5"/>
      <c r="EN555" s="1"/>
      <c r="EO555" s="5"/>
    </row>
    <row r="556" spans="90:145">
      <c r="CL556" s="1"/>
      <c r="CM556" s="1"/>
      <c r="CN556" s="1"/>
      <c r="CO556" s="1"/>
      <c r="CP556" s="1"/>
      <c r="CQ556" s="1"/>
      <c r="CR556" s="1"/>
      <c r="CS556" s="1"/>
      <c r="CT556" s="1"/>
      <c r="CU556" s="1"/>
      <c r="CV556" s="5"/>
      <c r="CW556" s="5"/>
      <c r="CX556" s="45"/>
      <c r="CY556" s="1"/>
      <c r="CZ556" s="1"/>
      <c r="DA556" s="1"/>
      <c r="DB556" s="1"/>
      <c r="DC556" s="1"/>
      <c r="DD556" s="1"/>
      <c r="DE556" s="1"/>
      <c r="DF556" s="1"/>
      <c r="DG556" s="1"/>
      <c r="DH556" s="1"/>
      <c r="DI556" s="1"/>
      <c r="DJ556" s="1"/>
      <c r="DK556" s="1"/>
      <c r="DL556" s="5"/>
      <c r="DM556" s="5"/>
      <c r="DN556" s="1"/>
      <c r="DO556" s="1"/>
      <c r="DP556" s="1"/>
      <c r="DQ556" s="1"/>
      <c r="DR556" s="1"/>
      <c r="DS556" s="1"/>
      <c r="DT556" s="1"/>
      <c r="DU556" s="1"/>
      <c r="DV556" s="1"/>
      <c r="DW556" s="1"/>
      <c r="DX556" s="1"/>
      <c r="DY556" s="1"/>
      <c r="DZ556" s="1"/>
      <c r="EA556" s="1"/>
      <c r="EB556" s="1"/>
      <c r="EC556" s="1"/>
      <c r="ED556" s="1"/>
      <c r="EE556" s="1"/>
      <c r="EF556" s="1"/>
      <c r="EG556" s="1"/>
      <c r="EH556" s="5"/>
      <c r="EI556" s="5"/>
      <c r="EJ556" s="5"/>
      <c r="EK556" s="5"/>
      <c r="EL556" s="5"/>
      <c r="EM556" s="5"/>
      <c r="EN556" s="1"/>
      <c r="EO556" s="5"/>
    </row>
    <row r="557" spans="90:145">
      <c r="CL557" s="1"/>
      <c r="CM557" s="1"/>
      <c r="CN557" s="1"/>
      <c r="CO557" s="1"/>
      <c r="CP557" s="1"/>
      <c r="CQ557" s="1"/>
      <c r="CR557" s="1"/>
      <c r="CS557" s="1"/>
      <c r="CT557" s="1"/>
      <c r="CU557" s="1"/>
      <c r="CV557" s="5"/>
      <c r="CW557" s="5"/>
      <c r="CX557" s="45"/>
      <c r="CY557" s="1"/>
      <c r="CZ557" s="1"/>
      <c r="DA557" s="1"/>
      <c r="DB557" s="1"/>
      <c r="DC557" s="1"/>
      <c r="DD557" s="1"/>
      <c r="DE557" s="1"/>
      <c r="DF557" s="1"/>
      <c r="DG557" s="1"/>
      <c r="DH557" s="1"/>
      <c r="DI557" s="1"/>
      <c r="DJ557" s="1"/>
      <c r="DK557" s="1"/>
      <c r="DL557" s="5"/>
      <c r="DM557" s="5"/>
      <c r="DN557" s="1"/>
      <c r="DO557" s="1"/>
      <c r="DP557" s="1"/>
      <c r="DQ557" s="1"/>
      <c r="DR557" s="1"/>
      <c r="DS557" s="1"/>
      <c r="DT557" s="1"/>
      <c r="DU557" s="1"/>
      <c r="DV557" s="1"/>
      <c r="DW557" s="1"/>
      <c r="DX557" s="1"/>
      <c r="DY557" s="1"/>
      <c r="DZ557" s="1"/>
      <c r="EA557" s="1"/>
      <c r="EB557" s="1"/>
      <c r="EC557" s="1"/>
      <c r="ED557" s="1"/>
      <c r="EE557" s="1"/>
      <c r="EF557" s="1"/>
      <c r="EG557" s="1"/>
      <c r="EH557" s="5"/>
      <c r="EI557" s="5"/>
      <c r="EJ557" s="5"/>
      <c r="EK557" s="5"/>
      <c r="EL557" s="5"/>
      <c r="EM557" s="5"/>
      <c r="EN557" s="1"/>
      <c r="EO557" s="5"/>
    </row>
    <row r="558" spans="90:145">
      <c r="CL558" s="1"/>
      <c r="CM558" s="1"/>
      <c r="CN558" s="1"/>
      <c r="CO558" s="1"/>
      <c r="CP558" s="1"/>
      <c r="CQ558" s="1"/>
      <c r="CR558" s="1"/>
      <c r="CS558" s="1"/>
      <c r="CT558" s="1"/>
      <c r="CU558" s="1"/>
      <c r="CV558" s="5"/>
      <c r="CW558" s="5"/>
      <c r="CX558" s="45"/>
      <c r="CY558" s="1"/>
      <c r="CZ558" s="1"/>
      <c r="DA558" s="1"/>
      <c r="DB558" s="1"/>
      <c r="DC558" s="1"/>
      <c r="DD558" s="1"/>
      <c r="DE558" s="1"/>
      <c r="DF558" s="1"/>
      <c r="DG558" s="1"/>
      <c r="DH558" s="1"/>
      <c r="DI558" s="1"/>
      <c r="DJ558" s="1"/>
      <c r="DK558" s="1"/>
      <c r="DL558" s="5"/>
      <c r="DM558" s="5"/>
      <c r="DN558" s="1"/>
      <c r="DO558" s="1"/>
      <c r="DP558" s="1"/>
      <c r="DQ558" s="1"/>
      <c r="DR558" s="1"/>
      <c r="DS558" s="1"/>
      <c r="DT558" s="1"/>
      <c r="DU558" s="1"/>
      <c r="DV558" s="1"/>
      <c r="DW558" s="1"/>
      <c r="DX558" s="1"/>
      <c r="DY558" s="1"/>
      <c r="DZ558" s="1"/>
      <c r="EA558" s="1"/>
      <c r="EB558" s="1"/>
      <c r="EC558" s="1"/>
      <c r="ED558" s="1"/>
      <c r="EE558" s="1"/>
      <c r="EF558" s="1"/>
      <c r="EG558" s="1"/>
      <c r="EH558" s="5"/>
      <c r="EI558" s="5"/>
      <c r="EJ558" s="5"/>
      <c r="EK558" s="5"/>
      <c r="EL558" s="5"/>
      <c r="EM558" s="5"/>
      <c r="EN558" s="1"/>
      <c r="EO558" s="5"/>
    </row>
    <row r="559" spans="90:145">
      <c r="CL559" s="1"/>
      <c r="CM559" s="1"/>
      <c r="CN559" s="1"/>
      <c r="CO559" s="1"/>
      <c r="CP559" s="1"/>
      <c r="CQ559" s="1"/>
      <c r="CR559" s="1"/>
      <c r="CS559" s="1"/>
      <c r="CT559" s="1"/>
      <c r="CU559" s="1"/>
      <c r="CV559" s="5"/>
      <c r="CW559" s="5"/>
      <c r="CX559" s="45"/>
      <c r="CY559" s="1"/>
      <c r="CZ559" s="1"/>
      <c r="DA559" s="1"/>
      <c r="DB559" s="1"/>
      <c r="DC559" s="1"/>
      <c r="DD559" s="1"/>
      <c r="DE559" s="1"/>
      <c r="DF559" s="1"/>
      <c r="DG559" s="1"/>
      <c r="DH559" s="1"/>
      <c r="DI559" s="1"/>
      <c r="DJ559" s="1"/>
      <c r="DK559" s="1"/>
      <c r="DL559" s="5"/>
      <c r="DM559" s="5"/>
      <c r="DN559" s="1"/>
      <c r="DO559" s="1"/>
      <c r="DP559" s="1"/>
      <c r="DQ559" s="1"/>
      <c r="DR559" s="1"/>
      <c r="DS559" s="1"/>
      <c r="DT559" s="1"/>
      <c r="DU559" s="1"/>
      <c r="DV559" s="1"/>
      <c r="DW559" s="1"/>
      <c r="DX559" s="1"/>
      <c r="DY559" s="1"/>
      <c r="DZ559" s="1"/>
      <c r="EA559" s="1"/>
      <c r="EB559" s="1"/>
      <c r="EC559" s="1"/>
      <c r="ED559" s="1"/>
      <c r="EE559" s="1"/>
      <c r="EF559" s="1"/>
      <c r="EG559" s="1"/>
      <c r="EH559" s="5"/>
      <c r="EI559" s="5"/>
      <c r="EJ559" s="5"/>
      <c r="EK559" s="5"/>
      <c r="EL559" s="5"/>
      <c r="EM559" s="5"/>
      <c r="EN559" s="1"/>
      <c r="EO559" s="5"/>
    </row>
    <row r="560" spans="90:145">
      <c r="CL560" s="1"/>
      <c r="CM560" s="1"/>
      <c r="CN560" s="1"/>
      <c r="CO560" s="1"/>
      <c r="CP560" s="1"/>
      <c r="CQ560" s="1"/>
      <c r="CR560" s="1"/>
      <c r="CS560" s="1"/>
      <c r="CT560" s="1"/>
      <c r="CU560" s="1"/>
      <c r="CV560" s="5"/>
      <c r="CW560" s="5"/>
      <c r="CX560" s="45"/>
      <c r="CY560" s="1"/>
      <c r="CZ560" s="1"/>
      <c r="DA560" s="1"/>
      <c r="DB560" s="1"/>
      <c r="DC560" s="1"/>
      <c r="DD560" s="1"/>
      <c r="DE560" s="1"/>
      <c r="DF560" s="1"/>
      <c r="DG560" s="1"/>
      <c r="DH560" s="1"/>
      <c r="DI560" s="1"/>
      <c r="DJ560" s="1"/>
      <c r="DK560" s="1"/>
      <c r="DL560" s="5"/>
      <c r="DM560" s="5"/>
      <c r="DN560" s="1"/>
      <c r="DO560" s="1"/>
      <c r="DP560" s="1"/>
      <c r="DQ560" s="1"/>
      <c r="DR560" s="1"/>
      <c r="DS560" s="1"/>
      <c r="DT560" s="1"/>
      <c r="DU560" s="1"/>
      <c r="DV560" s="1"/>
      <c r="DW560" s="1"/>
      <c r="DX560" s="1"/>
      <c r="DY560" s="1"/>
      <c r="DZ560" s="1"/>
      <c r="EA560" s="1"/>
      <c r="EB560" s="1"/>
      <c r="EC560" s="1"/>
      <c r="ED560" s="1"/>
      <c r="EE560" s="1"/>
      <c r="EF560" s="1"/>
      <c r="EG560" s="1"/>
      <c r="EH560" s="5"/>
      <c r="EI560" s="5"/>
      <c r="EJ560" s="5"/>
      <c r="EK560" s="5"/>
      <c r="EL560" s="5"/>
      <c r="EM560" s="5"/>
      <c r="EN560" s="1"/>
      <c r="EO560" s="5"/>
    </row>
    <row r="561" spans="90:145">
      <c r="CL561" s="1"/>
      <c r="CM561" s="1"/>
      <c r="CN561" s="1"/>
      <c r="CO561" s="1"/>
      <c r="CP561" s="1"/>
      <c r="CQ561" s="1"/>
      <c r="CR561" s="1"/>
      <c r="CS561" s="1"/>
      <c r="CT561" s="1"/>
      <c r="CU561" s="1"/>
      <c r="CV561" s="5"/>
      <c r="CW561" s="5"/>
      <c r="CX561" s="45"/>
      <c r="CY561" s="1"/>
      <c r="CZ561" s="1"/>
      <c r="DA561" s="1"/>
      <c r="DB561" s="1"/>
      <c r="DC561" s="1"/>
      <c r="DD561" s="1"/>
      <c r="DE561" s="1"/>
      <c r="DF561" s="1"/>
      <c r="DG561" s="1"/>
      <c r="DH561" s="1"/>
      <c r="DI561" s="1"/>
      <c r="DJ561" s="1"/>
      <c r="DK561" s="1"/>
      <c r="DL561" s="5"/>
      <c r="DM561" s="5"/>
      <c r="DN561" s="1"/>
      <c r="DO561" s="1"/>
      <c r="DP561" s="1"/>
      <c r="DQ561" s="1"/>
      <c r="DR561" s="1"/>
      <c r="DS561" s="1"/>
      <c r="DT561" s="1"/>
      <c r="DU561" s="1"/>
      <c r="DV561" s="1"/>
      <c r="DW561" s="1"/>
      <c r="DX561" s="1"/>
      <c r="DY561" s="1"/>
      <c r="DZ561" s="1"/>
      <c r="EA561" s="1"/>
      <c r="EB561" s="1"/>
      <c r="EC561" s="1"/>
      <c r="ED561" s="1"/>
      <c r="EE561" s="1"/>
      <c r="EF561" s="1"/>
      <c r="EG561" s="1"/>
      <c r="EH561" s="5"/>
      <c r="EI561" s="5"/>
      <c r="EJ561" s="5"/>
      <c r="EK561" s="5"/>
      <c r="EL561" s="5"/>
      <c r="EM561" s="5"/>
      <c r="EN561" s="1"/>
      <c r="EO561" s="5"/>
    </row>
    <row r="562" spans="90:145">
      <c r="CL562" s="1"/>
      <c r="CM562" s="1"/>
      <c r="CN562" s="1"/>
      <c r="CO562" s="1"/>
      <c r="CP562" s="1"/>
      <c r="CQ562" s="1"/>
      <c r="CR562" s="1"/>
      <c r="CS562" s="1"/>
      <c r="CT562" s="1"/>
      <c r="CU562" s="1"/>
      <c r="CV562" s="5"/>
      <c r="CW562" s="5"/>
      <c r="CX562" s="45"/>
      <c r="CY562" s="1"/>
      <c r="CZ562" s="1"/>
      <c r="DA562" s="1"/>
      <c r="DB562" s="1"/>
      <c r="DC562" s="1"/>
      <c r="DD562" s="1"/>
      <c r="DE562" s="1"/>
      <c r="DF562" s="1"/>
      <c r="DG562" s="1"/>
      <c r="DH562" s="1"/>
      <c r="DI562" s="1"/>
      <c r="DJ562" s="1"/>
      <c r="DK562" s="1"/>
      <c r="DL562" s="5"/>
      <c r="DM562" s="5"/>
      <c r="DN562" s="1"/>
      <c r="DO562" s="1"/>
      <c r="DP562" s="1"/>
      <c r="DQ562" s="1"/>
      <c r="DR562" s="1"/>
      <c r="DS562" s="1"/>
      <c r="DT562" s="1"/>
      <c r="DU562" s="1"/>
      <c r="DV562" s="1"/>
      <c r="DW562" s="1"/>
      <c r="DX562" s="1"/>
      <c r="DY562" s="1"/>
      <c r="DZ562" s="1"/>
      <c r="EA562" s="1"/>
      <c r="EB562" s="1"/>
      <c r="EC562" s="1"/>
      <c r="ED562" s="1"/>
      <c r="EE562" s="1"/>
      <c r="EF562" s="1"/>
      <c r="EG562" s="1"/>
      <c r="EH562" s="5"/>
      <c r="EI562" s="5"/>
      <c r="EJ562" s="5"/>
      <c r="EK562" s="5"/>
      <c r="EL562" s="5"/>
      <c r="EM562" s="5"/>
      <c r="EN562" s="1"/>
      <c r="EO562" s="5"/>
    </row>
    <row r="563" spans="90:145">
      <c r="CL563" s="1"/>
      <c r="CM563" s="1"/>
      <c r="CN563" s="1"/>
      <c r="CO563" s="1"/>
      <c r="CP563" s="1"/>
      <c r="CQ563" s="1"/>
      <c r="CR563" s="1"/>
      <c r="CS563" s="1"/>
      <c r="CT563" s="1"/>
      <c r="CU563" s="1"/>
      <c r="CV563" s="5"/>
      <c r="CW563" s="5"/>
      <c r="CX563" s="45"/>
      <c r="CY563" s="1"/>
      <c r="CZ563" s="1"/>
      <c r="DA563" s="1"/>
      <c r="DB563" s="1"/>
      <c r="DC563" s="1"/>
      <c r="DD563" s="1"/>
      <c r="DE563" s="1"/>
      <c r="DF563" s="1"/>
      <c r="DG563" s="1"/>
      <c r="DH563" s="1"/>
      <c r="DI563" s="1"/>
      <c r="DJ563" s="1"/>
      <c r="DK563" s="1"/>
      <c r="DL563" s="5"/>
      <c r="DM563" s="5"/>
      <c r="DN563" s="1"/>
      <c r="DO563" s="1"/>
      <c r="DP563" s="1"/>
      <c r="DQ563" s="1"/>
      <c r="DR563" s="1"/>
      <c r="DS563" s="1"/>
      <c r="DT563" s="1"/>
      <c r="DU563" s="1"/>
      <c r="DV563" s="1"/>
      <c r="DW563" s="1"/>
      <c r="DX563" s="1"/>
      <c r="DY563" s="1"/>
      <c r="DZ563" s="1"/>
      <c r="EA563" s="1"/>
      <c r="EB563" s="1"/>
      <c r="EC563" s="1"/>
      <c r="ED563" s="1"/>
      <c r="EE563" s="1"/>
      <c r="EF563" s="1"/>
      <c r="EG563" s="1"/>
      <c r="EH563" s="5"/>
      <c r="EI563" s="5"/>
      <c r="EJ563" s="5"/>
      <c r="EK563" s="5"/>
      <c r="EL563" s="5"/>
      <c r="EM563" s="5"/>
      <c r="EN563" s="1"/>
      <c r="EO563" s="5"/>
    </row>
    <row r="564" spans="90:145">
      <c r="CL564" s="1"/>
      <c r="CM564" s="1"/>
      <c r="CN564" s="1"/>
      <c r="CO564" s="1"/>
      <c r="CP564" s="1"/>
      <c r="CQ564" s="1"/>
      <c r="CR564" s="1"/>
      <c r="CS564" s="1"/>
      <c r="CT564" s="1"/>
      <c r="CU564" s="1"/>
      <c r="CV564" s="5"/>
      <c r="CW564" s="5"/>
      <c r="CX564" s="45"/>
      <c r="CY564" s="1"/>
      <c r="CZ564" s="1"/>
      <c r="DA564" s="1"/>
      <c r="DB564" s="1"/>
      <c r="DC564" s="1"/>
      <c r="DD564" s="1"/>
      <c r="DE564" s="1"/>
      <c r="DF564" s="1"/>
      <c r="DG564" s="1"/>
      <c r="DH564" s="1"/>
      <c r="DI564" s="1"/>
      <c r="DJ564" s="1"/>
      <c r="DK564" s="1"/>
      <c r="DL564" s="5"/>
      <c r="DM564" s="5"/>
      <c r="DN564" s="1"/>
      <c r="DO564" s="1"/>
      <c r="DP564" s="1"/>
      <c r="DQ564" s="1"/>
      <c r="DR564" s="1"/>
      <c r="DS564" s="1"/>
      <c r="DT564" s="1"/>
      <c r="DU564" s="1"/>
      <c r="DV564" s="1"/>
      <c r="DW564" s="1"/>
      <c r="DX564" s="1"/>
      <c r="DY564" s="1"/>
      <c r="DZ564" s="1"/>
      <c r="EA564" s="1"/>
      <c r="EB564" s="1"/>
      <c r="EC564" s="1"/>
      <c r="ED564" s="1"/>
      <c r="EE564" s="1"/>
      <c r="EF564" s="1"/>
      <c r="EG564" s="1"/>
      <c r="EH564" s="5"/>
      <c r="EI564" s="5"/>
      <c r="EJ564" s="5"/>
      <c r="EK564" s="5"/>
      <c r="EL564" s="5"/>
      <c r="EM564" s="5"/>
      <c r="EN564" s="1"/>
      <c r="EO564" s="5"/>
    </row>
    <row r="565" spans="90:145">
      <c r="CL565" s="1"/>
      <c r="CM565" s="1"/>
      <c r="CN565" s="1"/>
      <c r="CO565" s="1"/>
      <c r="CP565" s="1"/>
      <c r="CQ565" s="1"/>
      <c r="CR565" s="1"/>
      <c r="CS565" s="1"/>
      <c r="CT565" s="1"/>
      <c r="CU565" s="1"/>
      <c r="CV565" s="5"/>
      <c r="CW565" s="5"/>
      <c r="CX565" s="45"/>
      <c r="CY565" s="1"/>
      <c r="CZ565" s="1"/>
      <c r="DA565" s="1"/>
      <c r="DB565" s="1"/>
      <c r="DC565" s="1"/>
      <c r="DD565" s="1"/>
      <c r="DE565" s="1"/>
      <c r="DF565" s="1"/>
      <c r="DG565" s="1"/>
      <c r="DH565" s="1"/>
      <c r="DI565" s="1"/>
      <c r="DJ565" s="1"/>
      <c r="DK565" s="1"/>
      <c r="DL565" s="5"/>
      <c r="DM565" s="5"/>
      <c r="DN565" s="1"/>
      <c r="DO565" s="1"/>
      <c r="DP565" s="1"/>
      <c r="DQ565" s="1"/>
      <c r="DR565" s="1"/>
      <c r="DS565" s="1"/>
      <c r="DT565" s="1"/>
      <c r="DU565" s="1"/>
      <c r="DV565" s="1"/>
      <c r="DW565" s="1"/>
      <c r="DX565" s="1"/>
      <c r="DY565" s="1"/>
      <c r="DZ565" s="1"/>
      <c r="EA565" s="1"/>
      <c r="EB565" s="1"/>
      <c r="EC565" s="1"/>
      <c r="ED565" s="1"/>
      <c r="EE565" s="1"/>
      <c r="EF565" s="1"/>
      <c r="EG565" s="1"/>
      <c r="EH565" s="5"/>
      <c r="EI565" s="5"/>
      <c r="EJ565" s="5"/>
      <c r="EK565" s="5"/>
      <c r="EL565" s="5"/>
      <c r="EM565" s="5"/>
      <c r="EN565" s="1"/>
      <c r="EO565" s="5"/>
    </row>
    <row r="566" spans="90:145">
      <c r="CL566" s="1"/>
      <c r="CM566" s="1"/>
      <c r="CN566" s="1"/>
      <c r="CO566" s="1"/>
      <c r="CP566" s="1"/>
      <c r="CQ566" s="1"/>
      <c r="CR566" s="1"/>
      <c r="CS566" s="1"/>
      <c r="CT566" s="1"/>
      <c r="CU566" s="1"/>
      <c r="CV566" s="5"/>
      <c r="CW566" s="5"/>
      <c r="CX566" s="45"/>
      <c r="CY566" s="1"/>
      <c r="CZ566" s="1"/>
      <c r="DA566" s="1"/>
      <c r="DB566" s="1"/>
      <c r="DC566" s="1"/>
      <c r="DD566" s="1"/>
      <c r="DE566" s="1"/>
      <c r="DF566" s="1"/>
      <c r="DG566" s="1"/>
      <c r="DH566" s="1"/>
      <c r="DI566" s="1"/>
      <c r="DJ566" s="1"/>
      <c r="DK566" s="1"/>
      <c r="DL566" s="5"/>
      <c r="DM566" s="5"/>
      <c r="DN566" s="1"/>
      <c r="DO566" s="1"/>
      <c r="DP566" s="1"/>
      <c r="DQ566" s="1"/>
      <c r="DR566" s="1"/>
      <c r="DS566" s="1"/>
      <c r="DT566" s="1"/>
      <c r="DU566" s="1"/>
      <c r="DV566" s="1"/>
      <c r="DW566" s="1"/>
      <c r="DX566" s="1"/>
      <c r="DY566" s="1"/>
      <c r="DZ566" s="1"/>
      <c r="EA566" s="1"/>
      <c r="EB566" s="1"/>
      <c r="EC566" s="1"/>
      <c r="ED566" s="1"/>
      <c r="EE566" s="1"/>
      <c r="EF566" s="1"/>
      <c r="EG566" s="1"/>
      <c r="EH566" s="5"/>
      <c r="EI566" s="5"/>
      <c r="EJ566" s="5"/>
      <c r="EK566" s="5"/>
      <c r="EL566" s="5"/>
      <c r="EM566" s="5"/>
      <c r="EN566" s="1"/>
      <c r="EO566" s="5"/>
    </row>
    <row r="567" spans="90:145">
      <c r="CL567" s="1"/>
      <c r="CM567" s="1"/>
      <c r="CN567" s="1"/>
      <c r="CO567" s="1"/>
      <c r="CP567" s="1"/>
      <c r="CQ567" s="1"/>
      <c r="CR567" s="1"/>
      <c r="CS567" s="1"/>
      <c r="CT567" s="1"/>
      <c r="CU567" s="1"/>
      <c r="CV567" s="5"/>
      <c r="CW567" s="5"/>
      <c r="CX567" s="45"/>
      <c r="CY567" s="1"/>
      <c r="CZ567" s="1"/>
      <c r="DA567" s="1"/>
      <c r="DB567" s="1"/>
      <c r="DC567" s="1"/>
      <c r="DD567" s="1"/>
      <c r="DE567" s="1"/>
      <c r="DF567" s="1"/>
      <c r="DG567" s="1"/>
      <c r="DH567" s="1"/>
      <c r="DI567" s="1"/>
      <c r="DJ567" s="1"/>
      <c r="DK567" s="1"/>
      <c r="DL567" s="5"/>
      <c r="DM567" s="5"/>
      <c r="DN567" s="1"/>
      <c r="DO567" s="1"/>
      <c r="DP567" s="1"/>
      <c r="DQ567" s="1"/>
      <c r="DR567" s="1"/>
      <c r="DS567" s="1"/>
      <c r="DT567" s="1"/>
      <c r="DU567" s="1"/>
      <c r="DV567" s="1"/>
      <c r="DW567" s="1"/>
      <c r="DX567" s="1"/>
      <c r="DY567" s="1"/>
      <c r="DZ567" s="1"/>
      <c r="EA567" s="1"/>
      <c r="EB567" s="1"/>
      <c r="EC567" s="1"/>
      <c r="ED567" s="1"/>
      <c r="EE567" s="1"/>
      <c r="EF567" s="1"/>
      <c r="EG567" s="1"/>
      <c r="EH567" s="5"/>
      <c r="EI567" s="5"/>
      <c r="EJ567" s="5"/>
      <c r="EK567" s="5"/>
      <c r="EL567" s="5"/>
      <c r="EM567" s="5"/>
      <c r="EN567" s="1"/>
      <c r="EO567" s="5"/>
    </row>
    <row r="568" spans="90:145">
      <c r="CL568" s="1"/>
      <c r="CM568" s="1"/>
      <c r="CN568" s="1"/>
      <c r="CO568" s="1"/>
      <c r="CP568" s="1"/>
      <c r="CQ568" s="1"/>
      <c r="CR568" s="1"/>
      <c r="CS568" s="1"/>
      <c r="CT568" s="1"/>
      <c r="CU568" s="1"/>
      <c r="CV568" s="5"/>
      <c r="CW568" s="5"/>
      <c r="CX568" s="45"/>
      <c r="CY568" s="1"/>
      <c r="CZ568" s="1"/>
      <c r="DA568" s="1"/>
      <c r="DB568" s="1"/>
      <c r="DC568" s="1"/>
      <c r="DD568" s="1"/>
      <c r="DE568" s="1"/>
      <c r="DF568" s="1"/>
      <c r="DG568" s="1"/>
      <c r="DH568" s="1"/>
      <c r="DI568" s="1"/>
      <c r="DJ568" s="1"/>
      <c r="DK568" s="1"/>
      <c r="DL568" s="5"/>
      <c r="DM568" s="5"/>
      <c r="DN568" s="1"/>
      <c r="DO568" s="1"/>
      <c r="DP568" s="1"/>
      <c r="DQ568" s="1"/>
      <c r="DR568" s="1"/>
      <c r="DS568" s="1"/>
      <c r="DT568" s="1"/>
      <c r="DU568" s="1"/>
      <c r="DV568" s="1"/>
      <c r="DW568" s="1"/>
      <c r="DX568" s="1"/>
      <c r="DY568" s="1"/>
      <c r="DZ568" s="1"/>
      <c r="EA568" s="1"/>
      <c r="EB568" s="1"/>
      <c r="EC568" s="1"/>
      <c r="ED568" s="1"/>
      <c r="EE568" s="1"/>
      <c r="EF568" s="1"/>
      <c r="EG568" s="1"/>
      <c r="EH568" s="5"/>
      <c r="EI568" s="5"/>
      <c r="EJ568" s="5"/>
      <c r="EK568" s="5"/>
      <c r="EL568" s="5"/>
      <c r="EM568" s="5"/>
      <c r="EN568" s="1"/>
      <c r="EO568" s="5"/>
    </row>
    <row r="569" spans="90:145">
      <c r="CL569" s="1"/>
      <c r="CM569" s="1"/>
      <c r="CN569" s="1"/>
      <c r="CO569" s="1"/>
      <c r="CP569" s="1"/>
      <c r="CQ569" s="1"/>
      <c r="CR569" s="1"/>
      <c r="CS569" s="1"/>
      <c r="CT569" s="1"/>
      <c r="CU569" s="1"/>
      <c r="CV569" s="5"/>
      <c r="CW569" s="5"/>
      <c r="CX569" s="45"/>
      <c r="CY569" s="1"/>
      <c r="CZ569" s="1"/>
      <c r="DA569" s="1"/>
      <c r="DB569" s="1"/>
      <c r="DC569" s="1"/>
      <c r="DD569" s="1"/>
      <c r="DE569" s="1"/>
      <c r="DF569" s="1"/>
      <c r="DG569" s="1"/>
      <c r="DH569" s="1"/>
      <c r="DI569" s="1"/>
      <c r="DJ569" s="1"/>
      <c r="DK569" s="1"/>
      <c r="DL569" s="5"/>
      <c r="DM569" s="5"/>
      <c r="DN569" s="1"/>
      <c r="DO569" s="1"/>
      <c r="DP569" s="1"/>
      <c r="DQ569" s="1"/>
      <c r="DR569" s="1"/>
      <c r="DS569" s="1"/>
      <c r="DT569" s="1"/>
      <c r="DU569" s="1"/>
      <c r="DV569" s="1"/>
      <c r="DW569" s="1"/>
      <c r="DX569" s="1"/>
      <c r="DY569" s="1"/>
      <c r="DZ569" s="1"/>
      <c r="EA569" s="1"/>
      <c r="EB569" s="1"/>
      <c r="EC569" s="1"/>
      <c r="ED569" s="1"/>
      <c r="EE569" s="1"/>
      <c r="EF569" s="1"/>
      <c r="EG569" s="1"/>
      <c r="EH569" s="5"/>
      <c r="EI569" s="5"/>
      <c r="EJ569" s="5"/>
      <c r="EK569" s="5"/>
      <c r="EL569" s="5"/>
      <c r="EM569" s="5"/>
      <c r="EN569" s="1"/>
      <c r="EO569" s="5"/>
    </row>
    <row r="570" spans="90:145">
      <c r="CL570" s="1"/>
      <c r="CM570" s="1"/>
      <c r="CN570" s="1"/>
      <c r="CO570" s="1"/>
      <c r="CP570" s="1"/>
      <c r="CQ570" s="1"/>
      <c r="CR570" s="1"/>
      <c r="CS570" s="1"/>
      <c r="CT570" s="1"/>
      <c r="CU570" s="1"/>
      <c r="CV570" s="5"/>
      <c r="CW570" s="5"/>
      <c r="CX570" s="45"/>
      <c r="CY570" s="1"/>
      <c r="CZ570" s="1"/>
      <c r="DA570" s="1"/>
      <c r="DB570" s="1"/>
      <c r="DC570" s="1"/>
      <c r="DD570" s="1"/>
      <c r="DE570" s="1"/>
      <c r="DF570" s="1"/>
      <c r="DG570" s="1"/>
      <c r="DH570" s="1"/>
      <c r="DI570" s="1"/>
      <c r="DJ570" s="1"/>
      <c r="DK570" s="1"/>
      <c r="DL570" s="5"/>
      <c r="DM570" s="5"/>
      <c r="DN570" s="1"/>
      <c r="DO570" s="1"/>
      <c r="DP570" s="1"/>
      <c r="DQ570" s="1"/>
      <c r="DR570" s="1"/>
      <c r="DS570" s="1"/>
      <c r="DT570" s="1"/>
      <c r="DU570" s="1"/>
      <c r="DV570" s="1"/>
      <c r="DW570" s="1"/>
      <c r="DX570" s="1"/>
      <c r="DY570" s="1"/>
      <c r="DZ570" s="1"/>
      <c r="EA570" s="1"/>
      <c r="EB570" s="1"/>
      <c r="EC570" s="1"/>
      <c r="ED570" s="1"/>
      <c r="EE570" s="1"/>
      <c r="EF570" s="1"/>
      <c r="EG570" s="1"/>
      <c r="EH570" s="5"/>
      <c r="EI570" s="5"/>
      <c r="EJ570" s="5"/>
      <c r="EK570" s="5"/>
      <c r="EL570" s="5"/>
      <c r="EM570" s="5"/>
      <c r="EN570" s="1"/>
      <c r="EO570" s="5"/>
    </row>
    <row r="571" spans="90:145">
      <c r="CL571" s="1"/>
      <c r="CM571" s="1"/>
      <c r="CN571" s="1"/>
      <c r="CO571" s="1"/>
      <c r="CP571" s="1"/>
      <c r="CQ571" s="1"/>
      <c r="CR571" s="1"/>
      <c r="CS571" s="1"/>
      <c r="CT571" s="1"/>
      <c r="CU571" s="1"/>
      <c r="CV571" s="5"/>
      <c r="CW571" s="5"/>
      <c r="CX571" s="45"/>
      <c r="CY571" s="1"/>
      <c r="CZ571" s="1"/>
      <c r="DA571" s="1"/>
      <c r="DB571" s="1"/>
      <c r="DC571" s="1"/>
      <c r="DD571" s="1"/>
      <c r="DE571" s="1"/>
      <c r="DF571" s="1"/>
      <c r="DG571" s="1"/>
      <c r="DH571" s="1"/>
      <c r="DI571" s="1"/>
      <c r="DJ571" s="1"/>
      <c r="DK571" s="1"/>
      <c r="DL571" s="5"/>
      <c r="DM571" s="5"/>
      <c r="DN571" s="1"/>
      <c r="DO571" s="1"/>
      <c r="DP571" s="1"/>
      <c r="DQ571" s="1"/>
      <c r="DR571" s="1"/>
      <c r="DS571" s="1"/>
      <c r="DT571" s="1"/>
      <c r="DU571" s="1"/>
      <c r="DV571" s="1"/>
      <c r="DW571" s="1"/>
      <c r="DX571" s="1"/>
      <c r="DY571" s="1"/>
      <c r="DZ571" s="1"/>
      <c r="EA571" s="1"/>
      <c r="EB571" s="1"/>
      <c r="EC571" s="1"/>
      <c r="ED571" s="1"/>
      <c r="EE571" s="1"/>
      <c r="EF571" s="1"/>
      <c r="EG571" s="1"/>
      <c r="EH571" s="5"/>
      <c r="EI571" s="5"/>
      <c r="EJ571" s="5"/>
      <c r="EK571" s="5"/>
      <c r="EL571" s="5"/>
      <c r="EM571" s="5"/>
      <c r="EN571" s="1"/>
      <c r="EO571" s="5"/>
    </row>
    <row r="572" spans="90:145">
      <c r="CL572" s="1"/>
      <c r="CM572" s="1"/>
      <c r="CN572" s="1"/>
      <c r="CO572" s="1"/>
      <c r="CP572" s="1"/>
      <c r="CQ572" s="1"/>
      <c r="CR572" s="1"/>
      <c r="CS572" s="1"/>
      <c r="CT572" s="1"/>
      <c r="CU572" s="1"/>
      <c r="CV572" s="5"/>
      <c r="CW572" s="5"/>
      <c r="CX572" s="45"/>
      <c r="CY572" s="1"/>
      <c r="CZ572" s="1"/>
      <c r="DA572" s="1"/>
      <c r="DB572" s="1"/>
      <c r="DC572" s="1"/>
      <c r="DD572" s="1"/>
      <c r="DE572" s="1"/>
      <c r="DF572" s="1"/>
      <c r="DG572" s="1"/>
      <c r="DH572" s="1"/>
      <c r="DI572" s="1"/>
      <c r="DJ572" s="1"/>
      <c r="DK572" s="1"/>
      <c r="DL572" s="5"/>
      <c r="DM572" s="5"/>
      <c r="DN572" s="1"/>
      <c r="DO572" s="1"/>
      <c r="DP572" s="1"/>
      <c r="DQ572" s="1"/>
      <c r="DR572" s="1"/>
      <c r="DS572" s="1"/>
      <c r="DT572" s="1"/>
      <c r="DU572" s="1"/>
      <c r="DV572" s="1"/>
      <c r="DW572" s="1"/>
      <c r="DX572" s="1"/>
      <c r="DY572" s="1"/>
      <c r="DZ572" s="1"/>
      <c r="EA572" s="1"/>
      <c r="EB572" s="1"/>
      <c r="EC572" s="1"/>
      <c r="ED572" s="1"/>
      <c r="EE572" s="1"/>
      <c r="EF572" s="1"/>
      <c r="EG572" s="1"/>
      <c r="EH572" s="5"/>
      <c r="EI572" s="5"/>
      <c r="EJ572" s="5"/>
      <c r="EK572" s="5"/>
      <c r="EL572" s="5"/>
      <c r="EM572" s="5"/>
      <c r="EN572" s="1"/>
      <c r="EO572" s="5"/>
    </row>
    <row r="573" spans="90:145">
      <c r="CL573" s="1"/>
      <c r="CM573" s="1"/>
      <c r="CN573" s="1"/>
      <c r="CO573" s="1"/>
      <c r="CP573" s="1"/>
      <c r="CQ573" s="1"/>
      <c r="CR573" s="1"/>
      <c r="CS573" s="1"/>
      <c r="CT573" s="1"/>
      <c r="CU573" s="1"/>
      <c r="CV573" s="5"/>
      <c r="CW573" s="5"/>
      <c r="CX573" s="45"/>
      <c r="CY573" s="1"/>
      <c r="CZ573" s="1"/>
      <c r="DA573" s="1"/>
      <c r="DB573" s="1"/>
      <c r="DC573" s="1"/>
      <c r="DD573" s="1"/>
      <c r="DE573" s="1"/>
      <c r="DF573" s="1"/>
      <c r="DG573" s="1"/>
      <c r="DH573" s="1"/>
      <c r="DI573" s="1"/>
      <c r="DJ573" s="1"/>
      <c r="DK573" s="1"/>
      <c r="DL573" s="5"/>
      <c r="DM573" s="5"/>
      <c r="DN573" s="1"/>
      <c r="DO573" s="1"/>
      <c r="DP573" s="1"/>
      <c r="DQ573" s="1"/>
      <c r="DR573" s="1"/>
      <c r="DS573" s="1"/>
      <c r="DT573" s="1"/>
      <c r="DU573" s="1"/>
      <c r="DV573" s="1"/>
      <c r="DW573" s="1"/>
      <c r="DX573" s="1"/>
      <c r="DY573" s="1"/>
      <c r="DZ573" s="1"/>
      <c r="EA573" s="1"/>
      <c r="EB573" s="1"/>
      <c r="EC573" s="1"/>
      <c r="ED573" s="1"/>
      <c r="EE573" s="1"/>
      <c r="EF573" s="1"/>
      <c r="EG573" s="1"/>
      <c r="EH573" s="5"/>
      <c r="EI573" s="5"/>
      <c r="EJ573" s="5"/>
      <c r="EK573" s="5"/>
      <c r="EL573" s="5"/>
      <c r="EM573" s="5"/>
      <c r="EN573" s="1"/>
      <c r="EO573" s="5"/>
    </row>
    <row r="574" spans="90:145">
      <c r="CL574" s="1"/>
      <c r="CM574" s="1"/>
      <c r="CN574" s="1"/>
      <c r="CO574" s="1"/>
      <c r="CP574" s="1"/>
      <c r="CQ574" s="1"/>
      <c r="CR574" s="1"/>
      <c r="CS574" s="1"/>
      <c r="CT574" s="1"/>
      <c r="CU574" s="1"/>
      <c r="CV574" s="5"/>
      <c r="CW574" s="5"/>
      <c r="CX574" s="45"/>
      <c r="CY574" s="1"/>
      <c r="CZ574" s="1"/>
      <c r="DA574" s="1"/>
      <c r="DB574" s="1"/>
      <c r="DC574" s="1"/>
      <c r="DD574" s="1"/>
      <c r="DE574" s="1"/>
      <c r="DF574" s="1"/>
      <c r="DG574" s="1"/>
      <c r="DH574" s="1"/>
      <c r="DI574" s="1"/>
      <c r="DJ574" s="1"/>
      <c r="DK574" s="1"/>
      <c r="DL574" s="5"/>
      <c r="DM574" s="5"/>
      <c r="DN574" s="1"/>
      <c r="DO574" s="1"/>
      <c r="DP574" s="1"/>
      <c r="DQ574" s="1"/>
      <c r="DR574" s="1"/>
      <c r="DS574" s="1"/>
      <c r="DT574" s="1"/>
      <c r="DU574" s="1"/>
      <c r="DV574" s="1"/>
      <c r="DW574" s="1"/>
      <c r="DX574" s="1"/>
      <c r="DY574" s="1"/>
      <c r="DZ574" s="1"/>
      <c r="EA574" s="1"/>
      <c r="EB574" s="1"/>
      <c r="EC574" s="1"/>
      <c r="ED574" s="1"/>
      <c r="EE574" s="1"/>
      <c r="EF574" s="1"/>
      <c r="EG574" s="1"/>
      <c r="EH574" s="5"/>
      <c r="EI574" s="5"/>
      <c r="EJ574" s="5"/>
      <c r="EK574" s="5"/>
      <c r="EL574" s="5"/>
      <c r="EM574" s="5"/>
      <c r="EN574" s="1"/>
      <c r="EO574" s="5"/>
    </row>
    <row r="575" spans="90:145">
      <c r="CL575" s="1"/>
      <c r="CM575" s="1"/>
      <c r="CN575" s="1"/>
      <c r="CO575" s="1"/>
      <c r="CP575" s="1"/>
      <c r="CQ575" s="1"/>
      <c r="CR575" s="1"/>
      <c r="CS575" s="1"/>
      <c r="CT575" s="1"/>
      <c r="CU575" s="1"/>
      <c r="CV575" s="5"/>
      <c r="CW575" s="5"/>
      <c r="CX575" s="45"/>
      <c r="CY575" s="1"/>
      <c r="CZ575" s="1"/>
      <c r="DA575" s="1"/>
      <c r="DB575" s="1"/>
      <c r="DC575" s="1"/>
      <c r="DD575" s="1"/>
      <c r="DE575" s="1"/>
      <c r="DF575" s="1"/>
      <c r="DG575" s="1"/>
      <c r="DH575" s="1"/>
      <c r="DI575" s="1"/>
      <c r="DJ575" s="1"/>
      <c r="DK575" s="1"/>
      <c r="DL575" s="5"/>
      <c r="DM575" s="5"/>
      <c r="DN575" s="1"/>
      <c r="DO575" s="1"/>
      <c r="DP575" s="1"/>
      <c r="DQ575" s="1"/>
      <c r="DR575" s="1"/>
      <c r="DS575" s="1"/>
      <c r="DT575" s="1"/>
      <c r="DU575" s="1"/>
      <c r="DV575" s="1"/>
      <c r="DW575" s="1"/>
      <c r="DX575" s="1"/>
      <c r="DY575" s="1"/>
      <c r="DZ575" s="1"/>
      <c r="EA575" s="1"/>
      <c r="EB575" s="1"/>
      <c r="EC575" s="1"/>
      <c r="ED575" s="1"/>
      <c r="EE575" s="1"/>
      <c r="EF575" s="1"/>
      <c r="EG575" s="1"/>
      <c r="EH575" s="5"/>
      <c r="EI575" s="5"/>
      <c r="EJ575" s="5"/>
      <c r="EK575" s="5"/>
      <c r="EL575" s="5"/>
      <c r="EM575" s="5"/>
      <c r="EN575" s="1"/>
      <c r="EO575" s="5"/>
    </row>
    <row r="576" spans="90:145">
      <c r="CL576" s="1"/>
      <c r="CM576" s="1"/>
      <c r="CN576" s="1"/>
      <c r="CO576" s="1"/>
      <c r="CP576" s="1"/>
      <c r="CQ576" s="1"/>
      <c r="CR576" s="1"/>
      <c r="CS576" s="1"/>
      <c r="CT576" s="1"/>
      <c r="CU576" s="1"/>
      <c r="CV576" s="5"/>
      <c r="CW576" s="5"/>
      <c r="CX576" s="45"/>
      <c r="CY576" s="1"/>
      <c r="CZ576" s="1"/>
      <c r="DA576" s="1"/>
      <c r="DB576" s="1"/>
      <c r="DC576" s="1"/>
      <c r="DD576" s="1"/>
      <c r="DE576" s="1"/>
      <c r="DF576" s="1"/>
      <c r="DG576" s="1"/>
      <c r="DH576" s="1"/>
      <c r="DI576" s="1"/>
      <c r="DJ576" s="1"/>
      <c r="DK576" s="1"/>
      <c r="DL576" s="5"/>
      <c r="DM576" s="5"/>
      <c r="DN576" s="1"/>
      <c r="DO576" s="1"/>
      <c r="DP576" s="1"/>
      <c r="DQ576" s="1"/>
      <c r="DR576" s="1"/>
      <c r="DS576" s="1"/>
      <c r="DT576" s="1"/>
      <c r="DU576" s="1"/>
      <c r="DV576" s="1"/>
      <c r="DW576" s="1"/>
      <c r="DX576" s="1"/>
      <c r="DY576" s="1"/>
      <c r="DZ576" s="1"/>
      <c r="EA576" s="1"/>
      <c r="EB576" s="1"/>
      <c r="EC576" s="1"/>
      <c r="ED576" s="1"/>
      <c r="EE576" s="1"/>
      <c r="EF576" s="1"/>
      <c r="EG576" s="1"/>
      <c r="EH576" s="5"/>
      <c r="EI576" s="5"/>
      <c r="EJ576" s="5"/>
      <c r="EK576" s="5"/>
      <c r="EL576" s="5"/>
      <c r="EM576" s="5"/>
      <c r="EN576" s="1"/>
      <c r="EO576" s="5"/>
    </row>
    <row r="577" spans="90:145">
      <c r="CL577" s="1"/>
      <c r="CM577" s="1"/>
      <c r="CN577" s="1"/>
      <c r="CO577" s="1"/>
      <c r="CP577" s="1"/>
      <c r="CQ577" s="1"/>
      <c r="CR577" s="1"/>
      <c r="CS577" s="1"/>
      <c r="CT577" s="1"/>
      <c r="CU577" s="1"/>
      <c r="CV577" s="5"/>
      <c r="CW577" s="5"/>
      <c r="CX577" s="45"/>
      <c r="CY577" s="1"/>
      <c r="CZ577" s="1"/>
      <c r="DA577" s="1"/>
      <c r="DB577" s="1"/>
      <c r="DC577" s="1"/>
      <c r="DD577" s="1"/>
      <c r="DE577" s="1"/>
      <c r="DF577" s="1"/>
      <c r="DG577" s="1"/>
      <c r="DH577" s="1"/>
      <c r="DI577" s="1"/>
      <c r="DJ577" s="1"/>
      <c r="DK577" s="1"/>
      <c r="DL577" s="5"/>
      <c r="DM577" s="5"/>
      <c r="DN577" s="1"/>
      <c r="DO577" s="1"/>
      <c r="DP577" s="1"/>
      <c r="DQ577" s="1"/>
      <c r="DR577" s="1"/>
      <c r="DS577" s="1"/>
      <c r="DT577" s="1"/>
      <c r="DU577" s="1"/>
      <c r="DV577" s="1"/>
      <c r="DW577" s="1"/>
      <c r="DX577" s="1"/>
      <c r="DY577" s="1"/>
      <c r="DZ577" s="1"/>
      <c r="EA577" s="1"/>
      <c r="EB577" s="1"/>
      <c r="EC577" s="1"/>
      <c r="ED577" s="1"/>
      <c r="EE577" s="1"/>
      <c r="EF577" s="1"/>
      <c r="EG577" s="1"/>
      <c r="EH577" s="5"/>
      <c r="EI577" s="5"/>
      <c r="EJ577" s="5"/>
      <c r="EK577" s="5"/>
      <c r="EL577" s="5"/>
      <c r="EM577" s="5"/>
      <c r="EN577" s="1"/>
      <c r="EO577" s="5"/>
    </row>
    <row r="578" spans="90:145">
      <c r="CL578" s="1"/>
      <c r="CM578" s="1"/>
      <c r="CN578" s="1"/>
      <c r="CO578" s="1"/>
      <c r="CP578" s="1"/>
      <c r="CQ578" s="1"/>
      <c r="CR578" s="1"/>
      <c r="CS578" s="1"/>
      <c r="CT578" s="1"/>
      <c r="CU578" s="1"/>
      <c r="CV578" s="5"/>
      <c r="CW578" s="5"/>
      <c r="CX578" s="45"/>
      <c r="CY578" s="1"/>
      <c r="CZ578" s="1"/>
      <c r="DA578" s="1"/>
      <c r="DB578" s="1"/>
      <c r="DC578" s="1"/>
      <c r="DD578" s="1"/>
      <c r="DE578" s="1"/>
      <c r="DF578" s="1"/>
      <c r="DG578" s="1"/>
      <c r="DH578" s="1"/>
      <c r="DI578" s="1"/>
      <c r="DJ578" s="1"/>
      <c r="DK578" s="1"/>
      <c r="DL578" s="5"/>
      <c r="DM578" s="5"/>
      <c r="DN578" s="1"/>
      <c r="DO578" s="1"/>
      <c r="DP578" s="1"/>
      <c r="DQ578" s="1"/>
      <c r="DR578" s="1"/>
      <c r="DS578" s="1"/>
      <c r="DT578" s="1"/>
      <c r="DU578" s="1"/>
      <c r="DV578" s="1"/>
      <c r="DW578" s="1"/>
      <c r="DX578" s="1"/>
      <c r="DY578" s="1"/>
      <c r="DZ578" s="1"/>
      <c r="EA578" s="1"/>
      <c r="EB578" s="1"/>
      <c r="EC578" s="1"/>
      <c r="ED578" s="1"/>
      <c r="EE578" s="1"/>
      <c r="EF578" s="1"/>
      <c r="EG578" s="1"/>
      <c r="EH578" s="5"/>
      <c r="EI578" s="5"/>
      <c r="EJ578" s="5"/>
      <c r="EK578" s="5"/>
      <c r="EL578" s="5"/>
      <c r="EM578" s="5"/>
      <c r="EN578" s="1"/>
      <c r="EO578" s="5"/>
    </row>
    <row r="579" spans="90:145">
      <c r="CL579" s="1"/>
      <c r="CM579" s="1"/>
      <c r="CN579" s="1"/>
      <c r="CO579" s="1"/>
      <c r="CP579" s="1"/>
      <c r="CQ579" s="1"/>
      <c r="CR579" s="1"/>
      <c r="CS579" s="1"/>
      <c r="CT579" s="1"/>
      <c r="CU579" s="1"/>
      <c r="CV579" s="5"/>
      <c r="CW579" s="5"/>
      <c r="CX579" s="45"/>
      <c r="CY579" s="1"/>
      <c r="CZ579" s="1"/>
      <c r="DA579" s="1"/>
      <c r="DB579" s="1"/>
      <c r="DC579" s="1"/>
      <c r="DD579" s="1"/>
      <c r="DE579" s="1"/>
      <c r="DF579" s="1"/>
      <c r="DG579" s="1"/>
      <c r="DH579" s="1"/>
      <c r="DI579" s="1"/>
      <c r="DJ579" s="1"/>
      <c r="DK579" s="1"/>
      <c r="DL579" s="5"/>
      <c r="DM579" s="5"/>
      <c r="DN579" s="1"/>
      <c r="DO579" s="1"/>
      <c r="DP579" s="1"/>
      <c r="DQ579" s="1"/>
      <c r="DR579" s="1"/>
      <c r="DS579" s="1"/>
      <c r="DT579" s="1"/>
      <c r="DU579" s="1"/>
      <c r="DV579" s="1"/>
      <c r="DW579" s="1"/>
      <c r="DX579" s="1"/>
      <c r="DY579" s="1"/>
      <c r="DZ579" s="1"/>
      <c r="EA579" s="1"/>
      <c r="EB579" s="1"/>
      <c r="EC579" s="1"/>
      <c r="ED579" s="1"/>
      <c r="EE579" s="1"/>
      <c r="EF579" s="1"/>
      <c r="EG579" s="1"/>
      <c r="EH579" s="5"/>
      <c r="EI579" s="5"/>
      <c r="EJ579" s="5"/>
      <c r="EK579" s="5"/>
      <c r="EL579" s="5"/>
      <c r="EM579" s="5"/>
      <c r="EN579" s="1"/>
      <c r="EO579" s="5"/>
    </row>
    <row r="580" spans="90:145">
      <c r="CL580" s="1"/>
      <c r="CM580" s="1"/>
      <c r="CN580" s="1"/>
      <c r="CO580" s="1"/>
      <c r="CP580" s="1"/>
      <c r="CQ580" s="1"/>
      <c r="CR580" s="1"/>
      <c r="CS580" s="1"/>
      <c r="CT580" s="1"/>
      <c r="CU580" s="1"/>
      <c r="CV580" s="5"/>
      <c r="CW580" s="5"/>
      <c r="CX580" s="45"/>
      <c r="CY580" s="1"/>
      <c r="CZ580" s="1"/>
      <c r="DA580" s="1"/>
      <c r="DB580" s="1"/>
      <c r="DC580" s="1"/>
      <c r="DD580" s="1"/>
      <c r="DE580" s="1"/>
      <c r="DF580" s="1"/>
      <c r="DG580" s="1"/>
      <c r="DH580" s="1"/>
      <c r="DI580" s="1"/>
      <c r="DJ580" s="1"/>
      <c r="DK580" s="1"/>
      <c r="DL580" s="5"/>
      <c r="DM580" s="5"/>
      <c r="DN580" s="1"/>
      <c r="DO580" s="1"/>
      <c r="DP580" s="1"/>
      <c r="DQ580" s="1"/>
      <c r="DR580" s="1"/>
      <c r="DS580" s="1"/>
      <c r="DT580" s="1"/>
      <c r="DU580" s="1"/>
      <c r="DV580" s="1"/>
      <c r="DW580" s="1"/>
      <c r="DX580" s="1"/>
      <c r="DY580" s="1"/>
      <c r="DZ580" s="1"/>
      <c r="EA580" s="1"/>
      <c r="EB580" s="1"/>
      <c r="EC580" s="1"/>
      <c r="ED580" s="1"/>
      <c r="EE580" s="1"/>
      <c r="EF580" s="1"/>
      <c r="EG580" s="1"/>
      <c r="EH580" s="5"/>
      <c r="EI580" s="5"/>
      <c r="EJ580" s="5"/>
      <c r="EK580" s="5"/>
      <c r="EL580" s="5"/>
      <c r="EM580" s="5"/>
      <c r="EN580" s="1"/>
      <c r="EO580" s="5"/>
    </row>
    <row r="581" spans="90:145">
      <c r="CL581" s="1"/>
      <c r="CM581" s="1"/>
      <c r="CN581" s="1"/>
      <c r="CO581" s="1"/>
      <c r="CP581" s="1"/>
      <c r="CQ581" s="1"/>
      <c r="CR581" s="1"/>
      <c r="CS581" s="1"/>
      <c r="CT581" s="1"/>
      <c r="CU581" s="1"/>
      <c r="CV581" s="5"/>
      <c r="CW581" s="5"/>
      <c r="CX581" s="45"/>
      <c r="CY581" s="1"/>
      <c r="CZ581" s="1"/>
      <c r="DA581" s="1"/>
      <c r="DB581" s="1"/>
      <c r="DC581" s="1"/>
      <c r="DD581" s="1"/>
      <c r="DE581" s="1"/>
      <c r="DF581" s="1"/>
      <c r="DG581" s="1"/>
      <c r="DH581" s="1"/>
      <c r="DI581" s="1"/>
      <c r="DJ581" s="1"/>
      <c r="DK581" s="1"/>
      <c r="DL581" s="5"/>
      <c r="DM581" s="5"/>
      <c r="DN581" s="1"/>
      <c r="DO581" s="1"/>
      <c r="DP581" s="1"/>
      <c r="DQ581" s="1"/>
      <c r="DR581" s="1"/>
      <c r="DS581" s="1"/>
      <c r="DT581" s="1"/>
      <c r="DU581" s="1"/>
      <c r="DV581" s="1"/>
      <c r="DW581" s="1"/>
      <c r="DX581" s="1"/>
      <c r="DY581" s="1"/>
      <c r="DZ581" s="1"/>
      <c r="EA581" s="1"/>
      <c r="EB581" s="1"/>
      <c r="EC581" s="1"/>
      <c r="ED581" s="1"/>
      <c r="EE581" s="1"/>
      <c r="EF581" s="1"/>
      <c r="EG581" s="1"/>
      <c r="EH581" s="5"/>
      <c r="EI581" s="5"/>
      <c r="EJ581" s="5"/>
      <c r="EK581" s="5"/>
      <c r="EL581" s="5"/>
      <c r="EM581" s="5"/>
      <c r="EN581" s="1"/>
      <c r="EO581" s="5"/>
    </row>
    <row r="582" spans="90:145">
      <c r="CL582" s="1"/>
      <c r="CM582" s="1"/>
      <c r="CN582" s="1"/>
      <c r="CO582" s="1"/>
      <c r="CP582" s="1"/>
      <c r="CQ582" s="1"/>
      <c r="CR582" s="1"/>
      <c r="CS582" s="1"/>
      <c r="CT582" s="1"/>
      <c r="CU582" s="1"/>
      <c r="CV582" s="5"/>
      <c r="CW582" s="5"/>
      <c r="CX582" s="45"/>
      <c r="CY582" s="1"/>
      <c r="CZ582" s="1"/>
      <c r="DA582" s="1"/>
      <c r="DB582" s="1"/>
      <c r="DC582" s="1"/>
      <c r="DD582" s="1"/>
      <c r="DE582" s="1"/>
      <c r="DF582" s="1"/>
      <c r="DG582" s="1"/>
      <c r="DH582" s="1"/>
      <c r="DI582" s="1"/>
      <c r="DJ582" s="1"/>
      <c r="DK582" s="1"/>
      <c r="DL582" s="5"/>
      <c r="DM582" s="5"/>
      <c r="DN582" s="1"/>
      <c r="DO582" s="1"/>
      <c r="DP582" s="1"/>
      <c r="DQ582" s="1"/>
      <c r="DR582" s="1"/>
      <c r="DS582" s="1"/>
      <c r="DT582" s="1"/>
      <c r="DU582" s="1"/>
      <c r="DV582" s="1"/>
      <c r="DW582" s="1"/>
      <c r="DX582" s="1"/>
      <c r="DY582" s="1"/>
      <c r="DZ582" s="1"/>
      <c r="EA582" s="1"/>
      <c r="EB582" s="1"/>
      <c r="EC582" s="1"/>
      <c r="ED582" s="1"/>
      <c r="EE582" s="1"/>
      <c r="EF582" s="1"/>
      <c r="EG582" s="1"/>
      <c r="EH582" s="5"/>
      <c r="EI582" s="5"/>
      <c r="EJ582" s="5"/>
      <c r="EK582" s="5"/>
      <c r="EL582" s="5"/>
      <c r="EM582" s="5"/>
      <c r="EN582" s="1"/>
      <c r="EO582" s="5"/>
    </row>
    <row r="583" spans="90:145">
      <c r="CL583" s="1"/>
      <c r="CM583" s="1"/>
      <c r="CN583" s="1"/>
      <c r="CO583" s="1"/>
      <c r="CP583" s="1"/>
      <c r="CQ583" s="1"/>
      <c r="CR583" s="1"/>
      <c r="CS583" s="1"/>
      <c r="CT583" s="1"/>
      <c r="CU583" s="1"/>
      <c r="CV583" s="5"/>
      <c r="CW583" s="5"/>
      <c r="CX583" s="45"/>
      <c r="CY583" s="1"/>
      <c r="CZ583" s="1"/>
      <c r="DA583" s="1"/>
      <c r="DB583" s="1"/>
      <c r="DC583" s="1"/>
      <c r="DD583" s="1"/>
      <c r="DE583" s="1"/>
      <c r="DF583" s="1"/>
      <c r="DG583" s="1"/>
      <c r="DH583" s="1"/>
      <c r="DI583" s="1"/>
      <c r="DJ583" s="1"/>
      <c r="DK583" s="1"/>
      <c r="DL583" s="5"/>
      <c r="DM583" s="5"/>
      <c r="DN583" s="1"/>
      <c r="DO583" s="1"/>
      <c r="DP583" s="1"/>
      <c r="DQ583" s="1"/>
      <c r="DR583" s="1"/>
      <c r="DS583" s="1"/>
      <c r="DT583" s="1"/>
      <c r="DU583" s="1"/>
      <c r="DV583" s="1"/>
      <c r="DW583" s="1"/>
      <c r="DX583" s="1"/>
      <c r="DY583" s="1"/>
      <c r="DZ583" s="1"/>
      <c r="EA583" s="1"/>
      <c r="EB583" s="1"/>
      <c r="EC583" s="1"/>
      <c r="ED583" s="1"/>
      <c r="EE583" s="1"/>
      <c r="EF583" s="1"/>
      <c r="EG583" s="1"/>
      <c r="EH583" s="5"/>
      <c r="EI583" s="5"/>
      <c r="EJ583" s="5"/>
      <c r="EK583" s="5"/>
      <c r="EL583" s="5"/>
      <c r="EM583" s="5"/>
      <c r="EN583" s="1"/>
      <c r="EO583" s="5"/>
    </row>
    <row r="584" spans="90:145">
      <c r="CL584" s="1"/>
      <c r="CM584" s="1"/>
      <c r="CN584" s="1"/>
      <c r="CO584" s="1"/>
      <c r="CP584" s="1"/>
      <c r="CQ584" s="1"/>
      <c r="CR584" s="1"/>
      <c r="CS584" s="1"/>
      <c r="CT584" s="1"/>
      <c r="CU584" s="1"/>
      <c r="CV584" s="5"/>
      <c r="CW584" s="5"/>
      <c r="CX584" s="45"/>
      <c r="CY584" s="1"/>
      <c r="CZ584" s="1"/>
      <c r="DA584" s="1"/>
      <c r="DB584" s="1"/>
      <c r="DC584" s="1"/>
      <c r="DD584" s="1"/>
      <c r="DE584" s="1"/>
      <c r="DF584" s="1"/>
      <c r="DG584" s="1"/>
      <c r="DH584" s="1"/>
      <c r="DI584" s="1"/>
      <c r="DJ584" s="1"/>
      <c r="DK584" s="1"/>
      <c r="DL584" s="5"/>
      <c r="DM584" s="5"/>
      <c r="DN584" s="1"/>
      <c r="DO584" s="1"/>
      <c r="DP584" s="1"/>
      <c r="DQ584" s="1"/>
      <c r="DR584" s="1"/>
      <c r="DS584" s="1"/>
      <c r="DT584" s="1"/>
      <c r="DU584" s="1"/>
      <c r="DV584" s="1"/>
      <c r="DW584" s="1"/>
      <c r="DX584" s="1"/>
      <c r="DY584" s="1"/>
      <c r="DZ584" s="1"/>
      <c r="EA584" s="1"/>
      <c r="EB584" s="1"/>
      <c r="EC584" s="1"/>
      <c r="ED584" s="1"/>
      <c r="EE584" s="1"/>
      <c r="EF584" s="1"/>
      <c r="EG584" s="1"/>
      <c r="EH584" s="5"/>
      <c r="EI584" s="5"/>
      <c r="EJ584" s="5"/>
      <c r="EK584" s="5"/>
      <c r="EL584" s="5"/>
      <c r="EM584" s="5"/>
      <c r="EN584" s="1"/>
      <c r="EO584" s="5"/>
    </row>
    <row r="585" spans="90:145">
      <c r="CL585" s="1"/>
      <c r="CM585" s="1"/>
      <c r="CN585" s="1"/>
      <c r="CO585" s="1"/>
      <c r="CP585" s="1"/>
      <c r="CQ585" s="1"/>
      <c r="CR585" s="1"/>
      <c r="CS585" s="1"/>
      <c r="CT585" s="1"/>
      <c r="CU585" s="1"/>
      <c r="CV585" s="5"/>
      <c r="CW585" s="5"/>
      <c r="CX585" s="45"/>
      <c r="CY585" s="1"/>
      <c r="CZ585" s="1"/>
      <c r="DA585" s="1"/>
      <c r="DB585" s="1"/>
      <c r="DC585" s="1"/>
      <c r="DD585" s="1"/>
      <c r="DE585" s="1"/>
      <c r="DF585" s="1"/>
      <c r="DG585" s="1"/>
      <c r="DH585" s="1"/>
      <c r="DI585" s="1"/>
      <c r="DJ585" s="1"/>
      <c r="DK585" s="1"/>
      <c r="DL585" s="5"/>
      <c r="DM585" s="5"/>
      <c r="DN585" s="1"/>
      <c r="DO585" s="1"/>
      <c r="DP585" s="1"/>
      <c r="DQ585" s="1"/>
      <c r="DR585" s="1"/>
      <c r="DS585" s="1"/>
      <c r="DT585" s="1"/>
      <c r="DU585" s="1"/>
      <c r="DV585" s="1"/>
      <c r="DW585" s="1"/>
      <c r="DX585" s="1"/>
      <c r="DY585" s="1"/>
      <c r="DZ585" s="1"/>
      <c r="EA585" s="1"/>
      <c r="EB585" s="1"/>
      <c r="EC585" s="1"/>
      <c r="ED585" s="1"/>
      <c r="EE585" s="1"/>
      <c r="EF585" s="1"/>
      <c r="EG585" s="1"/>
      <c r="EH585" s="5"/>
      <c r="EI585" s="5"/>
      <c r="EJ585" s="5"/>
      <c r="EK585" s="5"/>
      <c r="EL585" s="5"/>
      <c r="EM585" s="5"/>
      <c r="EN585" s="1"/>
      <c r="EO585" s="5"/>
    </row>
    <row r="586" spans="90:145">
      <c r="CL586" s="1"/>
      <c r="CM586" s="1"/>
      <c r="CN586" s="1"/>
      <c r="CO586" s="1"/>
      <c r="CP586" s="1"/>
      <c r="CQ586" s="1"/>
      <c r="CR586" s="1"/>
      <c r="CS586" s="1"/>
      <c r="CT586" s="1"/>
      <c r="CU586" s="1"/>
      <c r="CV586" s="5"/>
      <c r="CW586" s="5"/>
      <c r="CX586" s="45"/>
      <c r="CY586" s="1"/>
      <c r="CZ586" s="1"/>
      <c r="DA586" s="1"/>
      <c r="DB586" s="1"/>
      <c r="DC586" s="1"/>
      <c r="DD586" s="1"/>
      <c r="DE586" s="1"/>
      <c r="DF586" s="1"/>
      <c r="DG586" s="1"/>
      <c r="DH586" s="1"/>
      <c r="DI586" s="1"/>
      <c r="DJ586" s="1"/>
      <c r="DK586" s="1"/>
      <c r="DL586" s="5"/>
      <c r="DM586" s="5"/>
      <c r="DN586" s="1"/>
      <c r="DO586" s="1"/>
      <c r="DP586" s="1"/>
      <c r="DQ586" s="1"/>
      <c r="DR586" s="1"/>
      <c r="DS586" s="1"/>
      <c r="DT586" s="1"/>
      <c r="DU586" s="1"/>
      <c r="DV586" s="1"/>
      <c r="DW586" s="1"/>
      <c r="DX586" s="1"/>
      <c r="DY586" s="1"/>
      <c r="DZ586" s="1"/>
      <c r="EA586" s="1"/>
      <c r="EB586" s="1"/>
      <c r="EC586" s="1"/>
      <c r="ED586" s="1"/>
      <c r="EE586" s="1"/>
      <c r="EF586" s="1"/>
      <c r="EG586" s="1"/>
      <c r="EH586" s="5"/>
      <c r="EI586" s="5"/>
      <c r="EJ586" s="5"/>
      <c r="EK586" s="5"/>
      <c r="EL586" s="5"/>
      <c r="EM586" s="5"/>
      <c r="EN586" s="1"/>
      <c r="EO586" s="5"/>
    </row>
    <row r="587" spans="90:145">
      <c r="CL587" s="1"/>
      <c r="CM587" s="1"/>
      <c r="CN587" s="1"/>
      <c r="CO587" s="1"/>
      <c r="CP587" s="1"/>
      <c r="CQ587" s="1"/>
      <c r="CR587" s="1"/>
      <c r="CS587" s="1"/>
      <c r="CT587" s="1"/>
      <c r="CU587" s="1"/>
      <c r="CV587" s="5"/>
      <c r="CW587" s="5"/>
      <c r="CX587" s="45"/>
      <c r="CY587" s="1"/>
      <c r="CZ587" s="1"/>
      <c r="DA587" s="1"/>
      <c r="DB587" s="1"/>
      <c r="DC587" s="1"/>
      <c r="DD587" s="1"/>
      <c r="DE587" s="1"/>
      <c r="DF587" s="1"/>
      <c r="DG587" s="1"/>
      <c r="DH587" s="1"/>
      <c r="DI587" s="1"/>
      <c r="DJ587" s="1"/>
      <c r="DK587" s="1"/>
      <c r="DL587" s="5"/>
      <c r="DM587" s="5"/>
      <c r="DN587" s="1"/>
      <c r="DO587" s="1"/>
      <c r="DP587" s="1"/>
      <c r="DQ587" s="1"/>
      <c r="DR587" s="1"/>
      <c r="DS587" s="1"/>
      <c r="DT587" s="1"/>
      <c r="DU587" s="1"/>
      <c r="DV587" s="1"/>
      <c r="DW587" s="1"/>
      <c r="DX587" s="1"/>
      <c r="DY587" s="1"/>
      <c r="DZ587" s="1"/>
      <c r="EA587" s="1"/>
      <c r="EB587" s="1"/>
      <c r="EC587" s="1"/>
      <c r="ED587" s="1"/>
      <c r="EE587" s="1"/>
      <c r="EF587" s="1"/>
      <c r="EG587" s="1"/>
      <c r="EH587" s="5"/>
      <c r="EI587" s="5"/>
      <c r="EJ587" s="5"/>
      <c r="EK587" s="5"/>
      <c r="EL587" s="5"/>
      <c r="EM587" s="5"/>
      <c r="EN587" s="1"/>
      <c r="EO587" s="5"/>
    </row>
    <row r="588" spans="90:145">
      <c r="CL588" s="1"/>
      <c r="CM588" s="1"/>
      <c r="CN588" s="1"/>
      <c r="CO588" s="1"/>
      <c r="CP588" s="1"/>
      <c r="CQ588" s="1"/>
      <c r="CR588" s="1"/>
      <c r="CS588" s="1"/>
      <c r="CT588" s="1"/>
      <c r="CU588" s="1"/>
      <c r="CV588" s="5"/>
      <c r="CW588" s="5"/>
      <c r="CX588" s="45"/>
      <c r="CY588" s="1"/>
      <c r="CZ588" s="1"/>
      <c r="DA588" s="1"/>
      <c r="DB588" s="1"/>
      <c r="DC588" s="1"/>
      <c r="DD588" s="1"/>
      <c r="DE588" s="1"/>
      <c r="DF588" s="1"/>
      <c r="DG588" s="1"/>
      <c r="DH588" s="1"/>
      <c r="DI588" s="1"/>
      <c r="DJ588" s="1"/>
      <c r="DK588" s="1"/>
      <c r="DL588" s="5"/>
      <c r="DM588" s="5"/>
      <c r="DN588" s="1"/>
      <c r="DO588" s="1"/>
      <c r="DP588" s="1"/>
      <c r="DQ588" s="1"/>
      <c r="DR588" s="1"/>
      <c r="DS588" s="1"/>
      <c r="DT588" s="1"/>
      <c r="DU588" s="1"/>
      <c r="DV588" s="1"/>
      <c r="DW588" s="1"/>
      <c r="DX588" s="1"/>
      <c r="DY588" s="1"/>
      <c r="DZ588" s="1"/>
      <c r="EA588" s="1"/>
      <c r="EB588" s="1"/>
      <c r="EC588" s="1"/>
      <c r="ED588" s="1"/>
      <c r="EE588" s="1"/>
      <c r="EF588" s="1"/>
      <c r="EG588" s="1"/>
      <c r="EH588" s="5"/>
      <c r="EI588" s="5"/>
      <c r="EJ588" s="5"/>
      <c r="EK588" s="5"/>
      <c r="EL588" s="5"/>
      <c r="EM588" s="5"/>
      <c r="EN588" s="1"/>
      <c r="EO588" s="5"/>
    </row>
    <row r="589" spans="90:145">
      <c r="CL589" s="1"/>
      <c r="CM589" s="1"/>
      <c r="CN589" s="1"/>
      <c r="CO589" s="1"/>
      <c r="CP589" s="1"/>
      <c r="CQ589" s="1"/>
      <c r="CR589" s="1"/>
      <c r="CS589" s="1"/>
      <c r="CT589" s="1"/>
      <c r="CU589" s="1"/>
      <c r="CV589" s="5"/>
      <c r="CW589" s="5"/>
      <c r="CX589" s="45"/>
      <c r="CY589" s="1"/>
      <c r="CZ589" s="1"/>
      <c r="DA589" s="1"/>
      <c r="DB589" s="1"/>
      <c r="DC589" s="1"/>
      <c r="DD589" s="1"/>
      <c r="DE589" s="1"/>
      <c r="DF589" s="1"/>
      <c r="DG589" s="1"/>
      <c r="DH589" s="1"/>
      <c r="DI589" s="1"/>
      <c r="DJ589" s="1"/>
      <c r="DK589" s="1"/>
      <c r="DL589" s="5"/>
      <c r="DM589" s="5"/>
      <c r="DN589" s="1"/>
      <c r="DO589" s="1"/>
      <c r="DP589" s="1"/>
      <c r="DQ589" s="1"/>
      <c r="DR589" s="1"/>
      <c r="DS589" s="1"/>
      <c r="DT589" s="1"/>
      <c r="DU589" s="1"/>
      <c r="DV589" s="1"/>
      <c r="DW589" s="1"/>
      <c r="DX589" s="1"/>
      <c r="DY589" s="1"/>
      <c r="DZ589" s="1"/>
      <c r="EA589" s="1"/>
      <c r="EB589" s="1"/>
      <c r="EC589" s="1"/>
      <c r="ED589" s="1"/>
      <c r="EE589" s="1"/>
      <c r="EF589" s="1"/>
      <c r="EG589" s="1"/>
      <c r="EH589" s="5"/>
      <c r="EI589" s="5"/>
      <c r="EJ589" s="5"/>
      <c r="EK589" s="5"/>
      <c r="EL589" s="5"/>
      <c r="EM589" s="5"/>
      <c r="EN589" s="1"/>
      <c r="EO589" s="5"/>
    </row>
    <row r="590" spans="90:145">
      <c r="CL590" s="1"/>
      <c r="CM590" s="1"/>
      <c r="CN590" s="1"/>
      <c r="CO590" s="1"/>
      <c r="CP590" s="1"/>
      <c r="CQ590" s="1"/>
      <c r="CR590" s="1"/>
      <c r="CS590" s="1"/>
      <c r="CT590" s="1"/>
      <c r="CU590" s="1"/>
      <c r="CV590" s="5"/>
      <c r="CW590" s="5"/>
      <c r="CX590" s="45"/>
      <c r="CY590" s="1"/>
      <c r="CZ590" s="1"/>
      <c r="DA590" s="1"/>
      <c r="DB590" s="1"/>
      <c r="DC590" s="1"/>
      <c r="DD590" s="1"/>
      <c r="DE590" s="1"/>
      <c r="DF590" s="1"/>
      <c r="DG590" s="1"/>
      <c r="DH590" s="1"/>
      <c r="DI590" s="1"/>
      <c r="DJ590" s="1"/>
      <c r="DK590" s="1"/>
      <c r="DL590" s="5"/>
      <c r="DM590" s="5"/>
      <c r="DN590" s="1"/>
      <c r="DO590" s="1"/>
      <c r="DP590" s="1"/>
      <c r="DQ590" s="1"/>
      <c r="DR590" s="1"/>
      <c r="DS590" s="1"/>
      <c r="DT590" s="1"/>
      <c r="DU590" s="1"/>
      <c r="DV590" s="1"/>
      <c r="DW590" s="1"/>
      <c r="DX590" s="1"/>
      <c r="DY590" s="1"/>
      <c r="DZ590" s="1"/>
      <c r="EA590" s="1"/>
      <c r="EB590" s="1"/>
      <c r="EC590" s="1"/>
      <c r="ED590" s="1"/>
      <c r="EE590" s="1"/>
      <c r="EF590" s="1"/>
      <c r="EG590" s="1"/>
      <c r="EH590" s="5"/>
      <c r="EI590" s="5"/>
      <c r="EJ590" s="5"/>
      <c r="EK590" s="5"/>
      <c r="EL590" s="5"/>
      <c r="EM590" s="5"/>
      <c r="EN590" s="1"/>
      <c r="EO590" s="5"/>
    </row>
    <row r="591" spans="90:145">
      <c r="CL591" s="1"/>
      <c r="CM591" s="1"/>
      <c r="CN591" s="1"/>
      <c r="CO591" s="1"/>
      <c r="CP591" s="1"/>
      <c r="CQ591" s="1"/>
      <c r="CR591" s="1"/>
      <c r="CS591" s="1"/>
      <c r="CT591" s="1"/>
      <c r="CU591" s="1"/>
      <c r="CV591" s="5"/>
      <c r="CW591" s="5"/>
      <c r="CX591" s="45"/>
      <c r="CY591" s="1"/>
      <c r="CZ591" s="1"/>
      <c r="DA591" s="1"/>
      <c r="DB591" s="1"/>
      <c r="DC591" s="1"/>
      <c r="DD591" s="1"/>
      <c r="DE591" s="1"/>
      <c r="DF591" s="1"/>
      <c r="DG591" s="1"/>
      <c r="DH591" s="1"/>
      <c r="DI591" s="1"/>
      <c r="DJ591" s="1"/>
      <c r="DK591" s="1"/>
      <c r="DL591" s="5"/>
      <c r="DM591" s="5"/>
      <c r="DN591" s="1"/>
      <c r="DO591" s="1"/>
      <c r="DP591" s="1"/>
      <c r="DQ591" s="1"/>
      <c r="DR591" s="1"/>
      <c r="DS591" s="1"/>
      <c r="DT591" s="1"/>
      <c r="DU591" s="1"/>
      <c r="DV591" s="1"/>
      <c r="DW591" s="1"/>
      <c r="DX591" s="1"/>
      <c r="DY591" s="1"/>
      <c r="DZ591" s="1"/>
      <c r="EA591" s="1"/>
      <c r="EB591" s="1"/>
      <c r="EC591" s="1"/>
      <c r="ED591" s="1"/>
      <c r="EE591" s="1"/>
      <c r="EF591" s="1"/>
      <c r="EG591" s="1"/>
      <c r="EH591" s="5"/>
      <c r="EI591" s="5"/>
      <c r="EJ591" s="5"/>
      <c r="EK591" s="5"/>
      <c r="EL591" s="5"/>
      <c r="EM591" s="5"/>
      <c r="EN591" s="1"/>
      <c r="EO591" s="5"/>
    </row>
    <row r="592" spans="90:145">
      <c r="CL592" s="1"/>
      <c r="CM592" s="1"/>
      <c r="CN592" s="1"/>
      <c r="CO592" s="1"/>
      <c r="CP592" s="1"/>
      <c r="CQ592" s="1"/>
      <c r="CR592" s="1"/>
      <c r="CS592" s="1"/>
      <c r="CT592" s="1"/>
      <c r="CU592" s="1"/>
      <c r="CV592" s="5"/>
      <c r="CW592" s="5"/>
      <c r="CX592" s="45"/>
      <c r="CY592" s="1"/>
      <c r="CZ592" s="1"/>
      <c r="DA592" s="1"/>
      <c r="DB592" s="1"/>
      <c r="DC592" s="1"/>
      <c r="DD592" s="1"/>
      <c r="DE592" s="1"/>
      <c r="DF592" s="1"/>
      <c r="DG592" s="1"/>
      <c r="DH592" s="1"/>
      <c r="DI592" s="1"/>
      <c r="DJ592" s="1"/>
      <c r="DK592" s="1"/>
      <c r="DL592" s="5"/>
      <c r="DM592" s="5"/>
      <c r="DN592" s="1"/>
      <c r="DO592" s="1"/>
      <c r="DP592" s="1"/>
      <c r="DQ592" s="1"/>
      <c r="DR592" s="1"/>
      <c r="DS592" s="1"/>
      <c r="DT592" s="1"/>
      <c r="DU592" s="1"/>
      <c r="DV592" s="1"/>
      <c r="DW592" s="1"/>
      <c r="DX592" s="1"/>
      <c r="DY592" s="1"/>
      <c r="DZ592" s="1"/>
      <c r="EA592" s="1"/>
      <c r="EB592" s="1"/>
      <c r="EC592" s="1"/>
      <c r="ED592" s="1"/>
      <c r="EE592" s="1"/>
      <c r="EF592" s="1"/>
      <c r="EG592" s="1"/>
      <c r="EH592" s="5"/>
      <c r="EI592" s="5"/>
      <c r="EJ592" s="5"/>
      <c r="EK592" s="5"/>
      <c r="EL592" s="5"/>
      <c r="EM592" s="5"/>
      <c r="EN592" s="1"/>
      <c r="EO592" s="5"/>
    </row>
    <row r="593" spans="1:145">
      <c r="CL593" s="1"/>
      <c r="CM593" s="1"/>
      <c r="CN593" s="1"/>
      <c r="CO593" s="1"/>
      <c r="CP593" s="1"/>
      <c r="CQ593" s="1"/>
      <c r="CR593" s="1"/>
      <c r="CS593" s="1"/>
      <c r="CT593" s="1"/>
      <c r="CU593" s="1"/>
      <c r="CV593" s="5"/>
      <c r="CW593" s="5"/>
      <c r="CX593" s="45"/>
      <c r="CY593" s="1"/>
      <c r="CZ593" s="1"/>
      <c r="DA593" s="1"/>
      <c r="DB593" s="1"/>
      <c r="DC593" s="1"/>
      <c r="DD593" s="1"/>
      <c r="DE593" s="1"/>
      <c r="DF593" s="1"/>
      <c r="DG593" s="1"/>
      <c r="DH593" s="1"/>
      <c r="DI593" s="1"/>
      <c r="DJ593" s="1"/>
      <c r="DK593" s="1"/>
      <c r="DL593" s="5"/>
      <c r="DM593" s="5"/>
      <c r="DN593" s="1"/>
      <c r="DO593" s="1"/>
      <c r="DP593" s="1"/>
      <c r="DQ593" s="1"/>
      <c r="DR593" s="1"/>
      <c r="DS593" s="1"/>
      <c r="DT593" s="1"/>
      <c r="DU593" s="1"/>
      <c r="DV593" s="1"/>
      <c r="DW593" s="1"/>
      <c r="DX593" s="1"/>
      <c r="DY593" s="1"/>
      <c r="DZ593" s="1"/>
      <c r="EA593" s="1"/>
      <c r="EB593" s="1"/>
      <c r="EC593" s="1"/>
      <c r="ED593" s="1"/>
      <c r="EE593" s="1"/>
      <c r="EF593" s="1"/>
      <c r="EG593" s="1"/>
      <c r="EH593" s="5"/>
      <c r="EI593" s="5"/>
      <c r="EJ593" s="5"/>
      <c r="EK593" s="5"/>
      <c r="EL593" s="5"/>
      <c r="EM593" s="5"/>
      <c r="EN593" s="1"/>
      <c r="EO593" s="5"/>
    </row>
    <row r="594" spans="1:145">
      <c r="CL594" s="1"/>
      <c r="CM594" s="1"/>
      <c r="CN594" s="1"/>
      <c r="CO594" s="1"/>
      <c r="CP594" s="1"/>
      <c r="CQ594" s="1"/>
      <c r="CR594" s="1"/>
      <c r="CS594" s="1"/>
      <c r="CT594" s="1"/>
      <c r="CU594" s="1"/>
      <c r="CV594" s="5"/>
      <c r="CW594" s="5"/>
      <c r="CX594" s="45"/>
      <c r="CY594" s="1"/>
      <c r="CZ594" s="1"/>
      <c r="DA594" s="1"/>
      <c r="DB594" s="1"/>
      <c r="DC594" s="1"/>
      <c r="DD594" s="1"/>
      <c r="DE594" s="1"/>
      <c r="DF594" s="1"/>
      <c r="DG594" s="1"/>
      <c r="DH594" s="1"/>
      <c r="DI594" s="1"/>
      <c r="DJ594" s="1"/>
      <c r="DK594" s="1"/>
      <c r="DL594" s="5"/>
      <c r="DM594" s="5"/>
      <c r="DN594" s="1"/>
      <c r="DO594" s="1"/>
      <c r="DP594" s="1"/>
      <c r="DQ594" s="1"/>
      <c r="DR594" s="1"/>
      <c r="DS594" s="1"/>
      <c r="DT594" s="1"/>
      <c r="DU594" s="1"/>
      <c r="DV594" s="1"/>
      <c r="DW594" s="1"/>
      <c r="DX594" s="1"/>
      <c r="DY594" s="1"/>
      <c r="DZ594" s="1"/>
      <c r="EA594" s="1"/>
      <c r="EB594" s="1"/>
      <c r="EC594" s="1"/>
      <c r="ED594" s="1"/>
      <c r="EE594" s="1"/>
      <c r="EF594" s="1"/>
      <c r="EG594" s="1"/>
      <c r="EH594" s="5"/>
      <c r="EI594" s="5"/>
      <c r="EJ594" s="5"/>
      <c r="EK594" s="5"/>
      <c r="EL594" s="5"/>
      <c r="EM594" s="5"/>
      <c r="EN594" s="1"/>
      <c r="EO594" s="5"/>
    </row>
    <row r="595" spans="1:145">
      <c r="CL595" s="1"/>
      <c r="CM595" s="1"/>
      <c r="CN595" s="1"/>
      <c r="CO595" s="1"/>
      <c r="CP595" s="1"/>
      <c r="CQ595" s="1"/>
      <c r="CR595" s="1"/>
      <c r="CS595" s="1"/>
      <c r="CT595" s="1"/>
      <c r="CU595" s="1"/>
      <c r="CV595" s="5"/>
      <c r="CW595" s="5"/>
      <c r="CX595" s="45"/>
      <c r="CY595" s="1"/>
      <c r="CZ595" s="1"/>
      <c r="DA595" s="1"/>
      <c r="DB595" s="1"/>
      <c r="DC595" s="1"/>
      <c r="DD595" s="1"/>
      <c r="DE595" s="1"/>
      <c r="DF595" s="1"/>
      <c r="DG595" s="1"/>
      <c r="DH595" s="1"/>
      <c r="DI595" s="1"/>
      <c r="DJ595" s="1"/>
      <c r="DK595" s="1"/>
      <c r="DL595" s="5"/>
      <c r="DM595" s="5"/>
      <c r="DN595" s="1"/>
      <c r="DO595" s="1"/>
      <c r="DP595" s="1"/>
      <c r="DQ595" s="1"/>
      <c r="DR595" s="1"/>
      <c r="DS595" s="1"/>
      <c r="DT595" s="1"/>
      <c r="DU595" s="1"/>
      <c r="DV595" s="1"/>
      <c r="DW595" s="1"/>
      <c r="DX595" s="1"/>
      <c r="DY595" s="1"/>
      <c r="DZ595" s="1"/>
      <c r="EA595" s="1"/>
      <c r="EB595" s="1"/>
      <c r="EC595" s="1"/>
      <c r="ED595" s="1"/>
      <c r="EE595" s="1"/>
      <c r="EF595" s="1"/>
      <c r="EG595" s="1"/>
      <c r="EH595" s="5"/>
      <c r="EI595" s="5"/>
      <c r="EJ595" s="5"/>
      <c r="EK595" s="5"/>
      <c r="EL595" s="5"/>
      <c r="EM595" s="5"/>
      <c r="EN595" s="1"/>
      <c r="EO595" s="5"/>
    </row>
    <row r="596" spans="1:145">
      <c r="CL596" s="1"/>
      <c r="CM596" s="1"/>
      <c r="CN596" s="1"/>
      <c r="CO596" s="1"/>
      <c r="CP596" s="1"/>
      <c r="CQ596" s="1"/>
      <c r="CR596" s="1"/>
      <c r="CS596" s="1"/>
      <c r="CT596" s="1"/>
      <c r="CU596" s="1"/>
      <c r="CV596" s="5"/>
      <c r="CW596" s="5"/>
      <c r="CX596" s="45"/>
      <c r="CY596" s="1"/>
      <c r="CZ596" s="1"/>
      <c r="DA596" s="1"/>
      <c r="DB596" s="1"/>
      <c r="DC596" s="1"/>
      <c r="DD596" s="1"/>
      <c r="DE596" s="1"/>
      <c r="DF596" s="1"/>
      <c r="DG596" s="1"/>
      <c r="DH596" s="1"/>
      <c r="DI596" s="1"/>
      <c r="DJ596" s="1"/>
      <c r="DK596" s="1"/>
      <c r="DL596" s="5"/>
      <c r="DM596" s="5"/>
      <c r="DN596" s="1"/>
      <c r="DO596" s="1"/>
      <c r="DP596" s="1"/>
      <c r="DQ596" s="1"/>
      <c r="DR596" s="1"/>
      <c r="DS596" s="1"/>
      <c r="DT596" s="1"/>
      <c r="DU596" s="1"/>
      <c r="DV596" s="1"/>
      <c r="DW596" s="1"/>
      <c r="DX596" s="1"/>
      <c r="DY596" s="1"/>
      <c r="DZ596" s="1"/>
      <c r="EA596" s="1"/>
      <c r="EB596" s="1"/>
      <c r="EC596" s="1"/>
      <c r="ED596" s="1"/>
      <c r="EE596" s="1"/>
      <c r="EF596" s="1"/>
      <c r="EG596" s="1"/>
      <c r="EH596" s="5"/>
      <c r="EI596" s="5"/>
      <c r="EJ596" s="5"/>
      <c r="EK596" s="5"/>
      <c r="EL596" s="5"/>
      <c r="EM596" s="5"/>
      <c r="EN596" s="1"/>
      <c r="EO596" s="5"/>
    </row>
    <row r="597" spans="1:145">
      <c r="CL597" s="1"/>
      <c r="CM597" s="1"/>
      <c r="CN597" s="1"/>
      <c r="CO597" s="1"/>
      <c r="CP597" s="1"/>
      <c r="CQ597" s="1"/>
      <c r="CR597" s="1"/>
      <c r="CS597" s="1"/>
      <c r="CT597" s="1"/>
      <c r="CU597" s="1"/>
      <c r="CV597" s="5"/>
      <c r="CW597" s="5"/>
      <c r="CX597" s="45"/>
      <c r="CY597" s="1"/>
      <c r="CZ597" s="1"/>
      <c r="DA597" s="1"/>
      <c r="DB597" s="1"/>
      <c r="DC597" s="1"/>
      <c r="DD597" s="1"/>
      <c r="DE597" s="1"/>
      <c r="DF597" s="1"/>
      <c r="DG597" s="1"/>
      <c r="DH597" s="1"/>
      <c r="DI597" s="1"/>
      <c r="DJ597" s="1"/>
      <c r="DK597" s="1"/>
      <c r="DL597" s="5"/>
      <c r="DM597" s="5"/>
      <c r="DN597" s="1"/>
      <c r="DO597" s="1"/>
      <c r="DP597" s="1"/>
      <c r="DQ597" s="1"/>
      <c r="DR597" s="1"/>
      <c r="DS597" s="1"/>
      <c r="DT597" s="1"/>
      <c r="DU597" s="1"/>
      <c r="DV597" s="1"/>
      <c r="DW597" s="1"/>
      <c r="DX597" s="1"/>
      <c r="DY597" s="1"/>
      <c r="DZ597" s="1"/>
      <c r="EA597" s="1"/>
      <c r="EB597" s="1"/>
      <c r="EC597" s="1"/>
      <c r="ED597" s="1"/>
      <c r="EE597" s="1"/>
      <c r="EF597" s="1"/>
      <c r="EG597" s="1"/>
      <c r="EH597" s="5"/>
      <c r="EI597" s="5"/>
      <c r="EJ597" s="5"/>
      <c r="EK597" s="5"/>
      <c r="EL597" s="5"/>
      <c r="EM597" s="5"/>
      <c r="EN597" s="1"/>
      <c r="EO597" s="5"/>
    </row>
    <row r="598" spans="1:145">
      <c r="A598" s="717"/>
    </row>
    <row r="600" spans="1:145">
      <c r="A600" s="732" t="s">
        <v>1831</v>
      </c>
    </row>
  </sheetData>
  <sheetProtection algorithmName="SHA-512" hashValue="XVq5rZgwFScKYsIDSujjgLKh3qrC6fMUrKqrjaNKgffVwqlMnIP4d7IssbSYTEzUML/Rt+lcAJpcBCPHQB1nCw==" saltValue="mzSrIUBJaoBKElSLInQq/g==" spinCount="100000" sheet="1" objects="1" scenarios="1"/>
  <dataConsolidate/>
  <mergeCells count="47">
    <mergeCell ref="B520:D520"/>
    <mergeCell ref="A27:A28"/>
    <mergeCell ref="EJ22:EM29"/>
    <mergeCell ref="BC23:BI23"/>
    <mergeCell ref="DN22:DU25"/>
    <mergeCell ref="DV22:EC25"/>
    <mergeCell ref="CB25:CB26"/>
    <mergeCell ref="E25:E27"/>
    <mergeCell ref="CL28:CN28"/>
    <mergeCell ref="CI22:CK22"/>
    <mergeCell ref="CK23:CK24"/>
    <mergeCell ref="W28:W29"/>
    <mergeCell ref="BX26:BZ26"/>
    <mergeCell ref="B118:D118"/>
    <mergeCell ref="B29:D29"/>
    <mergeCell ref="B28:D28"/>
    <mergeCell ref="ER22:ES23"/>
    <mergeCell ref="ER24:ER29"/>
    <mergeCell ref="ES24:ES29"/>
    <mergeCell ref="CI25:CJ26"/>
    <mergeCell ref="CA22:CB22"/>
    <mergeCell ref="EP22:EQ23"/>
    <mergeCell ref="EP24:EP29"/>
    <mergeCell ref="EQ24:EQ29"/>
    <mergeCell ref="CI23:CJ24"/>
    <mergeCell ref="DC24:DD26"/>
    <mergeCell ref="CK25:CK26"/>
    <mergeCell ref="CC22:CG26"/>
    <mergeCell ref="B27:D27"/>
    <mergeCell ref="CA25:CA26"/>
    <mergeCell ref="BX22:BZ22"/>
    <mergeCell ref="J22:O22"/>
    <mergeCell ref="P22:U26"/>
    <mergeCell ref="J24:O25"/>
    <mergeCell ref="J23:O23"/>
    <mergeCell ref="J26:O26"/>
    <mergeCell ref="H25:H29"/>
    <mergeCell ref="B128:D128"/>
    <mergeCell ref="B126:D126"/>
    <mergeCell ref="B124:D124"/>
    <mergeCell ref="B122:D122"/>
    <mergeCell ref="B120:D120"/>
    <mergeCell ref="B530:D530"/>
    <mergeCell ref="B522:D522"/>
    <mergeCell ref="B524:D524"/>
    <mergeCell ref="B526:D526"/>
    <mergeCell ref="B528:D528"/>
  </mergeCells>
  <phoneticPr fontId="5" type="noConversion"/>
  <conditionalFormatting sqref="CE115">
    <cfRule type="cellIs" dxfId="764" priority="5223" stopIfTrue="1" operator="greaterThan">
      <formula>$R115</formula>
    </cfRule>
  </conditionalFormatting>
  <conditionalFormatting sqref="BZ115">
    <cfRule type="cellIs" dxfId="763" priority="5224" stopIfTrue="1" operator="greaterThan">
      <formula>$L115</formula>
    </cfRule>
  </conditionalFormatting>
  <conditionalFormatting sqref="F115">
    <cfRule type="cellIs" dxfId="762" priority="5234" stopIfTrue="1" operator="greaterThan">
      <formula>$F$10</formula>
    </cfRule>
  </conditionalFormatting>
  <conditionalFormatting sqref="B30:FO30 B115:FO115">
    <cfRule type="expression" dxfId="761" priority="4899">
      <formula>CELL("direccion")=ADDRESS(ROW(),COLUMN())</formula>
    </cfRule>
    <cfRule type="expression" dxfId="760" priority="5201">
      <formula>COLUMN()=CELL("columna")</formula>
    </cfRule>
    <cfRule type="expression" dxfId="759" priority="5216">
      <formula>ROW()=CELL("fila")</formula>
    </cfRule>
  </conditionalFormatting>
  <conditionalFormatting sqref="A22">
    <cfRule type="cellIs" dxfId="758" priority="4253" operator="equal">
      <formula>"1203Vmac"</formula>
    </cfRule>
  </conditionalFormatting>
  <conditionalFormatting sqref="CE510">
    <cfRule type="cellIs" dxfId="757" priority="3777" stopIfTrue="1" operator="greaterThan">
      <formula>$R510</formula>
    </cfRule>
  </conditionalFormatting>
  <conditionalFormatting sqref="BY510">
    <cfRule type="cellIs" dxfId="756" priority="3778" stopIfTrue="1" operator="lessThan">
      <formula>$BU510</formula>
    </cfRule>
  </conditionalFormatting>
  <conditionalFormatting sqref="F510">
    <cfRule type="cellIs" dxfId="755" priority="3779" stopIfTrue="1" operator="greaterThan">
      <formula>$F$10</formula>
    </cfRule>
  </conditionalFormatting>
  <conditionalFormatting sqref="BX510">
    <cfRule type="cellIs" dxfId="754" priority="3766" operator="notEqual">
      <formula>DN510</formula>
    </cfRule>
  </conditionalFormatting>
  <conditionalFormatting sqref="CC510">
    <cfRule type="cellIs" dxfId="753" priority="3768" stopIfTrue="1" operator="notEqual">
      <formula>DV510</formula>
    </cfRule>
  </conditionalFormatting>
  <conditionalFormatting sqref="BU510">
    <cfRule type="cellIs" dxfId="752" priority="3769" stopIfTrue="1" operator="notEqual">
      <formula>CW510</formula>
    </cfRule>
  </conditionalFormatting>
  <conditionalFormatting sqref="BW510">
    <cfRule type="cellIs" dxfId="751" priority="3765" operator="notEqual">
      <formula>CX510</formula>
    </cfRule>
  </conditionalFormatting>
  <conditionalFormatting sqref="CI510:CK510">
    <cfRule type="cellIs" dxfId="750" priority="3771" stopIfTrue="1" operator="notEqual">
      <formula>CL510</formula>
    </cfRule>
  </conditionalFormatting>
  <conditionalFormatting sqref="BB510">
    <cfRule type="cellIs" dxfId="749" priority="3772" stopIfTrue="1" operator="notEqual">
      <formula>CV510</formula>
    </cfRule>
  </conditionalFormatting>
  <conditionalFormatting sqref="F510">
    <cfRule type="cellIs" dxfId="748" priority="3773" stopIfTrue="1" operator="greaterThan">
      <formula>$F$10</formula>
    </cfRule>
  </conditionalFormatting>
  <conditionalFormatting sqref="BY510">
    <cfRule type="cellIs" dxfId="747" priority="3767" stopIfTrue="1" operator="lessThan">
      <formula>$BU510</formula>
    </cfRule>
  </conditionalFormatting>
  <conditionalFormatting sqref="B510:V510 X510:CZ510 DB510:FO510">
    <cfRule type="expression" dxfId="746" priority="3770">
      <formula>CELL("direccion")=ADDRESS(ROW(),COLUMN())</formula>
    </cfRule>
    <cfRule type="expression" dxfId="745" priority="3775">
      <formula>COLUMN()=CELL("columna")</formula>
    </cfRule>
    <cfRule type="expression" dxfId="744" priority="3776">
      <formula>ROW()=CELL("fila")</formula>
    </cfRule>
  </conditionalFormatting>
  <conditionalFormatting sqref="B510">
    <cfRule type="cellIs" dxfId="743" priority="3764" operator="greaterThan">
      <formula>$M$19</formula>
    </cfRule>
  </conditionalFormatting>
  <conditionalFormatting sqref="E510">
    <cfRule type="expression" dxfId="742" priority="3761">
      <formula>CELL("direccion")=ADDRESS(ROW(),COLUMN())</formula>
    </cfRule>
    <cfRule type="expression" dxfId="741" priority="3762">
      <formula>COLUMN()=CELL("columna")</formula>
    </cfRule>
    <cfRule type="expression" dxfId="740" priority="3763">
      <formula>ROW()=CELL("fila")</formula>
    </cfRule>
  </conditionalFormatting>
  <conditionalFormatting sqref="CE520 CE522 CE524 CE526:CE530">
    <cfRule type="cellIs" dxfId="739" priority="3758" stopIfTrue="1" operator="greaterThan">
      <formula>$R520</formula>
    </cfRule>
  </conditionalFormatting>
  <conditionalFormatting sqref="BZ520 BZ522 BZ524 BZ526:BZ530">
    <cfRule type="cellIs" dxfId="738" priority="3759" stopIfTrue="1" operator="greaterThan">
      <formula>$L520</formula>
    </cfRule>
  </conditionalFormatting>
  <conditionalFormatting sqref="F520 F522 F524 F526:F530">
    <cfRule type="cellIs" dxfId="737" priority="3760" stopIfTrue="1" operator="greaterThan">
      <formula>$F$10</formula>
    </cfRule>
  </conditionalFormatting>
  <conditionalFormatting sqref="CE518">
    <cfRule type="cellIs" dxfId="736" priority="3748" stopIfTrue="1" operator="greaterThan">
      <formula>$R518</formula>
    </cfRule>
  </conditionalFormatting>
  <conditionalFormatting sqref="BZ518">
    <cfRule type="cellIs" dxfId="735" priority="3749" stopIfTrue="1" operator="greaterThan">
      <formula>$L518</formula>
    </cfRule>
  </conditionalFormatting>
  <conditionalFormatting sqref="BX518">
    <cfRule type="cellIs" dxfId="734" priority="3750" operator="notEqual">
      <formula>DN518</formula>
    </cfRule>
  </conditionalFormatting>
  <conditionalFormatting sqref="CC518">
    <cfRule type="cellIs" dxfId="733" priority="3751" stopIfTrue="1" operator="notEqual">
      <formula>DV518</formula>
    </cfRule>
  </conditionalFormatting>
  <conditionalFormatting sqref="BU518">
    <cfRule type="cellIs" dxfId="732" priority="3752" stopIfTrue="1" operator="notEqual">
      <formula>CW518</formula>
    </cfRule>
  </conditionalFormatting>
  <conditionalFormatting sqref="BW518">
    <cfRule type="cellIs" dxfId="731" priority="3747" operator="notEqual">
      <formula>CX518</formula>
    </cfRule>
  </conditionalFormatting>
  <conditionalFormatting sqref="F518">
    <cfRule type="cellIs" dxfId="730" priority="3753" stopIfTrue="1" operator="greaterThan">
      <formula>$F$10</formula>
    </cfRule>
  </conditionalFormatting>
  <conditionalFormatting sqref="A518:FJ518">
    <cfRule type="expression" dxfId="729" priority="3756">
      <formula>ROW()=CELL("fila")</formula>
    </cfRule>
  </conditionalFormatting>
  <conditionalFormatting sqref="B518:FO530">
    <cfRule type="expression" dxfId="728" priority="3754">
      <formula>CELL("direccion")=ADDRESS(ROW(),COLUMN())</formula>
    </cfRule>
    <cfRule type="expression" dxfId="727" priority="3755">
      <formula>COLUMN()=CELL("columna")</formula>
    </cfRule>
    <cfRule type="expression" dxfId="726" priority="3757">
      <formula>ROW()=CELL("fila")</formula>
    </cfRule>
  </conditionalFormatting>
  <conditionalFormatting sqref="M520">
    <cfRule type="expression" dxfId="725" priority="3746">
      <formula>ROW()=CELL("fila")</formula>
    </cfRule>
  </conditionalFormatting>
  <conditionalFormatting sqref="M522">
    <cfRule type="expression" dxfId="724" priority="3745">
      <formula>ROW()=CELL("fila")</formula>
    </cfRule>
  </conditionalFormatting>
  <conditionalFormatting sqref="M524">
    <cfRule type="expression" dxfId="723" priority="3744">
      <formula>ROW()=CELL("fila")</formula>
    </cfRule>
  </conditionalFormatting>
  <conditionalFormatting sqref="M526">
    <cfRule type="expression" dxfId="722" priority="3743">
      <formula>ROW()=CELL("fila")</formula>
    </cfRule>
  </conditionalFormatting>
  <conditionalFormatting sqref="M528">
    <cfRule type="expression" dxfId="721" priority="3742">
      <formula>ROW()=CELL("fila")</formula>
    </cfRule>
  </conditionalFormatting>
  <conditionalFormatting sqref="M530">
    <cfRule type="expression" dxfId="720" priority="3741">
      <formula>ROW()=CELL("fila")</formula>
    </cfRule>
  </conditionalFormatting>
  <conditionalFormatting sqref="M520">
    <cfRule type="expression" dxfId="719" priority="3740">
      <formula>ROW()=CELL("fila")</formula>
    </cfRule>
  </conditionalFormatting>
  <conditionalFormatting sqref="M522">
    <cfRule type="expression" dxfId="718" priority="3739">
      <formula>ROW()=CELL("fila")</formula>
    </cfRule>
  </conditionalFormatting>
  <conditionalFormatting sqref="M524">
    <cfRule type="expression" dxfId="717" priority="3738">
      <formula>ROW()=CELL("fila")</formula>
    </cfRule>
  </conditionalFormatting>
  <conditionalFormatting sqref="M526">
    <cfRule type="expression" dxfId="716" priority="3737">
      <formula>ROW()=CELL("fila")</formula>
    </cfRule>
  </conditionalFormatting>
  <conditionalFormatting sqref="M528">
    <cfRule type="expression" dxfId="715" priority="3736">
      <formula>ROW()=CELL("fila")</formula>
    </cfRule>
  </conditionalFormatting>
  <conditionalFormatting sqref="M530">
    <cfRule type="expression" dxfId="714" priority="3735">
      <formula>ROW()=CELL("fila")</formula>
    </cfRule>
  </conditionalFormatting>
  <conditionalFormatting sqref="BX520">
    <cfRule type="cellIs" dxfId="713" priority="3733" operator="notEqual">
      <formula>DN520</formula>
    </cfRule>
  </conditionalFormatting>
  <conditionalFormatting sqref="BX520">
    <cfRule type="expression" dxfId="712" priority="3734">
      <formula>ROW()=CELL("fila")</formula>
    </cfRule>
  </conditionalFormatting>
  <conditionalFormatting sqref="M524">
    <cfRule type="expression" dxfId="711" priority="3732">
      <formula>ROW()=CELL("fila")</formula>
    </cfRule>
  </conditionalFormatting>
  <conditionalFormatting sqref="M524">
    <cfRule type="expression" dxfId="710" priority="3731">
      <formula>ROW()=CELL("fila")</formula>
    </cfRule>
  </conditionalFormatting>
  <conditionalFormatting sqref="M526">
    <cfRule type="expression" dxfId="709" priority="3730">
      <formula>ROW()=CELL("fila")</formula>
    </cfRule>
  </conditionalFormatting>
  <conditionalFormatting sqref="M526">
    <cfRule type="expression" dxfId="708" priority="3729">
      <formula>ROW()=CELL("fila")</formula>
    </cfRule>
  </conditionalFormatting>
  <conditionalFormatting sqref="M530">
    <cfRule type="expression" dxfId="707" priority="3728">
      <formula>ROW()=CELL("fila")</formula>
    </cfRule>
  </conditionalFormatting>
  <conditionalFormatting sqref="M530">
    <cfRule type="expression" dxfId="706" priority="3727">
      <formula>ROW()=CELL("fila")</formula>
    </cfRule>
  </conditionalFormatting>
  <conditionalFormatting sqref="M528">
    <cfRule type="expression" dxfId="705" priority="3726">
      <formula>ROW()=CELL("fila")</formula>
    </cfRule>
  </conditionalFormatting>
  <conditionalFormatting sqref="M528">
    <cfRule type="expression" dxfId="704" priority="3725">
      <formula>ROW()=CELL("fila")</formula>
    </cfRule>
  </conditionalFormatting>
  <conditionalFormatting sqref="M520">
    <cfRule type="expression" dxfId="703" priority="3724">
      <formula>ROW()=CELL("fila")</formula>
    </cfRule>
  </conditionalFormatting>
  <conditionalFormatting sqref="M520">
    <cfRule type="expression" dxfId="702" priority="3723">
      <formula>ROW()=CELL("fila")</formula>
    </cfRule>
  </conditionalFormatting>
  <conditionalFormatting sqref="M520">
    <cfRule type="expression" dxfId="701" priority="3722">
      <formula>ROW()=CELL("fila")</formula>
    </cfRule>
  </conditionalFormatting>
  <conditionalFormatting sqref="M520">
    <cfRule type="expression" dxfId="700" priority="3721">
      <formula>ROW()=CELL("fila")</formula>
    </cfRule>
  </conditionalFormatting>
  <conditionalFormatting sqref="DD520">
    <cfRule type="expression" dxfId="699" priority="3720">
      <formula>ROW()=CELL("fila")</formula>
    </cfRule>
  </conditionalFormatting>
  <conditionalFormatting sqref="W510">
    <cfRule type="cellIs" dxfId="698" priority="812" stopIfTrue="1" operator="equal">
      <formula>"NO"</formula>
    </cfRule>
  </conditionalFormatting>
  <conditionalFormatting sqref="W510">
    <cfRule type="cellIs" dxfId="697" priority="809" stopIfTrue="1" operator="equal">
      <formula>"NO"</formula>
    </cfRule>
  </conditionalFormatting>
  <conditionalFormatting sqref="W510">
    <cfRule type="expression" dxfId="696" priority="808">
      <formula>CELL("direccion")=ADDRESS(ROW(),COLUMN())</formula>
    </cfRule>
    <cfRule type="expression" dxfId="695" priority="810">
      <formula>COLUMN()=CELL("columna")</formula>
    </cfRule>
    <cfRule type="expression" dxfId="694" priority="811">
      <formula>ROW()=CELL("fila")</formula>
    </cfRule>
  </conditionalFormatting>
  <conditionalFormatting sqref="DA510">
    <cfRule type="expression" dxfId="693" priority="805">
      <formula>CELL("direccion")=ADDRESS(ROW(),COLUMN())</formula>
    </cfRule>
    <cfRule type="expression" dxfId="692" priority="806">
      <formula>COLUMN()=CELL("columna")</formula>
    </cfRule>
    <cfRule type="expression" dxfId="691" priority="807">
      <formula>ROW()=CELL("fila")</formula>
    </cfRule>
  </conditionalFormatting>
  <conditionalFormatting sqref="A116">
    <cfRule type="expression" dxfId="97" priority="104">
      <formula>ROW()=CELL("fila")</formula>
    </cfRule>
  </conditionalFormatting>
  <conditionalFormatting sqref="CE31:CE114">
    <cfRule type="cellIs" dxfId="66" priority="65" stopIfTrue="1" operator="greaterThan">
      <formula>$R31</formula>
    </cfRule>
  </conditionalFormatting>
  <conditionalFormatting sqref="BY31:BY114">
    <cfRule type="cellIs" dxfId="65" priority="66" stopIfTrue="1" operator="lessThan">
      <formula>$BU31</formula>
    </cfRule>
  </conditionalFormatting>
  <conditionalFormatting sqref="F31:F114">
    <cfRule type="cellIs" dxfId="64" priority="67" stopIfTrue="1" operator="greaterThan">
      <formula>$F$10</formula>
    </cfRule>
  </conditionalFormatting>
  <conditionalFormatting sqref="BX31:BX114">
    <cfRule type="cellIs" dxfId="63" priority="55" operator="notEqual">
      <formula>DN31</formula>
    </cfRule>
  </conditionalFormatting>
  <conditionalFormatting sqref="CC31:CC114">
    <cfRule type="cellIs" dxfId="62" priority="57" stopIfTrue="1" operator="notEqual">
      <formula>DV31</formula>
    </cfRule>
  </conditionalFormatting>
  <conditionalFormatting sqref="BU31:BU114">
    <cfRule type="cellIs" dxfId="61" priority="58" stopIfTrue="1" operator="notEqual">
      <formula>CW31</formula>
    </cfRule>
  </conditionalFormatting>
  <conditionalFormatting sqref="BW31:BW114">
    <cfRule type="cellIs" dxfId="60" priority="54" operator="notEqual">
      <formula>CX31</formula>
    </cfRule>
  </conditionalFormatting>
  <conditionalFormatting sqref="CI31:CK114">
    <cfRule type="cellIs" dxfId="59" priority="60" stopIfTrue="1" operator="notEqual">
      <formula>CL31</formula>
    </cfRule>
  </conditionalFormatting>
  <conditionalFormatting sqref="BB31:BB114">
    <cfRule type="cellIs" dxfId="58" priority="61" stopIfTrue="1" operator="notEqual">
      <formula>CV31</formula>
    </cfRule>
  </conditionalFormatting>
  <conditionalFormatting sqref="F31:F114">
    <cfRule type="cellIs" dxfId="57" priority="62" stopIfTrue="1" operator="greaterThan">
      <formula>$F$10</formula>
    </cfRule>
  </conditionalFormatting>
  <conditionalFormatting sqref="BY31:BY114">
    <cfRule type="cellIs" dxfId="56" priority="56" stopIfTrue="1" operator="lessThan">
      <formula>$BU31</formula>
    </cfRule>
  </conditionalFormatting>
  <conditionalFormatting sqref="B31:V114 X31:CZ114 DB31:FO114">
    <cfRule type="expression" dxfId="55" priority="59">
      <formula>CELL("direccion")=ADDRESS(ROW(),COLUMN())</formula>
    </cfRule>
    <cfRule type="expression" dxfId="54" priority="63">
      <formula>COLUMN()=CELL("columna")</formula>
    </cfRule>
    <cfRule type="expression" dxfId="53" priority="64">
      <formula>ROW()=CELL("fila")</formula>
    </cfRule>
  </conditionalFormatting>
  <conditionalFormatting sqref="B31:B114">
    <cfRule type="cellIs" dxfId="52" priority="53" operator="greaterThan">
      <formula>$M$19</formula>
    </cfRule>
  </conditionalFormatting>
  <conditionalFormatting sqref="E31:E114">
    <cfRule type="expression" dxfId="51" priority="50">
      <formula>CELL("direccion")=ADDRESS(ROW(),COLUMN())</formula>
    </cfRule>
    <cfRule type="expression" dxfId="50" priority="51">
      <formula>COLUMN()=CELL("columna")</formula>
    </cfRule>
    <cfRule type="expression" dxfId="49" priority="52">
      <formula>ROW()=CELL("fila")</formula>
    </cfRule>
  </conditionalFormatting>
  <conditionalFormatting sqref="W31:W114">
    <cfRule type="cellIs" dxfId="48" priority="49" stopIfTrue="1" operator="equal">
      <formula>"NO"</formula>
    </cfRule>
  </conditionalFormatting>
  <conditionalFormatting sqref="W31:W114">
    <cfRule type="cellIs" dxfId="47" priority="46" stopIfTrue="1" operator="equal">
      <formula>"NO"</formula>
    </cfRule>
  </conditionalFormatting>
  <conditionalFormatting sqref="W31:W114">
    <cfRule type="expression" dxfId="46" priority="45">
      <formula>CELL("direccion")=ADDRESS(ROW(),COLUMN())</formula>
    </cfRule>
    <cfRule type="expression" dxfId="45" priority="47">
      <formula>COLUMN()=CELL("columna")</formula>
    </cfRule>
    <cfRule type="expression" dxfId="44" priority="48">
      <formula>ROW()=CELL("fila")</formula>
    </cfRule>
  </conditionalFormatting>
  <conditionalFormatting sqref="DA31:DA114">
    <cfRule type="expression" dxfId="43" priority="42">
      <formula>CELL("direccion")=ADDRESS(ROW(),COLUMN())</formula>
    </cfRule>
    <cfRule type="expression" dxfId="42" priority="43">
      <formula>COLUMN()=CELL("columna")</formula>
    </cfRule>
    <cfRule type="expression" dxfId="41" priority="44">
      <formula>ROW()=CELL("fila")</formula>
    </cfRule>
  </conditionalFormatting>
  <conditionalFormatting sqref="CE118 CE120 CE122 CE124:CE128">
    <cfRule type="cellIs" dxfId="40" priority="39" stopIfTrue="1" operator="greaterThan">
      <formula>$R118</formula>
    </cfRule>
  </conditionalFormatting>
  <conditionalFormatting sqref="BZ118 BZ120 BZ122 BZ124:BZ128">
    <cfRule type="cellIs" dxfId="39" priority="40" stopIfTrue="1" operator="greaterThan">
      <formula>$L118</formula>
    </cfRule>
  </conditionalFormatting>
  <conditionalFormatting sqref="F118 F120 F122 F124:F128">
    <cfRule type="cellIs" dxfId="38" priority="41" stopIfTrue="1" operator="greaterThan">
      <formula>$F$10</formula>
    </cfRule>
  </conditionalFormatting>
  <conditionalFormatting sqref="CE116">
    <cfRule type="cellIs" dxfId="37" priority="29" stopIfTrue="1" operator="greaterThan">
      <formula>$R116</formula>
    </cfRule>
  </conditionalFormatting>
  <conditionalFormatting sqref="BZ116">
    <cfRule type="cellIs" dxfId="36" priority="30" stopIfTrue="1" operator="greaterThan">
      <formula>$L116</formula>
    </cfRule>
  </conditionalFormatting>
  <conditionalFormatting sqref="BX116">
    <cfRule type="cellIs" dxfId="35" priority="31" operator="notEqual">
      <formula>DN116</formula>
    </cfRule>
  </conditionalFormatting>
  <conditionalFormatting sqref="CC116">
    <cfRule type="cellIs" dxfId="34" priority="32" stopIfTrue="1" operator="notEqual">
      <formula>DV116</formula>
    </cfRule>
  </conditionalFormatting>
  <conditionalFormatting sqref="BU116">
    <cfRule type="cellIs" dxfId="33" priority="33" stopIfTrue="1" operator="notEqual">
      <formula>CW116</formula>
    </cfRule>
  </conditionalFormatting>
  <conditionalFormatting sqref="BW116">
    <cfRule type="cellIs" dxfId="32" priority="28" operator="notEqual">
      <formula>CX116</formula>
    </cfRule>
  </conditionalFormatting>
  <conditionalFormatting sqref="F116">
    <cfRule type="cellIs" dxfId="31" priority="34" stopIfTrue="1" operator="greaterThan">
      <formula>$F$10</formula>
    </cfRule>
  </conditionalFormatting>
  <conditionalFormatting sqref="B116:FJ116">
    <cfRule type="expression" dxfId="30" priority="37">
      <formula>ROW()=CELL("fila")</formula>
    </cfRule>
  </conditionalFormatting>
  <conditionalFormatting sqref="B116:FO128">
    <cfRule type="expression" dxfId="29" priority="35">
      <formula>CELL("direccion")=ADDRESS(ROW(),COLUMN())</formula>
    </cfRule>
    <cfRule type="expression" dxfId="28" priority="36">
      <formula>COLUMN()=CELL("columna")</formula>
    </cfRule>
    <cfRule type="expression" dxfId="27" priority="38">
      <formula>ROW()=CELL("fila")</formula>
    </cfRule>
  </conditionalFormatting>
  <conditionalFormatting sqref="M118">
    <cfRule type="expression" dxfId="26" priority="27">
      <formula>ROW()=CELL("fila")</formula>
    </cfRule>
  </conditionalFormatting>
  <conditionalFormatting sqref="M120">
    <cfRule type="expression" dxfId="25" priority="26">
      <formula>ROW()=CELL("fila")</formula>
    </cfRule>
  </conditionalFormatting>
  <conditionalFormatting sqref="M122">
    <cfRule type="expression" dxfId="24" priority="25">
      <formula>ROW()=CELL("fila")</formula>
    </cfRule>
  </conditionalFormatting>
  <conditionalFormatting sqref="M124">
    <cfRule type="expression" dxfId="23" priority="24">
      <formula>ROW()=CELL("fila")</formula>
    </cfRule>
  </conditionalFormatting>
  <conditionalFormatting sqref="M126">
    <cfRule type="expression" dxfId="22" priority="23">
      <formula>ROW()=CELL("fila")</formula>
    </cfRule>
  </conditionalFormatting>
  <conditionalFormatting sqref="M128">
    <cfRule type="expression" dxfId="21" priority="22">
      <formula>ROW()=CELL("fila")</formula>
    </cfRule>
  </conditionalFormatting>
  <conditionalFormatting sqref="M118">
    <cfRule type="expression" dxfId="20" priority="21">
      <formula>ROW()=CELL("fila")</formula>
    </cfRule>
  </conditionalFormatting>
  <conditionalFormatting sqref="M120">
    <cfRule type="expression" dxfId="19" priority="20">
      <formula>ROW()=CELL("fila")</formula>
    </cfRule>
  </conditionalFormatting>
  <conditionalFormatting sqref="M122">
    <cfRule type="expression" dxfId="18" priority="19">
      <formula>ROW()=CELL("fila")</formula>
    </cfRule>
  </conditionalFormatting>
  <conditionalFormatting sqref="M124">
    <cfRule type="expression" dxfId="17" priority="18">
      <formula>ROW()=CELL("fila")</formula>
    </cfRule>
  </conditionalFormatting>
  <conditionalFormatting sqref="M126">
    <cfRule type="expression" dxfId="16" priority="17">
      <formula>ROW()=CELL("fila")</formula>
    </cfRule>
  </conditionalFormatting>
  <conditionalFormatting sqref="M128">
    <cfRule type="expression" dxfId="15" priority="16">
      <formula>ROW()=CELL("fila")</formula>
    </cfRule>
  </conditionalFormatting>
  <conditionalFormatting sqref="BX118">
    <cfRule type="cellIs" dxfId="14" priority="14" operator="notEqual">
      <formula>DN118</formula>
    </cfRule>
  </conditionalFormatting>
  <conditionalFormatting sqref="BX118">
    <cfRule type="expression" dxfId="13" priority="15">
      <formula>ROW()=CELL("fila")</formula>
    </cfRule>
  </conditionalFormatting>
  <conditionalFormatting sqref="M122">
    <cfRule type="expression" dxfId="12" priority="13">
      <formula>ROW()=CELL("fila")</formula>
    </cfRule>
  </conditionalFormatting>
  <conditionalFormatting sqref="M122">
    <cfRule type="expression" dxfId="11" priority="12">
      <formula>ROW()=CELL("fila")</formula>
    </cfRule>
  </conditionalFormatting>
  <conditionalFormatting sqref="M124">
    <cfRule type="expression" dxfId="10" priority="11">
      <formula>ROW()=CELL("fila")</formula>
    </cfRule>
  </conditionalFormatting>
  <conditionalFormatting sqref="M124">
    <cfRule type="expression" dxfId="9" priority="10">
      <formula>ROW()=CELL("fila")</formula>
    </cfRule>
  </conditionalFormatting>
  <conditionalFormatting sqref="M128">
    <cfRule type="expression" dxfId="8" priority="9">
      <formula>ROW()=CELL("fila")</formula>
    </cfRule>
  </conditionalFormatting>
  <conditionalFormatting sqref="M128">
    <cfRule type="expression" dxfId="7" priority="8">
      <formula>ROW()=CELL("fila")</formula>
    </cfRule>
  </conditionalFormatting>
  <conditionalFormatting sqref="M126">
    <cfRule type="expression" dxfId="6" priority="7">
      <formula>ROW()=CELL("fila")</formula>
    </cfRule>
  </conditionalFormatting>
  <conditionalFormatting sqref="M126">
    <cfRule type="expression" dxfId="5" priority="6">
      <formula>ROW()=CELL("fila")</formula>
    </cfRule>
  </conditionalFormatting>
  <conditionalFormatting sqref="M118">
    <cfRule type="expression" dxfId="4" priority="5">
      <formula>ROW()=CELL("fila")</formula>
    </cfRule>
  </conditionalFormatting>
  <conditionalFormatting sqref="M118">
    <cfRule type="expression" dxfId="3" priority="4">
      <formula>ROW()=CELL("fila")</formula>
    </cfRule>
  </conditionalFormatting>
  <conditionalFormatting sqref="M118">
    <cfRule type="expression" dxfId="2" priority="3">
      <formula>ROW()=CELL("fila")</formula>
    </cfRule>
  </conditionalFormatting>
  <conditionalFormatting sqref="M118">
    <cfRule type="expression" dxfId="1" priority="2">
      <formula>ROW()=CELL("fila")</formula>
    </cfRule>
  </conditionalFormatting>
  <conditionalFormatting sqref="DD118">
    <cfRule type="expression" dxfId="0" priority="1">
      <formula>ROW()=CELL("fila")</formula>
    </cfRule>
  </conditionalFormatting>
  <dataValidations count="7">
    <dataValidation type="list" allowBlank="1" showInputMessage="1" showErrorMessage="1" sqref="EQ510 EQ31:EQ114" xr:uid="{677EB847-791E-455F-B0F0-3C919757CE26}">
      <formula1>DERIVADOSX</formula1>
    </dataValidation>
    <dataValidation type="list" allowBlank="1" showInputMessage="1" showErrorMessage="1" sqref="EP510 EP31:EP114" xr:uid="{16EC6FC7-5CB5-40C4-831C-C7D42785A5DB}">
      <formula1>DIBTAB</formula1>
    </dataValidation>
    <dataValidation type="list" allowBlank="1" showInputMessage="1" showErrorMessage="1" error="TIPO DE CARGA NO VALIDO" sqref="H510 H31:H114" xr:uid="{2A36A865-A0BF-46E7-8749-74DDF8057E32}">
      <formula1>TIPOCARGAX</formula1>
    </dataValidation>
    <dataValidation type="list" allowBlank="1" showInputMessage="1" showErrorMessage="1" sqref="I519 I521 I523 I525 I527 I529 I117 I119 I121 I123 I125 I127" xr:uid="{E91537AF-20D3-4E25-B544-2B890443DCAD}">
      <formula1>CANALIZACIONTIPO</formula1>
    </dataValidation>
    <dataValidation type="list" allowBlank="1" showInputMessage="1" showErrorMessage="1" sqref="M510 M518 M528 M522 M520 M524 M530 M31:M114 M526 M116 M126 M120 M118 M122 M128 M124" xr:uid="{68D526FD-C0A2-4C78-8140-DB9F175201C3}">
      <formula1>tipocana1</formula1>
    </dataValidation>
    <dataValidation type="list" allowBlank="1" showInputMessage="1" showErrorMessage="1" sqref="EP518 EP116" xr:uid="{1F645A54-2625-479C-9AA2-FCD4EE300D32}">
      <formula1>ACOMETIPO</formula1>
    </dataValidation>
    <dataValidation type="list" allowBlank="1" showInputMessage="1" showErrorMessage="1" sqref="EP520 EP118" xr:uid="{72C7D826-CB84-46E2-A3B7-8AE37862D2C8}">
      <formula1>trafostipos</formula1>
    </dataValidation>
  </dataValidations>
  <pageMargins left="0.75" right="0.75" top="1" bottom="1" header="0" footer="0"/>
  <pageSetup paperSize="152" orientation="portrait" blackAndWhite="1" horizontalDpi="1200" verticalDpi="120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2000000}">
          <x14:formula1>
            <xm:f>DATOS!$A$390:$A$396</xm:f>
          </x14:formula1>
          <xm:sqref>J24:O25</xm:sqref>
        </x14:dataValidation>
        <x14:dataValidation type="list" allowBlank="1" showInputMessage="1" showErrorMessage="1" xr:uid="{C85A5F17-407B-4997-9EFC-CB592B2B8599}">
          <x14:formula1>
            <xm:f>DATOS!$C$46:$C$47</xm:f>
          </x14:formula1>
          <xm:sqref>I520 I522 I524 I526 I528 I530 I518 I118 I120 I122 I124 I126 I128 I116</xm:sqref>
        </x14:dataValidation>
        <x14:dataValidation type="list" allowBlank="1" showInputMessage="1" showErrorMessage="1" xr:uid="{8B4A2EEB-BE8E-4CB2-BBB7-129A326BDC02}">
          <x14:formula1>
            <xm:f>DATOS!$C$46:$C$48</xm:f>
          </x14:formula1>
          <xm:sqref>I510 I31:I114</xm:sqref>
        </x14:dataValidation>
        <x14:dataValidation type="list" allowBlank="1" showInputMessage="1" showErrorMessage="1" xr:uid="{AA56E99D-A422-4424-A901-404BD38E3D76}">
          <x14:formula1>
            <xm:f>DATOS!$H$250:$H$251</xm:f>
          </x14:formula1>
          <xm:sqref>CR510 CR31:CR114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260F6-D5E4-4B24-B257-A32DCA0EFF54}">
  <sheetPr codeName="Hoja16">
    <tabColor indexed="47"/>
  </sheetPr>
  <dimension ref="A7:GB170"/>
  <sheetViews>
    <sheetView showGridLines="0" topLeftCell="A7" workbookViewId="0">
      <pane xSplit="2" ySplit="8" topLeftCell="FR15" activePane="bottomRight" state="frozen"/>
      <selection activeCell="C30" sqref="C30"/>
      <selection pane="topRight" activeCell="C30" sqref="C30"/>
      <selection pane="bottomLeft" activeCell="C30" sqref="C30"/>
      <selection pane="bottomRight" activeCell="GA38" sqref="GA38"/>
    </sheetView>
  </sheetViews>
  <sheetFormatPr baseColWidth="10" defaultColWidth="11.44140625" defaultRowHeight="13.2"/>
  <cols>
    <col min="1" max="1" width="11.44140625" style="275"/>
    <col min="2" max="2" width="11.109375" style="279" customWidth="1"/>
    <col min="3" max="3" width="34.5546875" style="279" customWidth="1"/>
    <col min="4" max="22" width="10.6640625" style="275" customWidth="1"/>
    <col min="23" max="34" width="10.6640625" style="279" customWidth="1"/>
    <col min="35" max="35" width="11.44140625" style="270"/>
    <col min="36" max="36" width="11.88671875" style="270" customWidth="1"/>
    <col min="37" max="37" width="6" style="279" customWidth="1"/>
    <col min="38" max="38" width="5.44140625" style="279" customWidth="1"/>
    <col min="39" max="39" width="6.88671875" style="279" customWidth="1"/>
    <col min="40" max="40" width="10.88671875" style="279" customWidth="1"/>
    <col min="41" max="41" width="6.6640625" style="279" customWidth="1"/>
    <col min="42" max="42" width="8.33203125" style="279" customWidth="1"/>
    <col min="43" max="43" width="10.44140625" style="279" customWidth="1"/>
    <col min="44" max="44" width="9.44140625" style="270" customWidth="1"/>
    <col min="45" max="45" width="5.44140625" style="279" customWidth="1"/>
    <col min="46" max="46" width="11.6640625" style="279" customWidth="1"/>
    <col min="47" max="47" width="7.88671875" style="279" customWidth="1"/>
    <col min="48" max="48" width="9" style="270" customWidth="1"/>
    <col min="49" max="49" width="7" style="275" customWidth="1"/>
    <col min="50" max="50" width="14" style="275" customWidth="1"/>
    <col min="51" max="51" width="10.33203125" style="268" customWidth="1"/>
    <col min="52" max="52" width="14.44140625" style="275" customWidth="1"/>
    <col min="53" max="55" width="13.6640625" style="270" customWidth="1"/>
    <col min="56" max="56" width="11.44140625" style="279"/>
    <col min="57" max="57" width="11.77734375" style="279" bestFit="1" customWidth="1"/>
    <col min="58" max="62" width="11.44140625" style="279"/>
    <col min="63" max="63" width="98.5546875" style="279" customWidth="1"/>
    <col min="64" max="64" width="35" style="289" customWidth="1"/>
    <col min="65" max="65" width="28.109375" style="279" customWidth="1"/>
    <col min="66" max="95" width="11.44140625" style="279"/>
    <col min="96" max="96" width="14.6640625" style="290" customWidth="1"/>
    <col min="97" max="97" width="11.44140625" style="279"/>
    <col min="98" max="98" width="16.33203125" style="279" customWidth="1"/>
    <col min="99" max="99" width="16.44140625" style="291" customWidth="1"/>
    <col min="100" max="257" width="11.44140625" style="279"/>
    <col min="258" max="258" width="11.109375" style="279" customWidth="1"/>
    <col min="259" max="259" width="34.5546875" style="279" customWidth="1"/>
    <col min="260" max="276" width="10.6640625" style="279" customWidth="1"/>
    <col min="277" max="289" width="0" style="279" hidden="1" customWidth="1"/>
    <col min="290" max="290" width="10.6640625" style="279" customWidth="1"/>
    <col min="291" max="291" width="11.44140625" style="279"/>
    <col min="292" max="292" width="11.88671875" style="279" customWidth="1"/>
    <col min="293" max="293" width="6" style="279" customWidth="1"/>
    <col min="294" max="294" width="5.44140625" style="279" customWidth="1"/>
    <col min="295" max="295" width="6.88671875" style="279" customWidth="1"/>
    <col min="296" max="296" width="10.88671875" style="279" customWidth="1"/>
    <col min="297" max="297" width="6.6640625" style="279" customWidth="1"/>
    <col min="298" max="298" width="8.33203125" style="279" customWidth="1"/>
    <col min="299" max="299" width="10.44140625" style="279" customWidth="1"/>
    <col min="300" max="300" width="9.44140625" style="279" customWidth="1"/>
    <col min="301" max="301" width="5.44140625" style="279" customWidth="1"/>
    <col min="302" max="302" width="11.6640625" style="279" customWidth="1"/>
    <col min="303" max="303" width="7.88671875" style="279" customWidth="1"/>
    <col min="304" max="304" width="9" style="279" customWidth="1"/>
    <col min="305" max="305" width="7" style="279" customWidth="1"/>
    <col min="306" max="306" width="14" style="279" customWidth="1"/>
    <col min="307" max="307" width="10.33203125" style="279" customWidth="1"/>
    <col min="308" max="308" width="14.44140625" style="279" customWidth="1"/>
    <col min="309" max="311" width="13.6640625" style="279" customWidth="1"/>
    <col min="312" max="319" width="11.44140625" style="279"/>
    <col min="320" max="320" width="15.5546875" style="279" customWidth="1"/>
    <col min="321" max="321" width="28.109375" style="279" customWidth="1"/>
    <col min="322" max="351" width="11.44140625" style="279"/>
    <col min="352" max="352" width="14.6640625" style="279" customWidth="1"/>
    <col min="353" max="353" width="11.44140625" style="279"/>
    <col min="354" max="354" width="16.33203125" style="279" customWidth="1"/>
    <col min="355" max="355" width="16.44140625" style="279" customWidth="1"/>
    <col min="356" max="513" width="11.44140625" style="279"/>
    <col min="514" max="514" width="11.109375" style="279" customWidth="1"/>
    <col min="515" max="515" width="34.5546875" style="279" customWidth="1"/>
    <col min="516" max="532" width="10.6640625" style="279" customWidth="1"/>
    <col min="533" max="545" width="0" style="279" hidden="1" customWidth="1"/>
    <col min="546" max="546" width="10.6640625" style="279" customWidth="1"/>
    <col min="547" max="547" width="11.44140625" style="279"/>
    <col min="548" max="548" width="11.88671875" style="279" customWidth="1"/>
    <col min="549" max="549" width="6" style="279" customWidth="1"/>
    <col min="550" max="550" width="5.44140625" style="279" customWidth="1"/>
    <col min="551" max="551" width="6.88671875" style="279" customWidth="1"/>
    <col min="552" max="552" width="10.88671875" style="279" customWidth="1"/>
    <col min="553" max="553" width="6.6640625" style="279" customWidth="1"/>
    <col min="554" max="554" width="8.33203125" style="279" customWidth="1"/>
    <col min="555" max="555" width="10.44140625" style="279" customWidth="1"/>
    <col min="556" max="556" width="9.44140625" style="279" customWidth="1"/>
    <col min="557" max="557" width="5.44140625" style="279" customWidth="1"/>
    <col min="558" max="558" width="11.6640625" style="279" customWidth="1"/>
    <col min="559" max="559" width="7.88671875" style="279" customWidth="1"/>
    <col min="560" max="560" width="9" style="279" customWidth="1"/>
    <col min="561" max="561" width="7" style="279" customWidth="1"/>
    <col min="562" max="562" width="14" style="279" customWidth="1"/>
    <col min="563" max="563" width="10.33203125" style="279" customWidth="1"/>
    <col min="564" max="564" width="14.44140625" style="279" customWidth="1"/>
    <col min="565" max="567" width="13.6640625" style="279" customWidth="1"/>
    <col min="568" max="575" width="11.44140625" style="279"/>
    <col min="576" max="576" width="15.5546875" style="279" customWidth="1"/>
    <col min="577" max="577" width="28.109375" style="279" customWidth="1"/>
    <col min="578" max="607" width="11.44140625" style="279"/>
    <col min="608" max="608" width="14.6640625" style="279" customWidth="1"/>
    <col min="609" max="609" width="11.44140625" style="279"/>
    <col min="610" max="610" width="16.33203125" style="279" customWidth="1"/>
    <col min="611" max="611" width="16.44140625" style="279" customWidth="1"/>
    <col min="612" max="769" width="11.44140625" style="279"/>
    <col min="770" max="770" width="11.109375" style="279" customWidth="1"/>
    <col min="771" max="771" width="34.5546875" style="279" customWidth="1"/>
    <col min="772" max="788" width="10.6640625" style="279" customWidth="1"/>
    <col min="789" max="801" width="0" style="279" hidden="1" customWidth="1"/>
    <col min="802" max="802" width="10.6640625" style="279" customWidth="1"/>
    <col min="803" max="803" width="11.44140625" style="279"/>
    <col min="804" max="804" width="11.88671875" style="279" customWidth="1"/>
    <col min="805" max="805" width="6" style="279" customWidth="1"/>
    <col min="806" max="806" width="5.44140625" style="279" customWidth="1"/>
    <col min="807" max="807" width="6.88671875" style="279" customWidth="1"/>
    <col min="808" max="808" width="10.88671875" style="279" customWidth="1"/>
    <col min="809" max="809" width="6.6640625" style="279" customWidth="1"/>
    <col min="810" max="810" width="8.33203125" style="279" customWidth="1"/>
    <col min="811" max="811" width="10.44140625" style="279" customWidth="1"/>
    <col min="812" max="812" width="9.44140625" style="279" customWidth="1"/>
    <col min="813" max="813" width="5.44140625" style="279" customWidth="1"/>
    <col min="814" max="814" width="11.6640625" style="279" customWidth="1"/>
    <col min="815" max="815" width="7.88671875" style="279" customWidth="1"/>
    <col min="816" max="816" width="9" style="279" customWidth="1"/>
    <col min="817" max="817" width="7" style="279" customWidth="1"/>
    <col min="818" max="818" width="14" style="279" customWidth="1"/>
    <col min="819" max="819" width="10.33203125" style="279" customWidth="1"/>
    <col min="820" max="820" width="14.44140625" style="279" customWidth="1"/>
    <col min="821" max="823" width="13.6640625" style="279" customWidth="1"/>
    <col min="824" max="831" width="11.44140625" style="279"/>
    <col min="832" max="832" width="15.5546875" style="279" customWidth="1"/>
    <col min="833" max="833" width="28.109375" style="279" customWidth="1"/>
    <col min="834" max="863" width="11.44140625" style="279"/>
    <col min="864" max="864" width="14.6640625" style="279" customWidth="1"/>
    <col min="865" max="865" width="11.44140625" style="279"/>
    <col min="866" max="866" width="16.33203125" style="279" customWidth="1"/>
    <col min="867" max="867" width="16.44140625" style="279" customWidth="1"/>
    <col min="868" max="1025" width="11.44140625" style="279"/>
    <col min="1026" max="1026" width="11.109375" style="279" customWidth="1"/>
    <col min="1027" max="1027" width="34.5546875" style="279" customWidth="1"/>
    <col min="1028" max="1044" width="10.6640625" style="279" customWidth="1"/>
    <col min="1045" max="1057" width="0" style="279" hidden="1" customWidth="1"/>
    <col min="1058" max="1058" width="10.6640625" style="279" customWidth="1"/>
    <col min="1059" max="1059" width="11.44140625" style="279"/>
    <col min="1060" max="1060" width="11.88671875" style="279" customWidth="1"/>
    <col min="1061" max="1061" width="6" style="279" customWidth="1"/>
    <col min="1062" max="1062" width="5.44140625" style="279" customWidth="1"/>
    <col min="1063" max="1063" width="6.88671875" style="279" customWidth="1"/>
    <col min="1064" max="1064" width="10.88671875" style="279" customWidth="1"/>
    <col min="1065" max="1065" width="6.6640625" style="279" customWidth="1"/>
    <col min="1066" max="1066" width="8.33203125" style="279" customWidth="1"/>
    <col min="1067" max="1067" width="10.44140625" style="279" customWidth="1"/>
    <col min="1068" max="1068" width="9.44140625" style="279" customWidth="1"/>
    <col min="1069" max="1069" width="5.44140625" style="279" customWidth="1"/>
    <col min="1070" max="1070" width="11.6640625" style="279" customWidth="1"/>
    <col min="1071" max="1071" width="7.88671875" style="279" customWidth="1"/>
    <col min="1072" max="1072" width="9" style="279" customWidth="1"/>
    <col min="1073" max="1073" width="7" style="279" customWidth="1"/>
    <col min="1074" max="1074" width="14" style="279" customWidth="1"/>
    <col min="1075" max="1075" width="10.33203125" style="279" customWidth="1"/>
    <col min="1076" max="1076" width="14.44140625" style="279" customWidth="1"/>
    <col min="1077" max="1079" width="13.6640625" style="279" customWidth="1"/>
    <col min="1080" max="1087" width="11.44140625" style="279"/>
    <col min="1088" max="1088" width="15.5546875" style="279" customWidth="1"/>
    <col min="1089" max="1089" width="28.109375" style="279" customWidth="1"/>
    <col min="1090" max="1119" width="11.44140625" style="279"/>
    <col min="1120" max="1120" width="14.6640625" style="279" customWidth="1"/>
    <col min="1121" max="1121" width="11.44140625" style="279"/>
    <col min="1122" max="1122" width="16.33203125" style="279" customWidth="1"/>
    <col min="1123" max="1123" width="16.44140625" style="279" customWidth="1"/>
    <col min="1124" max="1281" width="11.44140625" style="279"/>
    <col min="1282" max="1282" width="11.109375" style="279" customWidth="1"/>
    <col min="1283" max="1283" width="34.5546875" style="279" customWidth="1"/>
    <col min="1284" max="1300" width="10.6640625" style="279" customWidth="1"/>
    <col min="1301" max="1313" width="0" style="279" hidden="1" customWidth="1"/>
    <col min="1314" max="1314" width="10.6640625" style="279" customWidth="1"/>
    <col min="1315" max="1315" width="11.44140625" style="279"/>
    <col min="1316" max="1316" width="11.88671875" style="279" customWidth="1"/>
    <col min="1317" max="1317" width="6" style="279" customWidth="1"/>
    <col min="1318" max="1318" width="5.44140625" style="279" customWidth="1"/>
    <col min="1319" max="1319" width="6.88671875" style="279" customWidth="1"/>
    <col min="1320" max="1320" width="10.88671875" style="279" customWidth="1"/>
    <col min="1321" max="1321" width="6.6640625" style="279" customWidth="1"/>
    <col min="1322" max="1322" width="8.33203125" style="279" customWidth="1"/>
    <col min="1323" max="1323" width="10.44140625" style="279" customWidth="1"/>
    <col min="1324" max="1324" width="9.44140625" style="279" customWidth="1"/>
    <col min="1325" max="1325" width="5.44140625" style="279" customWidth="1"/>
    <col min="1326" max="1326" width="11.6640625" style="279" customWidth="1"/>
    <col min="1327" max="1327" width="7.88671875" style="279" customWidth="1"/>
    <col min="1328" max="1328" width="9" style="279" customWidth="1"/>
    <col min="1329" max="1329" width="7" style="279" customWidth="1"/>
    <col min="1330" max="1330" width="14" style="279" customWidth="1"/>
    <col min="1331" max="1331" width="10.33203125" style="279" customWidth="1"/>
    <col min="1332" max="1332" width="14.44140625" style="279" customWidth="1"/>
    <col min="1333" max="1335" width="13.6640625" style="279" customWidth="1"/>
    <col min="1336" max="1343" width="11.44140625" style="279"/>
    <col min="1344" max="1344" width="15.5546875" style="279" customWidth="1"/>
    <col min="1345" max="1345" width="28.109375" style="279" customWidth="1"/>
    <col min="1346" max="1375" width="11.44140625" style="279"/>
    <col min="1376" max="1376" width="14.6640625" style="279" customWidth="1"/>
    <col min="1377" max="1377" width="11.44140625" style="279"/>
    <col min="1378" max="1378" width="16.33203125" style="279" customWidth="1"/>
    <col min="1379" max="1379" width="16.44140625" style="279" customWidth="1"/>
    <col min="1380" max="1537" width="11.44140625" style="279"/>
    <col min="1538" max="1538" width="11.109375" style="279" customWidth="1"/>
    <col min="1539" max="1539" width="34.5546875" style="279" customWidth="1"/>
    <col min="1540" max="1556" width="10.6640625" style="279" customWidth="1"/>
    <col min="1557" max="1569" width="0" style="279" hidden="1" customWidth="1"/>
    <col min="1570" max="1570" width="10.6640625" style="279" customWidth="1"/>
    <col min="1571" max="1571" width="11.44140625" style="279"/>
    <col min="1572" max="1572" width="11.88671875" style="279" customWidth="1"/>
    <col min="1573" max="1573" width="6" style="279" customWidth="1"/>
    <col min="1574" max="1574" width="5.44140625" style="279" customWidth="1"/>
    <col min="1575" max="1575" width="6.88671875" style="279" customWidth="1"/>
    <col min="1576" max="1576" width="10.88671875" style="279" customWidth="1"/>
    <col min="1577" max="1577" width="6.6640625" style="279" customWidth="1"/>
    <col min="1578" max="1578" width="8.33203125" style="279" customWidth="1"/>
    <col min="1579" max="1579" width="10.44140625" style="279" customWidth="1"/>
    <col min="1580" max="1580" width="9.44140625" style="279" customWidth="1"/>
    <col min="1581" max="1581" width="5.44140625" style="279" customWidth="1"/>
    <col min="1582" max="1582" width="11.6640625" style="279" customWidth="1"/>
    <col min="1583" max="1583" width="7.88671875" style="279" customWidth="1"/>
    <col min="1584" max="1584" width="9" style="279" customWidth="1"/>
    <col min="1585" max="1585" width="7" style="279" customWidth="1"/>
    <col min="1586" max="1586" width="14" style="279" customWidth="1"/>
    <col min="1587" max="1587" width="10.33203125" style="279" customWidth="1"/>
    <col min="1588" max="1588" width="14.44140625" style="279" customWidth="1"/>
    <col min="1589" max="1591" width="13.6640625" style="279" customWidth="1"/>
    <col min="1592" max="1599" width="11.44140625" style="279"/>
    <col min="1600" max="1600" width="15.5546875" style="279" customWidth="1"/>
    <col min="1601" max="1601" width="28.109375" style="279" customWidth="1"/>
    <col min="1602" max="1631" width="11.44140625" style="279"/>
    <col min="1632" max="1632" width="14.6640625" style="279" customWidth="1"/>
    <col min="1633" max="1633" width="11.44140625" style="279"/>
    <col min="1634" max="1634" width="16.33203125" style="279" customWidth="1"/>
    <col min="1635" max="1635" width="16.44140625" style="279" customWidth="1"/>
    <col min="1636" max="1793" width="11.44140625" style="279"/>
    <col min="1794" max="1794" width="11.109375" style="279" customWidth="1"/>
    <col min="1795" max="1795" width="34.5546875" style="279" customWidth="1"/>
    <col min="1796" max="1812" width="10.6640625" style="279" customWidth="1"/>
    <col min="1813" max="1825" width="0" style="279" hidden="1" customWidth="1"/>
    <col min="1826" max="1826" width="10.6640625" style="279" customWidth="1"/>
    <col min="1827" max="1827" width="11.44140625" style="279"/>
    <col min="1828" max="1828" width="11.88671875" style="279" customWidth="1"/>
    <col min="1829" max="1829" width="6" style="279" customWidth="1"/>
    <col min="1830" max="1830" width="5.44140625" style="279" customWidth="1"/>
    <col min="1831" max="1831" width="6.88671875" style="279" customWidth="1"/>
    <col min="1832" max="1832" width="10.88671875" style="279" customWidth="1"/>
    <col min="1833" max="1833" width="6.6640625" style="279" customWidth="1"/>
    <col min="1834" max="1834" width="8.33203125" style="279" customWidth="1"/>
    <col min="1835" max="1835" width="10.44140625" style="279" customWidth="1"/>
    <col min="1836" max="1836" width="9.44140625" style="279" customWidth="1"/>
    <col min="1837" max="1837" width="5.44140625" style="279" customWidth="1"/>
    <col min="1838" max="1838" width="11.6640625" style="279" customWidth="1"/>
    <col min="1839" max="1839" width="7.88671875" style="279" customWidth="1"/>
    <col min="1840" max="1840" width="9" style="279" customWidth="1"/>
    <col min="1841" max="1841" width="7" style="279" customWidth="1"/>
    <col min="1842" max="1842" width="14" style="279" customWidth="1"/>
    <col min="1843" max="1843" width="10.33203125" style="279" customWidth="1"/>
    <col min="1844" max="1844" width="14.44140625" style="279" customWidth="1"/>
    <col min="1845" max="1847" width="13.6640625" style="279" customWidth="1"/>
    <col min="1848" max="1855" width="11.44140625" style="279"/>
    <col min="1856" max="1856" width="15.5546875" style="279" customWidth="1"/>
    <col min="1857" max="1857" width="28.109375" style="279" customWidth="1"/>
    <col min="1858" max="1887" width="11.44140625" style="279"/>
    <col min="1888" max="1888" width="14.6640625" style="279" customWidth="1"/>
    <col min="1889" max="1889" width="11.44140625" style="279"/>
    <col min="1890" max="1890" width="16.33203125" style="279" customWidth="1"/>
    <col min="1891" max="1891" width="16.44140625" style="279" customWidth="1"/>
    <col min="1892" max="2049" width="11.44140625" style="279"/>
    <col min="2050" max="2050" width="11.109375" style="279" customWidth="1"/>
    <col min="2051" max="2051" width="34.5546875" style="279" customWidth="1"/>
    <col min="2052" max="2068" width="10.6640625" style="279" customWidth="1"/>
    <col min="2069" max="2081" width="0" style="279" hidden="1" customWidth="1"/>
    <col min="2082" max="2082" width="10.6640625" style="279" customWidth="1"/>
    <col min="2083" max="2083" width="11.44140625" style="279"/>
    <col min="2084" max="2084" width="11.88671875" style="279" customWidth="1"/>
    <col min="2085" max="2085" width="6" style="279" customWidth="1"/>
    <col min="2086" max="2086" width="5.44140625" style="279" customWidth="1"/>
    <col min="2087" max="2087" width="6.88671875" style="279" customWidth="1"/>
    <col min="2088" max="2088" width="10.88671875" style="279" customWidth="1"/>
    <col min="2089" max="2089" width="6.6640625" style="279" customWidth="1"/>
    <col min="2090" max="2090" width="8.33203125" style="279" customWidth="1"/>
    <col min="2091" max="2091" width="10.44140625" style="279" customWidth="1"/>
    <col min="2092" max="2092" width="9.44140625" style="279" customWidth="1"/>
    <col min="2093" max="2093" width="5.44140625" style="279" customWidth="1"/>
    <col min="2094" max="2094" width="11.6640625" style="279" customWidth="1"/>
    <col min="2095" max="2095" width="7.88671875" style="279" customWidth="1"/>
    <col min="2096" max="2096" width="9" style="279" customWidth="1"/>
    <col min="2097" max="2097" width="7" style="279" customWidth="1"/>
    <col min="2098" max="2098" width="14" style="279" customWidth="1"/>
    <col min="2099" max="2099" width="10.33203125" style="279" customWidth="1"/>
    <col min="2100" max="2100" width="14.44140625" style="279" customWidth="1"/>
    <col min="2101" max="2103" width="13.6640625" style="279" customWidth="1"/>
    <col min="2104" max="2111" width="11.44140625" style="279"/>
    <col min="2112" max="2112" width="15.5546875" style="279" customWidth="1"/>
    <col min="2113" max="2113" width="28.109375" style="279" customWidth="1"/>
    <col min="2114" max="2143" width="11.44140625" style="279"/>
    <col min="2144" max="2144" width="14.6640625" style="279" customWidth="1"/>
    <col min="2145" max="2145" width="11.44140625" style="279"/>
    <col min="2146" max="2146" width="16.33203125" style="279" customWidth="1"/>
    <col min="2147" max="2147" width="16.44140625" style="279" customWidth="1"/>
    <col min="2148" max="2305" width="11.44140625" style="279"/>
    <col min="2306" max="2306" width="11.109375" style="279" customWidth="1"/>
    <col min="2307" max="2307" width="34.5546875" style="279" customWidth="1"/>
    <col min="2308" max="2324" width="10.6640625" style="279" customWidth="1"/>
    <col min="2325" max="2337" width="0" style="279" hidden="1" customWidth="1"/>
    <col min="2338" max="2338" width="10.6640625" style="279" customWidth="1"/>
    <col min="2339" max="2339" width="11.44140625" style="279"/>
    <col min="2340" max="2340" width="11.88671875" style="279" customWidth="1"/>
    <col min="2341" max="2341" width="6" style="279" customWidth="1"/>
    <col min="2342" max="2342" width="5.44140625" style="279" customWidth="1"/>
    <col min="2343" max="2343" width="6.88671875" style="279" customWidth="1"/>
    <col min="2344" max="2344" width="10.88671875" style="279" customWidth="1"/>
    <col min="2345" max="2345" width="6.6640625" style="279" customWidth="1"/>
    <col min="2346" max="2346" width="8.33203125" style="279" customWidth="1"/>
    <col min="2347" max="2347" width="10.44140625" style="279" customWidth="1"/>
    <col min="2348" max="2348" width="9.44140625" style="279" customWidth="1"/>
    <col min="2349" max="2349" width="5.44140625" style="279" customWidth="1"/>
    <col min="2350" max="2350" width="11.6640625" style="279" customWidth="1"/>
    <col min="2351" max="2351" width="7.88671875" style="279" customWidth="1"/>
    <col min="2352" max="2352" width="9" style="279" customWidth="1"/>
    <col min="2353" max="2353" width="7" style="279" customWidth="1"/>
    <col min="2354" max="2354" width="14" style="279" customWidth="1"/>
    <col min="2355" max="2355" width="10.33203125" style="279" customWidth="1"/>
    <col min="2356" max="2356" width="14.44140625" style="279" customWidth="1"/>
    <col min="2357" max="2359" width="13.6640625" style="279" customWidth="1"/>
    <col min="2360" max="2367" width="11.44140625" style="279"/>
    <col min="2368" max="2368" width="15.5546875" style="279" customWidth="1"/>
    <col min="2369" max="2369" width="28.109375" style="279" customWidth="1"/>
    <col min="2370" max="2399" width="11.44140625" style="279"/>
    <col min="2400" max="2400" width="14.6640625" style="279" customWidth="1"/>
    <col min="2401" max="2401" width="11.44140625" style="279"/>
    <col min="2402" max="2402" width="16.33203125" style="279" customWidth="1"/>
    <col min="2403" max="2403" width="16.44140625" style="279" customWidth="1"/>
    <col min="2404" max="2561" width="11.44140625" style="279"/>
    <col min="2562" max="2562" width="11.109375" style="279" customWidth="1"/>
    <col min="2563" max="2563" width="34.5546875" style="279" customWidth="1"/>
    <col min="2564" max="2580" width="10.6640625" style="279" customWidth="1"/>
    <col min="2581" max="2593" width="0" style="279" hidden="1" customWidth="1"/>
    <col min="2594" max="2594" width="10.6640625" style="279" customWidth="1"/>
    <col min="2595" max="2595" width="11.44140625" style="279"/>
    <col min="2596" max="2596" width="11.88671875" style="279" customWidth="1"/>
    <col min="2597" max="2597" width="6" style="279" customWidth="1"/>
    <col min="2598" max="2598" width="5.44140625" style="279" customWidth="1"/>
    <col min="2599" max="2599" width="6.88671875" style="279" customWidth="1"/>
    <col min="2600" max="2600" width="10.88671875" style="279" customWidth="1"/>
    <col min="2601" max="2601" width="6.6640625" style="279" customWidth="1"/>
    <col min="2602" max="2602" width="8.33203125" style="279" customWidth="1"/>
    <col min="2603" max="2603" width="10.44140625" style="279" customWidth="1"/>
    <col min="2604" max="2604" width="9.44140625" style="279" customWidth="1"/>
    <col min="2605" max="2605" width="5.44140625" style="279" customWidth="1"/>
    <col min="2606" max="2606" width="11.6640625" style="279" customWidth="1"/>
    <col min="2607" max="2607" width="7.88671875" style="279" customWidth="1"/>
    <col min="2608" max="2608" width="9" style="279" customWidth="1"/>
    <col min="2609" max="2609" width="7" style="279" customWidth="1"/>
    <col min="2610" max="2610" width="14" style="279" customWidth="1"/>
    <col min="2611" max="2611" width="10.33203125" style="279" customWidth="1"/>
    <col min="2612" max="2612" width="14.44140625" style="279" customWidth="1"/>
    <col min="2613" max="2615" width="13.6640625" style="279" customWidth="1"/>
    <col min="2616" max="2623" width="11.44140625" style="279"/>
    <col min="2624" max="2624" width="15.5546875" style="279" customWidth="1"/>
    <col min="2625" max="2625" width="28.109375" style="279" customWidth="1"/>
    <col min="2626" max="2655" width="11.44140625" style="279"/>
    <col min="2656" max="2656" width="14.6640625" style="279" customWidth="1"/>
    <col min="2657" max="2657" width="11.44140625" style="279"/>
    <col min="2658" max="2658" width="16.33203125" style="279" customWidth="1"/>
    <col min="2659" max="2659" width="16.44140625" style="279" customWidth="1"/>
    <col min="2660" max="2817" width="11.44140625" style="279"/>
    <col min="2818" max="2818" width="11.109375" style="279" customWidth="1"/>
    <col min="2819" max="2819" width="34.5546875" style="279" customWidth="1"/>
    <col min="2820" max="2836" width="10.6640625" style="279" customWidth="1"/>
    <col min="2837" max="2849" width="0" style="279" hidden="1" customWidth="1"/>
    <col min="2850" max="2850" width="10.6640625" style="279" customWidth="1"/>
    <col min="2851" max="2851" width="11.44140625" style="279"/>
    <col min="2852" max="2852" width="11.88671875" style="279" customWidth="1"/>
    <col min="2853" max="2853" width="6" style="279" customWidth="1"/>
    <col min="2854" max="2854" width="5.44140625" style="279" customWidth="1"/>
    <col min="2855" max="2855" width="6.88671875" style="279" customWidth="1"/>
    <col min="2856" max="2856" width="10.88671875" style="279" customWidth="1"/>
    <col min="2857" max="2857" width="6.6640625" style="279" customWidth="1"/>
    <col min="2858" max="2858" width="8.33203125" style="279" customWidth="1"/>
    <col min="2859" max="2859" width="10.44140625" style="279" customWidth="1"/>
    <col min="2860" max="2860" width="9.44140625" style="279" customWidth="1"/>
    <col min="2861" max="2861" width="5.44140625" style="279" customWidth="1"/>
    <col min="2862" max="2862" width="11.6640625" style="279" customWidth="1"/>
    <col min="2863" max="2863" width="7.88671875" style="279" customWidth="1"/>
    <col min="2864" max="2864" width="9" style="279" customWidth="1"/>
    <col min="2865" max="2865" width="7" style="279" customWidth="1"/>
    <col min="2866" max="2866" width="14" style="279" customWidth="1"/>
    <col min="2867" max="2867" width="10.33203125" style="279" customWidth="1"/>
    <col min="2868" max="2868" width="14.44140625" style="279" customWidth="1"/>
    <col min="2869" max="2871" width="13.6640625" style="279" customWidth="1"/>
    <col min="2872" max="2879" width="11.44140625" style="279"/>
    <col min="2880" max="2880" width="15.5546875" style="279" customWidth="1"/>
    <col min="2881" max="2881" width="28.109375" style="279" customWidth="1"/>
    <col min="2882" max="2911" width="11.44140625" style="279"/>
    <col min="2912" max="2912" width="14.6640625" style="279" customWidth="1"/>
    <col min="2913" max="2913" width="11.44140625" style="279"/>
    <col min="2914" max="2914" width="16.33203125" style="279" customWidth="1"/>
    <col min="2915" max="2915" width="16.44140625" style="279" customWidth="1"/>
    <col min="2916" max="3073" width="11.44140625" style="279"/>
    <col min="3074" max="3074" width="11.109375" style="279" customWidth="1"/>
    <col min="3075" max="3075" width="34.5546875" style="279" customWidth="1"/>
    <col min="3076" max="3092" width="10.6640625" style="279" customWidth="1"/>
    <col min="3093" max="3105" width="0" style="279" hidden="1" customWidth="1"/>
    <col min="3106" max="3106" width="10.6640625" style="279" customWidth="1"/>
    <col min="3107" max="3107" width="11.44140625" style="279"/>
    <col min="3108" max="3108" width="11.88671875" style="279" customWidth="1"/>
    <col min="3109" max="3109" width="6" style="279" customWidth="1"/>
    <col min="3110" max="3110" width="5.44140625" style="279" customWidth="1"/>
    <col min="3111" max="3111" width="6.88671875" style="279" customWidth="1"/>
    <col min="3112" max="3112" width="10.88671875" style="279" customWidth="1"/>
    <col min="3113" max="3113" width="6.6640625" style="279" customWidth="1"/>
    <col min="3114" max="3114" width="8.33203125" style="279" customWidth="1"/>
    <col min="3115" max="3115" width="10.44140625" style="279" customWidth="1"/>
    <col min="3116" max="3116" width="9.44140625" style="279" customWidth="1"/>
    <col min="3117" max="3117" width="5.44140625" style="279" customWidth="1"/>
    <col min="3118" max="3118" width="11.6640625" style="279" customWidth="1"/>
    <col min="3119" max="3119" width="7.88671875" style="279" customWidth="1"/>
    <col min="3120" max="3120" width="9" style="279" customWidth="1"/>
    <col min="3121" max="3121" width="7" style="279" customWidth="1"/>
    <col min="3122" max="3122" width="14" style="279" customWidth="1"/>
    <col min="3123" max="3123" width="10.33203125" style="279" customWidth="1"/>
    <col min="3124" max="3124" width="14.44140625" style="279" customWidth="1"/>
    <col min="3125" max="3127" width="13.6640625" style="279" customWidth="1"/>
    <col min="3128" max="3135" width="11.44140625" style="279"/>
    <col min="3136" max="3136" width="15.5546875" style="279" customWidth="1"/>
    <col min="3137" max="3137" width="28.109375" style="279" customWidth="1"/>
    <col min="3138" max="3167" width="11.44140625" style="279"/>
    <col min="3168" max="3168" width="14.6640625" style="279" customWidth="1"/>
    <col min="3169" max="3169" width="11.44140625" style="279"/>
    <col min="3170" max="3170" width="16.33203125" style="279" customWidth="1"/>
    <col min="3171" max="3171" width="16.44140625" style="279" customWidth="1"/>
    <col min="3172" max="3329" width="11.44140625" style="279"/>
    <col min="3330" max="3330" width="11.109375" style="279" customWidth="1"/>
    <col min="3331" max="3331" width="34.5546875" style="279" customWidth="1"/>
    <col min="3332" max="3348" width="10.6640625" style="279" customWidth="1"/>
    <col min="3349" max="3361" width="0" style="279" hidden="1" customWidth="1"/>
    <col min="3362" max="3362" width="10.6640625" style="279" customWidth="1"/>
    <col min="3363" max="3363" width="11.44140625" style="279"/>
    <col min="3364" max="3364" width="11.88671875" style="279" customWidth="1"/>
    <col min="3365" max="3365" width="6" style="279" customWidth="1"/>
    <col min="3366" max="3366" width="5.44140625" style="279" customWidth="1"/>
    <col min="3367" max="3367" width="6.88671875" style="279" customWidth="1"/>
    <col min="3368" max="3368" width="10.88671875" style="279" customWidth="1"/>
    <col min="3369" max="3369" width="6.6640625" style="279" customWidth="1"/>
    <col min="3370" max="3370" width="8.33203125" style="279" customWidth="1"/>
    <col min="3371" max="3371" width="10.44140625" style="279" customWidth="1"/>
    <col min="3372" max="3372" width="9.44140625" style="279" customWidth="1"/>
    <col min="3373" max="3373" width="5.44140625" style="279" customWidth="1"/>
    <col min="3374" max="3374" width="11.6640625" style="279" customWidth="1"/>
    <col min="3375" max="3375" width="7.88671875" style="279" customWidth="1"/>
    <col min="3376" max="3376" width="9" style="279" customWidth="1"/>
    <col min="3377" max="3377" width="7" style="279" customWidth="1"/>
    <col min="3378" max="3378" width="14" style="279" customWidth="1"/>
    <col min="3379" max="3379" width="10.33203125" style="279" customWidth="1"/>
    <col min="3380" max="3380" width="14.44140625" style="279" customWidth="1"/>
    <col min="3381" max="3383" width="13.6640625" style="279" customWidth="1"/>
    <col min="3384" max="3391" width="11.44140625" style="279"/>
    <col min="3392" max="3392" width="15.5546875" style="279" customWidth="1"/>
    <col min="3393" max="3393" width="28.109375" style="279" customWidth="1"/>
    <col min="3394" max="3423" width="11.44140625" style="279"/>
    <col min="3424" max="3424" width="14.6640625" style="279" customWidth="1"/>
    <col min="3425" max="3425" width="11.44140625" style="279"/>
    <col min="3426" max="3426" width="16.33203125" style="279" customWidth="1"/>
    <col min="3427" max="3427" width="16.44140625" style="279" customWidth="1"/>
    <col min="3428" max="3585" width="11.44140625" style="279"/>
    <col min="3586" max="3586" width="11.109375" style="279" customWidth="1"/>
    <col min="3587" max="3587" width="34.5546875" style="279" customWidth="1"/>
    <col min="3588" max="3604" width="10.6640625" style="279" customWidth="1"/>
    <col min="3605" max="3617" width="0" style="279" hidden="1" customWidth="1"/>
    <col min="3618" max="3618" width="10.6640625" style="279" customWidth="1"/>
    <col min="3619" max="3619" width="11.44140625" style="279"/>
    <col min="3620" max="3620" width="11.88671875" style="279" customWidth="1"/>
    <col min="3621" max="3621" width="6" style="279" customWidth="1"/>
    <col min="3622" max="3622" width="5.44140625" style="279" customWidth="1"/>
    <col min="3623" max="3623" width="6.88671875" style="279" customWidth="1"/>
    <col min="3624" max="3624" width="10.88671875" style="279" customWidth="1"/>
    <col min="3625" max="3625" width="6.6640625" style="279" customWidth="1"/>
    <col min="3626" max="3626" width="8.33203125" style="279" customWidth="1"/>
    <col min="3627" max="3627" width="10.44140625" style="279" customWidth="1"/>
    <col min="3628" max="3628" width="9.44140625" style="279" customWidth="1"/>
    <col min="3629" max="3629" width="5.44140625" style="279" customWidth="1"/>
    <col min="3630" max="3630" width="11.6640625" style="279" customWidth="1"/>
    <col min="3631" max="3631" width="7.88671875" style="279" customWidth="1"/>
    <col min="3632" max="3632" width="9" style="279" customWidth="1"/>
    <col min="3633" max="3633" width="7" style="279" customWidth="1"/>
    <col min="3634" max="3634" width="14" style="279" customWidth="1"/>
    <col min="3635" max="3635" width="10.33203125" style="279" customWidth="1"/>
    <col min="3636" max="3636" width="14.44140625" style="279" customWidth="1"/>
    <col min="3637" max="3639" width="13.6640625" style="279" customWidth="1"/>
    <col min="3640" max="3647" width="11.44140625" style="279"/>
    <col min="3648" max="3648" width="15.5546875" style="279" customWidth="1"/>
    <col min="3649" max="3649" width="28.109375" style="279" customWidth="1"/>
    <col min="3650" max="3679" width="11.44140625" style="279"/>
    <col min="3680" max="3680" width="14.6640625" style="279" customWidth="1"/>
    <col min="3681" max="3681" width="11.44140625" style="279"/>
    <col min="3682" max="3682" width="16.33203125" style="279" customWidth="1"/>
    <col min="3683" max="3683" width="16.44140625" style="279" customWidth="1"/>
    <col min="3684" max="3841" width="11.44140625" style="279"/>
    <col min="3842" max="3842" width="11.109375" style="279" customWidth="1"/>
    <col min="3843" max="3843" width="34.5546875" style="279" customWidth="1"/>
    <col min="3844" max="3860" width="10.6640625" style="279" customWidth="1"/>
    <col min="3861" max="3873" width="0" style="279" hidden="1" customWidth="1"/>
    <col min="3874" max="3874" width="10.6640625" style="279" customWidth="1"/>
    <col min="3875" max="3875" width="11.44140625" style="279"/>
    <col min="3876" max="3876" width="11.88671875" style="279" customWidth="1"/>
    <col min="3877" max="3877" width="6" style="279" customWidth="1"/>
    <col min="3878" max="3878" width="5.44140625" style="279" customWidth="1"/>
    <col min="3879" max="3879" width="6.88671875" style="279" customWidth="1"/>
    <col min="3880" max="3880" width="10.88671875" style="279" customWidth="1"/>
    <col min="3881" max="3881" width="6.6640625" style="279" customWidth="1"/>
    <col min="3882" max="3882" width="8.33203125" style="279" customWidth="1"/>
    <col min="3883" max="3883" width="10.44140625" style="279" customWidth="1"/>
    <col min="3884" max="3884" width="9.44140625" style="279" customWidth="1"/>
    <col min="3885" max="3885" width="5.44140625" style="279" customWidth="1"/>
    <col min="3886" max="3886" width="11.6640625" style="279" customWidth="1"/>
    <col min="3887" max="3887" width="7.88671875" style="279" customWidth="1"/>
    <col min="3888" max="3888" width="9" style="279" customWidth="1"/>
    <col min="3889" max="3889" width="7" style="279" customWidth="1"/>
    <col min="3890" max="3890" width="14" style="279" customWidth="1"/>
    <col min="3891" max="3891" width="10.33203125" style="279" customWidth="1"/>
    <col min="3892" max="3892" width="14.44140625" style="279" customWidth="1"/>
    <col min="3893" max="3895" width="13.6640625" style="279" customWidth="1"/>
    <col min="3896" max="3903" width="11.44140625" style="279"/>
    <col min="3904" max="3904" width="15.5546875" style="279" customWidth="1"/>
    <col min="3905" max="3905" width="28.109375" style="279" customWidth="1"/>
    <col min="3906" max="3935" width="11.44140625" style="279"/>
    <col min="3936" max="3936" width="14.6640625" style="279" customWidth="1"/>
    <col min="3937" max="3937" width="11.44140625" style="279"/>
    <col min="3938" max="3938" width="16.33203125" style="279" customWidth="1"/>
    <col min="3939" max="3939" width="16.44140625" style="279" customWidth="1"/>
    <col min="3940" max="4097" width="11.44140625" style="279"/>
    <col min="4098" max="4098" width="11.109375" style="279" customWidth="1"/>
    <col min="4099" max="4099" width="34.5546875" style="279" customWidth="1"/>
    <col min="4100" max="4116" width="10.6640625" style="279" customWidth="1"/>
    <col min="4117" max="4129" width="0" style="279" hidden="1" customWidth="1"/>
    <col min="4130" max="4130" width="10.6640625" style="279" customWidth="1"/>
    <col min="4131" max="4131" width="11.44140625" style="279"/>
    <col min="4132" max="4132" width="11.88671875" style="279" customWidth="1"/>
    <col min="4133" max="4133" width="6" style="279" customWidth="1"/>
    <col min="4134" max="4134" width="5.44140625" style="279" customWidth="1"/>
    <col min="4135" max="4135" width="6.88671875" style="279" customWidth="1"/>
    <col min="4136" max="4136" width="10.88671875" style="279" customWidth="1"/>
    <col min="4137" max="4137" width="6.6640625" style="279" customWidth="1"/>
    <col min="4138" max="4138" width="8.33203125" style="279" customWidth="1"/>
    <col min="4139" max="4139" width="10.44140625" style="279" customWidth="1"/>
    <col min="4140" max="4140" width="9.44140625" style="279" customWidth="1"/>
    <col min="4141" max="4141" width="5.44140625" style="279" customWidth="1"/>
    <col min="4142" max="4142" width="11.6640625" style="279" customWidth="1"/>
    <col min="4143" max="4143" width="7.88671875" style="279" customWidth="1"/>
    <col min="4144" max="4144" width="9" style="279" customWidth="1"/>
    <col min="4145" max="4145" width="7" style="279" customWidth="1"/>
    <col min="4146" max="4146" width="14" style="279" customWidth="1"/>
    <col min="4147" max="4147" width="10.33203125" style="279" customWidth="1"/>
    <col min="4148" max="4148" width="14.44140625" style="279" customWidth="1"/>
    <col min="4149" max="4151" width="13.6640625" style="279" customWidth="1"/>
    <col min="4152" max="4159" width="11.44140625" style="279"/>
    <col min="4160" max="4160" width="15.5546875" style="279" customWidth="1"/>
    <col min="4161" max="4161" width="28.109375" style="279" customWidth="1"/>
    <col min="4162" max="4191" width="11.44140625" style="279"/>
    <col min="4192" max="4192" width="14.6640625" style="279" customWidth="1"/>
    <col min="4193" max="4193" width="11.44140625" style="279"/>
    <col min="4194" max="4194" width="16.33203125" style="279" customWidth="1"/>
    <col min="4195" max="4195" width="16.44140625" style="279" customWidth="1"/>
    <col min="4196" max="4353" width="11.44140625" style="279"/>
    <col min="4354" max="4354" width="11.109375" style="279" customWidth="1"/>
    <col min="4355" max="4355" width="34.5546875" style="279" customWidth="1"/>
    <col min="4356" max="4372" width="10.6640625" style="279" customWidth="1"/>
    <col min="4373" max="4385" width="0" style="279" hidden="1" customWidth="1"/>
    <col min="4386" max="4386" width="10.6640625" style="279" customWidth="1"/>
    <col min="4387" max="4387" width="11.44140625" style="279"/>
    <col min="4388" max="4388" width="11.88671875" style="279" customWidth="1"/>
    <col min="4389" max="4389" width="6" style="279" customWidth="1"/>
    <col min="4390" max="4390" width="5.44140625" style="279" customWidth="1"/>
    <col min="4391" max="4391" width="6.88671875" style="279" customWidth="1"/>
    <col min="4392" max="4392" width="10.88671875" style="279" customWidth="1"/>
    <col min="4393" max="4393" width="6.6640625" style="279" customWidth="1"/>
    <col min="4394" max="4394" width="8.33203125" style="279" customWidth="1"/>
    <col min="4395" max="4395" width="10.44140625" style="279" customWidth="1"/>
    <col min="4396" max="4396" width="9.44140625" style="279" customWidth="1"/>
    <col min="4397" max="4397" width="5.44140625" style="279" customWidth="1"/>
    <col min="4398" max="4398" width="11.6640625" style="279" customWidth="1"/>
    <col min="4399" max="4399" width="7.88671875" style="279" customWidth="1"/>
    <col min="4400" max="4400" width="9" style="279" customWidth="1"/>
    <col min="4401" max="4401" width="7" style="279" customWidth="1"/>
    <col min="4402" max="4402" width="14" style="279" customWidth="1"/>
    <col min="4403" max="4403" width="10.33203125" style="279" customWidth="1"/>
    <col min="4404" max="4404" width="14.44140625" style="279" customWidth="1"/>
    <col min="4405" max="4407" width="13.6640625" style="279" customWidth="1"/>
    <col min="4408" max="4415" width="11.44140625" style="279"/>
    <col min="4416" max="4416" width="15.5546875" style="279" customWidth="1"/>
    <col min="4417" max="4417" width="28.109375" style="279" customWidth="1"/>
    <col min="4418" max="4447" width="11.44140625" style="279"/>
    <col min="4448" max="4448" width="14.6640625" style="279" customWidth="1"/>
    <col min="4449" max="4449" width="11.44140625" style="279"/>
    <col min="4450" max="4450" width="16.33203125" style="279" customWidth="1"/>
    <col min="4451" max="4451" width="16.44140625" style="279" customWidth="1"/>
    <col min="4452" max="4609" width="11.44140625" style="279"/>
    <col min="4610" max="4610" width="11.109375" style="279" customWidth="1"/>
    <col min="4611" max="4611" width="34.5546875" style="279" customWidth="1"/>
    <col min="4612" max="4628" width="10.6640625" style="279" customWidth="1"/>
    <col min="4629" max="4641" width="0" style="279" hidden="1" customWidth="1"/>
    <col min="4642" max="4642" width="10.6640625" style="279" customWidth="1"/>
    <col min="4643" max="4643" width="11.44140625" style="279"/>
    <col min="4644" max="4644" width="11.88671875" style="279" customWidth="1"/>
    <col min="4645" max="4645" width="6" style="279" customWidth="1"/>
    <col min="4646" max="4646" width="5.44140625" style="279" customWidth="1"/>
    <col min="4647" max="4647" width="6.88671875" style="279" customWidth="1"/>
    <col min="4648" max="4648" width="10.88671875" style="279" customWidth="1"/>
    <col min="4649" max="4649" width="6.6640625" style="279" customWidth="1"/>
    <col min="4650" max="4650" width="8.33203125" style="279" customWidth="1"/>
    <col min="4651" max="4651" width="10.44140625" style="279" customWidth="1"/>
    <col min="4652" max="4652" width="9.44140625" style="279" customWidth="1"/>
    <col min="4653" max="4653" width="5.44140625" style="279" customWidth="1"/>
    <col min="4654" max="4654" width="11.6640625" style="279" customWidth="1"/>
    <col min="4655" max="4655" width="7.88671875" style="279" customWidth="1"/>
    <col min="4656" max="4656" width="9" style="279" customWidth="1"/>
    <col min="4657" max="4657" width="7" style="279" customWidth="1"/>
    <col min="4658" max="4658" width="14" style="279" customWidth="1"/>
    <col min="4659" max="4659" width="10.33203125" style="279" customWidth="1"/>
    <col min="4660" max="4660" width="14.44140625" style="279" customWidth="1"/>
    <col min="4661" max="4663" width="13.6640625" style="279" customWidth="1"/>
    <col min="4664" max="4671" width="11.44140625" style="279"/>
    <col min="4672" max="4672" width="15.5546875" style="279" customWidth="1"/>
    <col min="4673" max="4673" width="28.109375" style="279" customWidth="1"/>
    <col min="4674" max="4703" width="11.44140625" style="279"/>
    <col min="4704" max="4704" width="14.6640625" style="279" customWidth="1"/>
    <col min="4705" max="4705" width="11.44140625" style="279"/>
    <col min="4706" max="4706" width="16.33203125" style="279" customWidth="1"/>
    <col min="4707" max="4707" width="16.44140625" style="279" customWidth="1"/>
    <col min="4708" max="4865" width="11.44140625" style="279"/>
    <col min="4866" max="4866" width="11.109375" style="279" customWidth="1"/>
    <col min="4867" max="4867" width="34.5546875" style="279" customWidth="1"/>
    <col min="4868" max="4884" width="10.6640625" style="279" customWidth="1"/>
    <col min="4885" max="4897" width="0" style="279" hidden="1" customWidth="1"/>
    <col min="4898" max="4898" width="10.6640625" style="279" customWidth="1"/>
    <col min="4899" max="4899" width="11.44140625" style="279"/>
    <col min="4900" max="4900" width="11.88671875" style="279" customWidth="1"/>
    <col min="4901" max="4901" width="6" style="279" customWidth="1"/>
    <col min="4902" max="4902" width="5.44140625" style="279" customWidth="1"/>
    <col min="4903" max="4903" width="6.88671875" style="279" customWidth="1"/>
    <col min="4904" max="4904" width="10.88671875" style="279" customWidth="1"/>
    <col min="4905" max="4905" width="6.6640625" style="279" customWidth="1"/>
    <col min="4906" max="4906" width="8.33203125" style="279" customWidth="1"/>
    <col min="4907" max="4907" width="10.44140625" style="279" customWidth="1"/>
    <col min="4908" max="4908" width="9.44140625" style="279" customWidth="1"/>
    <col min="4909" max="4909" width="5.44140625" style="279" customWidth="1"/>
    <col min="4910" max="4910" width="11.6640625" style="279" customWidth="1"/>
    <col min="4911" max="4911" width="7.88671875" style="279" customWidth="1"/>
    <col min="4912" max="4912" width="9" style="279" customWidth="1"/>
    <col min="4913" max="4913" width="7" style="279" customWidth="1"/>
    <col min="4914" max="4914" width="14" style="279" customWidth="1"/>
    <col min="4915" max="4915" width="10.33203125" style="279" customWidth="1"/>
    <col min="4916" max="4916" width="14.44140625" style="279" customWidth="1"/>
    <col min="4917" max="4919" width="13.6640625" style="279" customWidth="1"/>
    <col min="4920" max="4927" width="11.44140625" style="279"/>
    <col min="4928" max="4928" width="15.5546875" style="279" customWidth="1"/>
    <col min="4929" max="4929" width="28.109375" style="279" customWidth="1"/>
    <col min="4930" max="4959" width="11.44140625" style="279"/>
    <col min="4960" max="4960" width="14.6640625" style="279" customWidth="1"/>
    <col min="4961" max="4961" width="11.44140625" style="279"/>
    <col min="4962" max="4962" width="16.33203125" style="279" customWidth="1"/>
    <col min="4963" max="4963" width="16.44140625" style="279" customWidth="1"/>
    <col min="4964" max="5121" width="11.44140625" style="279"/>
    <col min="5122" max="5122" width="11.109375" style="279" customWidth="1"/>
    <col min="5123" max="5123" width="34.5546875" style="279" customWidth="1"/>
    <col min="5124" max="5140" width="10.6640625" style="279" customWidth="1"/>
    <col min="5141" max="5153" width="0" style="279" hidden="1" customWidth="1"/>
    <col min="5154" max="5154" width="10.6640625" style="279" customWidth="1"/>
    <col min="5155" max="5155" width="11.44140625" style="279"/>
    <col min="5156" max="5156" width="11.88671875" style="279" customWidth="1"/>
    <col min="5157" max="5157" width="6" style="279" customWidth="1"/>
    <col min="5158" max="5158" width="5.44140625" style="279" customWidth="1"/>
    <col min="5159" max="5159" width="6.88671875" style="279" customWidth="1"/>
    <col min="5160" max="5160" width="10.88671875" style="279" customWidth="1"/>
    <col min="5161" max="5161" width="6.6640625" style="279" customWidth="1"/>
    <col min="5162" max="5162" width="8.33203125" style="279" customWidth="1"/>
    <col min="5163" max="5163" width="10.44140625" style="279" customWidth="1"/>
    <col min="5164" max="5164" width="9.44140625" style="279" customWidth="1"/>
    <col min="5165" max="5165" width="5.44140625" style="279" customWidth="1"/>
    <col min="5166" max="5166" width="11.6640625" style="279" customWidth="1"/>
    <col min="5167" max="5167" width="7.88671875" style="279" customWidth="1"/>
    <col min="5168" max="5168" width="9" style="279" customWidth="1"/>
    <col min="5169" max="5169" width="7" style="279" customWidth="1"/>
    <col min="5170" max="5170" width="14" style="279" customWidth="1"/>
    <col min="5171" max="5171" width="10.33203125" style="279" customWidth="1"/>
    <col min="5172" max="5172" width="14.44140625" style="279" customWidth="1"/>
    <col min="5173" max="5175" width="13.6640625" style="279" customWidth="1"/>
    <col min="5176" max="5183" width="11.44140625" style="279"/>
    <col min="5184" max="5184" width="15.5546875" style="279" customWidth="1"/>
    <col min="5185" max="5185" width="28.109375" style="279" customWidth="1"/>
    <col min="5186" max="5215" width="11.44140625" style="279"/>
    <col min="5216" max="5216" width="14.6640625" style="279" customWidth="1"/>
    <col min="5217" max="5217" width="11.44140625" style="279"/>
    <col min="5218" max="5218" width="16.33203125" style="279" customWidth="1"/>
    <col min="5219" max="5219" width="16.44140625" style="279" customWidth="1"/>
    <col min="5220" max="5377" width="11.44140625" style="279"/>
    <col min="5378" max="5378" width="11.109375" style="279" customWidth="1"/>
    <col min="5379" max="5379" width="34.5546875" style="279" customWidth="1"/>
    <col min="5380" max="5396" width="10.6640625" style="279" customWidth="1"/>
    <col min="5397" max="5409" width="0" style="279" hidden="1" customWidth="1"/>
    <col min="5410" max="5410" width="10.6640625" style="279" customWidth="1"/>
    <col min="5411" max="5411" width="11.44140625" style="279"/>
    <col min="5412" max="5412" width="11.88671875" style="279" customWidth="1"/>
    <col min="5413" max="5413" width="6" style="279" customWidth="1"/>
    <col min="5414" max="5414" width="5.44140625" style="279" customWidth="1"/>
    <col min="5415" max="5415" width="6.88671875" style="279" customWidth="1"/>
    <col min="5416" max="5416" width="10.88671875" style="279" customWidth="1"/>
    <col min="5417" max="5417" width="6.6640625" style="279" customWidth="1"/>
    <col min="5418" max="5418" width="8.33203125" style="279" customWidth="1"/>
    <col min="5419" max="5419" width="10.44140625" style="279" customWidth="1"/>
    <col min="5420" max="5420" width="9.44140625" style="279" customWidth="1"/>
    <col min="5421" max="5421" width="5.44140625" style="279" customWidth="1"/>
    <col min="5422" max="5422" width="11.6640625" style="279" customWidth="1"/>
    <col min="5423" max="5423" width="7.88671875" style="279" customWidth="1"/>
    <col min="5424" max="5424" width="9" style="279" customWidth="1"/>
    <col min="5425" max="5425" width="7" style="279" customWidth="1"/>
    <col min="5426" max="5426" width="14" style="279" customWidth="1"/>
    <col min="5427" max="5427" width="10.33203125" style="279" customWidth="1"/>
    <col min="5428" max="5428" width="14.44140625" style="279" customWidth="1"/>
    <col min="5429" max="5431" width="13.6640625" style="279" customWidth="1"/>
    <col min="5432" max="5439" width="11.44140625" style="279"/>
    <col min="5440" max="5440" width="15.5546875" style="279" customWidth="1"/>
    <col min="5441" max="5441" width="28.109375" style="279" customWidth="1"/>
    <col min="5442" max="5471" width="11.44140625" style="279"/>
    <col min="5472" max="5472" width="14.6640625" style="279" customWidth="1"/>
    <col min="5473" max="5473" width="11.44140625" style="279"/>
    <col min="5474" max="5474" width="16.33203125" style="279" customWidth="1"/>
    <col min="5475" max="5475" width="16.44140625" style="279" customWidth="1"/>
    <col min="5476" max="5633" width="11.44140625" style="279"/>
    <col min="5634" max="5634" width="11.109375" style="279" customWidth="1"/>
    <col min="5635" max="5635" width="34.5546875" style="279" customWidth="1"/>
    <col min="5636" max="5652" width="10.6640625" style="279" customWidth="1"/>
    <col min="5653" max="5665" width="0" style="279" hidden="1" customWidth="1"/>
    <col min="5666" max="5666" width="10.6640625" style="279" customWidth="1"/>
    <col min="5667" max="5667" width="11.44140625" style="279"/>
    <col min="5668" max="5668" width="11.88671875" style="279" customWidth="1"/>
    <col min="5669" max="5669" width="6" style="279" customWidth="1"/>
    <col min="5670" max="5670" width="5.44140625" style="279" customWidth="1"/>
    <col min="5671" max="5671" width="6.88671875" style="279" customWidth="1"/>
    <col min="5672" max="5672" width="10.88671875" style="279" customWidth="1"/>
    <col min="5673" max="5673" width="6.6640625" style="279" customWidth="1"/>
    <col min="5674" max="5674" width="8.33203125" style="279" customWidth="1"/>
    <col min="5675" max="5675" width="10.44140625" style="279" customWidth="1"/>
    <col min="5676" max="5676" width="9.44140625" style="279" customWidth="1"/>
    <col min="5677" max="5677" width="5.44140625" style="279" customWidth="1"/>
    <col min="5678" max="5678" width="11.6640625" style="279" customWidth="1"/>
    <col min="5679" max="5679" width="7.88671875" style="279" customWidth="1"/>
    <col min="5680" max="5680" width="9" style="279" customWidth="1"/>
    <col min="5681" max="5681" width="7" style="279" customWidth="1"/>
    <col min="5682" max="5682" width="14" style="279" customWidth="1"/>
    <col min="5683" max="5683" width="10.33203125" style="279" customWidth="1"/>
    <col min="5684" max="5684" width="14.44140625" style="279" customWidth="1"/>
    <col min="5685" max="5687" width="13.6640625" style="279" customWidth="1"/>
    <col min="5688" max="5695" width="11.44140625" style="279"/>
    <col min="5696" max="5696" width="15.5546875" style="279" customWidth="1"/>
    <col min="5697" max="5697" width="28.109375" style="279" customWidth="1"/>
    <col min="5698" max="5727" width="11.44140625" style="279"/>
    <col min="5728" max="5728" width="14.6640625" style="279" customWidth="1"/>
    <col min="5729" max="5729" width="11.44140625" style="279"/>
    <col min="5730" max="5730" width="16.33203125" style="279" customWidth="1"/>
    <col min="5731" max="5731" width="16.44140625" style="279" customWidth="1"/>
    <col min="5732" max="5889" width="11.44140625" style="279"/>
    <col min="5890" max="5890" width="11.109375" style="279" customWidth="1"/>
    <col min="5891" max="5891" width="34.5546875" style="279" customWidth="1"/>
    <col min="5892" max="5908" width="10.6640625" style="279" customWidth="1"/>
    <col min="5909" max="5921" width="0" style="279" hidden="1" customWidth="1"/>
    <col min="5922" max="5922" width="10.6640625" style="279" customWidth="1"/>
    <col min="5923" max="5923" width="11.44140625" style="279"/>
    <col min="5924" max="5924" width="11.88671875" style="279" customWidth="1"/>
    <col min="5925" max="5925" width="6" style="279" customWidth="1"/>
    <col min="5926" max="5926" width="5.44140625" style="279" customWidth="1"/>
    <col min="5927" max="5927" width="6.88671875" style="279" customWidth="1"/>
    <col min="5928" max="5928" width="10.88671875" style="279" customWidth="1"/>
    <col min="5929" max="5929" width="6.6640625" style="279" customWidth="1"/>
    <col min="5930" max="5930" width="8.33203125" style="279" customWidth="1"/>
    <col min="5931" max="5931" width="10.44140625" style="279" customWidth="1"/>
    <col min="5932" max="5932" width="9.44140625" style="279" customWidth="1"/>
    <col min="5933" max="5933" width="5.44140625" style="279" customWidth="1"/>
    <col min="5934" max="5934" width="11.6640625" style="279" customWidth="1"/>
    <col min="5935" max="5935" width="7.88671875" style="279" customWidth="1"/>
    <col min="5936" max="5936" width="9" style="279" customWidth="1"/>
    <col min="5937" max="5937" width="7" style="279" customWidth="1"/>
    <col min="5938" max="5938" width="14" style="279" customWidth="1"/>
    <col min="5939" max="5939" width="10.33203125" style="279" customWidth="1"/>
    <col min="5940" max="5940" width="14.44140625" style="279" customWidth="1"/>
    <col min="5941" max="5943" width="13.6640625" style="279" customWidth="1"/>
    <col min="5944" max="5951" width="11.44140625" style="279"/>
    <col min="5952" max="5952" width="15.5546875" style="279" customWidth="1"/>
    <col min="5953" max="5953" width="28.109375" style="279" customWidth="1"/>
    <col min="5954" max="5983" width="11.44140625" style="279"/>
    <col min="5984" max="5984" width="14.6640625" style="279" customWidth="1"/>
    <col min="5985" max="5985" width="11.44140625" style="279"/>
    <col min="5986" max="5986" width="16.33203125" style="279" customWidth="1"/>
    <col min="5987" max="5987" width="16.44140625" style="279" customWidth="1"/>
    <col min="5988" max="6145" width="11.44140625" style="279"/>
    <col min="6146" max="6146" width="11.109375" style="279" customWidth="1"/>
    <col min="6147" max="6147" width="34.5546875" style="279" customWidth="1"/>
    <col min="6148" max="6164" width="10.6640625" style="279" customWidth="1"/>
    <col min="6165" max="6177" width="0" style="279" hidden="1" customWidth="1"/>
    <col min="6178" max="6178" width="10.6640625" style="279" customWidth="1"/>
    <col min="6179" max="6179" width="11.44140625" style="279"/>
    <col min="6180" max="6180" width="11.88671875" style="279" customWidth="1"/>
    <col min="6181" max="6181" width="6" style="279" customWidth="1"/>
    <col min="6182" max="6182" width="5.44140625" style="279" customWidth="1"/>
    <col min="6183" max="6183" width="6.88671875" style="279" customWidth="1"/>
    <col min="6184" max="6184" width="10.88671875" style="279" customWidth="1"/>
    <col min="6185" max="6185" width="6.6640625" style="279" customWidth="1"/>
    <col min="6186" max="6186" width="8.33203125" style="279" customWidth="1"/>
    <col min="6187" max="6187" width="10.44140625" style="279" customWidth="1"/>
    <col min="6188" max="6188" width="9.44140625" style="279" customWidth="1"/>
    <col min="6189" max="6189" width="5.44140625" style="279" customWidth="1"/>
    <col min="6190" max="6190" width="11.6640625" style="279" customWidth="1"/>
    <col min="6191" max="6191" width="7.88671875" style="279" customWidth="1"/>
    <col min="6192" max="6192" width="9" style="279" customWidth="1"/>
    <col min="6193" max="6193" width="7" style="279" customWidth="1"/>
    <col min="6194" max="6194" width="14" style="279" customWidth="1"/>
    <col min="6195" max="6195" width="10.33203125" style="279" customWidth="1"/>
    <col min="6196" max="6196" width="14.44140625" style="279" customWidth="1"/>
    <col min="6197" max="6199" width="13.6640625" style="279" customWidth="1"/>
    <col min="6200" max="6207" width="11.44140625" style="279"/>
    <col min="6208" max="6208" width="15.5546875" style="279" customWidth="1"/>
    <col min="6209" max="6209" width="28.109375" style="279" customWidth="1"/>
    <col min="6210" max="6239" width="11.44140625" style="279"/>
    <col min="6240" max="6240" width="14.6640625" style="279" customWidth="1"/>
    <col min="6241" max="6241" width="11.44140625" style="279"/>
    <col min="6242" max="6242" width="16.33203125" style="279" customWidth="1"/>
    <col min="6243" max="6243" width="16.44140625" style="279" customWidth="1"/>
    <col min="6244" max="6401" width="11.44140625" style="279"/>
    <col min="6402" max="6402" width="11.109375" style="279" customWidth="1"/>
    <col min="6403" max="6403" width="34.5546875" style="279" customWidth="1"/>
    <col min="6404" max="6420" width="10.6640625" style="279" customWidth="1"/>
    <col min="6421" max="6433" width="0" style="279" hidden="1" customWidth="1"/>
    <col min="6434" max="6434" width="10.6640625" style="279" customWidth="1"/>
    <col min="6435" max="6435" width="11.44140625" style="279"/>
    <col min="6436" max="6436" width="11.88671875" style="279" customWidth="1"/>
    <col min="6437" max="6437" width="6" style="279" customWidth="1"/>
    <col min="6438" max="6438" width="5.44140625" style="279" customWidth="1"/>
    <col min="6439" max="6439" width="6.88671875" style="279" customWidth="1"/>
    <col min="6440" max="6440" width="10.88671875" style="279" customWidth="1"/>
    <col min="6441" max="6441" width="6.6640625" style="279" customWidth="1"/>
    <col min="6442" max="6442" width="8.33203125" style="279" customWidth="1"/>
    <col min="6443" max="6443" width="10.44140625" style="279" customWidth="1"/>
    <col min="6444" max="6444" width="9.44140625" style="279" customWidth="1"/>
    <col min="6445" max="6445" width="5.44140625" style="279" customWidth="1"/>
    <col min="6446" max="6446" width="11.6640625" style="279" customWidth="1"/>
    <col min="6447" max="6447" width="7.88671875" style="279" customWidth="1"/>
    <col min="6448" max="6448" width="9" style="279" customWidth="1"/>
    <col min="6449" max="6449" width="7" style="279" customWidth="1"/>
    <col min="6450" max="6450" width="14" style="279" customWidth="1"/>
    <col min="6451" max="6451" width="10.33203125" style="279" customWidth="1"/>
    <col min="6452" max="6452" width="14.44140625" style="279" customWidth="1"/>
    <col min="6453" max="6455" width="13.6640625" style="279" customWidth="1"/>
    <col min="6456" max="6463" width="11.44140625" style="279"/>
    <col min="6464" max="6464" width="15.5546875" style="279" customWidth="1"/>
    <col min="6465" max="6465" width="28.109375" style="279" customWidth="1"/>
    <col min="6466" max="6495" width="11.44140625" style="279"/>
    <col min="6496" max="6496" width="14.6640625" style="279" customWidth="1"/>
    <col min="6497" max="6497" width="11.44140625" style="279"/>
    <col min="6498" max="6498" width="16.33203125" style="279" customWidth="1"/>
    <col min="6499" max="6499" width="16.44140625" style="279" customWidth="1"/>
    <col min="6500" max="6657" width="11.44140625" style="279"/>
    <col min="6658" max="6658" width="11.109375" style="279" customWidth="1"/>
    <col min="6659" max="6659" width="34.5546875" style="279" customWidth="1"/>
    <col min="6660" max="6676" width="10.6640625" style="279" customWidth="1"/>
    <col min="6677" max="6689" width="0" style="279" hidden="1" customWidth="1"/>
    <col min="6690" max="6690" width="10.6640625" style="279" customWidth="1"/>
    <col min="6691" max="6691" width="11.44140625" style="279"/>
    <col min="6692" max="6692" width="11.88671875" style="279" customWidth="1"/>
    <col min="6693" max="6693" width="6" style="279" customWidth="1"/>
    <col min="6694" max="6694" width="5.44140625" style="279" customWidth="1"/>
    <col min="6695" max="6695" width="6.88671875" style="279" customWidth="1"/>
    <col min="6696" max="6696" width="10.88671875" style="279" customWidth="1"/>
    <col min="6697" max="6697" width="6.6640625" style="279" customWidth="1"/>
    <col min="6698" max="6698" width="8.33203125" style="279" customWidth="1"/>
    <col min="6699" max="6699" width="10.44140625" style="279" customWidth="1"/>
    <col min="6700" max="6700" width="9.44140625" style="279" customWidth="1"/>
    <col min="6701" max="6701" width="5.44140625" style="279" customWidth="1"/>
    <col min="6702" max="6702" width="11.6640625" style="279" customWidth="1"/>
    <col min="6703" max="6703" width="7.88671875" style="279" customWidth="1"/>
    <col min="6704" max="6704" width="9" style="279" customWidth="1"/>
    <col min="6705" max="6705" width="7" style="279" customWidth="1"/>
    <col min="6706" max="6706" width="14" style="279" customWidth="1"/>
    <col min="6707" max="6707" width="10.33203125" style="279" customWidth="1"/>
    <col min="6708" max="6708" width="14.44140625" style="279" customWidth="1"/>
    <col min="6709" max="6711" width="13.6640625" style="279" customWidth="1"/>
    <col min="6712" max="6719" width="11.44140625" style="279"/>
    <col min="6720" max="6720" width="15.5546875" style="279" customWidth="1"/>
    <col min="6721" max="6721" width="28.109375" style="279" customWidth="1"/>
    <col min="6722" max="6751" width="11.44140625" style="279"/>
    <col min="6752" max="6752" width="14.6640625" style="279" customWidth="1"/>
    <col min="6753" max="6753" width="11.44140625" style="279"/>
    <col min="6754" max="6754" width="16.33203125" style="279" customWidth="1"/>
    <col min="6755" max="6755" width="16.44140625" style="279" customWidth="1"/>
    <col min="6756" max="6913" width="11.44140625" style="279"/>
    <col min="6914" max="6914" width="11.109375" style="279" customWidth="1"/>
    <col min="6915" max="6915" width="34.5546875" style="279" customWidth="1"/>
    <col min="6916" max="6932" width="10.6640625" style="279" customWidth="1"/>
    <col min="6933" max="6945" width="0" style="279" hidden="1" customWidth="1"/>
    <col min="6946" max="6946" width="10.6640625" style="279" customWidth="1"/>
    <col min="6947" max="6947" width="11.44140625" style="279"/>
    <col min="6948" max="6948" width="11.88671875" style="279" customWidth="1"/>
    <col min="6949" max="6949" width="6" style="279" customWidth="1"/>
    <col min="6950" max="6950" width="5.44140625" style="279" customWidth="1"/>
    <col min="6951" max="6951" width="6.88671875" style="279" customWidth="1"/>
    <col min="6952" max="6952" width="10.88671875" style="279" customWidth="1"/>
    <col min="6953" max="6953" width="6.6640625" style="279" customWidth="1"/>
    <col min="6954" max="6954" width="8.33203125" style="279" customWidth="1"/>
    <col min="6955" max="6955" width="10.44140625" style="279" customWidth="1"/>
    <col min="6956" max="6956" width="9.44140625" style="279" customWidth="1"/>
    <col min="6957" max="6957" width="5.44140625" style="279" customWidth="1"/>
    <col min="6958" max="6958" width="11.6640625" style="279" customWidth="1"/>
    <col min="6959" max="6959" width="7.88671875" style="279" customWidth="1"/>
    <col min="6960" max="6960" width="9" style="279" customWidth="1"/>
    <col min="6961" max="6961" width="7" style="279" customWidth="1"/>
    <col min="6962" max="6962" width="14" style="279" customWidth="1"/>
    <col min="6963" max="6963" width="10.33203125" style="279" customWidth="1"/>
    <col min="6964" max="6964" width="14.44140625" style="279" customWidth="1"/>
    <col min="6965" max="6967" width="13.6640625" style="279" customWidth="1"/>
    <col min="6968" max="6975" width="11.44140625" style="279"/>
    <col min="6976" max="6976" width="15.5546875" style="279" customWidth="1"/>
    <col min="6977" max="6977" width="28.109375" style="279" customWidth="1"/>
    <col min="6978" max="7007" width="11.44140625" style="279"/>
    <col min="7008" max="7008" width="14.6640625" style="279" customWidth="1"/>
    <col min="7009" max="7009" width="11.44140625" style="279"/>
    <col min="7010" max="7010" width="16.33203125" style="279" customWidth="1"/>
    <col min="7011" max="7011" width="16.44140625" style="279" customWidth="1"/>
    <col min="7012" max="7169" width="11.44140625" style="279"/>
    <col min="7170" max="7170" width="11.109375" style="279" customWidth="1"/>
    <col min="7171" max="7171" width="34.5546875" style="279" customWidth="1"/>
    <col min="7172" max="7188" width="10.6640625" style="279" customWidth="1"/>
    <col min="7189" max="7201" width="0" style="279" hidden="1" customWidth="1"/>
    <col min="7202" max="7202" width="10.6640625" style="279" customWidth="1"/>
    <col min="7203" max="7203" width="11.44140625" style="279"/>
    <col min="7204" max="7204" width="11.88671875" style="279" customWidth="1"/>
    <col min="7205" max="7205" width="6" style="279" customWidth="1"/>
    <col min="7206" max="7206" width="5.44140625" style="279" customWidth="1"/>
    <col min="7207" max="7207" width="6.88671875" style="279" customWidth="1"/>
    <col min="7208" max="7208" width="10.88671875" style="279" customWidth="1"/>
    <col min="7209" max="7209" width="6.6640625" style="279" customWidth="1"/>
    <col min="7210" max="7210" width="8.33203125" style="279" customWidth="1"/>
    <col min="7211" max="7211" width="10.44140625" style="279" customWidth="1"/>
    <col min="7212" max="7212" width="9.44140625" style="279" customWidth="1"/>
    <col min="7213" max="7213" width="5.44140625" style="279" customWidth="1"/>
    <col min="7214" max="7214" width="11.6640625" style="279" customWidth="1"/>
    <col min="7215" max="7215" width="7.88671875" style="279" customWidth="1"/>
    <col min="7216" max="7216" width="9" style="279" customWidth="1"/>
    <col min="7217" max="7217" width="7" style="279" customWidth="1"/>
    <col min="7218" max="7218" width="14" style="279" customWidth="1"/>
    <col min="7219" max="7219" width="10.33203125" style="279" customWidth="1"/>
    <col min="7220" max="7220" width="14.44140625" style="279" customWidth="1"/>
    <col min="7221" max="7223" width="13.6640625" style="279" customWidth="1"/>
    <col min="7224" max="7231" width="11.44140625" style="279"/>
    <col min="7232" max="7232" width="15.5546875" style="279" customWidth="1"/>
    <col min="7233" max="7233" width="28.109375" style="279" customWidth="1"/>
    <col min="7234" max="7263" width="11.44140625" style="279"/>
    <col min="7264" max="7264" width="14.6640625" style="279" customWidth="1"/>
    <col min="7265" max="7265" width="11.44140625" style="279"/>
    <col min="7266" max="7266" width="16.33203125" style="279" customWidth="1"/>
    <col min="7267" max="7267" width="16.44140625" style="279" customWidth="1"/>
    <col min="7268" max="7425" width="11.44140625" style="279"/>
    <col min="7426" max="7426" width="11.109375" style="279" customWidth="1"/>
    <col min="7427" max="7427" width="34.5546875" style="279" customWidth="1"/>
    <col min="7428" max="7444" width="10.6640625" style="279" customWidth="1"/>
    <col min="7445" max="7457" width="0" style="279" hidden="1" customWidth="1"/>
    <col min="7458" max="7458" width="10.6640625" style="279" customWidth="1"/>
    <col min="7459" max="7459" width="11.44140625" style="279"/>
    <col min="7460" max="7460" width="11.88671875" style="279" customWidth="1"/>
    <col min="7461" max="7461" width="6" style="279" customWidth="1"/>
    <col min="7462" max="7462" width="5.44140625" style="279" customWidth="1"/>
    <col min="7463" max="7463" width="6.88671875" style="279" customWidth="1"/>
    <col min="7464" max="7464" width="10.88671875" style="279" customWidth="1"/>
    <col min="7465" max="7465" width="6.6640625" style="279" customWidth="1"/>
    <col min="7466" max="7466" width="8.33203125" style="279" customWidth="1"/>
    <col min="7467" max="7467" width="10.44140625" style="279" customWidth="1"/>
    <col min="7468" max="7468" width="9.44140625" style="279" customWidth="1"/>
    <col min="7469" max="7469" width="5.44140625" style="279" customWidth="1"/>
    <col min="7470" max="7470" width="11.6640625" style="279" customWidth="1"/>
    <col min="7471" max="7471" width="7.88671875" style="279" customWidth="1"/>
    <col min="7472" max="7472" width="9" style="279" customWidth="1"/>
    <col min="7473" max="7473" width="7" style="279" customWidth="1"/>
    <col min="7474" max="7474" width="14" style="279" customWidth="1"/>
    <col min="7475" max="7475" width="10.33203125" style="279" customWidth="1"/>
    <col min="7476" max="7476" width="14.44140625" style="279" customWidth="1"/>
    <col min="7477" max="7479" width="13.6640625" style="279" customWidth="1"/>
    <col min="7480" max="7487" width="11.44140625" style="279"/>
    <col min="7488" max="7488" width="15.5546875" style="279" customWidth="1"/>
    <col min="7489" max="7489" width="28.109375" style="279" customWidth="1"/>
    <col min="7490" max="7519" width="11.44140625" style="279"/>
    <col min="7520" max="7520" width="14.6640625" style="279" customWidth="1"/>
    <col min="7521" max="7521" width="11.44140625" style="279"/>
    <col min="7522" max="7522" width="16.33203125" style="279" customWidth="1"/>
    <col min="7523" max="7523" width="16.44140625" style="279" customWidth="1"/>
    <col min="7524" max="7681" width="11.44140625" style="279"/>
    <col min="7682" max="7682" width="11.109375" style="279" customWidth="1"/>
    <col min="7683" max="7683" width="34.5546875" style="279" customWidth="1"/>
    <col min="7684" max="7700" width="10.6640625" style="279" customWidth="1"/>
    <col min="7701" max="7713" width="0" style="279" hidden="1" customWidth="1"/>
    <col min="7714" max="7714" width="10.6640625" style="279" customWidth="1"/>
    <col min="7715" max="7715" width="11.44140625" style="279"/>
    <col min="7716" max="7716" width="11.88671875" style="279" customWidth="1"/>
    <col min="7717" max="7717" width="6" style="279" customWidth="1"/>
    <col min="7718" max="7718" width="5.44140625" style="279" customWidth="1"/>
    <col min="7719" max="7719" width="6.88671875" style="279" customWidth="1"/>
    <col min="7720" max="7720" width="10.88671875" style="279" customWidth="1"/>
    <col min="7721" max="7721" width="6.6640625" style="279" customWidth="1"/>
    <col min="7722" max="7722" width="8.33203125" style="279" customWidth="1"/>
    <col min="7723" max="7723" width="10.44140625" style="279" customWidth="1"/>
    <col min="7724" max="7724" width="9.44140625" style="279" customWidth="1"/>
    <col min="7725" max="7725" width="5.44140625" style="279" customWidth="1"/>
    <col min="7726" max="7726" width="11.6640625" style="279" customWidth="1"/>
    <col min="7727" max="7727" width="7.88671875" style="279" customWidth="1"/>
    <col min="7728" max="7728" width="9" style="279" customWidth="1"/>
    <col min="7729" max="7729" width="7" style="279" customWidth="1"/>
    <col min="7730" max="7730" width="14" style="279" customWidth="1"/>
    <col min="7731" max="7731" width="10.33203125" style="279" customWidth="1"/>
    <col min="7732" max="7732" width="14.44140625" style="279" customWidth="1"/>
    <col min="7733" max="7735" width="13.6640625" style="279" customWidth="1"/>
    <col min="7736" max="7743" width="11.44140625" style="279"/>
    <col min="7744" max="7744" width="15.5546875" style="279" customWidth="1"/>
    <col min="7745" max="7745" width="28.109375" style="279" customWidth="1"/>
    <col min="7746" max="7775" width="11.44140625" style="279"/>
    <col min="7776" max="7776" width="14.6640625" style="279" customWidth="1"/>
    <col min="7777" max="7777" width="11.44140625" style="279"/>
    <col min="7778" max="7778" width="16.33203125" style="279" customWidth="1"/>
    <col min="7779" max="7779" width="16.44140625" style="279" customWidth="1"/>
    <col min="7780" max="7937" width="11.44140625" style="279"/>
    <col min="7938" max="7938" width="11.109375" style="279" customWidth="1"/>
    <col min="7939" max="7939" width="34.5546875" style="279" customWidth="1"/>
    <col min="7940" max="7956" width="10.6640625" style="279" customWidth="1"/>
    <col min="7957" max="7969" width="0" style="279" hidden="1" customWidth="1"/>
    <col min="7970" max="7970" width="10.6640625" style="279" customWidth="1"/>
    <col min="7971" max="7971" width="11.44140625" style="279"/>
    <col min="7972" max="7972" width="11.88671875" style="279" customWidth="1"/>
    <col min="7973" max="7973" width="6" style="279" customWidth="1"/>
    <col min="7974" max="7974" width="5.44140625" style="279" customWidth="1"/>
    <col min="7975" max="7975" width="6.88671875" style="279" customWidth="1"/>
    <col min="7976" max="7976" width="10.88671875" style="279" customWidth="1"/>
    <col min="7977" max="7977" width="6.6640625" style="279" customWidth="1"/>
    <col min="7978" max="7978" width="8.33203125" style="279" customWidth="1"/>
    <col min="7979" max="7979" width="10.44140625" style="279" customWidth="1"/>
    <col min="7980" max="7980" width="9.44140625" style="279" customWidth="1"/>
    <col min="7981" max="7981" width="5.44140625" style="279" customWidth="1"/>
    <col min="7982" max="7982" width="11.6640625" style="279" customWidth="1"/>
    <col min="7983" max="7983" width="7.88671875" style="279" customWidth="1"/>
    <col min="7984" max="7984" width="9" style="279" customWidth="1"/>
    <col min="7985" max="7985" width="7" style="279" customWidth="1"/>
    <col min="7986" max="7986" width="14" style="279" customWidth="1"/>
    <col min="7987" max="7987" width="10.33203125" style="279" customWidth="1"/>
    <col min="7988" max="7988" width="14.44140625" style="279" customWidth="1"/>
    <col min="7989" max="7991" width="13.6640625" style="279" customWidth="1"/>
    <col min="7992" max="7999" width="11.44140625" style="279"/>
    <col min="8000" max="8000" width="15.5546875" style="279" customWidth="1"/>
    <col min="8001" max="8001" width="28.109375" style="279" customWidth="1"/>
    <col min="8002" max="8031" width="11.44140625" style="279"/>
    <col min="8032" max="8032" width="14.6640625" style="279" customWidth="1"/>
    <col min="8033" max="8033" width="11.44140625" style="279"/>
    <col min="8034" max="8034" width="16.33203125" style="279" customWidth="1"/>
    <col min="8035" max="8035" width="16.44140625" style="279" customWidth="1"/>
    <col min="8036" max="8193" width="11.44140625" style="279"/>
    <col min="8194" max="8194" width="11.109375" style="279" customWidth="1"/>
    <col min="8195" max="8195" width="34.5546875" style="279" customWidth="1"/>
    <col min="8196" max="8212" width="10.6640625" style="279" customWidth="1"/>
    <col min="8213" max="8225" width="0" style="279" hidden="1" customWidth="1"/>
    <col min="8226" max="8226" width="10.6640625" style="279" customWidth="1"/>
    <col min="8227" max="8227" width="11.44140625" style="279"/>
    <col min="8228" max="8228" width="11.88671875" style="279" customWidth="1"/>
    <col min="8229" max="8229" width="6" style="279" customWidth="1"/>
    <col min="8230" max="8230" width="5.44140625" style="279" customWidth="1"/>
    <col min="8231" max="8231" width="6.88671875" style="279" customWidth="1"/>
    <col min="8232" max="8232" width="10.88671875" style="279" customWidth="1"/>
    <col min="8233" max="8233" width="6.6640625" style="279" customWidth="1"/>
    <col min="8234" max="8234" width="8.33203125" style="279" customWidth="1"/>
    <col min="8235" max="8235" width="10.44140625" style="279" customWidth="1"/>
    <col min="8236" max="8236" width="9.44140625" style="279" customWidth="1"/>
    <col min="8237" max="8237" width="5.44140625" style="279" customWidth="1"/>
    <col min="8238" max="8238" width="11.6640625" style="279" customWidth="1"/>
    <col min="8239" max="8239" width="7.88671875" style="279" customWidth="1"/>
    <col min="8240" max="8240" width="9" style="279" customWidth="1"/>
    <col min="8241" max="8241" width="7" style="279" customWidth="1"/>
    <col min="8242" max="8242" width="14" style="279" customWidth="1"/>
    <col min="8243" max="8243" width="10.33203125" style="279" customWidth="1"/>
    <col min="8244" max="8244" width="14.44140625" style="279" customWidth="1"/>
    <col min="8245" max="8247" width="13.6640625" style="279" customWidth="1"/>
    <col min="8248" max="8255" width="11.44140625" style="279"/>
    <col min="8256" max="8256" width="15.5546875" style="279" customWidth="1"/>
    <col min="8257" max="8257" width="28.109375" style="279" customWidth="1"/>
    <col min="8258" max="8287" width="11.44140625" style="279"/>
    <col min="8288" max="8288" width="14.6640625" style="279" customWidth="1"/>
    <col min="8289" max="8289" width="11.44140625" style="279"/>
    <col min="8290" max="8290" width="16.33203125" style="279" customWidth="1"/>
    <col min="8291" max="8291" width="16.44140625" style="279" customWidth="1"/>
    <col min="8292" max="8449" width="11.44140625" style="279"/>
    <col min="8450" max="8450" width="11.109375" style="279" customWidth="1"/>
    <col min="8451" max="8451" width="34.5546875" style="279" customWidth="1"/>
    <col min="8452" max="8468" width="10.6640625" style="279" customWidth="1"/>
    <col min="8469" max="8481" width="0" style="279" hidden="1" customWidth="1"/>
    <col min="8482" max="8482" width="10.6640625" style="279" customWidth="1"/>
    <col min="8483" max="8483" width="11.44140625" style="279"/>
    <col min="8484" max="8484" width="11.88671875" style="279" customWidth="1"/>
    <col min="8485" max="8485" width="6" style="279" customWidth="1"/>
    <col min="8486" max="8486" width="5.44140625" style="279" customWidth="1"/>
    <col min="8487" max="8487" width="6.88671875" style="279" customWidth="1"/>
    <col min="8488" max="8488" width="10.88671875" style="279" customWidth="1"/>
    <col min="8489" max="8489" width="6.6640625" style="279" customWidth="1"/>
    <col min="8490" max="8490" width="8.33203125" style="279" customWidth="1"/>
    <col min="8491" max="8491" width="10.44140625" style="279" customWidth="1"/>
    <col min="8492" max="8492" width="9.44140625" style="279" customWidth="1"/>
    <col min="8493" max="8493" width="5.44140625" style="279" customWidth="1"/>
    <col min="8494" max="8494" width="11.6640625" style="279" customWidth="1"/>
    <col min="8495" max="8495" width="7.88671875" style="279" customWidth="1"/>
    <col min="8496" max="8496" width="9" style="279" customWidth="1"/>
    <col min="8497" max="8497" width="7" style="279" customWidth="1"/>
    <col min="8498" max="8498" width="14" style="279" customWidth="1"/>
    <col min="8499" max="8499" width="10.33203125" style="279" customWidth="1"/>
    <col min="8500" max="8500" width="14.44140625" style="279" customWidth="1"/>
    <col min="8501" max="8503" width="13.6640625" style="279" customWidth="1"/>
    <col min="8504" max="8511" width="11.44140625" style="279"/>
    <col min="8512" max="8512" width="15.5546875" style="279" customWidth="1"/>
    <col min="8513" max="8513" width="28.109375" style="279" customWidth="1"/>
    <col min="8514" max="8543" width="11.44140625" style="279"/>
    <col min="8544" max="8544" width="14.6640625" style="279" customWidth="1"/>
    <col min="8545" max="8545" width="11.44140625" style="279"/>
    <col min="8546" max="8546" width="16.33203125" style="279" customWidth="1"/>
    <col min="8547" max="8547" width="16.44140625" style="279" customWidth="1"/>
    <col min="8548" max="8705" width="11.44140625" style="279"/>
    <col min="8706" max="8706" width="11.109375" style="279" customWidth="1"/>
    <col min="8707" max="8707" width="34.5546875" style="279" customWidth="1"/>
    <col min="8708" max="8724" width="10.6640625" style="279" customWidth="1"/>
    <col min="8725" max="8737" width="0" style="279" hidden="1" customWidth="1"/>
    <col min="8738" max="8738" width="10.6640625" style="279" customWidth="1"/>
    <col min="8739" max="8739" width="11.44140625" style="279"/>
    <col min="8740" max="8740" width="11.88671875" style="279" customWidth="1"/>
    <col min="8741" max="8741" width="6" style="279" customWidth="1"/>
    <col min="8742" max="8742" width="5.44140625" style="279" customWidth="1"/>
    <col min="8743" max="8743" width="6.88671875" style="279" customWidth="1"/>
    <col min="8744" max="8744" width="10.88671875" style="279" customWidth="1"/>
    <col min="8745" max="8745" width="6.6640625" style="279" customWidth="1"/>
    <col min="8746" max="8746" width="8.33203125" style="279" customWidth="1"/>
    <col min="8747" max="8747" width="10.44140625" style="279" customWidth="1"/>
    <col min="8748" max="8748" width="9.44140625" style="279" customWidth="1"/>
    <col min="8749" max="8749" width="5.44140625" style="279" customWidth="1"/>
    <col min="8750" max="8750" width="11.6640625" style="279" customWidth="1"/>
    <col min="8751" max="8751" width="7.88671875" style="279" customWidth="1"/>
    <col min="8752" max="8752" width="9" style="279" customWidth="1"/>
    <col min="8753" max="8753" width="7" style="279" customWidth="1"/>
    <col min="8754" max="8754" width="14" style="279" customWidth="1"/>
    <col min="8755" max="8755" width="10.33203125" style="279" customWidth="1"/>
    <col min="8756" max="8756" width="14.44140625" style="279" customWidth="1"/>
    <col min="8757" max="8759" width="13.6640625" style="279" customWidth="1"/>
    <col min="8760" max="8767" width="11.44140625" style="279"/>
    <col min="8768" max="8768" width="15.5546875" style="279" customWidth="1"/>
    <col min="8769" max="8769" width="28.109375" style="279" customWidth="1"/>
    <col min="8770" max="8799" width="11.44140625" style="279"/>
    <col min="8800" max="8800" width="14.6640625" style="279" customWidth="1"/>
    <col min="8801" max="8801" width="11.44140625" style="279"/>
    <col min="8802" max="8802" width="16.33203125" style="279" customWidth="1"/>
    <col min="8803" max="8803" width="16.44140625" style="279" customWidth="1"/>
    <col min="8804" max="8961" width="11.44140625" style="279"/>
    <col min="8962" max="8962" width="11.109375" style="279" customWidth="1"/>
    <col min="8963" max="8963" width="34.5546875" style="279" customWidth="1"/>
    <col min="8964" max="8980" width="10.6640625" style="279" customWidth="1"/>
    <col min="8981" max="8993" width="0" style="279" hidden="1" customWidth="1"/>
    <col min="8994" max="8994" width="10.6640625" style="279" customWidth="1"/>
    <col min="8995" max="8995" width="11.44140625" style="279"/>
    <col min="8996" max="8996" width="11.88671875" style="279" customWidth="1"/>
    <col min="8997" max="8997" width="6" style="279" customWidth="1"/>
    <col min="8998" max="8998" width="5.44140625" style="279" customWidth="1"/>
    <col min="8999" max="8999" width="6.88671875" style="279" customWidth="1"/>
    <col min="9000" max="9000" width="10.88671875" style="279" customWidth="1"/>
    <col min="9001" max="9001" width="6.6640625" style="279" customWidth="1"/>
    <col min="9002" max="9002" width="8.33203125" style="279" customWidth="1"/>
    <col min="9003" max="9003" width="10.44140625" style="279" customWidth="1"/>
    <col min="9004" max="9004" width="9.44140625" style="279" customWidth="1"/>
    <col min="9005" max="9005" width="5.44140625" style="279" customWidth="1"/>
    <col min="9006" max="9006" width="11.6640625" style="279" customWidth="1"/>
    <col min="9007" max="9007" width="7.88671875" style="279" customWidth="1"/>
    <col min="9008" max="9008" width="9" style="279" customWidth="1"/>
    <col min="9009" max="9009" width="7" style="279" customWidth="1"/>
    <col min="9010" max="9010" width="14" style="279" customWidth="1"/>
    <col min="9011" max="9011" width="10.33203125" style="279" customWidth="1"/>
    <col min="9012" max="9012" width="14.44140625" style="279" customWidth="1"/>
    <col min="9013" max="9015" width="13.6640625" style="279" customWidth="1"/>
    <col min="9016" max="9023" width="11.44140625" style="279"/>
    <col min="9024" max="9024" width="15.5546875" style="279" customWidth="1"/>
    <col min="9025" max="9025" width="28.109375" style="279" customWidth="1"/>
    <col min="9026" max="9055" width="11.44140625" style="279"/>
    <col min="9056" max="9056" width="14.6640625" style="279" customWidth="1"/>
    <col min="9057" max="9057" width="11.44140625" style="279"/>
    <col min="9058" max="9058" width="16.33203125" style="279" customWidth="1"/>
    <col min="9059" max="9059" width="16.44140625" style="279" customWidth="1"/>
    <col min="9060" max="9217" width="11.44140625" style="279"/>
    <col min="9218" max="9218" width="11.109375" style="279" customWidth="1"/>
    <col min="9219" max="9219" width="34.5546875" style="279" customWidth="1"/>
    <col min="9220" max="9236" width="10.6640625" style="279" customWidth="1"/>
    <col min="9237" max="9249" width="0" style="279" hidden="1" customWidth="1"/>
    <col min="9250" max="9250" width="10.6640625" style="279" customWidth="1"/>
    <col min="9251" max="9251" width="11.44140625" style="279"/>
    <col min="9252" max="9252" width="11.88671875" style="279" customWidth="1"/>
    <col min="9253" max="9253" width="6" style="279" customWidth="1"/>
    <col min="9254" max="9254" width="5.44140625" style="279" customWidth="1"/>
    <col min="9255" max="9255" width="6.88671875" style="279" customWidth="1"/>
    <col min="9256" max="9256" width="10.88671875" style="279" customWidth="1"/>
    <col min="9257" max="9257" width="6.6640625" style="279" customWidth="1"/>
    <col min="9258" max="9258" width="8.33203125" style="279" customWidth="1"/>
    <col min="9259" max="9259" width="10.44140625" style="279" customWidth="1"/>
    <col min="9260" max="9260" width="9.44140625" style="279" customWidth="1"/>
    <col min="9261" max="9261" width="5.44140625" style="279" customWidth="1"/>
    <col min="9262" max="9262" width="11.6640625" style="279" customWidth="1"/>
    <col min="9263" max="9263" width="7.88671875" style="279" customWidth="1"/>
    <col min="9264" max="9264" width="9" style="279" customWidth="1"/>
    <col min="9265" max="9265" width="7" style="279" customWidth="1"/>
    <col min="9266" max="9266" width="14" style="279" customWidth="1"/>
    <col min="9267" max="9267" width="10.33203125" style="279" customWidth="1"/>
    <col min="9268" max="9268" width="14.44140625" style="279" customWidth="1"/>
    <col min="9269" max="9271" width="13.6640625" style="279" customWidth="1"/>
    <col min="9272" max="9279" width="11.44140625" style="279"/>
    <col min="9280" max="9280" width="15.5546875" style="279" customWidth="1"/>
    <col min="9281" max="9281" width="28.109375" style="279" customWidth="1"/>
    <col min="9282" max="9311" width="11.44140625" style="279"/>
    <col min="9312" max="9312" width="14.6640625" style="279" customWidth="1"/>
    <col min="9313" max="9313" width="11.44140625" style="279"/>
    <col min="9314" max="9314" width="16.33203125" style="279" customWidth="1"/>
    <col min="9315" max="9315" width="16.44140625" style="279" customWidth="1"/>
    <col min="9316" max="9473" width="11.44140625" style="279"/>
    <col min="9474" max="9474" width="11.109375" style="279" customWidth="1"/>
    <col min="9475" max="9475" width="34.5546875" style="279" customWidth="1"/>
    <col min="9476" max="9492" width="10.6640625" style="279" customWidth="1"/>
    <col min="9493" max="9505" width="0" style="279" hidden="1" customWidth="1"/>
    <col min="9506" max="9506" width="10.6640625" style="279" customWidth="1"/>
    <col min="9507" max="9507" width="11.44140625" style="279"/>
    <col min="9508" max="9508" width="11.88671875" style="279" customWidth="1"/>
    <col min="9509" max="9509" width="6" style="279" customWidth="1"/>
    <col min="9510" max="9510" width="5.44140625" style="279" customWidth="1"/>
    <col min="9511" max="9511" width="6.88671875" style="279" customWidth="1"/>
    <col min="9512" max="9512" width="10.88671875" style="279" customWidth="1"/>
    <col min="9513" max="9513" width="6.6640625" style="279" customWidth="1"/>
    <col min="9514" max="9514" width="8.33203125" style="279" customWidth="1"/>
    <col min="9515" max="9515" width="10.44140625" style="279" customWidth="1"/>
    <col min="9516" max="9516" width="9.44140625" style="279" customWidth="1"/>
    <col min="9517" max="9517" width="5.44140625" style="279" customWidth="1"/>
    <col min="9518" max="9518" width="11.6640625" style="279" customWidth="1"/>
    <col min="9519" max="9519" width="7.88671875" style="279" customWidth="1"/>
    <col min="9520" max="9520" width="9" style="279" customWidth="1"/>
    <col min="9521" max="9521" width="7" style="279" customWidth="1"/>
    <col min="9522" max="9522" width="14" style="279" customWidth="1"/>
    <col min="9523" max="9523" width="10.33203125" style="279" customWidth="1"/>
    <col min="9524" max="9524" width="14.44140625" style="279" customWidth="1"/>
    <col min="9525" max="9527" width="13.6640625" style="279" customWidth="1"/>
    <col min="9528" max="9535" width="11.44140625" style="279"/>
    <col min="9536" max="9536" width="15.5546875" style="279" customWidth="1"/>
    <col min="9537" max="9537" width="28.109375" style="279" customWidth="1"/>
    <col min="9538" max="9567" width="11.44140625" style="279"/>
    <col min="9568" max="9568" width="14.6640625" style="279" customWidth="1"/>
    <col min="9569" max="9569" width="11.44140625" style="279"/>
    <col min="9570" max="9570" width="16.33203125" style="279" customWidth="1"/>
    <col min="9571" max="9571" width="16.44140625" style="279" customWidth="1"/>
    <col min="9572" max="9729" width="11.44140625" style="279"/>
    <col min="9730" max="9730" width="11.109375" style="279" customWidth="1"/>
    <col min="9731" max="9731" width="34.5546875" style="279" customWidth="1"/>
    <col min="9732" max="9748" width="10.6640625" style="279" customWidth="1"/>
    <col min="9749" max="9761" width="0" style="279" hidden="1" customWidth="1"/>
    <col min="9762" max="9762" width="10.6640625" style="279" customWidth="1"/>
    <col min="9763" max="9763" width="11.44140625" style="279"/>
    <col min="9764" max="9764" width="11.88671875" style="279" customWidth="1"/>
    <col min="9765" max="9765" width="6" style="279" customWidth="1"/>
    <col min="9766" max="9766" width="5.44140625" style="279" customWidth="1"/>
    <col min="9767" max="9767" width="6.88671875" style="279" customWidth="1"/>
    <col min="9768" max="9768" width="10.88671875" style="279" customWidth="1"/>
    <col min="9769" max="9769" width="6.6640625" style="279" customWidth="1"/>
    <col min="9770" max="9770" width="8.33203125" style="279" customWidth="1"/>
    <col min="9771" max="9771" width="10.44140625" style="279" customWidth="1"/>
    <col min="9772" max="9772" width="9.44140625" style="279" customWidth="1"/>
    <col min="9773" max="9773" width="5.44140625" style="279" customWidth="1"/>
    <col min="9774" max="9774" width="11.6640625" style="279" customWidth="1"/>
    <col min="9775" max="9775" width="7.88671875" style="279" customWidth="1"/>
    <col min="9776" max="9776" width="9" style="279" customWidth="1"/>
    <col min="9777" max="9777" width="7" style="279" customWidth="1"/>
    <col min="9778" max="9778" width="14" style="279" customWidth="1"/>
    <col min="9779" max="9779" width="10.33203125" style="279" customWidth="1"/>
    <col min="9780" max="9780" width="14.44140625" style="279" customWidth="1"/>
    <col min="9781" max="9783" width="13.6640625" style="279" customWidth="1"/>
    <col min="9784" max="9791" width="11.44140625" style="279"/>
    <col min="9792" max="9792" width="15.5546875" style="279" customWidth="1"/>
    <col min="9793" max="9793" width="28.109375" style="279" customWidth="1"/>
    <col min="9794" max="9823" width="11.44140625" style="279"/>
    <col min="9824" max="9824" width="14.6640625" style="279" customWidth="1"/>
    <col min="9825" max="9825" width="11.44140625" style="279"/>
    <col min="9826" max="9826" width="16.33203125" style="279" customWidth="1"/>
    <col min="9827" max="9827" width="16.44140625" style="279" customWidth="1"/>
    <col min="9828" max="9985" width="11.44140625" style="279"/>
    <col min="9986" max="9986" width="11.109375" style="279" customWidth="1"/>
    <col min="9987" max="9987" width="34.5546875" style="279" customWidth="1"/>
    <col min="9988" max="10004" width="10.6640625" style="279" customWidth="1"/>
    <col min="10005" max="10017" width="0" style="279" hidden="1" customWidth="1"/>
    <col min="10018" max="10018" width="10.6640625" style="279" customWidth="1"/>
    <col min="10019" max="10019" width="11.44140625" style="279"/>
    <col min="10020" max="10020" width="11.88671875" style="279" customWidth="1"/>
    <col min="10021" max="10021" width="6" style="279" customWidth="1"/>
    <col min="10022" max="10022" width="5.44140625" style="279" customWidth="1"/>
    <col min="10023" max="10023" width="6.88671875" style="279" customWidth="1"/>
    <col min="10024" max="10024" width="10.88671875" style="279" customWidth="1"/>
    <col min="10025" max="10025" width="6.6640625" style="279" customWidth="1"/>
    <col min="10026" max="10026" width="8.33203125" style="279" customWidth="1"/>
    <col min="10027" max="10027" width="10.44140625" style="279" customWidth="1"/>
    <col min="10028" max="10028" width="9.44140625" style="279" customWidth="1"/>
    <col min="10029" max="10029" width="5.44140625" style="279" customWidth="1"/>
    <col min="10030" max="10030" width="11.6640625" style="279" customWidth="1"/>
    <col min="10031" max="10031" width="7.88671875" style="279" customWidth="1"/>
    <col min="10032" max="10032" width="9" style="279" customWidth="1"/>
    <col min="10033" max="10033" width="7" style="279" customWidth="1"/>
    <col min="10034" max="10034" width="14" style="279" customWidth="1"/>
    <col min="10035" max="10035" width="10.33203125" style="279" customWidth="1"/>
    <col min="10036" max="10036" width="14.44140625" style="279" customWidth="1"/>
    <col min="10037" max="10039" width="13.6640625" style="279" customWidth="1"/>
    <col min="10040" max="10047" width="11.44140625" style="279"/>
    <col min="10048" max="10048" width="15.5546875" style="279" customWidth="1"/>
    <col min="10049" max="10049" width="28.109375" style="279" customWidth="1"/>
    <col min="10050" max="10079" width="11.44140625" style="279"/>
    <col min="10080" max="10080" width="14.6640625" style="279" customWidth="1"/>
    <col min="10081" max="10081" width="11.44140625" style="279"/>
    <col min="10082" max="10082" width="16.33203125" style="279" customWidth="1"/>
    <col min="10083" max="10083" width="16.44140625" style="279" customWidth="1"/>
    <col min="10084" max="10241" width="11.44140625" style="279"/>
    <col min="10242" max="10242" width="11.109375" style="279" customWidth="1"/>
    <col min="10243" max="10243" width="34.5546875" style="279" customWidth="1"/>
    <col min="10244" max="10260" width="10.6640625" style="279" customWidth="1"/>
    <col min="10261" max="10273" width="0" style="279" hidden="1" customWidth="1"/>
    <col min="10274" max="10274" width="10.6640625" style="279" customWidth="1"/>
    <col min="10275" max="10275" width="11.44140625" style="279"/>
    <col min="10276" max="10276" width="11.88671875" style="279" customWidth="1"/>
    <col min="10277" max="10277" width="6" style="279" customWidth="1"/>
    <col min="10278" max="10278" width="5.44140625" style="279" customWidth="1"/>
    <col min="10279" max="10279" width="6.88671875" style="279" customWidth="1"/>
    <col min="10280" max="10280" width="10.88671875" style="279" customWidth="1"/>
    <col min="10281" max="10281" width="6.6640625" style="279" customWidth="1"/>
    <col min="10282" max="10282" width="8.33203125" style="279" customWidth="1"/>
    <col min="10283" max="10283" width="10.44140625" style="279" customWidth="1"/>
    <col min="10284" max="10284" width="9.44140625" style="279" customWidth="1"/>
    <col min="10285" max="10285" width="5.44140625" style="279" customWidth="1"/>
    <col min="10286" max="10286" width="11.6640625" style="279" customWidth="1"/>
    <col min="10287" max="10287" width="7.88671875" style="279" customWidth="1"/>
    <col min="10288" max="10288" width="9" style="279" customWidth="1"/>
    <col min="10289" max="10289" width="7" style="279" customWidth="1"/>
    <col min="10290" max="10290" width="14" style="279" customWidth="1"/>
    <col min="10291" max="10291" width="10.33203125" style="279" customWidth="1"/>
    <col min="10292" max="10292" width="14.44140625" style="279" customWidth="1"/>
    <col min="10293" max="10295" width="13.6640625" style="279" customWidth="1"/>
    <col min="10296" max="10303" width="11.44140625" style="279"/>
    <col min="10304" max="10304" width="15.5546875" style="279" customWidth="1"/>
    <col min="10305" max="10305" width="28.109375" style="279" customWidth="1"/>
    <col min="10306" max="10335" width="11.44140625" style="279"/>
    <col min="10336" max="10336" width="14.6640625" style="279" customWidth="1"/>
    <col min="10337" max="10337" width="11.44140625" style="279"/>
    <col min="10338" max="10338" width="16.33203125" style="279" customWidth="1"/>
    <col min="10339" max="10339" width="16.44140625" style="279" customWidth="1"/>
    <col min="10340" max="10497" width="11.44140625" style="279"/>
    <col min="10498" max="10498" width="11.109375" style="279" customWidth="1"/>
    <col min="10499" max="10499" width="34.5546875" style="279" customWidth="1"/>
    <col min="10500" max="10516" width="10.6640625" style="279" customWidth="1"/>
    <col min="10517" max="10529" width="0" style="279" hidden="1" customWidth="1"/>
    <col min="10530" max="10530" width="10.6640625" style="279" customWidth="1"/>
    <col min="10531" max="10531" width="11.44140625" style="279"/>
    <col min="10532" max="10532" width="11.88671875" style="279" customWidth="1"/>
    <col min="10533" max="10533" width="6" style="279" customWidth="1"/>
    <col min="10534" max="10534" width="5.44140625" style="279" customWidth="1"/>
    <col min="10535" max="10535" width="6.88671875" style="279" customWidth="1"/>
    <col min="10536" max="10536" width="10.88671875" style="279" customWidth="1"/>
    <col min="10537" max="10537" width="6.6640625" style="279" customWidth="1"/>
    <col min="10538" max="10538" width="8.33203125" style="279" customWidth="1"/>
    <col min="10539" max="10539" width="10.44140625" style="279" customWidth="1"/>
    <col min="10540" max="10540" width="9.44140625" style="279" customWidth="1"/>
    <col min="10541" max="10541" width="5.44140625" style="279" customWidth="1"/>
    <col min="10542" max="10542" width="11.6640625" style="279" customWidth="1"/>
    <col min="10543" max="10543" width="7.88671875" style="279" customWidth="1"/>
    <col min="10544" max="10544" width="9" style="279" customWidth="1"/>
    <col min="10545" max="10545" width="7" style="279" customWidth="1"/>
    <col min="10546" max="10546" width="14" style="279" customWidth="1"/>
    <col min="10547" max="10547" width="10.33203125" style="279" customWidth="1"/>
    <col min="10548" max="10548" width="14.44140625" style="279" customWidth="1"/>
    <col min="10549" max="10551" width="13.6640625" style="279" customWidth="1"/>
    <col min="10552" max="10559" width="11.44140625" style="279"/>
    <col min="10560" max="10560" width="15.5546875" style="279" customWidth="1"/>
    <col min="10561" max="10561" width="28.109375" style="279" customWidth="1"/>
    <col min="10562" max="10591" width="11.44140625" style="279"/>
    <col min="10592" max="10592" width="14.6640625" style="279" customWidth="1"/>
    <col min="10593" max="10593" width="11.44140625" style="279"/>
    <col min="10594" max="10594" width="16.33203125" style="279" customWidth="1"/>
    <col min="10595" max="10595" width="16.44140625" style="279" customWidth="1"/>
    <col min="10596" max="10753" width="11.44140625" style="279"/>
    <col min="10754" max="10754" width="11.109375" style="279" customWidth="1"/>
    <col min="10755" max="10755" width="34.5546875" style="279" customWidth="1"/>
    <col min="10756" max="10772" width="10.6640625" style="279" customWidth="1"/>
    <col min="10773" max="10785" width="0" style="279" hidden="1" customWidth="1"/>
    <col min="10786" max="10786" width="10.6640625" style="279" customWidth="1"/>
    <col min="10787" max="10787" width="11.44140625" style="279"/>
    <col min="10788" max="10788" width="11.88671875" style="279" customWidth="1"/>
    <col min="10789" max="10789" width="6" style="279" customWidth="1"/>
    <col min="10790" max="10790" width="5.44140625" style="279" customWidth="1"/>
    <col min="10791" max="10791" width="6.88671875" style="279" customWidth="1"/>
    <col min="10792" max="10792" width="10.88671875" style="279" customWidth="1"/>
    <col min="10793" max="10793" width="6.6640625" style="279" customWidth="1"/>
    <col min="10794" max="10794" width="8.33203125" style="279" customWidth="1"/>
    <col min="10795" max="10795" width="10.44140625" style="279" customWidth="1"/>
    <col min="10796" max="10796" width="9.44140625" style="279" customWidth="1"/>
    <col min="10797" max="10797" width="5.44140625" style="279" customWidth="1"/>
    <col min="10798" max="10798" width="11.6640625" style="279" customWidth="1"/>
    <col min="10799" max="10799" width="7.88671875" style="279" customWidth="1"/>
    <col min="10800" max="10800" width="9" style="279" customWidth="1"/>
    <col min="10801" max="10801" width="7" style="279" customWidth="1"/>
    <col min="10802" max="10802" width="14" style="279" customWidth="1"/>
    <col min="10803" max="10803" width="10.33203125" style="279" customWidth="1"/>
    <col min="10804" max="10804" width="14.44140625" style="279" customWidth="1"/>
    <col min="10805" max="10807" width="13.6640625" style="279" customWidth="1"/>
    <col min="10808" max="10815" width="11.44140625" style="279"/>
    <col min="10816" max="10816" width="15.5546875" style="279" customWidth="1"/>
    <col min="10817" max="10817" width="28.109375" style="279" customWidth="1"/>
    <col min="10818" max="10847" width="11.44140625" style="279"/>
    <col min="10848" max="10848" width="14.6640625" style="279" customWidth="1"/>
    <col min="10849" max="10849" width="11.44140625" style="279"/>
    <col min="10850" max="10850" width="16.33203125" style="279" customWidth="1"/>
    <col min="10851" max="10851" width="16.44140625" style="279" customWidth="1"/>
    <col min="10852" max="11009" width="11.44140625" style="279"/>
    <col min="11010" max="11010" width="11.109375" style="279" customWidth="1"/>
    <col min="11011" max="11011" width="34.5546875" style="279" customWidth="1"/>
    <col min="11012" max="11028" width="10.6640625" style="279" customWidth="1"/>
    <col min="11029" max="11041" width="0" style="279" hidden="1" customWidth="1"/>
    <col min="11042" max="11042" width="10.6640625" style="279" customWidth="1"/>
    <col min="11043" max="11043" width="11.44140625" style="279"/>
    <col min="11044" max="11044" width="11.88671875" style="279" customWidth="1"/>
    <col min="11045" max="11045" width="6" style="279" customWidth="1"/>
    <col min="11046" max="11046" width="5.44140625" style="279" customWidth="1"/>
    <col min="11047" max="11047" width="6.88671875" style="279" customWidth="1"/>
    <col min="11048" max="11048" width="10.88671875" style="279" customWidth="1"/>
    <col min="11049" max="11049" width="6.6640625" style="279" customWidth="1"/>
    <col min="11050" max="11050" width="8.33203125" style="279" customWidth="1"/>
    <col min="11051" max="11051" width="10.44140625" style="279" customWidth="1"/>
    <col min="11052" max="11052" width="9.44140625" style="279" customWidth="1"/>
    <col min="11053" max="11053" width="5.44140625" style="279" customWidth="1"/>
    <col min="11054" max="11054" width="11.6640625" style="279" customWidth="1"/>
    <col min="11055" max="11055" width="7.88671875" style="279" customWidth="1"/>
    <col min="11056" max="11056" width="9" style="279" customWidth="1"/>
    <col min="11057" max="11057" width="7" style="279" customWidth="1"/>
    <col min="11058" max="11058" width="14" style="279" customWidth="1"/>
    <col min="11059" max="11059" width="10.33203125" style="279" customWidth="1"/>
    <col min="11060" max="11060" width="14.44140625" style="279" customWidth="1"/>
    <col min="11061" max="11063" width="13.6640625" style="279" customWidth="1"/>
    <col min="11064" max="11071" width="11.44140625" style="279"/>
    <col min="11072" max="11072" width="15.5546875" style="279" customWidth="1"/>
    <col min="11073" max="11073" width="28.109375" style="279" customWidth="1"/>
    <col min="11074" max="11103" width="11.44140625" style="279"/>
    <col min="11104" max="11104" width="14.6640625" style="279" customWidth="1"/>
    <col min="11105" max="11105" width="11.44140625" style="279"/>
    <col min="11106" max="11106" width="16.33203125" style="279" customWidth="1"/>
    <col min="11107" max="11107" width="16.44140625" style="279" customWidth="1"/>
    <col min="11108" max="11265" width="11.44140625" style="279"/>
    <col min="11266" max="11266" width="11.109375" style="279" customWidth="1"/>
    <col min="11267" max="11267" width="34.5546875" style="279" customWidth="1"/>
    <col min="11268" max="11284" width="10.6640625" style="279" customWidth="1"/>
    <col min="11285" max="11297" width="0" style="279" hidden="1" customWidth="1"/>
    <col min="11298" max="11298" width="10.6640625" style="279" customWidth="1"/>
    <col min="11299" max="11299" width="11.44140625" style="279"/>
    <col min="11300" max="11300" width="11.88671875" style="279" customWidth="1"/>
    <col min="11301" max="11301" width="6" style="279" customWidth="1"/>
    <col min="11302" max="11302" width="5.44140625" style="279" customWidth="1"/>
    <col min="11303" max="11303" width="6.88671875" style="279" customWidth="1"/>
    <col min="11304" max="11304" width="10.88671875" style="279" customWidth="1"/>
    <col min="11305" max="11305" width="6.6640625" style="279" customWidth="1"/>
    <col min="11306" max="11306" width="8.33203125" style="279" customWidth="1"/>
    <col min="11307" max="11307" width="10.44140625" style="279" customWidth="1"/>
    <col min="11308" max="11308" width="9.44140625" style="279" customWidth="1"/>
    <col min="11309" max="11309" width="5.44140625" style="279" customWidth="1"/>
    <col min="11310" max="11310" width="11.6640625" style="279" customWidth="1"/>
    <col min="11311" max="11311" width="7.88671875" style="279" customWidth="1"/>
    <col min="11312" max="11312" width="9" style="279" customWidth="1"/>
    <col min="11313" max="11313" width="7" style="279" customWidth="1"/>
    <col min="11314" max="11314" width="14" style="279" customWidth="1"/>
    <col min="11315" max="11315" width="10.33203125" style="279" customWidth="1"/>
    <col min="11316" max="11316" width="14.44140625" style="279" customWidth="1"/>
    <col min="11317" max="11319" width="13.6640625" style="279" customWidth="1"/>
    <col min="11320" max="11327" width="11.44140625" style="279"/>
    <col min="11328" max="11328" width="15.5546875" style="279" customWidth="1"/>
    <col min="11329" max="11329" width="28.109375" style="279" customWidth="1"/>
    <col min="11330" max="11359" width="11.44140625" style="279"/>
    <col min="11360" max="11360" width="14.6640625" style="279" customWidth="1"/>
    <col min="11361" max="11361" width="11.44140625" style="279"/>
    <col min="11362" max="11362" width="16.33203125" style="279" customWidth="1"/>
    <col min="11363" max="11363" width="16.44140625" style="279" customWidth="1"/>
    <col min="11364" max="11521" width="11.44140625" style="279"/>
    <col min="11522" max="11522" width="11.109375" style="279" customWidth="1"/>
    <col min="11523" max="11523" width="34.5546875" style="279" customWidth="1"/>
    <col min="11524" max="11540" width="10.6640625" style="279" customWidth="1"/>
    <col min="11541" max="11553" width="0" style="279" hidden="1" customWidth="1"/>
    <col min="11554" max="11554" width="10.6640625" style="279" customWidth="1"/>
    <col min="11555" max="11555" width="11.44140625" style="279"/>
    <col min="11556" max="11556" width="11.88671875" style="279" customWidth="1"/>
    <col min="11557" max="11557" width="6" style="279" customWidth="1"/>
    <col min="11558" max="11558" width="5.44140625" style="279" customWidth="1"/>
    <col min="11559" max="11559" width="6.88671875" style="279" customWidth="1"/>
    <col min="11560" max="11560" width="10.88671875" style="279" customWidth="1"/>
    <col min="11561" max="11561" width="6.6640625" style="279" customWidth="1"/>
    <col min="11562" max="11562" width="8.33203125" style="279" customWidth="1"/>
    <col min="11563" max="11563" width="10.44140625" style="279" customWidth="1"/>
    <col min="11564" max="11564" width="9.44140625" style="279" customWidth="1"/>
    <col min="11565" max="11565" width="5.44140625" style="279" customWidth="1"/>
    <col min="11566" max="11566" width="11.6640625" style="279" customWidth="1"/>
    <col min="11567" max="11567" width="7.88671875" style="279" customWidth="1"/>
    <col min="11568" max="11568" width="9" style="279" customWidth="1"/>
    <col min="11569" max="11569" width="7" style="279" customWidth="1"/>
    <col min="11570" max="11570" width="14" style="279" customWidth="1"/>
    <col min="11571" max="11571" width="10.33203125" style="279" customWidth="1"/>
    <col min="11572" max="11572" width="14.44140625" style="279" customWidth="1"/>
    <col min="11573" max="11575" width="13.6640625" style="279" customWidth="1"/>
    <col min="11576" max="11583" width="11.44140625" style="279"/>
    <col min="11584" max="11584" width="15.5546875" style="279" customWidth="1"/>
    <col min="11585" max="11585" width="28.109375" style="279" customWidth="1"/>
    <col min="11586" max="11615" width="11.44140625" style="279"/>
    <col min="11616" max="11616" width="14.6640625" style="279" customWidth="1"/>
    <col min="11617" max="11617" width="11.44140625" style="279"/>
    <col min="11618" max="11618" width="16.33203125" style="279" customWidth="1"/>
    <col min="11619" max="11619" width="16.44140625" style="279" customWidth="1"/>
    <col min="11620" max="11777" width="11.44140625" style="279"/>
    <col min="11778" max="11778" width="11.109375" style="279" customWidth="1"/>
    <col min="11779" max="11779" width="34.5546875" style="279" customWidth="1"/>
    <col min="11780" max="11796" width="10.6640625" style="279" customWidth="1"/>
    <col min="11797" max="11809" width="0" style="279" hidden="1" customWidth="1"/>
    <col min="11810" max="11810" width="10.6640625" style="279" customWidth="1"/>
    <col min="11811" max="11811" width="11.44140625" style="279"/>
    <col min="11812" max="11812" width="11.88671875" style="279" customWidth="1"/>
    <col min="11813" max="11813" width="6" style="279" customWidth="1"/>
    <col min="11814" max="11814" width="5.44140625" style="279" customWidth="1"/>
    <col min="11815" max="11815" width="6.88671875" style="279" customWidth="1"/>
    <col min="11816" max="11816" width="10.88671875" style="279" customWidth="1"/>
    <col min="11817" max="11817" width="6.6640625" style="279" customWidth="1"/>
    <col min="11818" max="11818" width="8.33203125" style="279" customWidth="1"/>
    <col min="11819" max="11819" width="10.44140625" style="279" customWidth="1"/>
    <col min="11820" max="11820" width="9.44140625" style="279" customWidth="1"/>
    <col min="11821" max="11821" width="5.44140625" style="279" customWidth="1"/>
    <col min="11822" max="11822" width="11.6640625" style="279" customWidth="1"/>
    <col min="11823" max="11823" width="7.88671875" style="279" customWidth="1"/>
    <col min="11824" max="11824" width="9" style="279" customWidth="1"/>
    <col min="11825" max="11825" width="7" style="279" customWidth="1"/>
    <col min="11826" max="11826" width="14" style="279" customWidth="1"/>
    <col min="11827" max="11827" width="10.33203125" style="279" customWidth="1"/>
    <col min="11828" max="11828" width="14.44140625" style="279" customWidth="1"/>
    <col min="11829" max="11831" width="13.6640625" style="279" customWidth="1"/>
    <col min="11832" max="11839" width="11.44140625" style="279"/>
    <col min="11840" max="11840" width="15.5546875" style="279" customWidth="1"/>
    <col min="11841" max="11841" width="28.109375" style="279" customWidth="1"/>
    <col min="11842" max="11871" width="11.44140625" style="279"/>
    <col min="11872" max="11872" width="14.6640625" style="279" customWidth="1"/>
    <col min="11873" max="11873" width="11.44140625" style="279"/>
    <col min="11874" max="11874" width="16.33203125" style="279" customWidth="1"/>
    <col min="11875" max="11875" width="16.44140625" style="279" customWidth="1"/>
    <col min="11876" max="12033" width="11.44140625" style="279"/>
    <col min="12034" max="12034" width="11.109375" style="279" customWidth="1"/>
    <col min="12035" max="12035" width="34.5546875" style="279" customWidth="1"/>
    <col min="12036" max="12052" width="10.6640625" style="279" customWidth="1"/>
    <col min="12053" max="12065" width="0" style="279" hidden="1" customWidth="1"/>
    <col min="12066" max="12066" width="10.6640625" style="279" customWidth="1"/>
    <col min="12067" max="12067" width="11.44140625" style="279"/>
    <col min="12068" max="12068" width="11.88671875" style="279" customWidth="1"/>
    <col min="12069" max="12069" width="6" style="279" customWidth="1"/>
    <col min="12070" max="12070" width="5.44140625" style="279" customWidth="1"/>
    <col min="12071" max="12071" width="6.88671875" style="279" customWidth="1"/>
    <col min="12072" max="12072" width="10.88671875" style="279" customWidth="1"/>
    <col min="12073" max="12073" width="6.6640625" style="279" customWidth="1"/>
    <col min="12074" max="12074" width="8.33203125" style="279" customWidth="1"/>
    <col min="12075" max="12075" width="10.44140625" style="279" customWidth="1"/>
    <col min="12076" max="12076" width="9.44140625" style="279" customWidth="1"/>
    <col min="12077" max="12077" width="5.44140625" style="279" customWidth="1"/>
    <col min="12078" max="12078" width="11.6640625" style="279" customWidth="1"/>
    <col min="12079" max="12079" width="7.88671875" style="279" customWidth="1"/>
    <col min="12080" max="12080" width="9" style="279" customWidth="1"/>
    <col min="12081" max="12081" width="7" style="279" customWidth="1"/>
    <col min="12082" max="12082" width="14" style="279" customWidth="1"/>
    <col min="12083" max="12083" width="10.33203125" style="279" customWidth="1"/>
    <col min="12084" max="12084" width="14.44140625" style="279" customWidth="1"/>
    <col min="12085" max="12087" width="13.6640625" style="279" customWidth="1"/>
    <col min="12088" max="12095" width="11.44140625" style="279"/>
    <col min="12096" max="12096" width="15.5546875" style="279" customWidth="1"/>
    <col min="12097" max="12097" width="28.109375" style="279" customWidth="1"/>
    <col min="12098" max="12127" width="11.44140625" style="279"/>
    <col min="12128" max="12128" width="14.6640625" style="279" customWidth="1"/>
    <col min="12129" max="12129" width="11.44140625" style="279"/>
    <col min="12130" max="12130" width="16.33203125" style="279" customWidth="1"/>
    <col min="12131" max="12131" width="16.44140625" style="279" customWidth="1"/>
    <col min="12132" max="12289" width="11.44140625" style="279"/>
    <col min="12290" max="12290" width="11.109375" style="279" customWidth="1"/>
    <col min="12291" max="12291" width="34.5546875" style="279" customWidth="1"/>
    <col min="12292" max="12308" width="10.6640625" style="279" customWidth="1"/>
    <col min="12309" max="12321" width="0" style="279" hidden="1" customWidth="1"/>
    <col min="12322" max="12322" width="10.6640625" style="279" customWidth="1"/>
    <col min="12323" max="12323" width="11.44140625" style="279"/>
    <col min="12324" max="12324" width="11.88671875" style="279" customWidth="1"/>
    <col min="12325" max="12325" width="6" style="279" customWidth="1"/>
    <col min="12326" max="12326" width="5.44140625" style="279" customWidth="1"/>
    <col min="12327" max="12327" width="6.88671875" style="279" customWidth="1"/>
    <col min="12328" max="12328" width="10.88671875" style="279" customWidth="1"/>
    <col min="12329" max="12329" width="6.6640625" style="279" customWidth="1"/>
    <col min="12330" max="12330" width="8.33203125" style="279" customWidth="1"/>
    <col min="12331" max="12331" width="10.44140625" style="279" customWidth="1"/>
    <col min="12332" max="12332" width="9.44140625" style="279" customWidth="1"/>
    <col min="12333" max="12333" width="5.44140625" style="279" customWidth="1"/>
    <col min="12334" max="12334" width="11.6640625" style="279" customWidth="1"/>
    <col min="12335" max="12335" width="7.88671875" style="279" customWidth="1"/>
    <col min="12336" max="12336" width="9" style="279" customWidth="1"/>
    <col min="12337" max="12337" width="7" style="279" customWidth="1"/>
    <col min="12338" max="12338" width="14" style="279" customWidth="1"/>
    <col min="12339" max="12339" width="10.33203125" style="279" customWidth="1"/>
    <col min="12340" max="12340" width="14.44140625" style="279" customWidth="1"/>
    <col min="12341" max="12343" width="13.6640625" style="279" customWidth="1"/>
    <col min="12344" max="12351" width="11.44140625" style="279"/>
    <col min="12352" max="12352" width="15.5546875" style="279" customWidth="1"/>
    <col min="12353" max="12353" width="28.109375" style="279" customWidth="1"/>
    <col min="12354" max="12383" width="11.44140625" style="279"/>
    <col min="12384" max="12384" width="14.6640625" style="279" customWidth="1"/>
    <col min="12385" max="12385" width="11.44140625" style="279"/>
    <col min="12386" max="12386" width="16.33203125" style="279" customWidth="1"/>
    <col min="12387" max="12387" width="16.44140625" style="279" customWidth="1"/>
    <col min="12388" max="12545" width="11.44140625" style="279"/>
    <col min="12546" max="12546" width="11.109375" style="279" customWidth="1"/>
    <col min="12547" max="12547" width="34.5546875" style="279" customWidth="1"/>
    <col min="12548" max="12564" width="10.6640625" style="279" customWidth="1"/>
    <col min="12565" max="12577" width="0" style="279" hidden="1" customWidth="1"/>
    <col min="12578" max="12578" width="10.6640625" style="279" customWidth="1"/>
    <col min="12579" max="12579" width="11.44140625" style="279"/>
    <col min="12580" max="12580" width="11.88671875" style="279" customWidth="1"/>
    <col min="12581" max="12581" width="6" style="279" customWidth="1"/>
    <col min="12582" max="12582" width="5.44140625" style="279" customWidth="1"/>
    <col min="12583" max="12583" width="6.88671875" style="279" customWidth="1"/>
    <col min="12584" max="12584" width="10.88671875" style="279" customWidth="1"/>
    <col min="12585" max="12585" width="6.6640625" style="279" customWidth="1"/>
    <col min="12586" max="12586" width="8.33203125" style="279" customWidth="1"/>
    <col min="12587" max="12587" width="10.44140625" style="279" customWidth="1"/>
    <col min="12588" max="12588" width="9.44140625" style="279" customWidth="1"/>
    <col min="12589" max="12589" width="5.44140625" style="279" customWidth="1"/>
    <col min="12590" max="12590" width="11.6640625" style="279" customWidth="1"/>
    <col min="12591" max="12591" width="7.88671875" style="279" customWidth="1"/>
    <col min="12592" max="12592" width="9" style="279" customWidth="1"/>
    <col min="12593" max="12593" width="7" style="279" customWidth="1"/>
    <col min="12594" max="12594" width="14" style="279" customWidth="1"/>
    <col min="12595" max="12595" width="10.33203125" style="279" customWidth="1"/>
    <col min="12596" max="12596" width="14.44140625" style="279" customWidth="1"/>
    <col min="12597" max="12599" width="13.6640625" style="279" customWidth="1"/>
    <col min="12600" max="12607" width="11.44140625" style="279"/>
    <col min="12608" max="12608" width="15.5546875" style="279" customWidth="1"/>
    <col min="12609" max="12609" width="28.109375" style="279" customWidth="1"/>
    <col min="12610" max="12639" width="11.44140625" style="279"/>
    <col min="12640" max="12640" width="14.6640625" style="279" customWidth="1"/>
    <col min="12641" max="12641" width="11.44140625" style="279"/>
    <col min="12642" max="12642" width="16.33203125" style="279" customWidth="1"/>
    <col min="12643" max="12643" width="16.44140625" style="279" customWidth="1"/>
    <col min="12644" max="12801" width="11.44140625" style="279"/>
    <col min="12802" max="12802" width="11.109375" style="279" customWidth="1"/>
    <col min="12803" max="12803" width="34.5546875" style="279" customWidth="1"/>
    <col min="12804" max="12820" width="10.6640625" style="279" customWidth="1"/>
    <col min="12821" max="12833" width="0" style="279" hidden="1" customWidth="1"/>
    <col min="12834" max="12834" width="10.6640625" style="279" customWidth="1"/>
    <col min="12835" max="12835" width="11.44140625" style="279"/>
    <col min="12836" max="12836" width="11.88671875" style="279" customWidth="1"/>
    <col min="12837" max="12837" width="6" style="279" customWidth="1"/>
    <col min="12838" max="12838" width="5.44140625" style="279" customWidth="1"/>
    <col min="12839" max="12839" width="6.88671875" style="279" customWidth="1"/>
    <col min="12840" max="12840" width="10.88671875" style="279" customWidth="1"/>
    <col min="12841" max="12841" width="6.6640625" style="279" customWidth="1"/>
    <col min="12842" max="12842" width="8.33203125" style="279" customWidth="1"/>
    <col min="12843" max="12843" width="10.44140625" style="279" customWidth="1"/>
    <col min="12844" max="12844" width="9.44140625" style="279" customWidth="1"/>
    <col min="12845" max="12845" width="5.44140625" style="279" customWidth="1"/>
    <col min="12846" max="12846" width="11.6640625" style="279" customWidth="1"/>
    <col min="12847" max="12847" width="7.88671875" style="279" customWidth="1"/>
    <col min="12848" max="12848" width="9" style="279" customWidth="1"/>
    <col min="12849" max="12849" width="7" style="279" customWidth="1"/>
    <col min="12850" max="12850" width="14" style="279" customWidth="1"/>
    <col min="12851" max="12851" width="10.33203125" style="279" customWidth="1"/>
    <col min="12852" max="12852" width="14.44140625" style="279" customWidth="1"/>
    <col min="12853" max="12855" width="13.6640625" style="279" customWidth="1"/>
    <col min="12856" max="12863" width="11.44140625" style="279"/>
    <col min="12864" max="12864" width="15.5546875" style="279" customWidth="1"/>
    <col min="12865" max="12865" width="28.109375" style="279" customWidth="1"/>
    <col min="12866" max="12895" width="11.44140625" style="279"/>
    <col min="12896" max="12896" width="14.6640625" style="279" customWidth="1"/>
    <col min="12897" max="12897" width="11.44140625" style="279"/>
    <col min="12898" max="12898" width="16.33203125" style="279" customWidth="1"/>
    <col min="12899" max="12899" width="16.44140625" style="279" customWidth="1"/>
    <col min="12900" max="13057" width="11.44140625" style="279"/>
    <col min="13058" max="13058" width="11.109375" style="279" customWidth="1"/>
    <col min="13059" max="13059" width="34.5546875" style="279" customWidth="1"/>
    <col min="13060" max="13076" width="10.6640625" style="279" customWidth="1"/>
    <col min="13077" max="13089" width="0" style="279" hidden="1" customWidth="1"/>
    <col min="13090" max="13090" width="10.6640625" style="279" customWidth="1"/>
    <col min="13091" max="13091" width="11.44140625" style="279"/>
    <col min="13092" max="13092" width="11.88671875" style="279" customWidth="1"/>
    <col min="13093" max="13093" width="6" style="279" customWidth="1"/>
    <col min="13094" max="13094" width="5.44140625" style="279" customWidth="1"/>
    <col min="13095" max="13095" width="6.88671875" style="279" customWidth="1"/>
    <col min="13096" max="13096" width="10.88671875" style="279" customWidth="1"/>
    <col min="13097" max="13097" width="6.6640625" style="279" customWidth="1"/>
    <col min="13098" max="13098" width="8.33203125" style="279" customWidth="1"/>
    <col min="13099" max="13099" width="10.44140625" style="279" customWidth="1"/>
    <col min="13100" max="13100" width="9.44140625" style="279" customWidth="1"/>
    <col min="13101" max="13101" width="5.44140625" style="279" customWidth="1"/>
    <col min="13102" max="13102" width="11.6640625" style="279" customWidth="1"/>
    <col min="13103" max="13103" width="7.88671875" style="279" customWidth="1"/>
    <col min="13104" max="13104" width="9" style="279" customWidth="1"/>
    <col min="13105" max="13105" width="7" style="279" customWidth="1"/>
    <col min="13106" max="13106" width="14" style="279" customWidth="1"/>
    <col min="13107" max="13107" width="10.33203125" style="279" customWidth="1"/>
    <col min="13108" max="13108" width="14.44140625" style="279" customWidth="1"/>
    <col min="13109" max="13111" width="13.6640625" style="279" customWidth="1"/>
    <col min="13112" max="13119" width="11.44140625" style="279"/>
    <col min="13120" max="13120" width="15.5546875" style="279" customWidth="1"/>
    <col min="13121" max="13121" width="28.109375" style="279" customWidth="1"/>
    <col min="13122" max="13151" width="11.44140625" style="279"/>
    <col min="13152" max="13152" width="14.6640625" style="279" customWidth="1"/>
    <col min="13153" max="13153" width="11.44140625" style="279"/>
    <col min="13154" max="13154" width="16.33203125" style="279" customWidth="1"/>
    <col min="13155" max="13155" width="16.44140625" style="279" customWidth="1"/>
    <col min="13156" max="13313" width="11.44140625" style="279"/>
    <col min="13314" max="13314" width="11.109375" style="279" customWidth="1"/>
    <col min="13315" max="13315" width="34.5546875" style="279" customWidth="1"/>
    <col min="13316" max="13332" width="10.6640625" style="279" customWidth="1"/>
    <col min="13333" max="13345" width="0" style="279" hidden="1" customWidth="1"/>
    <col min="13346" max="13346" width="10.6640625" style="279" customWidth="1"/>
    <col min="13347" max="13347" width="11.44140625" style="279"/>
    <col min="13348" max="13348" width="11.88671875" style="279" customWidth="1"/>
    <col min="13349" max="13349" width="6" style="279" customWidth="1"/>
    <col min="13350" max="13350" width="5.44140625" style="279" customWidth="1"/>
    <col min="13351" max="13351" width="6.88671875" style="279" customWidth="1"/>
    <col min="13352" max="13352" width="10.88671875" style="279" customWidth="1"/>
    <col min="13353" max="13353" width="6.6640625" style="279" customWidth="1"/>
    <col min="13354" max="13354" width="8.33203125" style="279" customWidth="1"/>
    <col min="13355" max="13355" width="10.44140625" style="279" customWidth="1"/>
    <col min="13356" max="13356" width="9.44140625" style="279" customWidth="1"/>
    <col min="13357" max="13357" width="5.44140625" style="279" customWidth="1"/>
    <col min="13358" max="13358" width="11.6640625" style="279" customWidth="1"/>
    <col min="13359" max="13359" width="7.88671875" style="279" customWidth="1"/>
    <col min="13360" max="13360" width="9" style="279" customWidth="1"/>
    <col min="13361" max="13361" width="7" style="279" customWidth="1"/>
    <col min="13362" max="13362" width="14" style="279" customWidth="1"/>
    <col min="13363" max="13363" width="10.33203125" style="279" customWidth="1"/>
    <col min="13364" max="13364" width="14.44140625" style="279" customWidth="1"/>
    <col min="13365" max="13367" width="13.6640625" style="279" customWidth="1"/>
    <col min="13368" max="13375" width="11.44140625" style="279"/>
    <col min="13376" max="13376" width="15.5546875" style="279" customWidth="1"/>
    <col min="13377" max="13377" width="28.109375" style="279" customWidth="1"/>
    <col min="13378" max="13407" width="11.44140625" style="279"/>
    <col min="13408" max="13408" width="14.6640625" style="279" customWidth="1"/>
    <col min="13409" max="13409" width="11.44140625" style="279"/>
    <col min="13410" max="13410" width="16.33203125" style="279" customWidth="1"/>
    <col min="13411" max="13411" width="16.44140625" style="279" customWidth="1"/>
    <col min="13412" max="13569" width="11.44140625" style="279"/>
    <col min="13570" max="13570" width="11.109375" style="279" customWidth="1"/>
    <col min="13571" max="13571" width="34.5546875" style="279" customWidth="1"/>
    <col min="13572" max="13588" width="10.6640625" style="279" customWidth="1"/>
    <col min="13589" max="13601" width="0" style="279" hidden="1" customWidth="1"/>
    <col min="13602" max="13602" width="10.6640625" style="279" customWidth="1"/>
    <col min="13603" max="13603" width="11.44140625" style="279"/>
    <col min="13604" max="13604" width="11.88671875" style="279" customWidth="1"/>
    <col min="13605" max="13605" width="6" style="279" customWidth="1"/>
    <col min="13606" max="13606" width="5.44140625" style="279" customWidth="1"/>
    <col min="13607" max="13607" width="6.88671875" style="279" customWidth="1"/>
    <col min="13608" max="13608" width="10.88671875" style="279" customWidth="1"/>
    <col min="13609" max="13609" width="6.6640625" style="279" customWidth="1"/>
    <col min="13610" max="13610" width="8.33203125" style="279" customWidth="1"/>
    <col min="13611" max="13611" width="10.44140625" style="279" customWidth="1"/>
    <col min="13612" max="13612" width="9.44140625" style="279" customWidth="1"/>
    <col min="13613" max="13613" width="5.44140625" style="279" customWidth="1"/>
    <col min="13614" max="13614" width="11.6640625" style="279" customWidth="1"/>
    <col min="13615" max="13615" width="7.88671875" style="279" customWidth="1"/>
    <col min="13616" max="13616" width="9" style="279" customWidth="1"/>
    <col min="13617" max="13617" width="7" style="279" customWidth="1"/>
    <col min="13618" max="13618" width="14" style="279" customWidth="1"/>
    <col min="13619" max="13619" width="10.33203125" style="279" customWidth="1"/>
    <col min="13620" max="13620" width="14.44140625" style="279" customWidth="1"/>
    <col min="13621" max="13623" width="13.6640625" style="279" customWidth="1"/>
    <col min="13624" max="13631" width="11.44140625" style="279"/>
    <col min="13632" max="13632" width="15.5546875" style="279" customWidth="1"/>
    <col min="13633" max="13633" width="28.109375" style="279" customWidth="1"/>
    <col min="13634" max="13663" width="11.44140625" style="279"/>
    <col min="13664" max="13664" width="14.6640625" style="279" customWidth="1"/>
    <col min="13665" max="13665" width="11.44140625" style="279"/>
    <col min="13666" max="13666" width="16.33203125" style="279" customWidth="1"/>
    <col min="13667" max="13667" width="16.44140625" style="279" customWidth="1"/>
    <col min="13668" max="13825" width="11.44140625" style="279"/>
    <col min="13826" max="13826" width="11.109375" style="279" customWidth="1"/>
    <col min="13827" max="13827" width="34.5546875" style="279" customWidth="1"/>
    <col min="13828" max="13844" width="10.6640625" style="279" customWidth="1"/>
    <col min="13845" max="13857" width="0" style="279" hidden="1" customWidth="1"/>
    <col min="13858" max="13858" width="10.6640625" style="279" customWidth="1"/>
    <col min="13859" max="13859" width="11.44140625" style="279"/>
    <col min="13860" max="13860" width="11.88671875" style="279" customWidth="1"/>
    <col min="13861" max="13861" width="6" style="279" customWidth="1"/>
    <col min="13862" max="13862" width="5.44140625" style="279" customWidth="1"/>
    <col min="13863" max="13863" width="6.88671875" style="279" customWidth="1"/>
    <col min="13864" max="13864" width="10.88671875" style="279" customWidth="1"/>
    <col min="13865" max="13865" width="6.6640625" style="279" customWidth="1"/>
    <col min="13866" max="13866" width="8.33203125" style="279" customWidth="1"/>
    <col min="13867" max="13867" width="10.44140625" style="279" customWidth="1"/>
    <col min="13868" max="13868" width="9.44140625" style="279" customWidth="1"/>
    <col min="13869" max="13869" width="5.44140625" style="279" customWidth="1"/>
    <col min="13870" max="13870" width="11.6640625" style="279" customWidth="1"/>
    <col min="13871" max="13871" width="7.88671875" style="279" customWidth="1"/>
    <col min="13872" max="13872" width="9" style="279" customWidth="1"/>
    <col min="13873" max="13873" width="7" style="279" customWidth="1"/>
    <col min="13874" max="13874" width="14" style="279" customWidth="1"/>
    <col min="13875" max="13875" width="10.33203125" style="279" customWidth="1"/>
    <col min="13876" max="13876" width="14.44140625" style="279" customWidth="1"/>
    <col min="13877" max="13879" width="13.6640625" style="279" customWidth="1"/>
    <col min="13880" max="13887" width="11.44140625" style="279"/>
    <col min="13888" max="13888" width="15.5546875" style="279" customWidth="1"/>
    <col min="13889" max="13889" width="28.109375" style="279" customWidth="1"/>
    <col min="13890" max="13919" width="11.44140625" style="279"/>
    <col min="13920" max="13920" width="14.6640625" style="279" customWidth="1"/>
    <col min="13921" max="13921" width="11.44140625" style="279"/>
    <col min="13922" max="13922" width="16.33203125" style="279" customWidth="1"/>
    <col min="13923" max="13923" width="16.44140625" style="279" customWidth="1"/>
    <col min="13924" max="14081" width="11.44140625" style="279"/>
    <col min="14082" max="14082" width="11.109375" style="279" customWidth="1"/>
    <col min="14083" max="14083" width="34.5546875" style="279" customWidth="1"/>
    <col min="14084" max="14100" width="10.6640625" style="279" customWidth="1"/>
    <col min="14101" max="14113" width="0" style="279" hidden="1" customWidth="1"/>
    <col min="14114" max="14114" width="10.6640625" style="279" customWidth="1"/>
    <col min="14115" max="14115" width="11.44140625" style="279"/>
    <col min="14116" max="14116" width="11.88671875" style="279" customWidth="1"/>
    <col min="14117" max="14117" width="6" style="279" customWidth="1"/>
    <col min="14118" max="14118" width="5.44140625" style="279" customWidth="1"/>
    <col min="14119" max="14119" width="6.88671875" style="279" customWidth="1"/>
    <col min="14120" max="14120" width="10.88671875" style="279" customWidth="1"/>
    <col min="14121" max="14121" width="6.6640625" style="279" customWidth="1"/>
    <col min="14122" max="14122" width="8.33203125" style="279" customWidth="1"/>
    <col min="14123" max="14123" width="10.44140625" style="279" customWidth="1"/>
    <col min="14124" max="14124" width="9.44140625" style="279" customWidth="1"/>
    <col min="14125" max="14125" width="5.44140625" style="279" customWidth="1"/>
    <col min="14126" max="14126" width="11.6640625" style="279" customWidth="1"/>
    <col min="14127" max="14127" width="7.88671875" style="279" customWidth="1"/>
    <col min="14128" max="14128" width="9" style="279" customWidth="1"/>
    <col min="14129" max="14129" width="7" style="279" customWidth="1"/>
    <col min="14130" max="14130" width="14" style="279" customWidth="1"/>
    <col min="14131" max="14131" width="10.33203125" style="279" customWidth="1"/>
    <col min="14132" max="14132" width="14.44140625" style="279" customWidth="1"/>
    <col min="14133" max="14135" width="13.6640625" style="279" customWidth="1"/>
    <col min="14136" max="14143" width="11.44140625" style="279"/>
    <col min="14144" max="14144" width="15.5546875" style="279" customWidth="1"/>
    <col min="14145" max="14145" width="28.109375" style="279" customWidth="1"/>
    <col min="14146" max="14175" width="11.44140625" style="279"/>
    <col min="14176" max="14176" width="14.6640625" style="279" customWidth="1"/>
    <col min="14177" max="14177" width="11.44140625" style="279"/>
    <col min="14178" max="14178" width="16.33203125" style="279" customWidth="1"/>
    <col min="14179" max="14179" width="16.44140625" style="279" customWidth="1"/>
    <col min="14180" max="14337" width="11.44140625" style="279"/>
    <col min="14338" max="14338" width="11.109375" style="279" customWidth="1"/>
    <col min="14339" max="14339" width="34.5546875" style="279" customWidth="1"/>
    <col min="14340" max="14356" width="10.6640625" style="279" customWidth="1"/>
    <col min="14357" max="14369" width="0" style="279" hidden="1" customWidth="1"/>
    <col min="14370" max="14370" width="10.6640625" style="279" customWidth="1"/>
    <col min="14371" max="14371" width="11.44140625" style="279"/>
    <col min="14372" max="14372" width="11.88671875" style="279" customWidth="1"/>
    <col min="14373" max="14373" width="6" style="279" customWidth="1"/>
    <col min="14374" max="14374" width="5.44140625" style="279" customWidth="1"/>
    <col min="14375" max="14375" width="6.88671875" style="279" customWidth="1"/>
    <col min="14376" max="14376" width="10.88671875" style="279" customWidth="1"/>
    <col min="14377" max="14377" width="6.6640625" style="279" customWidth="1"/>
    <col min="14378" max="14378" width="8.33203125" style="279" customWidth="1"/>
    <col min="14379" max="14379" width="10.44140625" style="279" customWidth="1"/>
    <col min="14380" max="14380" width="9.44140625" style="279" customWidth="1"/>
    <col min="14381" max="14381" width="5.44140625" style="279" customWidth="1"/>
    <col min="14382" max="14382" width="11.6640625" style="279" customWidth="1"/>
    <col min="14383" max="14383" width="7.88671875" style="279" customWidth="1"/>
    <col min="14384" max="14384" width="9" style="279" customWidth="1"/>
    <col min="14385" max="14385" width="7" style="279" customWidth="1"/>
    <col min="14386" max="14386" width="14" style="279" customWidth="1"/>
    <col min="14387" max="14387" width="10.33203125" style="279" customWidth="1"/>
    <col min="14388" max="14388" width="14.44140625" style="279" customWidth="1"/>
    <col min="14389" max="14391" width="13.6640625" style="279" customWidth="1"/>
    <col min="14392" max="14399" width="11.44140625" style="279"/>
    <col min="14400" max="14400" width="15.5546875" style="279" customWidth="1"/>
    <col min="14401" max="14401" width="28.109375" style="279" customWidth="1"/>
    <col min="14402" max="14431" width="11.44140625" style="279"/>
    <col min="14432" max="14432" width="14.6640625" style="279" customWidth="1"/>
    <col min="14433" max="14433" width="11.44140625" style="279"/>
    <col min="14434" max="14434" width="16.33203125" style="279" customWidth="1"/>
    <col min="14435" max="14435" width="16.44140625" style="279" customWidth="1"/>
    <col min="14436" max="14593" width="11.44140625" style="279"/>
    <col min="14594" max="14594" width="11.109375" style="279" customWidth="1"/>
    <col min="14595" max="14595" width="34.5546875" style="279" customWidth="1"/>
    <col min="14596" max="14612" width="10.6640625" style="279" customWidth="1"/>
    <col min="14613" max="14625" width="0" style="279" hidden="1" customWidth="1"/>
    <col min="14626" max="14626" width="10.6640625" style="279" customWidth="1"/>
    <col min="14627" max="14627" width="11.44140625" style="279"/>
    <col min="14628" max="14628" width="11.88671875" style="279" customWidth="1"/>
    <col min="14629" max="14629" width="6" style="279" customWidth="1"/>
    <col min="14630" max="14630" width="5.44140625" style="279" customWidth="1"/>
    <col min="14631" max="14631" width="6.88671875" style="279" customWidth="1"/>
    <col min="14632" max="14632" width="10.88671875" style="279" customWidth="1"/>
    <col min="14633" max="14633" width="6.6640625" style="279" customWidth="1"/>
    <col min="14634" max="14634" width="8.33203125" style="279" customWidth="1"/>
    <col min="14635" max="14635" width="10.44140625" style="279" customWidth="1"/>
    <col min="14636" max="14636" width="9.44140625" style="279" customWidth="1"/>
    <col min="14637" max="14637" width="5.44140625" style="279" customWidth="1"/>
    <col min="14638" max="14638" width="11.6640625" style="279" customWidth="1"/>
    <col min="14639" max="14639" width="7.88671875" style="279" customWidth="1"/>
    <col min="14640" max="14640" width="9" style="279" customWidth="1"/>
    <col min="14641" max="14641" width="7" style="279" customWidth="1"/>
    <col min="14642" max="14642" width="14" style="279" customWidth="1"/>
    <col min="14643" max="14643" width="10.33203125" style="279" customWidth="1"/>
    <col min="14644" max="14644" width="14.44140625" style="279" customWidth="1"/>
    <col min="14645" max="14647" width="13.6640625" style="279" customWidth="1"/>
    <col min="14648" max="14655" width="11.44140625" style="279"/>
    <col min="14656" max="14656" width="15.5546875" style="279" customWidth="1"/>
    <col min="14657" max="14657" width="28.109375" style="279" customWidth="1"/>
    <col min="14658" max="14687" width="11.44140625" style="279"/>
    <col min="14688" max="14688" width="14.6640625" style="279" customWidth="1"/>
    <col min="14689" max="14689" width="11.44140625" style="279"/>
    <col min="14690" max="14690" width="16.33203125" style="279" customWidth="1"/>
    <col min="14691" max="14691" width="16.44140625" style="279" customWidth="1"/>
    <col min="14692" max="14849" width="11.44140625" style="279"/>
    <col min="14850" max="14850" width="11.109375" style="279" customWidth="1"/>
    <col min="14851" max="14851" width="34.5546875" style="279" customWidth="1"/>
    <col min="14852" max="14868" width="10.6640625" style="279" customWidth="1"/>
    <col min="14869" max="14881" width="0" style="279" hidden="1" customWidth="1"/>
    <col min="14882" max="14882" width="10.6640625" style="279" customWidth="1"/>
    <col min="14883" max="14883" width="11.44140625" style="279"/>
    <col min="14884" max="14884" width="11.88671875" style="279" customWidth="1"/>
    <col min="14885" max="14885" width="6" style="279" customWidth="1"/>
    <col min="14886" max="14886" width="5.44140625" style="279" customWidth="1"/>
    <col min="14887" max="14887" width="6.88671875" style="279" customWidth="1"/>
    <col min="14888" max="14888" width="10.88671875" style="279" customWidth="1"/>
    <col min="14889" max="14889" width="6.6640625" style="279" customWidth="1"/>
    <col min="14890" max="14890" width="8.33203125" style="279" customWidth="1"/>
    <col min="14891" max="14891" width="10.44140625" style="279" customWidth="1"/>
    <col min="14892" max="14892" width="9.44140625" style="279" customWidth="1"/>
    <col min="14893" max="14893" width="5.44140625" style="279" customWidth="1"/>
    <col min="14894" max="14894" width="11.6640625" style="279" customWidth="1"/>
    <col min="14895" max="14895" width="7.88671875" style="279" customWidth="1"/>
    <col min="14896" max="14896" width="9" style="279" customWidth="1"/>
    <col min="14897" max="14897" width="7" style="279" customWidth="1"/>
    <col min="14898" max="14898" width="14" style="279" customWidth="1"/>
    <col min="14899" max="14899" width="10.33203125" style="279" customWidth="1"/>
    <col min="14900" max="14900" width="14.44140625" style="279" customWidth="1"/>
    <col min="14901" max="14903" width="13.6640625" style="279" customWidth="1"/>
    <col min="14904" max="14911" width="11.44140625" style="279"/>
    <col min="14912" max="14912" width="15.5546875" style="279" customWidth="1"/>
    <col min="14913" max="14913" width="28.109375" style="279" customWidth="1"/>
    <col min="14914" max="14943" width="11.44140625" style="279"/>
    <col min="14944" max="14944" width="14.6640625" style="279" customWidth="1"/>
    <col min="14945" max="14945" width="11.44140625" style="279"/>
    <col min="14946" max="14946" width="16.33203125" style="279" customWidth="1"/>
    <col min="14947" max="14947" width="16.44140625" style="279" customWidth="1"/>
    <col min="14948" max="15105" width="11.44140625" style="279"/>
    <col min="15106" max="15106" width="11.109375" style="279" customWidth="1"/>
    <col min="15107" max="15107" width="34.5546875" style="279" customWidth="1"/>
    <col min="15108" max="15124" width="10.6640625" style="279" customWidth="1"/>
    <col min="15125" max="15137" width="0" style="279" hidden="1" customWidth="1"/>
    <col min="15138" max="15138" width="10.6640625" style="279" customWidth="1"/>
    <col min="15139" max="15139" width="11.44140625" style="279"/>
    <col min="15140" max="15140" width="11.88671875" style="279" customWidth="1"/>
    <col min="15141" max="15141" width="6" style="279" customWidth="1"/>
    <col min="15142" max="15142" width="5.44140625" style="279" customWidth="1"/>
    <col min="15143" max="15143" width="6.88671875" style="279" customWidth="1"/>
    <col min="15144" max="15144" width="10.88671875" style="279" customWidth="1"/>
    <col min="15145" max="15145" width="6.6640625" style="279" customWidth="1"/>
    <col min="15146" max="15146" width="8.33203125" style="279" customWidth="1"/>
    <col min="15147" max="15147" width="10.44140625" style="279" customWidth="1"/>
    <col min="15148" max="15148" width="9.44140625" style="279" customWidth="1"/>
    <col min="15149" max="15149" width="5.44140625" style="279" customWidth="1"/>
    <col min="15150" max="15150" width="11.6640625" style="279" customWidth="1"/>
    <col min="15151" max="15151" width="7.88671875" style="279" customWidth="1"/>
    <col min="15152" max="15152" width="9" style="279" customWidth="1"/>
    <col min="15153" max="15153" width="7" style="279" customWidth="1"/>
    <col min="15154" max="15154" width="14" style="279" customWidth="1"/>
    <col min="15155" max="15155" width="10.33203125" style="279" customWidth="1"/>
    <col min="15156" max="15156" width="14.44140625" style="279" customWidth="1"/>
    <col min="15157" max="15159" width="13.6640625" style="279" customWidth="1"/>
    <col min="15160" max="15167" width="11.44140625" style="279"/>
    <col min="15168" max="15168" width="15.5546875" style="279" customWidth="1"/>
    <col min="15169" max="15169" width="28.109375" style="279" customWidth="1"/>
    <col min="15170" max="15199" width="11.44140625" style="279"/>
    <col min="15200" max="15200" width="14.6640625" style="279" customWidth="1"/>
    <col min="15201" max="15201" width="11.44140625" style="279"/>
    <col min="15202" max="15202" width="16.33203125" style="279" customWidth="1"/>
    <col min="15203" max="15203" width="16.44140625" style="279" customWidth="1"/>
    <col min="15204" max="15361" width="11.44140625" style="279"/>
    <col min="15362" max="15362" width="11.109375" style="279" customWidth="1"/>
    <col min="15363" max="15363" width="34.5546875" style="279" customWidth="1"/>
    <col min="15364" max="15380" width="10.6640625" style="279" customWidth="1"/>
    <col min="15381" max="15393" width="0" style="279" hidden="1" customWidth="1"/>
    <col min="15394" max="15394" width="10.6640625" style="279" customWidth="1"/>
    <col min="15395" max="15395" width="11.44140625" style="279"/>
    <col min="15396" max="15396" width="11.88671875" style="279" customWidth="1"/>
    <col min="15397" max="15397" width="6" style="279" customWidth="1"/>
    <col min="15398" max="15398" width="5.44140625" style="279" customWidth="1"/>
    <col min="15399" max="15399" width="6.88671875" style="279" customWidth="1"/>
    <col min="15400" max="15400" width="10.88671875" style="279" customWidth="1"/>
    <col min="15401" max="15401" width="6.6640625" style="279" customWidth="1"/>
    <col min="15402" max="15402" width="8.33203125" style="279" customWidth="1"/>
    <col min="15403" max="15403" width="10.44140625" style="279" customWidth="1"/>
    <col min="15404" max="15404" width="9.44140625" style="279" customWidth="1"/>
    <col min="15405" max="15405" width="5.44140625" style="279" customWidth="1"/>
    <col min="15406" max="15406" width="11.6640625" style="279" customWidth="1"/>
    <col min="15407" max="15407" width="7.88671875" style="279" customWidth="1"/>
    <col min="15408" max="15408" width="9" style="279" customWidth="1"/>
    <col min="15409" max="15409" width="7" style="279" customWidth="1"/>
    <col min="15410" max="15410" width="14" style="279" customWidth="1"/>
    <col min="15411" max="15411" width="10.33203125" style="279" customWidth="1"/>
    <col min="15412" max="15412" width="14.44140625" style="279" customWidth="1"/>
    <col min="15413" max="15415" width="13.6640625" style="279" customWidth="1"/>
    <col min="15416" max="15423" width="11.44140625" style="279"/>
    <col min="15424" max="15424" width="15.5546875" style="279" customWidth="1"/>
    <col min="15425" max="15425" width="28.109375" style="279" customWidth="1"/>
    <col min="15426" max="15455" width="11.44140625" style="279"/>
    <col min="15456" max="15456" width="14.6640625" style="279" customWidth="1"/>
    <col min="15457" max="15457" width="11.44140625" style="279"/>
    <col min="15458" max="15458" width="16.33203125" style="279" customWidth="1"/>
    <col min="15459" max="15459" width="16.44140625" style="279" customWidth="1"/>
    <col min="15460" max="15617" width="11.44140625" style="279"/>
    <col min="15618" max="15618" width="11.109375" style="279" customWidth="1"/>
    <col min="15619" max="15619" width="34.5546875" style="279" customWidth="1"/>
    <col min="15620" max="15636" width="10.6640625" style="279" customWidth="1"/>
    <col min="15637" max="15649" width="0" style="279" hidden="1" customWidth="1"/>
    <col min="15650" max="15650" width="10.6640625" style="279" customWidth="1"/>
    <col min="15651" max="15651" width="11.44140625" style="279"/>
    <col min="15652" max="15652" width="11.88671875" style="279" customWidth="1"/>
    <col min="15653" max="15653" width="6" style="279" customWidth="1"/>
    <col min="15654" max="15654" width="5.44140625" style="279" customWidth="1"/>
    <col min="15655" max="15655" width="6.88671875" style="279" customWidth="1"/>
    <col min="15656" max="15656" width="10.88671875" style="279" customWidth="1"/>
    <col min="15657" max="15657" width="6.6640625" style="279" customWidth="1"/>
    <col min="15658" max="15658" width="8.33203125" style="279" customWidth="1"/>
    <col min="15659" max="15659" width="10.44140625" style="279" customWidth="1"/>
    <col min="15660" max="15660" width="9.44140625" style="279" customWidth="1"/>
    <col min="15661" max="15661" width="5.44140625" style="279" customWidth="1"/>
    <col min="15662" max="15662" width="11.6640625" style="279" customWidth="1"/>
    <col min="15663" max="15663" width="7.88671875" style="279" customWidth="1"/>
    <col min="15664" max="15664" width="9" style="279" customWidth="1"/>
    <col min="15665" max="15665" width="7" style="279" customWidth="1"/>
    <col min="15666" max="15666" width="14" style="279" customWidth="1"/>
    <col min="15667" max="15667" width="10.33203125" style="279" customWidth="1"/>
    <col min="15668" max="15668" width="14.44140625" style="279" customWidth="1"/>
    <col min="15669" max="15671" width="13.6640625" style="279" customWidth="1"/>
    <col min="15672" max="15679" width="11.44140625" style="279"/>
    <col min="15680" max="15680" width="15.5546875" style="279" customWidth="1"/>
    <col min="15681" max="15681" width="28.109375" style="279" customWidth="1"/>
    <col min="15682" max="15711" width="11.44140625" style="279"/>
    <col min="15712" max="15712" width="14.6640625" style="279" customWidth="1"/>
    <col min="15713" max="15713" width="11.44140625" style="279"/>
    <col min="15714" max="15714" width="16.33203125" style="279" customWidth="1"/>
    <col min="15715" max="15715" width="16.44140625" style="279" customWidth="1"/>
    <col min="15716" max="15873" width="11.44140625" style="279"/>
    <col min="15874" max="15874" width="11.109375" style="279" customWidth="1"/>
    <col min="15875" max="15875" width="34.5546875" style="279" customWidth="1"/>
    <col min="15876" max="15892" width="10.6640625" style="279" customWidth="1"/>
    <col min="15893" max="15905" width="0" style="279" hidden="1" customWidth="1"/>
    <col min="15906" max="15906" width="10.6640625" style="279" customWidth="1"/>
    <col min="15907" max="15907" width="11.44140625" style="279"/>
    <col min="15908" max="15908" width="11.88671875" style="279" customWidth="1"/>
    <col min="15909" max="15909" width="6" style="279" customWidth="1"/>
    <col min="15910" max="15910" width="5.44140625" style="279" customWidth="1"/>
    <col min="15911" max="15911" width="6.88671875" style="279" customWidth="1"/>
    <col min="15912" max="15912" width="10.88671875" style="279" customWidth="1"/>
    <col min="15913" max="15913" width="6.6640625" style="279" customWidth="1"/>
    <col min="15914" max="15914" width="8.33203125" style="279" customWidth="1"/>
    <col min="15915" max="15915" width="10.44140625" style="279" customWidth="1"/>
    <col min="15916" max="15916" width="9.44140625" style="279" customWidth="1"/>
    <col min="15917" max="15917" width="5.44140625" style="279" customWidth="1"/>
    <col min="15918" max="15918" width="11.6640625" style="279" customWidth="1"/>
    <col min="15919" max="15919" width="7.88671875" style="279" customWidth="1"/>
    <col min="15920" max="15920" width="9" style="279" customWidth="1"/>
    <col min="15921" max="15921" width="7" style="279" customWidth="1"/>
    <col min="15922" max="15922" width="14" style="279" customWidth="1"/>
    <col min="15923" max="15923" width="10.33203125" style="279" customWidth="1"/>
    <col min="15924" max="15924" width="14.44140625" style="279" customWidth="1"/>
    <col min="15925" max="15927" width="13.6640625" style="279" customWidth="1"/>
    <col min="15928" max="15935" width="11.44140625" style="279"/>
    <col min="15936" max="15936" width="15.5546875" style="279" customWidth="1"/>
    <col min="15937" max="15937" width="28.109375" style="279" customWidth="1"/>
    <col min="15938" max="15967" width="11.44140625" style="279"/>
    <col min="15968" max="15968" width="14.6640625" style="279" customWidth="1"/>
    <col min="15969" max="15969" width="11.44140625" style="279"/>
    <col min="15970" max="15970" width="16.33203125" style="279" customWidth="1"/>
    <col min="15971" max="15971" width="16.44140625" style="279" customWidth="1"/>
    <col min="15972" max="16129" width="11.44140625" style="279"/>
    <col min="16130" max="16130" width="11.109375" style="279" customWidth="1"/>
    <col min="16131" max="16131" width="34.5546875" style="279" customWidth="1"/>
    <col min="16132" max="16148" width="10.6640625" style="279" customWidth="1"/>
    <col min="16149" max="16161" width="0" style="279" hidden="1" customWidth="1"/>
    <col min="16162" max="16162" width="10.6640625" style="279" customWidth="1"/>
    <col min="16163" max="16163" width="11.44140625" style="279"/>
    <col min="16164" max="16164" width="11.88671875" style="279" customWidth="1"/>
    <col min="16165" max="16165" width="6" style="279" customWidth="1"/>
    <col min="16166" max="16166" width="5.44140625" style="279" customWidth="1"/>
    <col min="16167" max="16167" width="6.88671875" style="279" customWidth="1"/>
    <col min="16168" max="16168" width="10.88671875" style="279" customWidth="1"/>
    <col min="16169" max="16169" width="6.6640625" style="279" customWidth="1"/>
    <col min="16170" max="16170" width="8.33203125" style="279" customWidth="1"/>
    <col min="16171" max="16171" width="10.44140625" style="279" customWidth="1"/>
    <col min="16172" max="16172" width="9.44140625" style="279" customWidth="1"/>
    <col min="16173" max="16173" width="5.44140625" style="279" customWidth="1"/>
    <col min="16174" max="16174" width="11.6640625" style="279" customWidth="1"/>
    <col min="16175" max="16175" width="7.88671875" style="279" customWidth="1"/>
    <col min="16176" max="16176" width="9" style="279" customWidth="1"/>
    <col min="16177" max="16177" width="7" style="279" customWidth="1"/>
    <col min="16178" max="16178" width="14" style="279" customWidth="1"/>
    <col min="16179" max="16179" width="10.33203125" style="279" customWidth="1"/>
    <col min="16180" max="16180" width="14.44140625" style="279" customWidth="1"/>
    <col min="16181" max="16183" width="13.6640625" style="279" customWidth="1"/>
    <col min="16184" max="16191" width="11.44140625" style="279"/>
    <col min="16192" max="16192" width="15.5546875" style="279" customWidth="1"/>
    <col min="16193" max="16193" width="28.109375" style="279" customWidth="1"/>
    <col min="16194" max="16223" width="11.44140625" style="279"/>
    <col min="16224" max="16224" width="14.6640625" style="279" customWidth="1"/>
    <col min="16225" max="16225" width="11.44140625" style="279"/>
    <col min="16226" max="16226" width="16.33203125" style="279" customWidth="1"/>
    <col min="16227" max="16227" width="16.44140625" style="279" customWidth="1"/>
    <col min="16228" max="16384" width="11.44140625" style="279"/>
  </cols>
  <sheetData>
    <row r="7" spans="1:99">
      <c r="AQ7" s="1244" t="s">
        <v>1762</v>
      </c>
      <c r="AR7" s="1244"/>
      <c r="AS7" s="1244"/>
      <c r="AU7" s="275"/>
    </row>
    <row r="8" spans="1:99">
      <c r="A8" s="1245" t="str">
        <f>IF(SUM(BJ31:BJ72)&gt;0,"PRECAUCION HAY VALORES EN LAS CELDAS OCULTAS!","")</f>
        <v/>
      </c>
      <c r="B8" s="1245"/>
      <c r="C8" s="1245"/>
      <c r="AQ8" s="1214" t="s">
        <v>1763</v>
      </c>
      <c r="AR8" s="1214"/>
      <c r="AS8" s="292" t="str">
        <f>AU16</f>
        <v>0.00 W</v>
      </c>
      <c r="AT8" s="268"/>
      <c r="AU8" s="268"/>
      <c r="AV8" s="270">
        <f>IF(TABLERO!$F$17&lt;&gt;"KVA",(TABLERO!BC25+TABLERO!BJ25)*1000,(TABLERO!BC25+TABLERO!BJ25)*1000/TABLERO!$F$14)</f>
        <v>0</v>
      </c>
    </row>
    <row r="9" spans="1:99">
      <c r="A9" s="1245"/>
      <c r="B9" s="1245"/>
      <c r="C9" s="1245"/>
      <c r="AQ9" s="1214" t="s">
        <v>1764</v>
      </c>
      <c r="AR9" s="1214"/>
      <c r="AS9" s="292" t="str">
        <f>AU18</f>
        <v>0.00 W</v>
      </c>
      <c r="AT9" s="268"/>
      <c r="AU9" s="268"/>
      <c r="AV9" s="270" t="str">
        <f>FIXED(IF(TABLERO!$F$17&lt;&gt;"KVA",(TABLERO!BD25+TABLERO!BK25)*1000,(TABLERO!BD25+TABLERO!BK25)*1000/TABLERO!$F$14),2)</f>
        <v>0.00</v>
      </c>
    </row>
    <row r="10" spans="1:99">
      <c r="AQ10" s="1214" t="s">
        <v>1765</v>
      </c>
      <c r="AR10" s="1214"/>
      <c r="AS10" s="292" t="str">
        <f>FIXED(SUM(AV10:AY10),2)&amp;IF(TABLERO!$F$17="KVA"," VA"," W")</f>
        <v>0.00 W</v>
      </c>
      <c r="AT10" s="268"/>
      <c r="AU10" s="268"/>
      <c r="AV10" s="270">
        <f>IF(TABLERO!$F$17&lt;&gt;"KVA",(TABLERO!BE25+TABLERO!BL25)*1000,(TABLERO!BE25+TABLERO!BL25)*1000/TABLERO!$F$14)</f>
        <v>0</v>
      </c>
      <c r="AW10" s="275">
        <f>IF(TABLERO!$F$17&lt;&gt;"KVA",(TABLERO!BF25+TABLERO!BM25)*1000,(TABLERO!BF25+TABLERO!BM25)*1000/TABLERO!$F$14)</f>
        <v>0</v>
      </c>
      <c r="AX10" s="275">
        <f>IF(TABLERO!$F$17&lt;&gt;"KVA",(TABLERO!BG25+TABLERO!BN25)*1000,(TABLERO!BG25+TABLERO!BN25)*1000/TABLERO!$F$14)</f>
        <v>0</v>
      </c>
      <c r="AY10" s="268">
        <f>IF(TABLERO!$F$17&lt;&gt;"KVA",(TABLERO!BH25+TABLERO!BO25)*1000,(TABLERO!BH25+TABLERO!BO25)*1000/TABLERO!$F$14)</f>
        <v>0</v>
      </c>
    </row>
    <row r="11" spans="1:99">
      <c r="C11" s="293">
        <v>42832</v>
      </c>
      <c r="D11" s="294">
        <v>0.47879629629629633</v>
      </c>
      <c r="AQ11" s="1204" t="s">
        <v>1755</v>
      </c>
      <c r="AR11" s="1204"/>
      <c r="AS11" s="292" t="str">
        <f>AU20</f>
        <v>0.00 W</v>
      </c>
      <c r="AT11" s="268"/>
      <c r="AU11" s="268"/>
    </row>
    <row r="12" spans="1:99">
      <c r="AQ12" s="1214" t="s">
        <v>1766</v>
      </c>
      <c r="AR12" s="1214"/>
      <c r="AS12" s="292" t="str">
        <f>AU23</f>
        <v>0.00 W</v>
      </c>
      <c r="AT12" s="268"/>
      <c r="AU12" s="268"/>
      <c r="BL12" s="289" t="s">
        <v>1767</v>
      </c>
      <c r="CU12" s="291" t="s">
        <v>1767</v>
      </c>
    </row>
    <row r="13" spans="1:99" ht="13.8" thickBot="1">
      <c r="D13" s="275">
        <v>1</v>
      </c>
      <c r="E13" s="275">
        <v>2</v>
      </c>
      <c r="F13" s="275">
        <v>3</v>
      </c>
      <c r="G13" s="275">
        <v>4</v>
      </c>
      <c r="H13" s="275">
        <v>5</v>
      </c>
      <c r="I13" s="275">
        <v>6</v>
      </c>
      <c r="J13" s="275">
        <v>7</v>
      </c>
      <c r="K13" s="275">
        <v>8</v>
      </c>
      <c r="L13" s="275">
        <v>9</v>
      </c>
      <c r="M13" s="275">
        <v>10</v>
      </c>
      <c r="N13" s="275">
        <v>11</v>
      </c>
      <c r="O13" s="275">
        <v>12</v>
      </c>
      <c r="P13" s="275">
        <v>13</v>
      </c>
      <c r="Q13" s="275">
        <v>14</v>
      </c>
      <c r="R13" s="275">
        <v>15</v>
      </c>
      <c r="S13" s="275">
        <v>16</v>
      </c>
      <c r="T13" s="275">
        <v>17</v>
      </c>
      <c r="U13" s="275">
        <v>18</v>
      </c>
      <c r="V13" s="275">
        <v>19</v>
      </c>
      <c r="W13" s="275">
        <v>20</v>
      </c>
      <c r="X13" s="275">
        <v>21</v>
      </c>
      <c r="Y13" s="275">
        <v>22</v>
      </c>
      <c r="Z13" s="275">
        <v>23</v>
      </c>
      <c r="AA13" s="275">
        <v>24</v>
      </c>
      <c r="AB13" s="275">
        <v>25</v>
      </c>
      <c r="AC13" s="275">
        <v>26</v>
      </c>
      <c r="AD13" s="275">
        <v>27</v>
      </c>
      <c r="AE13" s="275">
        <v>28</v>
      </c>
      <c r="AF13" s="275">
        <v>29</v>
      </c>
      <c r="AG13" s="275">
        <v>30</v>
      </c>
      <c r="AQ13" s="1214" t="s">
        <v>1768</v>
      </c>
      <c r="AR13" s="1214"/>
      <c r="AS13" s="268">
        <f>TABLERO!M17</f>
        <v>1</v>
      </c>
      <c r="BL13" s="289" t="s">
        <v>1769</v>
      </c>
      <c r="CU13" s="291" t="s">
        <v>1769</v>
      </c>
    </row>
    <row r="14" spans="1:99" ht="14.4" thickTop="1" thickBot="1">
      <c r="C14" s="296">
        <f>SUM(D14:AG14)</f>
        <v>0</v>
      </c>
      <c r="D14" s="297"/>
      <c r="E14" s="298"/>
      <c r="F14" s="298"/>
      <c r="G14" s="298"/>
      <c r="H14" s="298"/>
      <c r="I14" s="298"/>
      <c r="J14" s="298"/>
      <c r="K14" s="298"/>
      <c r="L14" s="298"/>
      <c r="M14" s="298"/>
      <c r="N14" s="298"/>
      <c r="O14" s="298"/>
      <c r="P14" s="298"/>
      <c r="Q14" s="298"/>
      <c r="R14" s="298"/>
      <c r="S14" s="298"/>
      <c r="T14" s="298"/>
      <c r="U14" s="298"/>
      <c r="V14" s="298"/>
      <c r="W14" s="298"/>
      <c r="X14" s="298"/>
      <c r="Y14" s="298"/>
      <c r="Z14" s="298"/>
      <c r="AA14" s="298"/>
      <c r="AB14" s="298"/>
      <c r="AC14" s="298"/>
      <c r="AD14" s="298"/>
      <c r="AE14" s="298"/>
      <c r="AF14" s="298"/>
      <c r="AG14" s="298"/>
      <c r="AH14" s="279" t="s">
        <v>1751</v>
      </c>
      <c r="AQ14" s="1214" t="s">
        <v>1770</v>
      </c>
      <c r="AR14" s="1214"/>
      <c r="AS14" s="292" t="str">
        <f>AY23</f>
        <v>0.00 W</v>
      </c>
      <c r="AT14" s="268"/>
      <c r="AU14" s="268"/>
      <c r="BL14" s="289" t="s">
        <v>1771</v>
      </c>
      <c r="CU14" s="291" t="s">
        <v>1771</v>
      </c>
    </row>
    <row r="15" spans="1:99" ht="12.75" customHeight="1">
      <c r="B15" s="498"/>
      <c r="C15" s="499"/>
      <c r="D15" s="499"/>
      <c r="E15" s="499"/>
      <c r="F15" s="499"/>
      <c r="G15" s="499"/>
      <c r="H15" s="499"/>
      <c r="I15" s="499"/>
      <c r="J15" s="499"/>
      <c r="K15" s="499"/>
      <c r="L15" s="499"/>
      <c r="M15" s="499"/>
      <c r="N15" s="499"/>
      <c r="O15" s="499"/>
      <c r="P15" s="499"/>
      <c r="Q15" s="499"/>
      <c r="R15" s="499"/>
      <c r="S15" s="499"/>
      <c r="T15" s="499"/>
      <c r="U15" s="499"/>
      <c r="V15" s="499"/>
      <c r="W15" s="499"/>
      <c r="X15" s="499"/>
      <c r="Y15" s="499"/>
      <c r="Z15" s="499"/>
      <c r="AA15" s="499"/>
      <c r="AB15" s="499"/>
      <c r="AC15" s="499"/>
      <c r="AD15" s="499"/>
      <c r="AE15" s="499"/>
      <c r="AF15" s="499"/>
      <c r="AG15" s="499"/>
      <c r="AH15" s="1234" t="str">
        <f>TABLERO!F6</f>
        <v>A</v>
      </c>
      <c r="AI15" s="1235"/>
      <c r="AJ15" s="1236"/>
      <c r="AK15" s="1243"/>
      <c r="AL15" s="1243"/>
      <c r="AM15" s="1243"/>
      <c r="AN15" s="1243"/>
      <c r="AO15" s="1243"/>
      <c r="AP15" s="1243"/>
      <c r="AQ15" s="1243"/>
      <c r="AR15" s="1243"/>
      <c r="AS15" s="1246" t="s">
        <v>1772</v>
      </c>
      <c r="AT15" s="1247"/>
      <c r="AU15" s="1247"/>
      <c r="AV15" s="1247"/>
      <c r="AW15" s="1247"/>
      <c r="AX15" s="266" t="s">
        <v>1773</v>
      </c>
      <c r="AY15" s="267" t="s">
        <v>1752</v>
      </c>
      <c r="AZ15" s="299"/>
      <c r="BA15" s="1227"/>
      <c r="BB15" s="1230"/>
      <c r="BC15" s="1231"/>
      <c r="BL15" s="289" t="s">
        <v>1835</v>
      </c>
    </row>
    <row r="16" spans="1:99" ht="12.75" customHeight="1">
      <c r="B16" s="500"/>
      <c r="D16" s="279"/>
      <c r="E16" s="279"/>
      <c r="F16" s="279"/>
      <c r="G16" s="279"/>
      <c r="H16" s="279"/>
      <c r="I16" s="279"/>
      <c r="J16" s="279"/>
      <c r="K16" s="279"/>
      <c r="L16" s="279"/>
      <c r="M16" s="279"/>
      <c r="N16" s="279"/>
      <c r="O16" s="279"/>
      <c r="P16" s="279"/>
      <c r="Q16" s="279"/>
      <c r="R16" s="279"/>
      <c r="S16" s="279"/>
      <c r="T16" s="279"/>
      <c r="U16" s="279"/>
      <c r="V16" s="279"/>
      <c r="AH16" s="1237"/>
      <c r="AI16" s="1238"/>
      <c r="AJ16" s="1239"/>
      <c r="AK16" s="1233" t="str">
        <f>IF(TABLERO!$F$10=1,TABLERO!H9,TABLERO!F9&amp;" / "&amp;TABLERO!H9)</f>
        <v>220 / 127</v>
      </c>
      <c r="AL16" s="1233"/>
      <c r="AM16" s="1233"/>
      <c r="AN16" s="1233"/>
      <c r="AO16" s="1233" t="str">
        <f>TABLERO!M8</f>
        <v>60 Hz</v>
      </c>
      <c r="AP16" s="1233"/>
      <c r="AQ16" s="1233"/>
      <c r="AR16" s="1233"/>
      <c r="AS16" s="1203" t="s">
        <v>1774</v>
      </c>
      <c r="AT16" s="1204"/>
      <c r="AU16" s="1205" t="str">
        <f>FIXED(IF(TABLERO!$F$17&lt;&gt;"KVA",(TABLERO!BC25+TABLERO!BJ25)*1000,(TABLERO!BC25+TABLERO!BJ25)*1000/TABLERO!$F$14),2)&amp;IF(TABLERO!$F$17="KVA"," VA"," W")</f>
        <v>0.00 W</v>
      </c>
      <c r="AV16" s="1205"/>
      <c r="AW16" s="1205"/>
      <c r="AX16" s="268" t="str">
        <f>FIXED(TABLERO!M10,2)</f>
        <v>1.00</v>
      </c>
      <c r="AY16" s="1205" t="str">
        <f>FIXED(IF(TABLERO!$F$17&lt;&gt;"KVA",(TABLERO!BC27+TABLERO!BJ27)*1000,(TABLERO!BC27+TABLERO!BJ27)*1000/TABLERO!$F$14),2)&amp;IF(TABLERO!$F$17="KVA"," VA"," W")</f>
        <v>0.00 W</v>
      </c>
      <c r="AZ16" s="1206"/>
      <c r="BA16" s="1228"/>
      <c r="BB16" s="1218"/>
      <c r="BC16" s="1232"/>
    </row>
    <row r="17" spans="1:184">
      <c r="A17" s="275" t="s">
        <v>1753</v>
      </c>
      <c r="B17" s="500"/>
      <c r="D17" s="279"/>
      <c r="E17" s="279"/>
      <c r="F17" s="279"/>
      <c r="G17" s="279"/>
      <c r="H17" s="279"/>
      <c r="I17" s="279"/>
      <c r="J17" s="279"/>
      <c r="K17" s="279"/>
      <c r="L17" s="279"/>
      <c r="M17" s="279"/>
      <c r="N17" s="279"/>
      <c r="O17" s="279"/>
      <c r="P17" s="279"/>
      <c r="Q17" s="279"/>
      <c r="R17" s="279"/>
      <c r="S17" s="279"/>
      <c r="T17" s="279"/>
      <c r="U17" s="279"/>
      <c r="V17" s="279"/>
      <c r="AH17" s="1240"/>
      <c r="AI17" s="1241"/>
      <c r="AJ17" s="1242"/>
      <c r="AK17" s="1233">
        <f>TABLERO!F10</f>
        <v>3</v>
      </c>
      <c r="AL17" s="1233"/>
      <c r="AM17" s="1233"/>
      <c r="AN17" s="1233"/>
      <c r="AO17" s="1233">
        <f>TABLERO!H10</f>
        <v>4</v>
      </c>
      <c r="AP17" s="1233"/>
      <c r="AQ17" s="1233"/>
      <c r="AR17" s="1233"/>
      <c r="AS17" s="1203" t="s">
        <v>1775</v>
      </c>
      <c r="AT17" s="1204"/>
      <c r="AU17" s="1205" t="str">
        <f>FIXED(IF(TABLERO!$F$17&lt;&gt;"KVA",(TABLERO!BE25+TABLERO!BL25)*1000,(TABLERO!BE25+TABLERO!BL25)*1000/TABLERO!$F$14),2)&amp;IF(TABLERO!$F$17="KVA"," VA"," W")</f>
        <v>0.00 W</v>
      </c>
      <c r="AV17" s="1205"/>
      <c r="AW17" s="1205"/>
      <c r="AX17" s="268" t="str">
        <f>FIXED(TABLERO!M12,2)</f>
        <v>1.00</v>
      </c>
      <c r="AY17" s="1205" t="str">
        <f>FIXED(IF(TABLERO!$F$17&lt;&gt;"KVA",(TABLERO!BE27+TABLERO!BL27)*1000,(TABLERO!BE27+TABLERO!BL27)*1000/TABLERO!$F$14),2)&amp;IF(TABLERO!$F$17="KVA"," VA"," W")</f>
        <v>0.00 W</v>
      </c>
      <c r="AZ17" s="1206"/>
      <c r="BA17" s="1228"/>
      <c r="BB17" s="1218"/>
      <c r="BC17" s="1232"/>
    </row>
    <row r="18" spans="1:184">
      <c r="A18" s="275" t="s">
        <v>12</v>
      </c>
      <c r="B18" s="500"/>
      <c r="D18" s="279"/>
      <c r="E18" s="279"/>
      <c r="F18" s="279"/>
      <c r="G18" s="279"/>
      <c r="H18" s="279"/>
      <c r="I18" s="279"/>
      <c r="J18" s="279"/>
      <c r="K18" s="279"/>
      <c r="L18" s="279"/>
      <c r="M18" s="279"/>
      <c r="N18" s="279"/>
      <c r="O18" s="279"/>
      <c r="P18" s="279"/>
      <c r="Q18" s="279"/>
      <c r="R18" s="279"/>
      <c r="S18" s="279"/>
      <c r="T18" s="279"/>
      <c r="U18" s="279"/>
      <c r="V18" s="279"/>
      <c r="AH18" s="1221" t="str">
        <f>"CAT:  "</f>
        <v xml:space="preserve">CAT:  </v>
      </c>
      <c r="AI18" s="1222"/>
      <c r="AJ18" s="1223"/>
      <c r="AK18" s="1202" t="str">
        <f>IF(TABLERO!F7=0,"",TABLERO!F7)</f>
        <v>BODEGA</v>
      </c>
      <c r="AL18" s="1202"/>
      <c r="AM18" s="1202"/>
      <c r="AN18" s="1202"/>
      <c r="AO18" s="1202"/>
      <c r="AP18" s="1202"/>
      <c r="AQ18" s="1202"/>
      <c r="AR18" s="1202"/>
      <c r="AS18" s="1203" t="str">
        <f>IF(TABLERO!M11="NORMA", "ART.220-13 RECEPTACULOS=", "RECEPTACULOS =")</f>
        <v>RECEPTACULOS =</v>
      </c>
      <c r="AT18" s="1204"/>
      <c r="AU18" s="1205" t="str">
        <f>FIXED(IF(TABLERO!$F$17&lt;&gt;"KVA",(TABLERO!BD25+TABLERO!BK25)*1000,(TABLERO!BD25+TABLERO!BK25)*1000/TABLERO!$F$14),2)&amp;IF(TABLERO!$F$17="KVA"," VA"," W")</f>
        <v>0.00 W</v>
      </c>
      <c r="AV18" s="1205"/>
      <c r="AW18" s="1205"/>
      <c r="AX18" s="268" t="str">
        <f>IF(TABLERO!M11="NORMA",FIXED(TABLERO!BK27/TABLERO!BK25,2),FIXED(TABLERO!M11,2))</f>
        <v>1.00</v>
      </c>
      <c r="AY18" s="1205" t="str">
        <f>FIXED(IF(TABLERO!$F$17&lt;&gt;"KVA",(TABLERO!BD27+TABLERO!BK27)*1000,(TABLERO!BD27+TABLERO!BK27)*1000/TABLERO!$F$14),2)&amp;IF(TABLERO!$F$17="KVA"," VA"," W")</f>
        <v>0.00 W</v>
      </c>
      <c r="AZ18" s="1206"/>
      <c r="BA18" s="1228"/>
      <c r="BB18" s="1218"/>
      <c r="BC18" s="1232"/>
    </row>
    <row r="19" spans="1:184">
      <c r="A19" s="275" t="s">
        <v>1754</v>
      </c>
      <c r="B19" s="500"/>
      <c r="D19" s="279"/>
      <c r="E19" s="279"/>
      <c r="F19" s="279"/>
      <c r="G19" s="279"/>
      <c r="H19" s="279"/>
      <c r="I19" s="279"/>
      <c r="J19" s="279"/>
      <c r="K19" s="279"/>
      <c r="L19" s="279"/>
      <c r="M19" s="279"/>
      <c r="N19" s="279"/>
      <c r="O19" s="279"/>
      <c r="P19" s="279"/>
      <c r="Q19" s="279"/>
      <c r="R19" s="279"/>
      <c r="S19" s="279"/>
      <c r="T19" s="279"/>
      <c r="U19" s="279"/>
      <c r="V19" s="279"/>
      <c r="AH19" s="1224" t="str">
        <f>IF(TABLERO!M6=0,"",TABLERO!M6)</f>
        <v>NQ424AB225</v>
      </c>
      <c r="AI19" s="1225"/>
      <c r="AJ19" s="1226"/>
      <c r="AK19" s="1202"/>
      <c r="AL19" s="1202"/>
      <c r="AM19" s="1202"/>
      <c r="AN19" s="1202"/>
      <c r="AO19" s="1202"/>
      <c r="AP19" s="1202"/>
      <c r="AQ19" s="1202"/>
      <c r="AR19" s="1202"/>
      <c r="AS19" s="1203" t="s">
        <v>1776</v>
      </c>
      <c r="AT19" s="1204"/>
      <c r="AU19" s="1205" t="str">
        <f>FIXED(IF(TABLERO!$F$17&lt;&gt;"KVA",(TABLERO!BF25+TABLERO!BM25)*1000,(TABLERO!BF25+TABLERO!BM25)*1000/TABLERO!$F$14),2)&amp;IF(TABLERO!$F$17="KVA"," VA"," W")</f>
        <v>0.00 W</v>
      </c>
      <c r="AV19" s="1205"/>
      <c r="AW19" s="1205"/>
      <c r="AX19" s="268" t="str">
        <f>FIXED(TABLERO!M13,2)</f>
        <v>1.00</v>
      </c>
      <c r="AY19" s="1205" t="str">
        <f>FIXED(IF(TABLERO!$F$17&lt;&gt;"KVA",(TABLERO!BF27+TABLERO!BM27)*1000,(TABLERO!BF27+TABLERO!BM27)*1000/TABLERO!$F$14),2)&amp;IF(TABLERO!$F$17="KVA"," VA"," W")</f>
        <v>0.00 W</v>
      </c>
      <c r="AZ19" s="1206"/>
      <c r="BA19" s="1228"/>
      <c r="BB19" s="1218"/>
      <c r="BC19" s="1232"/>
    </row>
    <row r="20" spans="1:184">
      <c r="B20" s="500"/>
      <c r="D20" s="279"/>
      <c r="E20" s="279"/>
      <c r="F20" s="279"/>
      <c r="G20" s="279"/>
      <c r="H20" s="279"/>
      <c r="I20" s="279"/>
      <c r="J20" s="279"/>
      <c r="K20" s="279"/>
      <c r="L20" s="279"/>
      <c r="M20" s="279"/>
      <c r="N20" s="279"/>
      <c r="O20" s="279"/>
      <c r="P20" s="279"/>
      <c r="Q20" s="279"/>
      <c r="R20" s="279"/>
      <c r="S20" s="279"/>
      <c r="T20" s="279"/>
      <c r="U20" s="279"/>
      <c r="V20" s="279"/>
      <c r="AH20" s="1221" t="str">
        <f>"MARCA:  "</f>
        <v xml:space="preserve">MARCA:  </v>
      </c>
      <c r="AI20" s="1222"/>
      <c r="AJ20" s="1223"/>
      <c r="AK20" s="1202" t="str">
        <f>IF(TABLERO!M18&lt;&gt;"TB",TABLERO!E1,TABLERO!F8)</f>
        <v>INT. PPAL</v>
      </c>
      <c r="AL20" s="1202"/>
      <c r="AM20" s="1202"/>
      <c r="AN20" s="1202"/>
      <c r="AO20" s="1202"/>
      <c r="AP20" s="1202"/>
      <c r="AQ20" s="1202"/>
      <c r="AR20" s="1202"/>
      <c r="AS20" s="1203" t="s">
        <v>1777</v>
      </c>
      <c r="AT20" s="1204"/>
      <c r="AU20" s="1205" t="str">
        <f>FIXED(IF(TABLERO!$F$17&lt;&gt;"KVA",(TABLERO!BI25+TABLERO!BP25)*1000,(TABLERO!BI25+TABLERO!BP25)*1000/TABLERO!$F$14),2)&amp;IF(TABLERO!$F$17="KVA"," VA"," W")</f>
        <v>0.00 W</v>
      </c>
      <c r="AV20" s="1205"/>
      <c r="AW20" s="1205"/>
      <c r="AX20" s="268" t="str">
        <f>FIXED(TABLERO!M16,2)</f>
        <v>1.00</v>
      </c>
      <c r="AY20" s="1205" t="str">
        <f>FIXED(IF(TABLERO!$F$17&lt;&gt;"KVA",(TABLERO!BI27+TABLERO!BP27)*1000,(TABLERO!BI27+TABLERO!BP27)*1000/TABLERO!$F$14),2)&amp;IF(TABLERO!$F$17="KVA"," VA"," W")</f>
        <v>0.00 W</v>
      </c>
      <c r="AZ20" s="1206"/>
      <c r="BA20" s="1228"/>
      <c r="BB20" s="1218"/>
      <c r="BC20" s="1232"/>
    </row>
    <row r="21" spans="1:184" ht="12.75" customHeight="1">
      <c r="A21" s="268">
        <f>TABLERO!M19</f>
        <v>0</v>
      </c>
      <c r="B21" s="500"/>
      <c r="D21" s="279"/>
      <c r="E21" s="279"/>
      <c r="F21" s="279"/>
      <c r="G21" s="279"/>
      <c r="H21" s="279"/>
      <c r="I21" s="279"/>
      <c r="J21" s="279"/>
      <c r="K21" s="279"/>
      <c r="L21" s="279"/>
      <c r="M21" s="279"/>
      <c r="N21" s="279"/>
      <c r="O21" s="279"/>
      <c r="P21" s="279"/>
      <c r="Q21" s="279"/>
      <c r="R21" s="279"/>
      <c r="S21" s="279"/>
      <c r="T21" s="279"/>
      <c r="U21" s="279"/>
      <c r="V21" s="279"/>
      <c r="AH21" s="1224" t="str">
        <f>IF(TABLERO!M7=0,"",TABLERO!M7)</f>
        <v>SQUARED</v>
      </c>
      <c r="AI21" s="1225"/>
      <c r="AJ21" s="1226"/>
      <c r="AK21" s="1202"/>
      <c r="AL21" s="1202"/>
      <c r="AM21" s="1202"/>
      <c r="AN21" s="1202"/>
      <c r="AO21" s="1202"/>
      <c r="AP21" s="1202"/>
      <c r="AQ21" s="1202"/>
      <c r="AR21" s="1202"/>
      <c r="AS21" s="1203" t="s">
        <v>1778</v>
      </c>
      <c r="AT21" s="1204"/>
      <c r="AU21" s="1205" t="str">
        <f>FIXED(IF(TABLERO!$F$17&lt;&gt;"KVA",(TABLERO!BG25+TABLERO!BN25)*1000,(TABLERO!BG25+TABLERO!BN25)*1000/TABLERO!$F$14),2)&amp;IF(TABLERO!$F$17="KVA"," VA"," W")</f>
        <v>0.00 W</v>
      </c>
      <c r="AV21" s="1205"/>
      <c r="AW21" s="1205"/>
      <c r="AX21" s="268" t="str">
        <f>FIXED(TABLERO!M14,2)</f>
        <v>1.00</v>
      </c>
      <c r="AY21" s="1205" t="str">
        <f>FIXED(IF(TABLERO!$F$17&lt;&gt;"KVA",(TABLERO!BG27+TABLERO!BN27)*1000,(TABLERO!BG27+TABLERO!BN27)*1000/TABLERO!$F$14),2)&amp;IF(TABLERO!$F$17="KVA"," VA"," W")</f>
        <v>0.00 W</v>
      </c>
      <c r="AZ21" s="1206"/>
      <c r="BA21" s="1228"/>
      <c r="BB21" s="1218"/>
      <c r="BC21" s="1232"/>
    </row>
    <row r="22" spans="1:184" ht="12.75" customHeight="1">
      <c r="B22" s="501"/>
      <c r="C22" s="502"/>
      <c r="D22" s="502"/>
      <c r="E22" s="502"/>
      <c r="F22" s="502"/>
      <c r="G22" s="502"/>
      <c r="H22" s="502"/>
      <c r="I22" s="502"/>
      <c r="J22" s="502"/>
      <c r="K22" s="502"/>
      <c r="L22" s="502"/>
      <c r="M22" s="502"/>
      <c r="N22" s="502"/>
      <c r="O22" s="502"/>
      <c r="P22" s="502"/>
      <c r="Q22" s="502"/>
      <c r="R22" s="502"/>
      <c r="S22" s="502"/>
      <c r="T22" s="502"/>
      <c r="U22" s="502"/>
      <c r="V22" s="502"/>
      <c r="W22" s="502"/>
      <c r="X22" s="502"/>
      <c r="Y22" s="502"/>
      <c r="Z22" s="502"/>
      <c r="AA22" s="502"/>
      <c r="AB22" s="502"/>
      <c r="AC22" s="502"/>
      <c r="AD22" s="502"/>
      <c r="AE22" s="502"/>
      <c r="AF22" s="502"/>
      <c r="AG22" s="502"/>
      <c r="AH22" s="1207" t="str">
        <f>IF(TABLERO!F12&lt;&gt;"Z","INT. PPAL DE: ","ZAPATAS GENERALES    " )&amp;IF(TABLERO!F12="Z","",IF(TABLERO!M18&lt;&gt;"TR",IF(TABLERO!BB116=0,"ESPACIO",IF(TABLERO!$F$12="Z","NO LLEVA",CONCATENATE(FIXED(TABLERO!F116,0),"P-",FIXED(TABLERO!BW116,0)," A",TABLERO!FM116))),IF(TABLERO!BB118=0,"ESPACIO",CONCATENATE(FIXED(TABLERO!F118,0),"P-",FIXED(TABLERO!BW118,0)," A",TABLERO!FM118))))</f>
        <v>INT. PPAL DE: ESPACIO</v>
      </c>
      <c r="AI22" s="1208"/>
      <c r="AJ22" s="1209"/>
      <c r="AK22" s="1202" t="str">
        <f>IF(TABLERO!F5=0,"",TABLERO!F5)</f>
        <v>VILLAS</v>
      </c>
      <c r="AL22" s="1202"/>
      <c r="AM22" s="1202"/>
      <c r="AN22" s="1202"/>
      <c r="AO22" s="1202"/>
      <c r="AP22" s="1202"/>
      <c r="AQ22" s="1202"/>
      <c r="AR22" s="1202"/>
      <c r="AS22" s="1203" t="s">
        <v>1779</v>
      </c>
      <c r="AT22" s="1204"/>
      <c r="AU22" s="1205" t="str">
        <f>FIXED(IF(TABLERO!$F$17&lt;&gt;"KVA",(TABLERO!BH25+TABLERO!BO25)*1000,(TABLERO!BH25+TABLERO!BO25)*1000/TABLERO!$F$14),2)&amp;IF(TABLERO!$F$17="KVA"," VA"," W")</f>
        <v>0.00 W</v>
      </c>
      <c r="AV22" s="1205"/>
      <c r="AW22" s="1205"/>
      <c r="AX22" s="268" t="str">
        <f>FIXED(TABLERO!M15,2)</f>
        <v>1.00</v>
      </c>
      <c r="AY22" s="1205" t="str">
        <f>FIXED(IF(TABLERO!$F$17&lt;&gt;"KVA",(TABLERO!BH27+TABLERO!BO27)*1000,(TABLERO!BH27+TABLERO!BO27)*1000/TABLERO!$F$14),2)&amp;IF(TABLERO!$F$17="KVA"," VA"," W")</f>
        <v>0.00 W</v>
      </c>
      <c r="AZ22" s="1206"/>
      <c r="BA22" s="1228"/>
      <c r="BB22" s="300" t="s">
        <v>1271</v>
      </c>
      <c r="BC22" s="278" t="str">
        <f>IF(TABLERO!R11=0,"",TABLERO!R11)</f>
        <v>M.M.S.</v>
      </c>
      <c r="CU22" s="291" t="str">
        <f>"+++++++++++++++++++++++++++++++"&amp;COUNT(D116:AG116)&amp;"+COLUMNAS"</f>
        <v>+++++++++++++++++++++++++++++++0+COLUMNAS</v>
      </c>
    </row>
    <row r="23" spans="1:184" ht="12.75" customHeight="1">
      <c r="B23" s="301"/>
      <c r="C23" s="302" t="str">
        <f>IF(COUNT(D116:AG116)=0,"","                ETIQUETA")</f>
        <v/>
      </c>
      <c r="D23" s="272" t="str">
        <f>IF(OR(TABLERO!X22="",TABLERO!X22=0),"",TABLERO!X22)</f>
        <v/>
      </c>
      <c r="E23" s="272" t="str">
        <f>IF(OR(TABLERO!Y22="",TABLERO!Y22=0),"",TABLERO!Y22)</f>
        <v/>
      </c>
      <c r="F23" s="272" t="str">
        <f>IF(OR(TABLERO!Z22="",TABLERO!Z22=0),"",TABLERO!Z22)</f>
        <v/>
      </c>
      <c r="G23" s="272" t="str">
        <f>IF(OR(TABLERO!AA22="",TABLERO!AA22=0),"",TABLERO!AA22)</f>
        <v/>
      </c>
      <c r="H23" s="272" t="str">
        <f>IF(OR(TABLERO!AB22="",TABLERO!AB22=0),"",TABLERO!AB22)</f>
        <v/>
      </c>
      <c r="I23" s="272" t="str">
        <f>IF(OR(TABLERO!AC22="",TABLERO!AC22=0),"",TABLERO!AC22)</f>
        <v/>
      </c>
      <c r="J23" s="272" t="str">
        <f>IF(OR(TABLERO!AD22="",TABLERO!AD22=0),"",TABLERO!AD22)</f>
        <v/>
      </c>
      <c r="K23" s="272" t="str">
        <f>IF(OR(TABLERO!AE22="",TABLERO!AE22=0),"",TABLERO!AE22)</f>
        <v/>
      </c>
      <c r="L23" s="272" t="str">
        <f>IF(OR(TABLERO!AF22="",TABLERO!AF22=0),"",TABLERO!AF22)</f>
        <v/>
      </c>
      <c r="M23" s="272" t="str">
        <f>IF(OR(TABLERO!AG22="",TABLERO!AG22=0),"",TABLERO!AG22)</f>
        <v/>
      </c>
      <c r="N23" s="272" t="str">
        <f>IF(OR(TABLERO!AH22="",TABLERO!AH22=0),"",TABLERO!AH22)</f>
        <v/>
      </c>
      <c r="O23" s="272" t="str">
        <f>IF(OR(TABLERO!AI22="",TABLERO!AI22=0),"",TABLERO!AI22)</f>
        <v/>
      </c>
      <c r="P23" s="272" t="str">
        <f>IF(OR(TABLERO!AJ22="",TABLERO!AJ22=0),"",TABLERO!AJ22)</f>
        <v/>
      </c>
      <c r="Q23" s="272" t="str">
        <f>IF(OR(TABLERO!AK22="",TABLERO!AK22=0),"",TABLERO!AK22)</f>
        <v/>
      </c>
      <c r="R23" s="272" t="str">
        <f>IF(OR(TABLERO!AL22="",TABLERO!AL22=0),"",TABLERO!AL22)</f>
        <v/>
      </c>
      <c r="S23" s="272" t="str">
        <f>IF(OR(TABLERO!AM22="",TABLERO!AM22=0),"",TABLERO!AM22)</f>
        <v/>
      </c>
      <c r="T23" s="272" t="str">
        <f>IF(OR(TABLERO!AN22="",TABLERO!AN22=0),"",TABLERO!AN22)</f>
        <v/>
      </c>
      <c r="U23" s="272" t="str">
        <f>IF(OR(TABLERO!AO22="",TABLERO!AO22=0),"",TABLERO!AO22)</f>
        <v/>
      </c>
      <c r="V23" s="272" t="str">
        <f>IF(OR(TABLERO!AP22="",TABLERO!AP22=0),"",TABLERO!AP22)</f>
        <v/>
      </c>
      <c r="W23" s="272" t="str">
        <f>IF(OR(TABLERO!AQ22="",TABLERO!AQ22=0),"",TABLERO!AQ22)</f>
        <v/>
      </c>
      <c r="X23" s="272" t="str">
        <f>IF(OR(TABLERO!AR22="",TABLERO!AR22=0),"",TABLERO!AR22)</f>
        <v/>
      </c>
      <c r="Y23" s="272" t="str">
        <f>IF(OR(TABLERO!AS22="",TABLERO!AS22=0),"",TABLERO!AS22)</f>
        <v/>
      </c>
      <c r="Z23" s="272" t="str">
        <f>IF(OR(TABLERO!AT22="",TABLERO!AT22=0),"",TABLERO!AT22)</f>
        <v/>
      </c>
      <c r="AA23" s="272" t="str">
        <f>IF(OR(TABLERO!AU22="",TABLERO!AU22=0),"",TABLERO!AU22)</f>
        <v/>
      </c>
      <c r="AB23" s="272" t="str">
        <f>IF(OR(TABLERO!AV22="",TABLERO!AV22=0),"",TABLERO!AV22)</f>
        <v/>
      </c>
      <c r="AC23" s="272" t="str">
        <f>IF(OR(TABLERO!AW22="",TABLERO!AW22=0),"",TABLERO!AW22)</f>
        <v/>
      </c>
      <c r="AD23" s="272" t="str">
        <f>IF(OR(TABLERO!AX22="",TABLERO!AX22=0),"",TABLERO!AX22)</f>
        <v/>
      </c>
      <c r="AE23" s="272" t="str">
        <f>IF(OR(TABLERO!AY22="",TABLERO!AY22=0),"",TABLERO!AY22)</f>
        <v/>
      </c>
      <c r="AF23" s="272" t="str">
        <f>IF(OR(TABLERO!AZ22="",TABLERO!AZ22=0),"",TABLERO!AZ22)</f>
        <v/>
      </c>
      <c r="AG23" s="303" t="str">
        <f>IF(OR(TABLERO!BA22="",TABLERO!BA22=0),"",TABLERO!BA22)</f>
        <v/>
      </c>
      <c r="AH23" s="1210"/>
      <c r="AI23" s="1211"/>
      <c r="AJ23" s="1212"/>
      <c r="AK23" s="1202"/>
      <c r="AL23" s="1202"/>
      <c r="AM23" s="1202"/>
      <c r="AN23" s="1202"/>
      <c r="AO23" s="1202"/>
      <c r="AP23" s="1202"/>
      <c r="AQ23" s="1202"/>
      <c r="AR23" s="1202"/>
      <c r="AS23" s="1213" t="s">
        <v>1780</v>
      </c>
      <c r="AT23" s="1214"/>
      <c r="AU23" s="1205" t="str">
        <f>FIXED(IF(TABLERO!$F$17&lt;&gt;"KVA",(SUM(TABLERO!BC25:BP25))*1000,(SUM(TABLERO!BC25:BP25))*1000/TABLERO!$F$14),2)&amp;IF(TABLERO!$F$17="KVA"," VA"," W")</f>
        <v>0.00 W</v>
      </c>
      <c r="AV23" s="1205"/>
      <c r="AW23" s="1205"/>
      <c r="AX23" s="1218" t="str">
        <f>FIXED(TABLERO!M17,2)</f>
        <v>1.00</v>
      </c>
      <c r="AY23" s="1205" t="str">
        <f>FIXED(IF(TABLERO!$F$17&lt;&gt;"KVA",(TABLERO!BF28+TABLERO!BM28)*1000,(TABLERO!BF28+TABLERO!BM28)*1000/TABLERO!$F$14),2)&amp;IF(TABLERO!$F$17="KVA"," VA"," W")</f>
        <v>0.00 W</v>
      </c>
      <c r="AZ23" s="1206"/>
      <c r="BA23" s="1228"/>
      <c r="BB23" s="300" t="s">
        <v>1273</v>
      </c>
      <c r="BC23" s="278" t="str">
        <f>IF(TABLERO!R12=0,"",TABLERO!R12)</f>
        <v>A.H.R.</v>
      </c>
      <c r="BK23" s="295" t="s">
        <v>1791</v>
      </c>
      <c r="BL23" s="289" t="s">
        <v>1833</v>
      </c>
      <c r="BM23" s="279" t="str">
        <f>B23&amp;"+"&amp;C23</f>
        <v>+</v>
      </c>
      <c r="BN23" s="304" t="str">
        <f t="shared" ref="BN23:CC31" si="0">IF(D$129="","","+"&amp;D23)</f>
        <v/>
      </c>
      <c r="BO23" s="304" t="str">
        <f t="shared" si="0"/>
        <v/>
      </c>
      <c r="BP23" s="304" t="str">
        <f t="shared" si="0"/>
        <v/>
      </c>
      <c r="BQ23" s="304" t="str">
        <f t="shared" si="0"/>
        <v/>
      </c>
      <c r="BR23" s="304" t="str">
        <f t="shared" si="0"/>
        <v/>
      </c>
      <c r="BS23" s="304" t="str">
        <f t="shared" si="0"/>
        <v/>
      </c>
      <c r="BT23" s="304" t="str">
        <f t="shared" si="0"/>
        <v/>
      </c>
      <c r="BU23" s="304" t="str">
        <f t="shared" si="0"/>
        <v/>
      </c>
      <c r="BV23" s="304" t="str">
        <f t="shared" si="0"/>
        <v/>
      </c>
      <c r="BW23" s="304" t="str">
        <f t="shared" si="0"/>
        <v/>
      </c>
      <c r="BX23" s="304" t="str">
        <f t="shared" si="0"/>
        <v/>
      </c>
      <c r="BY23" s="304" t="str">
        <f t="shared" si="0"/>
        <v/>
      </c>
      <c r="BZ23" s="304" t="str">
        <f t="shared" si="0"/>
        <v/>
      </c>
      <c r="CA23" s="304" t="str">
        <f t="shared" si="0"/>
        <v/>
      </c>
      <c r="CB23" s="304" t="str">
        <f t="shared" si="0"/>
        <v/>
      </c>
      <c r="CC23" s="304" t="str">
        <f t="shared" si="0"/>
        <v/>
      </c>
      <c r="CD23" s="304" t="str">
        <f t="shared" ref="CD23:CQ31" si="1">IF(T$129="","","+"&amp;T23)</f>
        <v/>
      </c>
      <c r="CE23" s="304" t="str">
        <f t="shared" si="1"/>
        <v/>
      </c>
      <c r="CF23" s="304" t="str">
        <f t="shared" si="1"/>
        <v/>
      </c>
      <c r="CG23" s="304" t="str">
        <f t="shared" si="1"/>
        <v/>
      </c>
      <c r="CH23" s="304" t="str">
        <f t="shared" si="1"/>
        <v/>
      </c>
      <c r="CI23" s="304" t="str">
        <f t="shared" si="1"/>
        <v/>
      </c>
      <c r="CJ23" s="304" t="str">
        <f t="shared" si="1"/>
        <v/>
      </c>
      <c r="CK23" s="304" t="str">
        <f t="shared" si="1"/>
        <v/>
      </c>
      <c r="CL23" s="304" t="str">
        <f t="shared" si="1"/>
        <v/>
      </c>
      <c r="CM23" s="304" t="str">
        <f t="shared" si="1"/>
        <v/>
      </c>
      <c r="CN23" s="304" t="str">
        <f t="shared" si="1"/>
        <v/>
      </c>
      <c r="CO23" s="304" t="str">
        <f t="shared" si="1"/>
        <v/>
      </c>
      <c r="CP23" s="304" t="str">
        <f t="shared" si="1"/>
        <v/>
      </c>
      <c r="CQ23" s="304" t="str">
        <f t="shared" si="1"/>
        <v/>
      </c>
      <c r="CR23" s="305" t="str">
        <f t="shared" ref="CR23:CR30" si="2">BM23&amp;BN23&amp;BO23&amp;BP23&amp;BQ23&amp;BR23&amp;BS23&amp;BT23&amp;BU23&amp;BV23&amp;BW23&amp;BX23&amp;BY23&amp;BZ23&amp;CA23&amp;CB23&amp;CC23&amp;CD23&amp;CE23&amp;CF23&amp;CG23&amp;CH23&amp;CI23&amp;CJ23&amp;CK23&amp;CL23&amp;CM23&amp;CN23&amp;CO23&amp;CP23&amp;CQ23</f>
        <v>+</v>
      </c>
      <c r="CS23" s="279">
        <f>COUNTIF(BM23:CQ23,"")</f>
        <v>30</v>
      </c>
      <c r="CT23" s="279" t="str">
        <f t="shared" ref="CT23:CT86" si="3">VLOOKUP(CS23,$CS$135:$CT$165,2)</f>
        <v>+++++++++++++++++++++++++++++++</v>
      </c>
      <c r="CU23" s="291" t="str">
        <f>CR23&amp;CT23&amp;"44"</f>
        <v>++++++++++++++++++++++++++++++++44</v>
      </c>
    </row>
    <row r="24" spans="1:184" ht="13.5" customHeight="1">
      <c r="B24" s="306"/>
      <c r="C24" s="302" t="str">
        <f>IF(COUNT(D116:AG116)=0,"","                WATTS")</f>
        <v/>
      </c>
      <c r="D24" s="272" t="str">
        <f>IF(OR(TABLERO!X23="",TABLERO!X23=0),"",TABLERO!X23)</f>
        <v/>
      </c>
      <c r="E24" s="272" t="str">
        <f>IF(OR(TABLERO!Y23="",TABLERO!Y23=0),"",TABLERO!Y23)</f>
        <v/>
      </c>
      <c r="F24" s="272" t="str">
        <f>IF(OR(TABLERO!Z23="",TABLERO!Z23=0),"",TABLERO!Z23)</f>
        <v/>
      </c>
      <c r="G24" s="272" t="str">
        <f>IF(OR(TABLERO!AA23="",TABLERO!AA23=0),"",TABLERO!AA23)</f>
        <v/>
      </c>
      <c r="H24" s="272" t="str">
        <f>IF(OR(TABLERO!AB23="",TABLERO!AB23=0),"",TABLERO!AB23)</f>
        <v/>
      </c>
      <c r="I24" s="272" t="str">
        <f>IF(OR(TABLERO!AC23="",TABLERO!AC23=0),"",TABLERO!AC23)</f>
        <v/>
      </c>
      <c r="J24" s="272" t="str">
        <f>IF(OR(TABLERO!AD23="",TABLERO!AD23=0),"",TABLERO!AD23)</f>
        <v/>
      </c>
      <c r="K24" s="272" t="str">
        <f>IF(OR(TABLERO!AE23="",TABLERO!AE23=0),"",TABLERO!AE23)</f>
        <v/>
      </c>
      <c r="L24" s="272" t="str">
        <f>IF(OR(TABLERO!AF23="",TABLERO!AF23=0),"",TABLERO!AF23)</f>
        <v/>
      </c>
      <c r="M24" s="272" t="str">
        <f>IF(OR(TABLERO!AG23="",TABLERO!AG23=0),"",TABLERO!AG23)</f>
        <v/>
      </c>
      <c r="N24" s="272" t="str">
        <f>IF(OR(TABLERO!AH23="",TABLERO!AH23=0),"",TABLERO!AH23)</f>
        <v/>
      </c>
      <c r="O24" s="272" t="str">
        <f>IF(OR(TABLERO!AI23="",TABLERO!AI23=0),"",TABLERO!AI23)</f>
        <v/>
      </c>
      <c r="P24" s="272" t="str">
        <f>IF(OR(TABLERO!AJ23="",TABLERO!AJ23=0),"",TABLERO!AJ23)</f>
        <v/>
      </c>
      <c r="Q24" s="272" t="str">
        <f>IF(OR(TABLERO!AK23="",TABLERO!AK23=0),"",TABLERO!AK23)</f>
        <v/>
      </c>
      <c r="R24" s="272" t="str">
        <f>IF(OR(TABLERO!AL23="",TABLERO!AL23=0),"",TABLERO!AL23)</f>
        <v/>
      </c>
      <c r="S24" s="272" t="str">
        <f>IF(OR(TABLERO!AM23="",TABLERO!AM23=0),"",TABLERO!AM23)</f>
        <v/>
      </c>
      <c r="T24" s="272" t="str">
        <f>IF(OR(TABLERO!AN23="",TABLERO!AN23=0),"",TABLERO!AN23)</f>
        <v/>
      </c>
      <c r="U24" s="272" t="str">
        <f>IF(OR(TABLERO!AO23="",TABLERO!AO23=0),"",TABLERO!AO23)</f>
        <v/>
      </c>
      <c r="V24" s="272" t="str">
        <f>IF(OR(TABLERO!AP23="",TABLERO!AP23=0),"",TABLERO!AP23)</f>
        <v/>
      </c>
      <c r="W24" s="272" t="str">
        <f>IF(OR(TABLERO!AQ23="",TABLERO!AQ23=0),"",TABLERO!AQ23)</f>
        <v/>
      </c>
      <c r="X24" s="272" t="str">
        <f>IF(OR(TABLERO!AR23="",TABLERO!AR23=0),"",TABLERO!AR23)</f>
        <v/>
      </c>
      <c r="Y24" s="272" t="str">
        <f>IF(OR(TABLERO!AS23="",TABLERO!AS23=0),"",TABLERO!AS23)</f>
        <v/>
      </c>
      <c r="Z24" s="272" t="str">
        <f>IF(OR(TABLERO!AT23="",TABLERO!AT23=0),"",TABLERO!AT23)</f>
        <v/>
      </c>
      <c r="AA24" s="272" t="str">
        <f>IF(OR(TABLERO!AU23="",TABLERO!AU23=0),"",TABLERO!AU23)</f>
        <v/>
      </c>
      <c r="AB24" s="272" t="str">
        <f>IF(OR(TABLERO!AV23="",TABLERO!AV23=0),"",TABLERO!AV23)</f>
        <v/>
      </c>
      <c r="AC24" s="272" t="str">
        <f>IF(OR(TABLERO!AW23="",TABLERO!AW23=0),"",TABLERO!AW23)</f>
        <v/>
      </c>
      <c r="AD24" s="272" t="str">
        <f>IF(OR(TABLERO!AX23="",TABLERO!AX23=0),"",TABLERO!AX23)</f>
        <v/>
      </c>
      <c r="AE24" s="272" t="str">
        <f>IF(OR(TABLERO!AY23="",TABLERO!AY23=0),"",TABLERO!AY23)</f>
        <v/>
      </c>
      <c r="AF24" s="272" t="str">
        <f>IF(OR(TABLERO!AZ23="",TABLERO!AZ23=0),"",TABLERO!AZ23)</f>
        <v/>
      </c>
      <c r="AG24" s="272" t="str">
        <f>IF(OR(TABLERO!BA23="",TABLERO!BA23=0),"",TABLERO!BA23)</f>
        <v/>
      </c>
      <c r="AH24" s="1190" t="e">
        <f>TABLERO!#REF!</f>
        <v>#REF!</v>
      </c>
      <c r="AI24" s="1191"/>
      <c r="AJ24" s="1191"/>
      <c r="AK24" s="1191"/>
      <c r="AL24" s="1191"/>
      <c r="AM24" s="1191"/>
      <c r="AN24" s="1191"/>
      <c r="AO24" s="1191"/>
      <c r="AP24" s="1191"/>
      <c r="AQ24" s="1191"/>
      <c r="AR24" s="1191"/>
      <c r="AS24" s="1215"/>
      <c r="AT24" s="1216"/>
      <c r="AU24" s="1217"/>
      <c r="AV24" s="1217"/>
      <c r="AW24" s="1217"/>
      <c r="AX24" s="1219"/>
      <c r="AY24" s="1217"/>
      <c r="AZ24" s="1220"/>
      <c r="BA24" s="1229"/>
      <c r="BB24" s="300" t="s">
        <v>1275</v>
      </c>
      <c r="BC24" s="278" t="str">
        <f>IF(TABLERO!R13=0,"",TABLERO!R13)</f>
        <v>A.H.R.</v>
      </c>
      <c r="BM24" s="279" t="str">
        <f t="shared" ref="BM24:BM87" si="4">B24&amp;"+"&amp;C24</f>
        <v>+</v>
      </c>
      <c r="BN24" s="304" t="str">
        <f t="shared" si="0"/>
        <v/>
      </c>
      <c r="BO24" s="304" t="str">
        <f t="shared" si="0"/>
        <v/>
      </c>
      <c r="BP24" s="304" t="str">
        <f t="shared" si="0"/>
        <v/>
      </c>
      <c r="BQ24" s="304" t="str">
        <f t="shared" si="0"/>
        <v/>
      </c>
      <c r="BR24" s="304" t="str">
        <f t="shared" si="0"/>
        <v/>
      </c>
      <c r="BS24" s="304" t="str">
        <f t="shared" si="0"/>
        <v/>
      </c>
      <c r="BT24" s="304" t="str">
        <f t="shared" si="0"/>
        <v/>
      </c>
      <c r="BU24" s="304" t="str">
        <f t="shared" si="0"/>
        <v/>
      </c>
      <c r="BV24" s="304" t="str">
        <f t="shared" si="0"/>
        <v/>
      </c>
      <c r="BW24" s="304" t="str">
        <f t="shared" si="0"/>
        <v/>
      </c>
      <c r="BX24" s="304" t="str">
        <f t="shared" si="0"/>
        <v/>
      </c>
      <c r="BY24" s="304" t="str">
        <f t="shared" si="0"/>
        <v/>
      </c>
      <c r="BZ24" s="304" t="str">
        <f t="shared" si="0"/>
        <v/>
      </c>
      <c r="CA24" s="304" t="str">
        <f t="shared" si="0"/>
        <v/>
      </c>
      <c r="CB24" s="304" t="str">
        <f t="shared" si="0"/>
        <v/>
      </c>
      <c r="CC24" s="304" t="str">
        <f t="shared" si="0"/>
        <v/>
      </c>
      <c r="CD24" s="304" t="str">
        <f t="shared" si="1"/>
        <v/>
      </c>
      <c r="CE24" s="304" t="str">
        <f t="shared" si="1"/>
        <v/>
      </c>
      <c r="CF24" s="304" t="str">
        <f t="shared" si="1"/>
        <v/>
      </c>
      <c r="CG24" s="304" t="str">
        <f t="shared" si="1"/>
        <v/>
      </c>
      <c r="CH24" s="304" t="str">
        <f t="shared" si="1"/>
        <v/>
      </c>
      <c r="CI24" s="304" t="str">
        <f t="shared" si="1"/>
        <v/>
      </c>
      <c r="CJ24" s="304" t="str">
        <f t="shared" si="1"/>
        <v/>
      </c>
      <c r="CK24" s="304" t="str">
        <f t="shared" si="1"/>
        <v/>
      </c>
      <c r="CL24" s="304" t="str">
        <f t="shared" si="1"/>
        <v/>
      </c>
      <c r="CM24" s="304" t="str">
        <f t="shared" si="1"/>
        <v/>
      </c>
      <c r="CN24" s="304" t="str">
        <f t="shared" si="1"/>
        <v/>
      </c>
      <c r="CO24" s="304" t="str">
        <f t="shared" si="1"/>
        <v/>
      </c>
      <c r="CP24" s="304" t="str">
        <f t="shared" si="1"/>
        <v/>
      </c>
      <c r="CQ24" s="304" t="str">
        <f t="shared" si="1"/>
        <v/>
      </c>
      <c r="CR24" s="305" t="str">
        <f t="shared" si="2"/>
        <v>+</v>
      </c>
      <c r="CS24" s="279">
        <f t="shared" ref="CS24:CS129" si="5">COUNTIF(BM24:CQ24,"")</f>
        <v>30</v>
      </c>
      <c r="CT24" s="279" t="str">
        <f t="shared" si="3"/>
        <v>+++++++++++++++++++++++++++++++</v>
      </c>
      <c r="CU24" s="291" t="str">
        <f>CR24&amp;CT24&amp;"21"</f>
        <v>++++++++++++++++++++++++++++++++21</v>
      </c>
    </row>
    <row r="25" spans="1:184" ht="12.75" customHeight="1">
      <c r="B25" s="306"/>
      <c r="C25" s="302" t="str">
        <f>IF(COUNT(D116:AG116)=0,"","                   VA'S")</f>
        <v/>
      </c>
      <c r="D25" s="272" t="str">
        <f>IF(OR(TABLERO!X24="",TABLERO!X24=0),"",TABLERO!X24)</f>
        <v/>
      </c>
      <c r="E25" s="272" t="str">
        <f>IF(OR(TABLERO!Y24="",TABLERO!Y24=0),"",TABLERO!Y24)</f>
        <v/>
      </c>
      <c r="F25" s="272" t="str">
        <f>IF(OR(TABLERO!Z24="",TABLERO!Z24=0),"",TABLERO!Z24)</f>
        <v/>
      </c>
      <c r="G25" s="272" t="str">
        <f>IF(OR(TABLERO!AA24="",TABLERO!AA24=0),"",TABLERO!AA24)</f>
        <v/>
      </c>
      <c r="H25" s="272" t="str">
        <f>IF(OR(TABLERO!AB24="",TABLERO!AB24=0),"",TABLERO!AB24)</f>
        <v/>
      </c>
      <c r="I25" s="272" t="str">
        <f>IF(OR(TABLERO!AC24="",TABLERO!AC24=0),"",TABLERO!AC24)</f>
        <v/>
      </c>
      <c r="J25" s="272" t="str">
        <f>IF(OR(TABLERO!AD24="",TABLERO!AD24=0),"",TABLERO!AD24)</f>
        <v/>
      </c>
      <c r="K25" s="272" t="str">
        <f>IF(OR(TABLERO!AE24="",TABLERO!AE24=0),"",TABLERO!AE24)</f>
        <v/>
      </c>
      <c r="L25" s="272" t="str">
        <f>IF(OR(TABLERO!AF24="",TABLERO!AF24=0),"",TABLERO!AF24)</f>
        <v/>
      </c>
      <c r="M25" s="272" t="str">
        <f>IF(OR(TABLERO!AG24="",TABLERO!AG24=0),"",TABLERO!AG24)</f>
        <v/>
      </c>
      <c r="N25" s="272" t="str">
        <f>IF(OR(TABLERO!AH24="",TABLERO!AH24=0),"",TABLERO!AH24)</f>
        <v/>
      </c>
      <c r="O25" s="272" t="str">
        <f>IF(OR(TABLERO!AI24="",TABLERO!AI24=0),"",TABLERO!AI24)</f>
        <v/>
      </c>
      <c r="P25" s="272" t="str">
        <f>IF(OR(TABLERO!AJ24="",TABLERO!AJ24=0),"",TABLERO!AJ24)</f>
        <v/>
      </c>
      <c r="Q25" s="272" t="str">
        <f>IF(OR(TABLERO!AK24="",TABLERO!AK24=0),"",TABLERO!AK24)</f>
        <v/>
      </c>
      <c r="R25" s="272" t="str">
        <f>IF(OR(TABLERO!AL24="",TABLERO!AL24=0),"",TABLERO!AL24)</f>
        <v/>
      </c>
      <c r="S25" s="272" t="str">
        <f>IF(OR(TABLERO!AM24="",TABLERO!AM24=0),"",TABLERO!AM24)</f>
        <v/>
      </c>
      <c r="T25" s="272" t="str">
        <f>IF(OR(TABLERO!AN24="",TABLERO!AN24=0),"",TABLERO!AN24)</f>
        <v/>
      </c>
      <c r="U25" s="272" t="str">
        <f>IF(OR(TABLERO!AO24="",TABLERO!AO24=0),"",TABLERO!AO24)</f>
        <v/>
      </c>
      <c r="V25" s="272" t="str">
        <f>IF(OR(TABLERO!AP24="",TABLERO!AP24=0),"",TABLERO!AP24)</f>
        <v/>
      </c>
      <c r="W25" s="272" t="str">
        <f>IF(OR(TABLERO!AQ24="",TABLERO!AQ24=0),"",TABLERO!AQ24)</f>
        <v/>
      </c>
      <c r="X25" s="272" t="str">
        <f>IF(OR(TABLERO!AR24="",TABLERO!AR24=0),"",TABLERO!AR24)</f>
        <v/>
      </c>
      <c r="Y25" s="272" t="str">
        <f>IF(OR(TABLERO!AS24="",TABLERO!AS24=0),"",TABLERO!AS24)</f>
        <v/>
      </c>
      <c r="Z25" s="272" t="str">
        <f>IF(OR(TABLERO!AT24="",TABLERO!AT24=0),"",TABLERO!AT24)</f>
        <v/>
      </c>
      <c r="AA25" s="272" t="str">
        <f>IF(OR(TABLERO!AU24="",TABLERO!AU24=0),"",TABLERO!AU24)</f>
        <v/>
      </c>
      <c r="AB25" s="272" t="str">
        <f>IF(OR(TABLERO!AV24="",TABLERO!AV24=0),"",TABLERO!AV24)</f>
        <v/>
      </c>
      <c r="AC25" s="272" t="str">
        <f>IF(OR(TABLERO!AW24="",TABLERO!AW24=0),"",TABLERO!AW24)</f>
        <v/>
      </c>
      <c r="AD25" s="272" t="str">
        <f>IF(OR(TABLERO!AX24="",TABLERO!AX24=0),"",TABLERO!AX24)</f>
        <v/>
      </c>
      <c r="AE25" s="272" t="str">
        <f>IF(OR(TABLERO!AY24="",TABLERO!AY24=0),"",TABLERO!AY24)</f>
        <v/>
      </c>
      <c r="AF25" s="272" t="str">
        <f>IF(OR(TABLERO!AZ24="",TABLERO!AZ24=0),"",TABLERO!AZ24)</f>
        <v/>
      </c>
      <c r="AG25" s="272" t="str">
        <f>IF(OR(TABLERO!BA24="",TABLERO!BA24=0),"",TABLERO!BA24)</f>
        <v/>
      </c>
      <c r="AH25" s="1192" t="s">
        <v>1767</v>
      </c>
      <c r="AI25" s="1193"/>
      <c r="AJ25" s="1193"/>
      <c r="AK25" s="1193"/>
      <c r="AL25" s="1193"/>
      <c r="AM25" s="1194"/>
      <c r="AN25" s="1192" t="s">
        <v>1318</v>
      </c>
      <c r="AO25" s="1193"/>
      <c r="AP25" s="1193"/>
      <c r="AQ25" s="1193"/>
      <c r="AR25" s="1193"/>
      <c r="AS25" s="1198"/>
      <c r="AT25" s="1198"/>
      <c r="AU25" s="1198"/>
      <c r="AV25" s="1199"/>
      <c r="AW25" s="1185" t="s">
        <v>1756</v>
      </c>
      <c r="AX25" s="1175" t="s">
        <v>1781</v>
      </c>
      <c r="AY25" s="1175" t="s">
        <v>1757</v>
      </c>
      <c r="AZ25" s="1169" t="s">
        <v>1298</v>
      </c>
      <c r="BA25" s="1182" t="s">
        <v>1296</v>
      </c>
      <c r="BB25" s="1183"/>
      <c r="BC25" s="1184"/>
      <c r="BM25" s="279" t="str">
        <f t="shared" si="4"/>
        <v>+</v>
      </c>
      <c r="BN25" s="304" t="str">
        <f t="shared" si="0"/>
        <v/>
      </c>
      <c r="BO25" s="304" t="str">
        <f t="shared" si="0"/>
        <v/>
      </c>
      <c r="BP25" s="304" t="str">
        <f t="shared" si="0"/>
        <v/>
      </c>
      <c r="BQ25" s="304" t="str">
        <f t="shared" si="0"/>
        <v/>
      </c>
      <c r="BR25" s="304" t="str">
        <f t="shared" si="0"/>
        <v/>
      </c>
      <c r="BS25" s="304" t="str">
        <f t="shared" si="0"/>
        <v/>
      </c>
      <c r="BT25" s="304" t="str">
        <f t="shared" si="0"/>
        <v/>
      </c>
      <c r="BU25" s="304" t="str">
        <f t="shared" si="0"/>
        <v/>
      </c>
      <c r="BV25" s="304" t="str">
        <f t="shared" si="0"/>
        <v/>
      </c>
      <c r="BW25" s="304" t="str">
        <f t="shared" si="0"/>
        <v/>
      </c>
      <c r="BX25" s="304" t="str">
        <f t="shared" si="0"/>
        <v/>
      </c>
      <c r="BY25" s="304" t="str">
        <f t="shared" si="0"/>
        <v/>
      </c>
      <c r="BZ25" s="304" t="str">
        <f t="shared" si="0"/>
        <v/>
      </c>
      <c r="CA25" s="304" t="str">
        <f t="shared" si="0"/>
        <v/>
      </c>
      <c r="CB25" s="304" t="str">
        <f t="shared" si="0"/>
        <v/>
      </c>
      <c r="CC25" s="304" t="str">
        <f t="shared" si="0"/>
        <v/>
      </c>
      <c r="CD25" s="304" t="str">
        <f t="shared" si="1"/>
        <v/>
      </c>
      <c r="CE25" s="304" t="str">
        <f t="shared" si="1"/>
        <v/>
      </c>
      <c r="CF25" s="304" t="str">
        <f t="shared" si="1"/>
        <v/>
      </c>
      <c r="CG25" s="304" t="str">
        <f t="shared" si="1"/>
        <v/>
      </c>
      <c r="CH25" s="304" t="str">
        <f t="shared" si="1"/>
        <v/>
      </c>
      <c r="CI25" s="304" t="str">
        <f t="shared" si="1"/>
        <v/>
      </c>
      <c r="CJ25" s="304" t="str">
        <f t="shared" si="1"/>
        <v/>
      </c>
      <c r="CK25" s="304" t="str">
        <f t="shared" si="1"/>
        <v/>
      </c>
      <c r="CL25" s="304" t="str">
        <f t="shared" si="1"/>
        <v/>
      </c>
      <c r="CM25" s="304" t="str">
        <f t="shared" si="1"/>
        <v/>
      </c>
      <c r="CN25" s="304" t="str">
        <f t="shared" si="1"/>
        <v/>
      </c>
      <c r="CO25" s="304" t="str">
        <f t="shared" si="1"/>
        <v/>
      </c>
      <c r="CP25" s="304" t="str">
        <f t="shared" si="1"/>
        <v/>
      </c>
      <c r="CQ25" s="304" t="str">
        <f t="shared" si="1"/>
        <v/>
      </c>
      <c r="CR25" s="305" t="str">
        <f t="shared" si="2"/>
        <v>+</v>
      </c>
      <c r="CS25" s="279">
        <f t="shared" si="5"/>
        <v>30</v>
      </c>
      <c r="CT25" s="279" t="str">
        <f t="shared" si="3"/>
        <v>+++++++++++++++++++++++++++++++</v>
      </c>
      <c r="CU25" s="291" t="str">
        <f>CR25&amp;CT25&amp;"21"</f>
        <v>++++++++++++++++++++++++++++++++21</v>
      </c>
    </row>
    <row r="26" spans="1:184" ht="12.75" customHeight="1">
      <c r="B26" s="301" t="s">
        <v>4</v>
      </c>
      <c r="C26" s="302" t="str">
        <f>IF(COUNT(D116:AG116)=0,"","                            CP")</f>
        <v/>
      </c>
      <c r="D26" s="272" t="str">
        <f>IF(OR(TABLERO!X26="",TABLERO!X26=0),"",TABLERO!X26)</f>
        <v/>
      </c>
      <c r="E26" s="272" t="str">
        <f>IF(OR(TABLERO!Y26="",TABLERO!Y26=0),"",TABLERO!Y26)</f>
        <v/>
      </c>
      <c r="F26" s="272" t="str">
        <f>IF(OR(TABLERO!Z26="",TABLERO!Z26=0),"",TABLERO!Z26)</f>
        <v/>
      </c>
      <c r="G26" s="272" t="str">
        <f>IF(OR(TABLERO!AA26="",TABLERO!AA26=0),"",TABLERO!AA26)</f>
        <v/>
      </c>
      <c r="H26" s="272" t="str">
        <f>IF(OR(TABLERO!AB26="",TABLERO!AB26=0),"",TABLERO!AB26)</f>
        <v/>
      </c>
      <c r="I26" s="272" t="str">
        <f>IF(OR(TABLERO!AC26="",TABLERO!AC26=0),"",TABLERO!AC26)</f>
        <v/>
      </c>
      <c r="J26" s="272" t="str">
        <f>IF(OR(TABLERO!AD26="",TABLERO!AD26=0),"",TABLERO!AD26)</f>
        <v/>
      </c>
      <c r="K26" s="272" t="str">
        <f>IF(OR(TABLERO!AE26="",TABLERO!AE26=0),"",TABLERO!AE26)</f>
        <v/>
      </c>
      <c r="L26" s="272" t="str">
        <f>IF(OR(TABLERO!AF26="",TABLERO!AF26=0),"",TABLERO!AF26)</f>
        <v/>
      </c>
      <c r="M26" s="272" t="str">
        <f>IF(OR(TABLERO!AG26="",TABLERO!AG26=0),"",TABLERO!AG26)</f>
        <v/>
      </c>
      <c r="N26" s="272" t="str">
        <f>IF(OR(TABLERO!AH26="",TABLERO!AH26=0),"",TABLERO!AH26)</f>
        <v/>
      </c>
      <c r="O26" s="272" t="str">
        <f>IF(OR(TABLERO!AI26="",TABLERO!AI26=0),"",TABLERO!AI26)</f>
        <v/>
      </c>
      <c r="P26" s="272" t="str">
        <f>IF(OR(TABLERO!AJ26="",TABLERO!AJ26=0),"",TABLERO!AJ26)</f>
        <v/>
      </c>
      <c r="Q26" s="272" t="str">
        <f>IF(OR(TABLERO!AK26="",TABLERO!AK26=0),"",TABLERO!AK26)</f>
        <v/>
      </c>
      <c r="R26" s="272" t="str">
        <f>IF(OR(TABLERO!AL26="",TABLERO!AL26=0),"",TABLERO!AL26)</f>
        <v/>
      </c>
      <c r="S26" s="272" t="str">
        <f>IF(OR(TABLERO!AM26="",TABLERO!AM26=0),"",TABLERO!AM26)</f>
        <v/>
      </c>
      <c r="T26" s="272" t="str">
        <f>IF(OR(TABLERO!AN26="",TABLERO!AN26=0),"",TABLERO!AN26)</f>
        <v/>
      </c>
      <c r="U26" s="272" t="str">
        <f>IF(OR(TABLERO!AO26="",TABLERO!AO26=0),"",TABLERO!AO26)</f>
        <v/>
      </c>
      <c r="V26" s="272" t="str">
        <f>IF(OR(TABLERO!AP26="",TABLERO!AP26=0),"",TABLERO!AP26)</f>
        <v/>
      </c>
      <c r="W26" s="272" t="str">
        <f>IF(OR(TABLERO!AQ26="",TABLERO!AQ26=0),"",TABLERO!AQ26)</f>
        <v/>
      </c>
      <c r="X26" s="272" t="str">
        <f>IF(OR(TABLERO!AR26="",TABLERO!AR26=0),"",TABLERO!AR26)</f>
        <v/>
      </c>
      <c r="Y26" s="272" t="str">
        <f>IF(OR(TABLERO!AS26="",TABLERO!AS26=0),"",TABLERO!AS26)</f>
        <v/>
      </c>
      <c r="Z26" s="272" t="str">
        <f>IF(OR(TABLERO!AT26="",TABLERO!AT26=0),"",TABLERO!AT26)</f>
        <v/>
      </c>
      <c r="AA26" s="272" t="str">
        <f>IF(OR(TABLERO!AU26="",TABLERO!AU26=0),"",TABLERO!AU26)</f>
        <v/>
      </c>
      <c r="AB26" s="272" t="str">
        <f>IF(OR(TABLERO!AV26="",TABLERO!AV26=0),"",TABLERO!AV26)</f>
        <v/>
      </c>
      <c r="AC26" s="272" t="str">
        <f>IF(OR(TABLERO!AW26="",TABLERO!AW26=0),"",TABLERO!AW26)</f>
        <v/>
      </c>
      <c r="AD26" s="272" t="str">
        <f>IF(OR(TABLERO!AX26="",TABLERO!AX26=0),"",TABLERO!AX26)</f>
        <v/>
      </c>
      <c r="AE26" s="272" t="str">
        <f>IF(OR(TABLERO!AY26="",TABLERO!AY26=0),"",TABLERO!AY26)</f>
        <v/>
      </c>
      <c r="AF26" s="272" t="str">
        <f>IF(OR(TABLERO!AZ26="",TABLERO!AZ26=0),"",TABLERO!AZ26)</f>
        <v/>
      </c>
      <c r="AG26" s="272" t="str">
        <f>IF(OR(TABLERO!BA26="",TABLERO!BA26=0),"",TABLERO!BA26)</f>
        <v/>
      </c>
      <c r="AH26" s="1195"/>
      <c r="AI26" s="1196"/>
      <c r="AJ26" s="1196"/>
      <c r="AK26" s="1196"/>
      <c r="AL26" s="1196"/>
      <c r="AM26" s="1197"/>
      <c r="AN26" s="1195"/>
      <c r="AO26" s="1196"/>
      <c r="AP26" s="1196"/>
      <c r="AQ26" s="1196"/>
      <c r="AR26" s="1196"/>
      <c r="AS26" s="1196"/>
      <c r="AT26" s="1196"/>
      <c r="AU26" s="1196"/>
      <c r="AV26" s="1197"/>
      <c r="AW26" s="1186"/>
      <c r="AX26" s="1166"/>
      <c r="AY26" s="1166"/>
      <c r="AZ26" s="1169"/>
      <c r="BA26" s="1182"/>
      <c r="BB26" s="1183"/>
      <c r="BC26" s="1184"/>
      <c r="BM26" s="279" t="str">
        <f t="shared" si="4"/>
        <v>CIRCUITO+</v>
      </c>
      <c r="BN26" s="304" t="str">
        <f t="shared" si="0"/>
        <v/>
      </c>
      <c r="BO26" s="304" t="str">
        <f t="shared" si="0"/>
        <v/>
      </c>
      <c r="BP26" s="304" t="str">
        <f t="shared" si="0"/>
        <v/>
      </c>
      <c r="BQ26" s="304" t="str">
        <f t="shared" si="0"/>
        <v/>
      </c>
      <c r="BR26" s="304" t="str">
        <f t="shared" si="0"/>
        <v/>
      </c>
      <c r="BS26" s="304" t="str">
        <f t="shared" si="0"/>
        <v/>
      </c>
      <c r="BT26" s="304" t="str">
        <f t="shared" si="0"/>
        <v/>
      </c>
      <c r="BU26" s="304" t="str">
        <f t="shared" si="0"/>
        <v/>
      </c>
      <c r="BV26" s="304" t="str">
        <f t="shared" si="0"/>
        <v/>
      </c>
      <c r="BW26" s="304" t="str">
        <f t="shared" si="0"/>
        <v/>
      </c>
      <c r="BX26" s="304" t="str">
        <f t="shared" si="0"/>
        <v/>
      </c>
      <c r="BY26" s="304" t="str">
        <f t="shared" si="0"/>
        <v/>
      </c>
      <c r="BZ26" s="304" t="str">
        <f t="shared" si="0"/>
        <v/>
      </c>
      <c r="CA26" s="304" t="str">
        <f t="shared" si="0"/>
        <v/>
      </c>
      <c r="CB26" s="304" t="str">
        <f t="shared" si="0"/>
        <v/>
      </c>
      <c r="CC26" s="304" t="str">
        <f t="shared" si="0"/>
        <v/>
      </c>
      <c r="CD26" s="304" t="str">
        <f t="shared" si="1"/>
        <v/>
      </c>
      <c r="CE26" s="304" t="str">
        <f t="shared" si="1"/>
        <v/>
      </c>
      <c r="CF26" s="304" t="str">
        <f t="shared" si="1"/>
        <v/>
      </c>
      <c r="CG26" s="304" t="str">
        <f t="shared" si="1"/>
        <v/>
      </c>
      <c r="CH26" s="304" t="str">
        <f t="shared" si="1"/>
        <v/>
      </c>
      <c r="CI26" s="304" t="str">
        <f t="shared" si="1"/>
        <v/>
      </c>
      <c r="CJ26" s="304" t="str">
        <f t="shared" si="1"/>
        <v/>
      </c>
      <c r="CK26" s="304" t="str">
        <f t="shared" si="1"/>
        <v/>
      </c>
      <c r="CL26" s="304" t="str">
        <f t="shared" si="1"/>
        <v/>
      </c>
      <c r="CM26" s="304" t="str">
        <f t="shared" si="1"/>
        <v/>
      </c>
      <c r="CN26" s="304" t="str">
        <f t="shared" si="1"/>
        <v/>
      </c>
      <c r="CO26" s="304" t="str">
        <f t="shared" si="1"/>
        <v/>
      </c>
      <c r="CP26" s="304" t="str">
        <f t="shared" si="1"/>
        <v/>
      </c>
      <c r="CQ26" s="304" t="str">
        <f t="shared" si="1"/>
        <v/>
      </c>
      <c r="CR26" s="305" t="str">
        <f t="shared" si="2"/>
        <v>CIRCUITO+</v>
      </c>
      <c r="CS26" s="279">
        <f t="shared" si="5"/>
        <v>30</v>
      </c>
      <c r="CT26" s="279" t="str">
        <f t="shared" si="3"/>
        <v>+++++++++++++++++++++++++++++++</v>
      </c>
      <c r="CU26" s="291" t="str">
        <f>CR26&amp;CT26&amp;"21"</f>
        <v>CIRCUITO++++++++++++++++++++++++++++++++21</v>
      </c>
    </row>
    <row r="27" spans="1:184" ht="12.75" customHeight="1">
      <c r="B27" s="306"/>
      <c r="C27" s="1189" t="str">
        <f>IF(COUNT(D116:AG116)=0,"","               SIMBOLO")</f>
        <v/>
      </c>
      <c r="D27" s="1187" t="str">
        <f>IF(OR(TABLERO!X27="",TABLERO!X27=0),"",TABLERO!X27)</f>
        <v/>
      </c>
      <c r="E27" s="1187" t="str">
        <f>IF(OR(TABLERO!Y27="",TABLERO!Y27=0),"",TABLERO!Y27)</f>
        <v/>
      </c>
      <c r="F27" s="1187" t="str">
        <f>IF(OR(TABLERO!Z27="",TABLERO!Z27=0),"",TABLERO!Z27)</f>
        <v/>
      </c>
      <c r="G27" s="1187" t="str">
        <f>IF(OR(TABLERO!AA27="",TABLERO!AA27=0),"",TABLERO!AA27)</f>
        <v/>
      </c>
      <c r="H27" s="1187" t="str">
        <f>IF(OR(TABLERO!AB27="",TABLERO!AB27=0),"",TABLERO!AB27)</f>
        <v/>
      </c>
      <c r="I27" s="1187" t="str">
        <f>IF(OR(TABLERO!AC27="",TABLERO!AC27=0),"",TABLERO!AC27)</f>
        <v/>
      </c>
      <c r="J27" s="1187" t="str">
        <f>IF(OR(TABLERO!AD27="",TABLERO!AD27=0),"",TABLERO!AD27)</f>
        <v/>
      </c>
      <c r="K27" s="1187" t="str">
        <f>IF(OR(TABLERO!AE27="",TABLERO!AE27=0),"",TABLERO!AE27)</f>
        <v/>
      </c>
      <c r="L27" s="1187" t="str">
        <f>IF(OR(TABLERO!AF27="",TABLERO!AF27=0),"",TABLERO!AF27)</f>
        <v/>
      </c>
      <c r="M27" s="1187" t="str">
        <f>IF(OR(TABLERO!AG27="",TABLERO!AG27=0),"",TABLERO!AG27)</f>
        <v/>
      </c>
      <c r="N27" s="1187" t="str">
        <f>IF(OR(TABLERO!AH27="",TABLERO!AH27=0),"",TABLERO!AH27)</f>
        <v/>
      </c>
      <c r="O27" s="1187" t="str">
        <f>IF(OR(TABLERO!AI27="",TABLERO!AI27=0),"",TABLERO!AI27)</f>
        <v/>
      </c>
      <c r="P27" s="1187" t="str">
        <f>IF(OR(TABLERO!AJ27="",TABLERO!AJ27=0),"",TABLERO!AJ27)</f>
        <v/>
      </c>
      <c r="Q27" s="1187" t="str">
        <f>IF(OR(TABLERO!AK27="",TABLERO!AK27=0),"",TABLERO!AK27)</f>
        <v/>
      </c>
      <c r="R27" s="1187" t="str">
        <f>IF(OR(TABLERO!AL27="",TABLERO!AL27=0),"",TABLERO!AL27)</f>
        <v/>
      </c>
      <c r="S27" s="1187" t="str">
        <f>IF(OR(TABLERO!AM27="",TABLERO!AM27=0),"",TABLERO!AM27)</f>
        <v/>
      </c>
      <c r="T27" s="1187" t="str">
        <f>IF(OR(TABLERO!AN27="",TABLERO!AN27=0),"",TABLERO!AN27)</f>
        <v/>
      </c>
      <c r="U27" s="1187" t="str">
        <f>IF(OR(TABLERO!AO27="",TABLERO!AO27=0),"",TABLERO!AO27)</f>
        <v/>
      </c>
      <c r="V27" s="1187" t="str">
        <f>IF(OR(TABLERO!AP27="",TABLERO!AP27=0),"",TABLERO!AP27)</f>
        <v/>
      </c>
      <c r="W27" s="1187" t="str">
        <f>IF(OR(TABLERO!AQ27="",TABLERO!AQ27=0),"",TABLERO!AQ27)</f>
        <v/>
      </c>
      <c r="X27" s="1187" t="str">
        <f>IF(OR(TABLERO!AR27="",TABLERO!AR27=0),"",TABLERO!AR27)</f>
        <v/>
      </c>
      <c r="Y27" s="1187" t="str">
        <f>IF(OR(TABLERO!AS27="",TABLERO!AS27=0),"",TABLERO!AS27)</f>
        <v/>
      </c>
      <c r="Z27" s="1187" t="str">
        <f>IF(OR(TABLERO!AT27="",TABLERO!AT27=0),"",TABLERO!AT27)</f>
        <v/>
      </c>
      <c r="AA27" s="1187" t="str">
        <f>IF(OR(TABLERO!AU27="",TABLERO!AU27=0),"",TABLERO!AU27)</f>
        <v/>
      </c>
      <c r="AB27" s="1187" t="str">
        <f>IF(OR(TABLERO!AV27="",TABLERO!AV27=0),"",TABLERO!AV27)</f>
        <v/>
      </c>
      <c r="AC27" s="1187" t="str">
        <f>IF(OR(TABLERO!AW27="",TABLERO!AW27=0),"",TABLERO!AW27)</f>
        <v/>
      </c>
      <c r="AD27" s="1187" t="str">
        <f>IF(OR(TABLERO!AX27="",TABLERO!AX27=0),"",TABLERO!AX27)</f>
        <v/>
      </c>
      <c r="AE27" s="1187" t="str">
        <f>IF(OR(TABLERO!AY27="",TABLERO!AY27=0),"",TABLERO!AY27)</f>
        <v/>
      </c>
      <c r="AF27" s="1187" t="str">
        <f>IF(OR(TABLERO!AZ27="",TABLERO!AZ27=0),"",TABLERO!AZ27)</f>
        <v/>
      </c>
      <c r="AG27" s="1187" t="str">
        <f>IF(OR(TABLERO!BA27="",TABLERO!BA27=0),"",TABLERO!BA27)</f>
        <v/>
      </c>
      <c r="AH27" s="1188" t="s">
        <v>1782</v>
      </c>
      <c r="AI27" s="1173" t="s">
        <v>1783</v>
      </c>
      <c r="AJ27" s="1173" t="s">
        <v>1784</v>
      </c>
      <c r="AK27" s="1179" t="s">
        <v>5</v>
      </c>
      <c r="AL27" s="1179" t="s">
        <v>6</v>
      </c>
      <c r="AM27" s="1179" t="s">
        <v>1511</v>
      </c>
      <c r="AN27" s="1166" t="s">
        <v>1785</v>
      </c>
      <c r="AO27" s="1173" t="s">
        <v>1786</v>
      </c>
      <c r="AP27" s="1166" t="s">
        <v>1787</v>
      </c>
      <c r="AQ27" s="1166" t="s">
        <v>1758</v>
      </c>
      <c r="AR27" s="1166" t="s">
        <v>1788</v>
      </c>
      <c r="AS27" s="1166" t="s">
        <v>1759</v>
      </c>
      <c r="AT27" s="1167" t="s">
        <v>1789</v>
      </c>
      <c r="AU27" s="1168"/>
      <c r="AV27" s="1173" t="s">
        <v>1790</v>
      </c>
      <c r="AW27" s="1186"/>
      <c r="AX27" s="1166"/>
      <c r="AY27" s="1166"/>
      <c r="AZ27" s="1169"/>
      <c r="BA27" s="1182"/>
      <c r="BB27" s="1183"/>
      <c r="BC27" s="1184"/>
      <c r="BM27" s="279" t="str">
        <f t="shared" si="4"/>
        <v>+</v>
      </c>
      <c r="BN27" s="304" t="str">
        <f t="shared" si="0"/>
        <v/>
      </c>
      <c r="BO27" s="304" t="str">
        <f t="shared" si="0"/>
        <v/>
      </c>
      <c r="BP27" s="304" t="str">
        <f t="shared" si="0"/>
        <v/>
      </c>
      <c r="BQ27" s="304" t="str">
        <f t="shared" si="0"/>
        <v/>
      </c>
      <c r="BR27" s="304" t="str">
        <f t="shared" si="0"/>
        <v/>
      </c>
      <c r="BS27" s="304" t="str">
        <f t="shared" si="0"/>
        <v/>
      </c>
      <c r="BT27" s="304" t="str">
        <f t="shared" si="0"/>
        <v/>
      </c>
      <c r="BU27" s="304" t="str">
        <f t="shared" si="0"/>
        <v/>
      </c>
      <c r="BV27" s="304" t="str">
        <f t="shared" si="0"/>
        <v/>
      </c>
      <c r="BW27" s="304" t="str">
        <f t="shared" si="0"/>
        <v/>
      </c>
      <c r="BX27" s="304" t="str">
        <f t="shared" si="0"/>
        <v/>
      </c>
      <c r="BY27" s="304" t="str">
        <f t="shared" si="0"/>
        <v/>
      </c>
      <c r="BZ27" s="304" t="str">
        <f t="shared" si="0"/>
        <v/>
      </c>
      <c r="CA27" s="304" t="str">
        <f t="shared" si="0"/>
        <v/>
      </c>
      <c r="CB27" s="304" t="str">
        <f t="shared" si="0"/>
        <v/>
      </c>
      <c r="CC27" s="304" t="str">
        <f t="shared" si="0"/>
        <v/>
      </c>
      <c r="CD27" s="304" t="str">
        <f t="shared" si="1"/>
        <v/>
      </c>
      <c r="CE27" s="304" t="str">
        <f t="shared" si="1"/>
        <v/>
      </c>
      <c r="CF27" s="304" t="str">
        <f t="shared" si="1"/>
        <v/>
      </c>
      <c r="CG27" s="304" t="str">
        <f t="shared" si="1"/>
        <v/>
      </c>
      <c r="CH27" s="304" t="str">
        <f t="shared" si="1"/>
        <v/>
      </c>
      <c r="CI27" s="304" t="str">
        <f t="shared" si="1"/>
        <v/>
      </c>
      <c r="CJ27" s="304" t="str">
        <f t="shared" si="1"/>
        <v/>
      </c>
      <c r="CK27" s="304" t="str">
        <f t="shared" si="1"/>
        <v/>
      </c>
      <c r="CL27" s="304" t="str">
        <f t="shared" si="1"/>
        <v/>
      </c>
      <c r="CM27" s="304" t="str">
        <f t="shared" si="1"/>
        <v/>
      </c>
      <c r="CN27" s="304" t="str">
        <f t="shared" si="1"/>
        <v/>
      </c>
      <c r="CO27" s="304" t="str">
        <f t="shared" si="1"/>
        <v/>
      </c>
      <c r="CP27" s="304" t="str">
        <f t="shared" si="1"/>
        <v/>
      </c>
      <c r="CQ27" s="304" t="str">
        <f t="shared" si="1"/>
        <v/>
      </c>
      <c r="CR27" s="305" t="str">
        <f t="shared" si="2"/>
        <v>+</v>
      </c>
      <c r="CS27" s="279">
        <f t="shared" si="5"/>
        <v>30</v>
      </c>
      <c r="CT27" s="279" t="str">
        <f t="shared" si="3"/>
        <v>+++++++++++++++++++++++++++++++</v>
      </c>
      <c r="CU27" s="291" t="str">
        <f>CR27&amp;CT27&amp;"22"</f>
        <v>++++++++++++++++++++++++++++++++22</v>
      </c>
    </row>
    <row r="28" spans="1:184" ht="12.75" customHeight="1">
      <c r="B28" s="306"/>
      <c r="C28" s="1189"/>
      <c r="D28" s="1187"/>
      <c r="E28" s="1187"/>
      <c r="F28" s="1187"/>
      <c r="G28" s="1187"/>
      <c r="H28" s="1187"/>
      <c r="I28" s="1187"/>
      <c r="J28" s="1187"/>
      <c r="K28" s="1187"/>
      <c r="L28" s="1187"/>
      <c r="M28" s="1187"/>
      <c r="N28" s="1187"/>
      <c r="O28" s="1187"/>
      <c r="P28" s="1187"/>
      <c r="Q28" s="1187"/>
      <c r="R28" s="1187"/>
      <c r="S28" s="1187"/>
      <c r="T28" s="1187"/>
      <c r="U28" s="1187"/>
      <c r="V28" s="1187"/>
      <c r="W28" s="1187"/>
      <c r="X28" s="1187"/>
      <c r="Y28" s="1187"/>
      <c r="Z28" s="1187"/>
      <c r="AA28" s="1187"/>
      <c r="AB28" s="1187"/>
      <c r="AC28" s="1187"/>
      <c r="AD28" s="1187"/>
      <c r="AE28" s="1187"/>
      <c r="AF28" s="1187"/>
      <c r="AG28" s="1187"/>
      <c r="AH28" s="1180"/>
      <c r="AI28" s="1200"/>
      <c r="AJ28" s="1200"/>
      <c r="AK28" s="1180"/>
      <c r="AL28" s="1180"/>
      <c r="AM28" s="1180"/>
      <c r="AN28" s="1166"/>
      <c r="AO28" s="1174"/>
      <c r="AP28" s="1166"/>
      <c r="AQ28" s="1166"/>
      <c r="AR28" s="1166"/>
      <c r="AS28" s="1166"/>
      <c r="AT28" s="1169"/>
      <c r="AU28" s="1170"/>
      <c r="AV28" s="1174"/>
      <c r="AW28" s="1186"/>
      <c r="AX28" s="1166"/>
      <c r="AY28" s="1166"/>
      <c r="AZ28" s="1169"/>
      <c r="BA28" s="1176">
        <f>IF(TABLERO!CK23="",0,FIXED(TABLERO!CK23,2)&amp;" %")</f>
        <v>0</v>
      </c>
      <c r="BB28" s="1177"/>
      <c r="BC28" s="1178"/>
      <c r="BL28" s="289" t="str">
        <f>"+++++++++++++++++++++++++++"&amp;TABLERO!A25&amp;"+"&amp;IF(TABLERO!$F$17&lt;&gt;"KVA","KW","KVA")&amp;"+"&amp;COUNT(D116:AG116)&amp;"+TIPO"</f>
        <v>+++++++++++++++++++++++++++1+KW+0+TIPO</v>
      </c>
      <c r="BM28" s="279" t="str">
        <f t="shared" si="4"/>
        <v>+</v>
      </c>
      <c r="BN28" s="304" t="str">
        <f t="shared" si="0"/>
        <v/>
      </c>
      <c r="BO28" s="304" t="str">
        <f t="shared" si="0"/>
        <v/>
      </c>
      <c r="BP28" s="304" t="str">
        <f t="shared" si="0"/>
        <v/>
      </c>
      <c r="BQ28" s="304" t="str">
        <f t="shared" si="0"/>
        <v/>
      </c>
      <c r="BR28" s="304" t="str">
        <f t="shared" si="0"/>
        <v/>
      </c>
      <c r="BS28" s="304" t="str">
        <f t="shared" si="0"/>
        <v/>
      </c>
      <c r="BT28" s="304" t="str">
        <f t="shared" si="0"/>
        <v/>
      </c>
      <c r="BU28" s="304" t="str">
        <f t="shared" si="0"/>
        <v/>
      </c>
      <c r="BV28" s="304" t="str">
        <f t="shared" si="0"/>
        <v/>
      </c>
      <c r="BW28" s="304" t="str">
        <f t="shared" si="0"/>
        <v/>
      </c>
      <c r="BX28" s="304" t="str">
        <f t="shared" si="0"/>
        <v/>
      </c>
      <c r="BY28" s="304" t="str">
        <f t="shared" si="0"/>
        <v/>
      </c>
      <c r="BZ28" s="304" t="str">
        <f t="shared" si="0"/>
        <v/>
      </c>
      <c r="CA28" s="304" t="str">
        <f t="shared" si="0"/>
        <v/>
      </c>
      <c r="CB28" s="304" t="str">
        <f t="shared" si="0"/>
        <v/>
      </c>
      <c r="CC28" s="304" t="str">
        <f t="shared" si="0"/>
        <v/>
      </c>
      <c r="CD28" s="304" t="str">
        <f t="shared" si="1"/>
        <v/>
      </c>
      <c r="CE28" s="304" t="str">
        <f t="shared" si="1"/>
        <v/>
      </c>
      <c r="CF28" s="304" t="str">
        <f t="shared" si="1"/>
        <v/>
      </c>
      <c r="CG28" s="304" t="str">
        <f t="shared" si="1"/>
        <v/>
      </c>
      <c r="CH28" s="304" t="str">
        <f t="shared" si="1"/>
        <v/>
      </c>
      <c r="CI28" s="304" t="str">
        <f t="shared" si="1"/>
        <v/>
      </c>
      <c r="CJ28" s="304" t="str">
        <f t="shared" si="1"/>
        <v/>
      </c>
      <c r="CK28" s="304" t="str">
        <f t="shared" si="1"/>
        <v/>
      </c>
      <c r="CL28" s="304" t="str">
        <f t="shared" si="1"/>
        <v/>
      </c>
      <c r="CM28" s="304" t="str">
        <f t="shared" si="1"/>
        <v/>
      </c>
      <c r="CN28" s="304" t="str">
        <f t="shared" si="1"/>
        <v/>
      </c>
      <c r="CO28" s="304" t="str">
        <f t="shared" si="1"/>
        <v/>
      </c>
      <c r="CP28" s="304" t="str">
        <f t="shared" si="1"/>
        <v/>
      </c>
      <c r="CQ28" s="304" t="str">
        <f t="shared" si="1"/>
        <v/>
      </c>
      <c r="CR28" s="305" t="str">
        <f t="shared" si="2"/>
        <v>+</v>
      </c>
      <c r="CS28" s="279">
        <f t="shared" si="5"/>
        <v>30</v>
      </c>
      <c r="CT28" s="279" t="str">
        <f t="shared" si="3"/>
        <v>+++++++++++++++++++++++++++++++</v>
      </c>
      <c r="CU28" s="291" t="str">
        <f>CR28&amp;CT28&amp;"21"</f>
        <v>++++++++++++++++++++++++++++++++21</v>
      </c>
    </row>
    <row r="29" spans="1:184">
      <c r="B29" s="307"/>
      <c r="C29" s="308" t="str">
        <f>"DESCRIPCION "&amp;IF(COUNT(D116:AG116)=0,"",IF(TABLERO!F17&lt;&gt;"KVA","\ CARGA EN WATTS","\ CARGA EN VA'S"))</f>
        <v xml:space="preserve">DESCRIPCION </v>
      </c>
      <c r="D29" s="272" t="str">
        <f>IF(OR(TABLERO!X29="",TABLERO!X29=0),"",FIXED(IF(TABLERO!$F$17&lt;&gt;"KVA",TABLERO!X29,TABLERO!X29/TABLERO!$F$14),2))</f>
        <v/>
      </c>
      <c r="E29" s="272" t="str">
        <f>IF(OR(TABLERO!Y29="",TABLERO!Y29=0),"",FIXED(IF(TABLERO!$F$17&lt;&gt;"KVA",TABLERO!Y29,TABLERO!Y29/TABLERO!$F$14),2))</f>
        <v/>
      </c>
      <c r="F29" s="272" t="str">
        <f>IF(OR(TABLERO!Z29="",TABLERO!Z29=0),"",FIXED(IF(TABLERO!$F$17&lt;&gt;"KVA",TABLERO!Z29,TABLERO!Z29/TABLERO!$F$14),2))</f>
        <v/>
      </c>
      <c r="G29" s="272" t="str">
        <f>IF(OR(TABLERO!AA29="",TABLERO!AA29=0),"",FIXED(IF(TABLERO!$F$17&lt;&gt;"KVA",TABLERO!AA29,TABLERO!AA29/TABLERO!$F$14),2))</f>
        <v/>
      </c>
      <c r="H29" s="272" t="str">
        <f>IF(OR(TABLERO!AB29="",TABLERO!AB29=0),"",FIXED(IF(TABLERO!$F$17&lt;&gt;"KVA",TABLERO!AB29,TABLERO!AB29/TABLERO!$F$14),2))</f>
        <v/>
      </c>
      <c r="I29" s="272" t="str">
        <f>IF(OR(TABLERO!AC29="",TABLERO!AC29=0),"",FIXED(IF(TABLERO!$F$17&lt;&gt;"KVA",TABLERO!AC29,TABLERO!AC29/TABLERO!$F$14),2))</f>
        <v/>
      </c>
      <c r="J29" s="272" t="str">
        <f>IF(OR(TABLERO!AD29="",TABLERO!AD29=0),"",FIXED(IF(TABLERO!$F$17&lt;&gt;"KVA",TABLERO!AD29,TABLERO!AD29/TABLERO!$F$14),2))</f>
        <v/>
      </c>
      <c r="K29" s="272" t="str">
        <f>IF(OR(TABLERO!AE29="",TABLERO!AE29=0),"",FIXED(IF(TABLERO!$F$17&lt;&gt;"KVA",TABLERO!AE29,TABLERO!AE29/TABLERO!$F$14),2))</f>
        <v/>
      </c>
      <c r="L29" s="272" t="str">
        <f>IF(OR(TABLERO!AF29="",TABLERO!AF29=0),"",FIXED(IF(TABLERO!$F$17&lt;&gt;"KVA",TABLERO!AF29,TABLERO!AF29/TABLERO!$F$14),2))</f>
        <v/>
      </c>
      <c r="M29" s="272" t="str">
        <f>IF(OR(TABLERO!AG29="",TABLERO!AG29=0),"",FIXED(IF(TABLERO!$F$17&lt;&gt;"KVA",TABLERO!AG29,TABLERO!AG29/TABLERO!$F$14),2))</f>
        <v/>
      </c>
      <c r="N29" s="272" t="str">
        <f>IF(OR(TABLERO!AH29="",TABLERO!AH29=0),"",FIXED(IF(TABLERO!$F$17&lt;&gt;"KVA",TABLERO!AH29,TABLERO!AH29/TABLERO!$F$14),2))</f>
        <v/>
      </c>
      <c r="O29" s="272" t="str">
        <f>IF(OR(TABLERO!AI29="",TABLERO!AI29=0),"",FIXED(IF(TABLERO!$F$17&lt;&gt;"KVA",TABLERO!AI29,TABLERO!AI29/TABLERO!$F$14),2))</f>
        <v/>
      </c>
      <c r="P29" s="272" t="str">
        <f>IF(OR(TABLERO!AJ29="",TABLERO!AJ29=0),"",FIXED(IF(TABLERO!$F$17&lt;&gt;"KVA",TABLERO!AJ29,TABLERO!AJ29/TABLERO!$F$14),2))</f>
        <v/>
      </c>
      <c r="Q29" s="272" t="str">
        <f>IF(OR(TABLERO!AK29="",TABLERO!AK29=0),"",FIXED(IF(TABLERO!$F$17&lt;&gt;"KVA",TABLERO!AK29,TABLERO!AK29/TABLERO!$F$14),2))</f>
        <v/>
      </c>
      <c r="R29" s="272" t="str">
        <f>IF(OR(TABLERO!AL29="",TABLERO!AL29=0),"",FIXED(IF(TABLERO!$F$17&lt;&gt;"KVA",TABLERO!AL29,TABLERO!AL29/TABLERO!$F$14),2))</f>
        <v/>
      </c>
      <c r="S29" s="272" t="str">
        <f>IF(OR(TABLERO!AM29="",TABLERO!AM29=0),"",FIXED(IF(TABLERO!$F$17&lt;&gt;"KVA",TABLERO!AM29,TABLERO!AM29/TABLERO!$F$14),2))</f>
        <v/>
      </c>
      <c r="T29" s="272" t="str">
        <f>IF(OR(TABLERO!AN29="",TABLERO!AN29=0),"",FIXED(IF(TABLERO!$F$17&lt;&gt;"KVA",TABLERO!AN29,TABLERO!AN29/TABLERO!$F$14),2))</f>
        <v/>
      </c>
      <c r="U29" s="272" t="str">
        <f>IF(OR(TABLERO!AO29="",TABLERO!AO29=0),"",FIXED(IF(TABLERO!$F$17&lt;&gt;"KVA",TABLERO!AO29,TABLERO!AO29/TABLERO!$F$14),2))</f>
        <v/>
      </c>
      <c r="V29" s="272" t="str">
        <f>IF(OR(TABLERO!AP29="",TABLERO!AP29=0),"",FIXED(IF(TABLERO!$F$17&lt;&gt;"KVA",TABLERO!AP29,TABLERO!AP29/TABLERO!$F$14),2))</f>
        <v/>
      </c>
      <c r="W29" s="272" t="str">
        <f>IF(OR(TABLERO!AQ29="",TABLERO!AQ29=0),"",FIXED(IF(TABLERO!$F$17&lt;&gt;"KVA",TABLERO!AQ29,TABLERO!AQ29/TABLERO!$F$14),2))</f>
        <v/>
      </c>
      <c r="X29" s="272" t="str">
        <f>IF(OR(TABLERO!AR29="",TABLERO!AR29=0),"",FIXED(IF(TABLERO!$F$17&lt;&gt;"KVA",TABLERO!AR29,TABLERO!AR29/TABLERO!$F$14),2))</f>
        <v/>
      </c>
      <c r="Y29" s="272" t="str">
        <f>IF(OR(TABLERO!AS29="",TABLERO!AS29=0),"",FIXED(IF(TABLERO!$F$17&lt;&gt;"KVA",TABLERO!AS29,TABLERO!AS29/TABLERO!$F$14),2))</f>
        <v/>
      </c>
      <c r="Z29" s="272" t="str">
        <f>IF(OR(TABLERO!AT29="",TABLERO!AT29=0),"",FIXED(IF(TABLERO!$F$17&lt;&gt;"KVA",TABLERO!AT29,TABLERO!AT29/TABLERO!$F$14),2))</f>
        <v/>
      </c>
      <c r="AA29" s="272" t="str">
        <f>IF(OR(TABLERO!AU29="",TABLERO!AU29=0),"",FIXED(IF(TABLERO!$F$17&lt;&gt;"KVA",TABLERO!AU29,TABLERO!AU29/TABLERO!$F$14),2))</f>
        <v/>
      </c>
      <c r="AB29" s="272" t="str">
        <f>IF(OR(TABLERO!AV29="",TABLERO!AV29=0),"",FIXED(IF(TABLERO!$F$17&lt;&gt;"KVA",TABLERO!AV29,TABLERO!AV29/TABLERO!$F$14),2))</f>
        <v/>
      </c>
      <c r="AC29" s="272" t="str">
        <f>IF(OR(TABLERO!AW29="",TABLERO!AW29=0),"",FIXED(IF(TABLERO!$F$17&lt;&gt;"KVA",TABLERO!AW29,TABLERO!AW29/TABLERO!$F$14),2))</f>
        <v/>
      </c>
      <c r="AD29" s="272" t="str">
        <f>IF(OR(TABLERO!AX29="",TABLERO!AX29=0),"",FIXED(IF(TABLERO!$F$17&lt;&gt;"KVA",TABLERO!AX29,TABLERO!AX29/TABLERO!$F$14),2))</f>
        <v/>
      </c>
      <c r="AE29" s="272" t="str">
        <f>IF(OR(TABLERO!AY29="",TABLERO!AY29=0),"",FIXED(IF(TABLERO!$F$17&lt;&gt;"KVA",TABLERO!AY29,TABLERO!AY29/TABLERO!$F$14),2))</f>
        <v/>
      </c>
      <c r="AF29" s="272" t="str">
        <f>IF(OR(TABLERO!AZ29="",TABLERO!AZ29=0),"",FIXED(IF(TABLERO!$F$17&lt;&gt;"KVA",TABLERO!AZ29,TABLERO!AZ29/TABLERO!$F$14),2))</f>
        <v/>
      </c>
      <c r="AG29" s="272" t="str">
        <f>IF(OR(TABLERO!BA29="",TABLERO!BA29=0),"",FIXED(IF(TABLERO!$F$17&lt;&gt;"KVA",TABLERO!BA29,TABLERO!BA29/TABLERO!$F$14),2))</f>
        <v/>
      </c>
      <c r="AH29" s="1181"/>
      <c r="AI29" s="1201"/>
      <c r="AJ29" s="1201"/>
      <c r="AK29" s="1181"/>
      <c r="AL29" s="1181"/>
      <c r="AM29" s="1181"/>
      <c r="AN29" s="1166"/>
      <c r="AO29" s="1175"/>
      <c r="AP29" s="1166"/>
      <c r="AQ29" s="1166"/>
      <c r="AR29" s="1166"/>
      <c r="AS29" s="1166"/>
      <c r="AT29" s="1171"/>
      <c r="AU29" s="1172"/>
      <c r="AV29" s="1175"/>
      <c r="AW29" s="1186"/>
      <c r="AX29" s="1166"/>
      <c r="AY29" s="1166"/>
      <c r="AZ29" s="1171"/>
      <c r="BA29" s="273" t="s">
        <v>12</v>
      </c>
      <c r="BB29" s="273" t="s">
        <v>11</v>
      </c>
      <c r="BC29" s="274" t="s">
        <v>10</v>
      </c>
      <c r="BK29" s="295" t="s">
        <v>1791</v>
      </c>
      <c r="BL29" s="289" t="e">
        <f>TABLERO!F6&amp;"+"&amp;IF(TABLERO!$F$10=1,TABLERO!H9,TABLERO!F9&amp;" / "&amp;TABLERO!H9)&amp;"+"&amp;TABLERO!F10&amp;"+"&amp;TABLERO!H10&amp;"+"&amp;TABLERO!M8&amp;"+"&amp;IF(TABLERO!M6=0,"",TABLERO!M6)&amp;"+"&amp;IF(TABLERO!M7=0,"",TABLERO!M7)&amp;"+"&amp;IF(TABLERO!F12&lt;&gt;"Z","INT. PPAL DE: ","ZAPATAS GENERALES    " )&amp;IF(TABLERO!F12="Z","",IF(TABLERO!M18&lt;&gt;"TR",IF(TABLERO!BB116=0,"ESPACIO",IF(TABLERO!$F$12="Z","NO LLEVA",CONCATENATE(FIXED(TABLERO!F116,0),"P-",FIXED(TABLERO!BW116,0)," A",TABLERO!FM116))),IF(TABLERO!BB118=0,"ESPACIO",CONCATENATE(FIXED(TABLERO!F118,0),"P-",FIXED(TABLERO!BW118,0)," A",TABLERO!FM118))))&amp;"+"&amp;TABLERO!#REF!&amp;"+"&amp;IF(TABLERO!CK23="",0,FIXED(TABLERO!CK23,2)&amp;" %")&amp;"+"&amp;IF(TABLERO!F7=0,"",TABLERO!F7)&amp;"+"&amp;IF(TABLERO!M18&lt;&gt;"TB",TABLERO!E1,TABLERO!F8)&amp;"+"&amp;IF(TABLERO!F5=0,"",TABLERO!F5)&amp;"+"&amp;IF(TABLERO!R11=0,"",TABLERO!R11)&amp;"+"&amp;IF(TABLERO!R12=0,"",TABLERO!R12)&amp;"+"&amp;IF(TABLERO!R13=0,"",TABLERO!R13)&amp;"+++++++++++++++DATOS1"</f>
        <v>#REF!</v>
      </c>
      <c r="BM29" s="279" t="str">
        <f t="shared" si="4"/>
        <v xml:space="preserve">+DESCRIPCION </v>
      </c>
      <c r="BN29" s="304" t="str">
        <f t="shared" si="0"/>
        <v/>
      </c>
      <c r="BO29" s="304" t="str">
        <f t="shared" si="0"/>
        <v/>
      </c>
      <c r="BP29" s="304" t="str">
        <f t="shared" si="0"/>
        <v/>
      </c>
      <c r="BQ29" s="304" t="str">
        <f t="shared" si="0"/>
        <v/>
      </c>
      <c r="BR29" s="304" t="str">
        <f t="shared" si="0"/>
        <v/>
      </c>
      <c r="BS29" s="304" t="str">
        <f t="shared" si="0"/>
        <v/>
      </c>
      <c r="BT29" s="304" t="str">
        <f t="shared" si="0"/>
        <v/>
      </c>
      <c r="BU29" s="304" t="str">
        <f t="shared" si="0"/>
        <v/>
      </c>
      <c r="BV29" s="304" t="str">
        <f t="shared" si="0"/>
        <v/>
      </c>
      <c r="BW29" s="304" t="str">
        <f t="shared" si="0"/>
        <v/>
      </c>
      <c r="BX29" s="304" t="str">
        <f t="shared" si="0"/>
        <v/>
      </c>
      <c r="BY29" s="304" t="str">
        <f t="shared" si="0"/>
        <v/>
      </c>
      <c r="BZ29" s="304" t="str">
        <f t="shared" si="0"/>
        <v/>
      </c>
      <c r="CA29" s="304" t="str">
        <f t="shared" si="0"/>
        <v/>
      </c>
      <c r="CB29" s="304" t="str">
        <f t="shared" si="0"/>
        <v/>
      </c>
      <c r="CC29" s="304" t="str">
        <f t="shared" si="0"/>
        <v/>
      </c>
      <c r="CD29" s="304" t="str">
        <f t="shared" si="1"/>
        <v/>
      </c>
      <c r="CE29" s="304" t="str">
        <f t="shared" si="1"/>
        <v/>
      </c>
      <c r="CF29" s="304" t="str">
        <f t="shared" si="1"/>
        <v/>
      </c>
      <c r="CG29" s="304" t="str">
        <f t="shared" si="1"/>
        <v/>
      </c>
      <c r="CH29" s="304" t="str">
        <f t="shared" si="1"/>
        <v/>
      </c>
      <c r="CI29" s="304" t="str">
        <f t="shared" si="1"/>
        <v/>
      </c>
      <c r="CJ29" s="304" t="str">
        <f t="shared" si="1"/>
        <v/>
      </c>
      <c r="CK29" s="304" t="str">
        <f t="shared" si="1"/>
        <v/>
      </c>
      <c r="CL29" s="304" t="str">
        <f t="shared" si="1"/>
        <v/>
      </c>
      <c r="CM29" s="304" t="str">
        <f t="shared" si="1"/>
        <v/>
      </c>
      <c r="CN29" s="304" t="str">
        <f t="shared" si="1"/>
        <v/>
      </c>
      <c r="CO29" s="304" t="str">
        <f t="shared" si="1"/>
        <v/>
      </c>
      <c r="CP29" s="304" t="str">
        <f t="shared" si="1"/>
        <v/>
      </c>
      <c r="CQ29" s="304" t="str">
        <f t="shared" si="1"/>
        <v/>
      </c>
      <c r="CR29" s="305" t="str">
        <f t="shared" si="2"/>
        <v xml:space="preserve">+DESCRIPCION </v>
      </c>
      <c r="CS29" s="279">
        <f t="shared" si="5"/>
        <v>30</v>
      </c>
      <c r="CT29" s="279" t="str">
        <f t="shared" si="3"/>
        <v>+++++++++++++++++++++++++++++++</v>
      </c>
      <c r="CU29" s="291" t="str">
        <f>CR29&amp;CT29&amp;"45"</f>
        <v>+DESCRIPCION +++++++++++++++++++++++++++++++45</v>
      </c>
    </row>
    <row r="30" spans="1:184">
      <c r="B30" s="280"/>
      <c r="C30" s="283"/>
      <c r="D30" s="271" t="str">
        <f>IF(OR(TABLERO!X30="",TABLERO!X30=0),"",TABLERO!X30)</f>
        <v/>
      </c>
      <c r="E30" s="271" t="str">
        <f>IF(OR(TABLERO!Y30="",TABLERO!Y30=0),"",TABLERO!Y30)</f>
        <v/>
      </c>
      <c r="F30" s="271" t="str">
        <f>IF(OR(TABLERO!Z30="",TABLERO!Z30=0),"",TABLERO!Z30)</f>
        <v/>
      </c>
      <c r="G30" s="271" t="str">
        <f>IF(OR(TABLERO!AA30="",TABLERO!AA30=0),"",TABLERO!AA30)</f>
        <v/>
      </c>
      <c r="H30" s="271" t="str">
        <f>IF(OR(TABLERO!AB30="",TABLERO!AB30=0),"",TABLERO!AB30)</f>
        <v/>
      </c>
      <c r="I30" s="271" t="str">
        <f>IF(OR(TABLERO!AC30="",TABLERO!AC30=0),"",TABLERO!AC30)</f>
        <v/>
      </c>
      <c r="J30" s="271" t="str">
        <f>IF(OR(TABLERO!AD30="",TABLERO!AD30=0),"",TABLERO!AD30)</f>
        <v/>
      </c>
      <c r="K30" s="271" t="str">
        <f>IF(OR(TABLERO!AE30="",TABLERO!AE30=0),"",TABLERO!AE30)</f>
        <v/>
      </c>
      <c r="L30" s="271" t="str">
        <f>IF(OR(TABLERO!AF30="",TABLERO!AF30=0),"",TABLERO!AF30)</f>
        <v/>
      </c>
      <c r="M30" s="271" t="str">
        <f>IF(OR(TABLERO!AG30="",TABLERO!AG30=0),"",TABLERO!AG30)</f>
        <v/>
      </c>
      <c r="N30" s="271" t="str">
        <f>IF(OR(TABLERO!AH30="",TABLERO!AH30=0),"",TABLERO!AH30)</f>
        <v/>
      </c>
      <c r="O30" s="271" t="str">
        <f>IF(OR(TABLERO!AI30="",TABLERO!AI30=0),"",TABLERO!AI30)</f>
        <v/>
      </c>
      <c r="P30" s="271" t="str">
        <f>IF(OR(TABLERO!AJ30="",TABLERO!AJ30=0),"",TABLERO!AJ30)</f>
        <v/>
      </c>
      <c r="Q30" s="271" t="str">
        <f>IF(OR(TABLERO!AK30="",TABLERO!AK30=0),"",TABLERO!AK30)</f>
        <v/>
      </c>
      <c r="R30" s="271" t="str">
        <f>IF(OR(TABLERO!AL30="",TABLERO!AL30=0),"",TABLERO!AL30)</f>
        <v/>
      </c>
      <c r="S30" s="271" t="str">
        <f>IF(OR(TABLERO!AM30="",TABLERO!AM30=0),"",TABLERO!AM30)</f>
        <v/>
      </c>
      <c r="T30" s="271" t="str">
        <f>IF(OR(TABLERO!AN30="",TABLERO!AN30=0),"",TABLERO!AN30)</f>
        <v/>
      </c>
      <c r="U30" s="271" t="str">
        <f>IF(OR(TABLERO!AO30="",TABLERO!AO30=0),"",TABLERO!AO30)</f>
        <v/>
      </c>
      <c r="V30" s="271" t="str">
        <f>IF(OR(TABLERO!AP30="",TABLERO!AP30=0),"",TABLERO!AP30)</f>
        <v/>
      </c>
      <c r="W30" s="283"/>
      <c r="X30" s="283"/>
      <c r="Y30" s="283"/>
      <c r="Z30" s="283"/>
      <c r="AA30" s="283"/>
      <c r="AB30" s="283"/>
      <c r="AC30" s="283"/>
      <c r="AD30" s="283"/>
      <c r="AE30" s="283"/>
      <c r="AF30" s="283"/>
      <c r="AG30" s="283"/>
      <c r="AH30" s="283"/>
      <c r="AI30" s="300"/>
      <c r="AJ30" s="300"/>
      <c r="AK30" s="283"/>
      <c r="AL30" s="283"/>
      <c r="AM30" s="283"/>
      <c r="AN30" s="283"/>
      <c r="AO30" s="283"/>
      <c r="AP30" s="283"/>
      <c r="AQ30" s="283"/>
      <c r="AR30" s="300"/>
      <c r="AS30" s="309"/>
      <c r="AT30" s="1164"/>
      <c r="AU30" s="1165"/>
      <c r="AV30" s="300"/>
      <c r="AW30" s="312"/>
      <c r="AX30" s="271"/>
      <c r="AY30" s="272"/>
      <c r="AZ30" s="313"/>
      <c r="BA30" s="300"/>
      <c r="BB30" s="300"/>
      <c r="BC30" s="314"/>
      <c r="BK30" s="295" t="s">
        <v>1792</v>
      </c>
      <c r="BL30" s="503" t="str">
        <f>FIXED(IF(TABLERO!$F$17&lt;&gt;"KVA",(TABLERO!BC25+TABLERO!BJ25)*1000,(TABLERO!BC25+TABLERO!BJ25)*1000/TABLERO!$F$14),2)&amp;IF(TABLERO!$F$17="KVA"," VA"," W")&amp;"+"&amp;FIXED(TABLERO!M10,2)&amp;"+"&amp;FIXED(IF(TABLERO!$F$17&lt;&gt;"KVA",(TABLERO!BC27+TABLERO!BJ27)*1000,(TABLERO!BC27+TABLERO!BJ27)*1000/TABLERO!$F$14),2)&amp;IF(TABLERO!$F$17="KVA"," VA"," W")&amp;"+"&amp;FIXED(IF(TABLERO!$F$17&lt;&gt;"KVA",(TABLERO!BD25+TABLERO!BK25)*1000,(TABLERO!BD25+TABLERO!BK25)*1000/TABLERO!$F$14),2)&amp;IF(TABLERO!$F$17="KVA"," VA"," W")&amp;"+"&amp;FIXED(TABLERO!M12,2)&amp;"+"&amp;FIXED(IF(TABLERO!$F$17&lt;&gt;"KVA",(TABLERO!BE27+TABLERO!BL27)*1000,(TABLERO!BE27+TABLERO!BL27)*1000/TABLERO!$F$14),2)&amp;IF(TABLERO!$F$17="KVA"," VA"," W")&amp;"+"&amp;FIXED(IF(TABLERO!$F$17&lt;&gt;"KVA",(TABLERO!BD25+TABLERO!BK25)*1000,(TABLERO!BD25+TABLERO!BK25)*1000/TABLERO!$F$14),2)&amp;IF(TABLERO!$F$17="KVA"," VA"," W")&amp;"+"&amp;IF(TABLERO!M11="NORMA",FIXED(TABLERO!BK27/TABLERO!BK25,2),FIXED(TABLERO!M11,2))&amp;"+"&amp;FIXED(IF(TABLERO!$F$17&lt;&gt;"KVA",(TABLERO!BD27+TABLERO!BK27)*1000,(TABLERO!BD27+TABLERO!BK27)*1000/TABLERO!$F$14),2)&amp;IF(TABLERO!$F$17="KVA"," VA"," W")&amp;"+"&amp;FIXED(IF(TABLERO!$F$17&lt;&gt;"KVA",(TABLERO!BF25+TABLERO!BM25)*1000,(TABLERO!BF25+TABLERO!BM25)*1000/TABLERO!$F$14),2)&amp;IF(TABLERO!$F$17="KVA"," VA"," W")&amp;"+"&amp;FIXED(TABLERO!M13,2)&amp;"+"&amp;FIXED(IF(TABLERO!$F$17&lt;&gt;"KVA",(TABLERO!BF27+TABLERO!BM27)*1000,(TABLERO!BF27+TABLERO!BM27)*1000/TABLERO!$F$14),2)&amp;IF(TABLERO!$F$17="KVA"," VA"," W")&amp;"+"&amp;FIXED(IF(TABLERO!$F$17&lt;&gt;"KVA",(TABLERO!BI25+TABLERO!BP25)*1000,(TABLERO!BI25+TABLERO!BP25)*1000/TABLERO!$F$14),2)&amp;IF(TABLERO!$F$17="KVA"," VA"," W")&amp;"+"&amp;FIXED(TABLERO!M16,2)&amp;"+"&amp;FIXED(IF(TABLERO!$F$17&lt;&gt;"KVA",(TABLERO!BI27+TABLERO!BP27)*1000,(TABLERO!BI27+TABLERO!BP27)*1000/TABLERO!$F$14),2)&amp;IF(TABLERO!$F$17="KVA"," VA"," W")&amp;"+"&amp;FIXED(IF(TABLERO!$F$17&lt;&gt;"KVA",(TABLERO!BG25+TABLERO!BN25)*1000,(TABLERO!BG25+TABLERO!BN25)*1000/TABLERO!$F$14),2)&amp;IF(TABLERO!$F$17="KVA"," VA"," W")&amp;"+"&amp;FIXED(TABLERO!M14,2)&amp;"+"&amp;FIXED(IF(TABLERO!$F$17&lt;&gt;"KVA",(TABLERO!BG27+TABLERO!BN27)*1000,(TABLERO!BG27+TABLERO!BN27)*1000/TABLERO!$F$14),2)&amp;IF(TABLERO!$F$17="KVA"," VA"," W")&amp;"+"&amp;FIXED(IF(TABLERO!$F$17&lt;&gt;"KVA",(TABLERO!BH25+TABLERO!BO25)*1000,(TABLERO!BH25+TABLERO!BO25)*1000/TABLERO!$F$14),2)&amp;IF(TABLERO!$F$17="KVA"," VA"," W")&amp;"+"&amp;FIXED(TABLERO!M15,2)&amp;"+"&amp;FIXED(IF(TABLERO!$F$17&lt;&gt;"KVA",(TABLERO!BH27+TABLERO!BO27)*1000,(TABLERO!BH27+TABLERO!BO27)*1000/TABLERO!$F$14),2)&amp;IF(TABLERO!$F$17="KVA"," VA"," W")&amp;"+"&amp;FIXED(IF(TABLERO!$F$17&lt;&gt;"KVA",(SUM(TABLERO!BC25:BP25))*1000,(SUM(TABLERO!BC25:BP25))*1000/TABLERO!$F$14),2)&amp;IF(TABLERO!$F$17="KVA"," VA"," W")&amp;"+"&amp;FIXED(TABLERO!M17,2)&amp;"+"&amp;FIXED(IF(TABLERO!$F$17&lt;&gt;"KVA",(TABLERO!BF28+TABLERO!BM28)*1000,(TABLERO!BF28+TABLERO!BM28)*1000/TABLERO!$F$14),2)&amp;IF(TABLERO!$F$17="KVA"," VA"," W")&amp;"+++++++DATOS2"</f>
        <v>0.00 W+1.00+0.00 W+0.00 W+1.00+0.00 W+0.00 W+1.00+0.00 W+0.00 W+1.00+0.00 W+0.00 W+1.00+0.00 W+0.00 W+1.00+0.00 W+0.00 W+1.00+0.00 W+0.00 W+1.00+0.00 W+++++++DATOS2</v>
      </c>
      <c r="BM30" s="279" t="str">
        <f t="shared" si="4"/>
        <v>+</v>
      </c>
      <c r="BN30" s="304" t="str">
        <f t="shared" si="0"/>
        <v/>
      </c>
      <c r="BO30" s="304" t="str">
        <f t="shared" si="0"/>
        <v/>
      </c>
      <c r="BP30" s="304" t="str">
        <f t="shared" si="0"/>
        <v/>
      </c>
      <c r="BQ30" s="304" t="str">
        <f t="shared" si="0"/>
        <v/>
      </c>
      <c r="BR30" s="304" t="str">
        <f t="shared" si="0"/>
        <v/>
      </c>
      <c r="BS30" s="304" t="str">
        <f t="shared" si="0"/>
        <v/>
      </c>
      <c r="BT30" s="304" t="str">
        <f t="shared" si="0"/>
        <v/>
      </c>
      <c r="BU30" s="304" t="str">
        <f t="shared" si="0"/>
        <v/>
      </c>
      <c r="BV30" s="304" t="str">
        <f t="shared" si="0"/>
        <v/>
      </c>
      <c r="BW30" s="304" t="str">
        <f t="shared" si="0"/>
        <v/>
      </c>
      <c r="BX30" s="304" t="str">
        <f t="shared" si="0"/>
        <v/>
      </c>
      <c r="BY30" s="304" t="str">
        <f t="shared" si="0"/>
        <v/>
      </c>
      <c r="BZ30" s="304" t="str">
        <f t="shared" si="0"/>
        <v/>
      </c>
      <c r="CA30" s="304" t="str">
        <f t="shared" si="0"/>
        <v/>
      </c>
      <c r="CB30" s="304" t="str">
        <f t="shared" si="0"/>
        <v/>
      </c>
      <c r="CC30" s="304" t="str">
        <f t="shared" si="0"/>
        <v/>
      </c>
      <c r="CD30" s="304" t="str">
        <f t="shared" si="1"/>
        <v/>
      </c>
      <c r="CE30" s="304" t="str">
        <f t="shared" si="1"/>
        <v/>
      </c>
      <c r="CF30" s="304" t="str">
        <f t="shared" si="1"/>
        <v/>
      </c>
      <c r="CG30" s="304" t="str">
        <f t="shared" si="1"/>
        <v/>
      </c>
      <c r="CH30" s="304" t="str">
        <f t="shared" si="1"/>
        <v/>
      </c>
      <c r="CI30" s="304" t="str">
        <f t="shared" si="1"/>
        <v/>
      </c>
      <c r="CJ30" s="304" t="str">
        <f t="shared" si="1"/>
        <v/>
      </c>
      <c r="CK30" s="304" t="str">
        <f t="shared" si="1"/>
        <v/>
      </c>
      <c r="CL30" s="304" t="str">
        <f t="shared" si="1"/>
        <v/>
      </c>
      <c r="CM30" s="304" t="str">
        <f t="shared" si="1"/>
        <v/>
      </c>
      <c r="CN30" s="304" t="str">
        <f t="shared" si="1"/>
        <v/>
      </c>
      <c r="CO30" s="304" t="str">
        <f t="shared" si="1"/>
        <v/>
      </c>
      <c r="CP30" s="304" t="str">
        <f t="shared" si="1"/>
        <v/>
      </c>
      <c r="CQ30" s="304" t="str">
        <f t="shared" si="1"/>
        <v/>
      </c>
      <c r="CR30" s="305" t="str">
        <f t="shared" si="2"/>
        <v>+</v>
      </c>
      <c r="CS30" s="279">
        <f t="shared" si="5"/>
        <v>30</v>
      </c>
      <c r="CT30" s="279" t="str">
        <f t="shared" si="3"/>
        <v>+++++++++++++++++++++++++++++++</v>
      </c>
      <c r="CU30" s="291" t="str">
        <f>CR30&amp;CT30&amp;"FINAL"</f>
        <v>++++++++++++++++++++++++++++++++FINAL</v>
      </c>
    </row>
    <row r="31" spans="1:184">
      <c r="A31" s="275">
        <f>IF(C31&lt;&gt;"",1,IF(AH31="",2,IF(OR(IF(TABLERO!B31="",0,TABLERO!B31)&gt;TABLERO!$M$19,IF(TABLERO!C31="",IF(TABLERO!B31="",0,TABLERO!B31),TABLERO!C31)&gt;TABLERO!$M$19,BI31&gt;TABLERO!$M$19,IF(TABLERO!B31="",0,TABLERO!B31)=0,IF(TABLERO!C31="",BG31,TABLERO!C31)=0,IF(TABLERO!D31="",BG31,TABLERO!D31)=0),2,1)))</f>
        <v>2</v>
      </c>
      <c r="B31" s="276" t="str">
        <f>TABLERO!B31&amp;IF(TABLERO!C31="","",","&amp;TABLERO!C31)&amp;IF(TABLERO!D31="","",","&amp;TABLERO!D31)</f>
        <v>1</v>
      </c>
      <c r="C31" s="269" t="str">
        <f>IF(TABLERO!E31=0,"",TABLERO!E31)</f>
        <v/>
      </c>
      <c r="D31" s="312" t="str">
        <f>IF(OR(TABLERO!X31="",TABLERO!X31=0),"",TABLERO!X31)</f>
        <v/>
      </c>
      <c r="E31" s="312" t="str">
        <f>IF(OR(TABLERO!Y31="",TABLERO!Y31=0),"",TABLERO!Y31)</f>
        <v/>
      </c>
      <c r="F31" s="312" t="str">
        <f>IF(OR(TABLERO!Z31="",TABLERO!Z31=0),"",TABLERO!Z31)</f>
        <v/>
      </c>
      <c r="G31" s="312" t="str">
        <f>IF(OR(TABLERO!AA31="",TABLERO!AA31=0),"",TABLERO!AA31)</f>
        <v/>
      </c>
      <c r="H31" s="312" t="str">
        <f>IF(OR(TABLERO!AB31="",TABLERO!AB31=0),"",TABLERO!AB31)</f>
        <v/>
      </c>
      <c r="I31" s="312" t="str">
        <f>IF(OR(TABLERO!AC31="",TABLERO!AC31=0),"",TABLERO!AC31)</f>
        <v/>
      </c>
      <c r="J31" s="312" t="str">
        <f>IF(OR(TABLERO!AD31="",TABLERO!AD31=0),"",TABLERO!AD31)</f>
        <v/>
      </c>
      <c r="K31" s="312" t="str">
        <f>IF(OR(TABLERO!AE31="",TABLERO!AE31=0),"",TABLERO!AE31)</f>
        <v/>
      </c>
      <c r="L31" s="312" t="str">
        <f>IF(OR(TABLERO!AF31="",TABLERO!AF31=0),"",TABLERO!AF31)</f>
        <v/>
      </c>
      <c r="M31" s="312" t="str">
        <f>IF(OR(TABLERO!AG31="",TABLERO!AG31=0),"",TABLERO!AG31)</f>
        <v/>
      </c>
      <c r="N31" s="312" t="str">
        <f>IF(OR(TABLERO!AH31="",TABLERO!AH31=0),"",TABLERO!AH31)</f>
        <v/>
      </c>
      <c r="O31" s="312" t="str">
        <f>IF(OR(TABLERO!AI31="",TABLERO!AI31=0),"",TABLERO!AI31)</f>
        <v/>
      </c>
      <c r="P31" s="312" t="str">
        <f>IF(OR(TABLERO!AJ31="",TABLERO!AJ31=0),"",TABLERO!AJ31)</f>
        <v/>
      </c>
      <c r="Q31" s="312" t="str">
        <f>IF(OR(TABLERO!AK31="",TABLERO!AK31=0),"",TABLERO!AK31)</f>
        <v/>
      </c>
      <c r="R31" s="312" t="str">
        <f>IF(OR(TABLERO!AL31="",TABLERO!AL31=0),"",TABLERO!AL31)</f>
        <v/>
      </c>
      <c r="S31" s="312" t="str">
        <f>IF(OR(TABLERO!AM31="",TABLERO!AM31=0),"",TABLERO!AM31)</f>
        <v/>
      </c>
      <c r="T31" s="312" t="str">
        <f>IF(OR(TABLERO!AN31="",TABLERO!AN31=0),"",TABLERO!AN31)</f>
        <v/>
      </c>
      <c r="U31" s="312" t="str">
        <f>IF(OR(TABLERO!AO31="",TABLERO!AO31=0),"",TABLERO!AO31)</f>
        <v/>
      </c>
      <c r="V31" s="312" t="str">
        <f>IF(OR(TABLERO!AP31="",TABLERO!AP31=0),"",TABLERO!AP31)</f>
        <v/>
      </c>
      <c r="W31" s="312" t="str">
        <f>IF(OR(TABLERO!AQ31="",TABLERO!AQ31=0),"",TABLERO!AQ31)</f>
        <v/>
      </c>
      <c r="X31" s="312" t="str">
        <f>IF(OR(TABLERO!AR31="",TABLERO!AR31=0),"",TABLERO!AR31)</f>
        <v/>
      </c>
      <c r="Y31" s="312" t="str">
        <f>IF(OR(TABLERO!AS31="",TABLERO!AS31=0),"",TABLERO!AS31)</f>
        <v/>
      </c>
      <c r="Z31" s="312" t="str">
        <f>IF(OR(TABLERO!AT31="",TABLERO!AT31=0),"",TABLERO!AT31)</f>
        <v/>
      </c>
      <c r="AA31" s="312" t="str">
        <f>IF(OR(TABLERO!AU31="",TABLERO!AU31=0),"",TABLERO!AU31)</f>
        <v/>
      </c>
      <c r="AB31" s="312" t="str">
        <f>IF(OR(TABLERO!AV31="",TABLERO!AV31=0),"",TABLERO!AV31)</f>
        <v/>
      </c>
      <c r="AC31" s="312" t="str">
        <f>IF(OR(TABLERO!AW31="",TABLERO!AW31=0),"",TABLERO!AW31)</f>
        <v/>
      </c>
      <c r="AD31" s="312" t="str">
        <f>IF(OR(TABLERO!AX31="",TABLERO!AX31=0),"",TABLERO!AX31)</f>
        <v/>
      </c>
      <c r="AE31" s="312" t="str">
        <f>IF(OR(TABLERO!AY31="",TABLERO!AY31=0),"",TABLERO!AY31)</f>
        <v/>
      </c>
      <c r="AF31" s="312" t="str">
        <f>IF(OR(TABLERO!AZ31="",TABLERO!AZ31=0),"",TABLERO!AZ31)</f>
        <v/>
      </c>
      <c r="AG31" s="312" t="str">
        <f>IF(OR(TABLERO!BA31="",TABLERO!BA31=0),"",TABLERO!BA31)</f>
        <v/>
      </c>
      <c r="AH31" s="277" t="str">
        <f>FIXED(IF(TABLERO!$F$17&lt;&gt;"KVA",TABLERO!BB31*1000,TABLERO!BB31*1000/TABLERO!DA31),2)</f>
        <v>0.00</v>
      </c>
      <c r="AI31" s="277" t="e">
        <f>FIXED(IF(TABLERO!$F$17&lt;&gt;"KVA",TABLERO!BT31*1000,TABLERO!BT31*1000/TABLERO!DA31),2)</f>
        <v>#VALUE!</v>
      </c>
      <c r="AJ31" s="272" t="e">
        <f>FIXED(TABLERO!BU31,2)</f>
        <v>#VALUE!</v>
      </c>
      <c r="AK31" s="312">
        <f>TABLERO!F31</f>
        <v>1</v>
      </c>
      <c r="AL31" s="312">
        <f>TABLERO!G31</f>
        <v>2</v>
      </c>
      <c r="AM31" s="312">
        <f>TABLERO!BV31</f>
        <v>127</v>
      </c>
      <c r="AN31" s="272">
        <f>TABLERO!K31</f>
        <v>10</v>
      </c>
      <c r="AO31" s="312">
        <f>TABLERO!J31</f>
        <v>6</v>
      </c>
      <c r="AP31" s="272">
        <f>TABLERO!CT31</f>
        <v>0.8</v>
      </c>
      <c r="AQ31" s="272">
        <f>TABLERO!CS31</f>
        <v>1</v>
      </c>
      <c r="AR31" s="272" t="e">
        <f>IF(TABLERO!H31="RE","",FIXED(TABLERO!CY31,2))</f>
        <v>#VALUE!</v>
      </c>
      <c r="AS31" s="312">
        <f>TABLERO!N31</f>
        <v>1</v>
      </c>
      <c r="AT31" s="1164" t="str">
        <f>TABLERO!BX31&amp;" "&amp;TABLERO!ED31&amp;", "&amp;TABLERO!I31</f>
        <v xml:space="preserve"> , CU</v>
      </c>
      <c r="AU31" s="1165"/>
      <c r="AV31" s="272" t="e">
        <f>IF(TABLERO!H31="RE","",FIXED(TABLERO!BZ31,2))</f>
        <v>#VALUE!</v>
      </c>
      <c r="AW31" s="312" t="str">
        <f>TABLERO!CA31</f>
        <v/>
      </c>
      <c r="AX31" s="271" t="str">
        <f>TABLERO!CB31</f>
        <v/>
      </c>
      <c r="AY31" s="272" t="e">
        <f>IF(TABLERO!H31="RE","",FIXED(TABLERO!DL31,2))</f>
        <v>#VALUE!</v>
      </c>
      <c r="AZ31" s="310" t="str">
        <f>IF(TABLERO!H31="RE","",TABLERO!F31&amp;"P-"&amp;TABLERO!BW31&amp;"A")</f>
        <v>1P-A</v>
      </c>
      <c r="BA31" s="272" t="str">
        <f>IF(TABLERO!CI31="-","     -     ",FIXED(IF(TABLERO!$F$17&lt;&gt;"KVA",TABLERO!CI31,TABLERO!CI31/TABLERO!$F$14),2))</f>
        <v xml:space="preserve">     -     </v>
      </c>
      <c r="BB31" s="272" t="str">
        <f>IF(TABLERO!CJ31="-","     -     ",FIXED(IF(TABLERO!$F$17&lt;&gt;"KVA",TABLERO!CJ31,TABLERO!CJ31/TABLERO!$F$14),2))</f>
        <v xml:space="preserve">     -     </v>
      </c>
      <c r="BC31" s="272" t="str">
        <f>IF(TABLERO!CK31="-","     -     ",FIXED(IF(TABLERO!$F$17&lt;&gt;"KVA",TABLERO!CK31,TABLERO!CK31/TABLERO!$F$14),2))</f>
        <v xml:space="preserve">     -     </v>
      </c>
      <c r="BG31" s="275">
        <f>IF(TABLERO!B31="",0,TABLERO!B31)</f>
        <v>1</v>
      </c>
      <c r="BH31" s="275">
        <f>IF(TABLERO!C31="",BG31,TABLERO!C31)</f>
        <v>1</v>
      </c>
      <c r="BI31" s="275">
        <f>IF(TABLERO!D31="",BG31,TABLERO!D31)</f>
        <v>1</v>
      </c>
      <c r="BJ31" s="279">
        <f t="shared" ref="BJ31" si="6">IF(A31=2,SUM(D31:AH31),0)</f>
        <v>0</v>
      </c>
      <c r="BK31" s="275"/>
      <c r="BL31" s="289" t="str" cm="1">
        <f t="array" ref="BL31">[1]!ACAELE_LineaCAD(A31)</f>
        <v>++++++++++++++++++++++++++++++2</v>
      </c>
      <c r="BM31" s="279" t="str">
        <f t="shared" si="4"/>
        <v>1+</v>
      </c>
      <c r="BN31" s="304" t="str">
        <f t="shared" si="0"/>
        <v/>
      </c>
      <c r="BO31" s="304" t="str">
        <f t="shared" si="0"/>
        <v/>
      </c>
      <c r="BP31" s="304" t="str">
        <f t="shared" si="0"/>
        <v/>
      </c>
      <c r="BQ31" s="304" t="str">
        <f t="shared" si="0"/>
        <v/>
      </c>
      <c r="BR31" s="304" t="str">
        <f t="shared" si="0"/>
        <v/>
      </c>
      <c r="BS31" s="304" t="str">
        <f t="shared" si="0"/>
        <v/>
      </c>
      <c r="BT31" s="304" t="str">
        <f t="shared" si="0"/>
        <v/>
      </c>
      <c r="BU31" s="304" t="str">
        <f t="shared" si="0"/>
        <v/>
      </c>
      <c r="BV31" s="304" t="str">
        <f t="shared" si="0"/>
        <v/>
      </c>
      <c r="BW31" s="304" t="str">
        <f t="shared" si="0"/>
        <v/>
      </c>
      <c r="BX31" s="304" t="str">
        <f t="shared" si="0"/>
        <v/>
      </c>
      <c r="BY31" s="304" t="str">
        <f t="shared" si="0"/>
        <v/>
      </c>
      <c r="BZ31" s="304" t="str">
        <f t="shared" si="0"/>
        <v/>
      </c>
      <c r="CA31" s="304" t="str">
        <f t="shared" si="0"/>
        <v/>
      </c>
      <c r="CB31" s="304" t="str">
        <f t="shared" si="0"/>
        <v/>
      </c>
      <c r="CC31" s="304" t="str">
        <f t="shared" si="0"/>
        <v/>
      </c>
      <c r="CD31" s="304" t="str">
        <f t="shared" si="1"/>
        <v/>
      </c>
      <c r="CE31" s="304" t="str">
        <f t="shared" si="1"/>
        <v/>
      </c>
      <c r="CF31" s="304" t="str">
        <f t="shared" si="1"/>
        <v/>
      </c>
      <c r="CG31" s="304" t="str">
        <f t="shared" si="1"/>
        <v/>
      </c>
      <c r="CH31" s="304" t="str">
        <f t="shared" si="1"/>
        <v/>
      </c>
      <c r="CI31" s="304" t="str">
        <f t="shared" si="1"/>
        <v/>
      </c>
      <c r="CJ31" s="304" t="str">
        <f t="shared" si="1"/>
        <v/>
      </c>
      <c r="CK31" s="304" t="str">
        <f t="shared" si="1"/>
        <v/>
      </c>
      <c r="CL31" s="304" t="str">
        <f t="shared" si="1"/>
        <v/>
      </c>
      <c r="CM31" s="304" t="str">
        <f t="shared" si="1"/>
        <v/>
      </c>
      <c r="CN31" s="304" t="str">
        <f t="shared" si="1"/>
        <v/>
      </c>
      <c r="CO31" s="304" t="str">
        <f t="shared" si="1"/>
        <v/>
      </c>
      <c r="CP31" s="304" t="str">
        <f t="shared" si="1"/>
        <v/>
      </c>
      <c r="CQ31" s="304" t="str">
        <f t="shared" si="1"/>
        <v/>
      </c>
      <c r="CR31" s="305" t="str" cm="1">
        <f t="array" ref="CR31">CONCATENATE(BM31,_xlfn.TEXTJOIN("",TRUE,IF(BN$129:CQ$129&lt;&gt;"","+"&amp;D31:AG31,"")))</f>
        <v>1+</v>
      </c>
      <c r="CS31" s="279">
        <f t="shared" si="5"/>
        <v>30</v>
      </c>
      <c r="CT31" s="279" t="str">
        <f t="shared" si="3"/>
        <v>+++++++++++++++++++++++++++++++</v>
      </c>
      <c r="CU31" s="291" t="str">
        <f>CR31&amp;CT31&amp;"FINAL"</f>
        <v>1++++++++++++++++++++++++++++++++FINAL</v>
      </c>
      <c r="GB31" s="279" t="s">
        <v>1916</v>
      </c>
    </row>
    <row r="32" spans="1:184">
      <c r="A32" s="275">
        <f>IF(C32&lt;&gt;"",1,IF(AH32="",2,IF(OR(IF(TABLERO!B32="",0,TABLERO!B32)&gt;TABLERO!$M$19,IF(TABLERO!C32="",IF(TABLERO!B32="",0,TABLERO!B32),TABLERO!C32)&gt;TABLERO!$M$19,BI32&gt;TABLERO!$M$19,IF(TABLERO!B32="",0,TABLERO!B32)=0,IF(TABLERO!C32="",BG32,TABLERO!C32)=0,IF(TABLERO!D32="",BG32,TABLERO!D32)=0),2,1)))</f>
        <v>2</v>
      </c>
      <c r="B32" s="276" t="str">
        <f>TABLERO!B32&amp;IF(TABLERO!C32="","",","&amp;TABLERO!C32)&amp;IF(TABLERO!D32="","",","&amp;TABLERO!D32)</f>
        <v>2</v>
      </c>
      <c r="C32" s="269" t="str">
        <f>IF(TABLERO!E32=0,"",TABLERO!E32)</f>
        <v/>
      </c>
      <c r="D32" s="312" t="str">
        <f>IF(OR(TABLERO!X32="",TABLERO!X32=0),"",TABLERO!X32)</f>
        <v/>
      </c>
      <c r="E32" s="312" t="str">
        <f>IF(OR(TABLERO!Y32="",TABLERO!Y32=0),"",TABLERO!Y32)</f>
        <v/>
      </c>
      <c r="F32" s="312" t="str">
        <f>IF(OR(TABLERO!Z32="",TABLERO!Z32=0),"",TABLERO!Z32)</f>
        <v/>
      </c>
      <c r="G32" s="312" t="str">
        <f>IF(OR(TABLERO!AA32="",TABLERO!AA32=0),"",TABLERO!AA32)</f>
        <v/>
      </c>
      <c r="H32" s="312" t="str">
        <f>IF(OR(TABLERO!AB32="",TABLERO!AB32=0),"",TABLERO!AB32)</f>
        <v/>
      </c>
      <c r="I32" s="312" t="str">
        <f>IF(OR(TABLERO!AC32="",TABLERO!AC32=0),"",TABLERO!AC32)</f>
        <v/>
      </c>
      <c r="J32" s="312" t="str">
        <f>IF(OR(TABLERO!AD32="",TABLERO!AD32=0),"",TABLERO!AD32)</f>
        <v/>
      </c>
      <c r="K32" s="312" t="str">
        <f>IF(OR(TABLERO!AE32="",TABLERO!AE32=0),"",TABLERO!AE32)</f>
        <v/>
      </c>
      <c r="L32" s="312" t="str">
        <f>IF(OR(TABLERO!AF32="",TABLERO!AF32=0),"",TABLERO!AF32)</f>
        <v/>
      </c>
      <c r="M32" s="312" t="str">
        <f>IF(OR(TABLERO!AG32="",TABLERO!AG32=0),"",TABLERO!AG32)</f>
        <v/>
      </c>
      <c r="N32" s="312" t="str">
        <f>IF(OR(TABLERO!AH32="",TABLERO!AH32=0),"",TABLERO!AH32)</f>
        <v/>
      </c>
      <c r="O32" s="312" t="str">
        <f>IF(OR(TABLERO!AI32="",TABLERO!AI32=0),"",TABLERO!AI32)</f>
        <v/>
      </c>
      <c r="P32" s="312" t="str">
        <f>IF(OR(TABLERO!AJ32="",TABLERO!AJ32=0),"",TABLERO!AJ32)</f>
        <v/>
      </c>
      <c r="Q32" s="312" t="str">
        <f>IF(OR(TABLERO!AK32="",TABLERO!AK32=0),"",TABLERO!AK32)</f>
        <v/>
      </c>
      <c r="R32" s="312" t="str">
        <f>IF(OR(TABLERO!AL32="",TABLERO!AL32=0),"",TABLERO!AL32)</f>
        <v/>
      </c>
      <c r="S32" s="312" t="str">
        <f>IF(OR(TABLERO!AM32="",TABLERO!AM32=0),"",TABLERO!AM32)</f>
        <v/>
      </c>
      <c r="T32" s="312" t="str">
        <f>IF(OR(TABLERO!AN32="",TABLERO!AN32=0),"",TABLERO!AN32)</f>
        <v/>
      </c>
      <c r="U32" s="312" t="str">
        <f>IF(OR(TABLERO!AO32="",TABLERO!AO32=0),"",TABLERO!AO32)</f>
        <v/>
      </c>
      <c r="V32" s="312" t="str">
        <f>IF(OR(TABLERO!AP32="",TABLERO!AP32=0),"",TABLERO!AP32)</f>
        <v/>
      </c>
      <c r="W32" s="312" t="str">
        <f>IF(OR(TABLERO!AQ32="",TABLERO!AQ32=0),"",TABLERO!AQ32)</f>
        <v/>
      </c>
      <c r="X32" s="312" t="str">
        <f>IF(OR(TABLERO!AR32="",TABLERO!AR32=0),"",TABLERO!AR32)</f>
        <v/>
      </c>
      <c r="Y32" s="312" t="str">
        <f>IF(OR(TABLERO!AS32="",TABLERO!AS32=0),"",TABLERO!AS32)</f>
        <v/>
      </c>
      <c r="Z32" s="312" t="str">
        <f>IF(OR(TABLERO!AT32="",TABLERO!AT32=0),"",TABLERO!AT32)</f>
        <v/>
      </c>
      <c r="AA32" s="312" t="str">
        <f>IF(OR(TABLERO!AU32="",TABLERO!AU32=0),"",TABLERO!AU32)</f>
        <v/>
      </c>
      <c r="AB32" s="312" t="str">
        <f>IF(OR(TABLERO!AV32="",TABLERO!AV32=0),"",TABLERO!AV32)</f>
        <v/>
      </c>
      <c r="AC32" s="312" t="str">
        <f>IF(OR(TABLERO!AW32="",TABLERO!AW32=0),"",TABLERO!AW32)</f>
        <v/>
      </c>
      <c r="AD32" s="312" t="str">
        <f>IF(OR(TABLERO!AX32="",TABLERO!AX32=0),"",TABLERO!AX32)</f>
        <v/>
      </c>
      <c r="AE32" s="312" t="str">
        <f>IF(OR(TABLERO!AY32="",TABLERO!AY32=0),"",TABLERO!AY32)</f>
        <v/>
      </c>
      <c r="AF32" s="312" t="str">
        <f>IF(OR(TABLERO!AZ32="",TABLERO!AZ32=0),"",TABLERO!AZ32)</f>
        <v/>
      </c>
      <c r="AG32" s="312" t="str">
        <f>IF(OR(TABLERO!BA32="",TABLERO!BA32=0),"",TABLERO!BA32)</f>
        <v/>
      </c>
      <c r="AH32" s="277" t="str">
        <f>IF(TABLERO!BB32=0,"",FIXED(IF(TABLERO!$F$17&lt;&gt;"KVA",TABLERO!BB32*1000,TABLERO!BB32*1000/TABLERO!DA32),2))</f>
        <v/>
      </c>
      <c r="AI32" s="277" t="str">
        <f>IF(TABLERO!BB32=0,"",FIXED(IF(TABLERO!$F$17&lt;&gt;"KVA",TABLERO!BT32*1000,TABLERO!BT32*1000/TABLERO!DA32),2))</f>
        <v/>
      </c>
      <c r="AJ32" s="272" t="str">
        <f>IF(OR(TABLERO!BU32="",TABLERO!BU32=0),"",FIXED(TABLERO!BU32,2))</f>
        <v/>
      </c>
      <c r="AK32" s="312" t="str">
        <f>IF(TABLERO!BB32=0,"",TABLERO!F32)</f>
        <v/>
      </c>
      <c r="AL32" s="312" t="str">
        <f>IF(TABLERO!BB32=0,"",TABLERO!G32)</f>
        <v/>
      </c>
      <c r="AM32" s="312" t="str">
        <f>IF(TABLERO!BB32=0,"",TABLERO!BV32)</f>
        <v/>
      </c>
      <c r="AN32" s="272" t="str">
        <f>IF(TABLERO!BB32=0,"",TABLERO!K32)</f>
        <v/>
      </c>
      <c r="AO32" s="312" t="str">
        <f>IF(TABLERO!BB32=0,"",TABLERO!J32)</f>
        <v/>
      </c>
      <c r="AP32" s="272" t="str">
        <f>IF(TABLERO!BB32=0,"",TABLERO!CT32)</f>
        <v/>
      </c>
      <c r="AQ32" s="272" t="str">
        <f>IF(TABLERO!BB32=0,"",TABLERO!CS32)</f>
        <v/>
      </c>
      <c r="AR32" s="272" t="str">
        <f>IF(OR(TABLERO!BB32=0,TABLERO!H32="RE"),"",FIXED(TABLERO!CY32,2))</f>
        <v/>
      </c>
      <c r="AS32" s="312" t="str">
        <f>IF(TABLERO!BB32=0,"",TABLERO!N32)</f>
        <v/>
      </c>
      <c r="AT32" s="1164" t="str">
        <f>IF(TABLERO!BB32=0,"",TABLERO!BX32&amp;" "&amp;TABLERO!ED32&amp;", "&amp;TABLERO!I32)</f>
        <v/>
      </c>
      <c r="AU32" s="1165"/>
      <c r="AV32" s="272" t="str">
        <f>IF(OR(TABLERO!BB32=0,TABLERO!H32="RE"),"",FIXED(TABLERO!BZ32,2))</f>
        <v/>
      </c>
      <c r="AW32" s="312" t="str">
        <f>IF(TABLERO!BB32=0,"",TABLERO!CA32)</f>
        <v/>
      </c>
      <c r="AX32" s="271" t="str">
        <f>IF(TABLERO!BB32=0,"",TABLERO!CB32)</f>
        <v/>
      </c>
      <c r="AY32" s="272" t="str">
        <f>IF(OR(TABLERO!BB32=0,TABLERO!H32="RE"),"",FIXED(TABLERO!DL32,2))</f>
        <v/>
      </c>
      <c r="AZ32" s="310" t="str">
        <f>IF(OR(TABLERO!BB32=0,TABLERO!H32="RE"),"",TABLERO!F32&amp;"P-"&amp;TABLERO!BW32&amp;"A")</f>
        <v/>
      </c>
      <c r="BA32" s="272" t="str">
        <f>IF(TABLERO!$BB32=0,"",IF(TABLERO!CI32="-","     -     ",FIXED(IF(TABLERO!$F$17&lt;&gt;"KVA",TABLERO!CI32,TABLERO!CI32/TABLERO!$F$14),2)))</f>
        <v/>
      </c>
      <c r="BB32" s="272" t="str">
        <f>IF(TABLERO!$BB32=0,"",IF(TABLERO!CJ32="-","     -     ",FIXED(IF(TABLERO!$F$17&lt;&gt;"KVA",TABLERO!CJ32,TABLERO!CJ32/TABLERO!$F$14),2)))</f>
        <v/>
      </c>
      <c r="BC32" s="272" t="str">
        <f>IF(TABLERO!$BB32=0,"",IF(TABLERO!CK32="-","     -     ",FIXED(IF(TABLERO!$F$17&lt;&gt;"KVA",TABLERO!CK32,TABLERO!CK32/TABLERO!$F$14),2)))</f>
        <v/>
      </c>
      <c r="BE32" s="326" t="str">
        <f>TABLERO!B32 &amp; IF(TABLERO!C32="","","," &amp; TABLERO!C32) &amp; IF(TABLERO!D32="","","," &amp; TABLERO!D32) &amp;  "+"</f>
        <v>2+</v>
      </c>
      <c r="BG32" s="275">
        <f>IF(TABLERO!B32="",0,TABLERO!B32)</f>
        <v>2</v>
      </c>
      <c r="BH32" s="275"/>
      <c r="BI32" s="275"/>
      <c r="BK32" s="275"/>
      <c r="BL32" s="289" t="str" cm="1">
        <f t="array" ref="BL32">[1]!ACAELE_LineaCAD(A32)</f>
        <v>++++++++++++++++++++++++++++++2</v>
      </c>
      <c r="BM32" s="279" t="str">
        <f t="shared" si="4"/>
        <v>2+</v>
      </c>
      <c r="BN32" s="304"/>
      <c r="BO32" s="304"/>
      <c r="BP32" s="304"/>
      <c r="BQ32" s="304"/>
      <c r="BR32" s="304"/>
      <c r="BS32" s="304"/>
      <c r="BT32" s="304"/>
      <c r="BU32" s="304"/>
      <c r="BV32" s="304"/>
      <c r="BW32" s="304"/>
      <c r="BX32" s="304"/>
      <c r="BY32" s="304"/>
      <c r="BZ32" s="304"/>
      <c r="CA32" s="304"/>
      <c r="CB32" s="304"/>
      <c r="CC32" s="304"/>
      <c r="CD32" s="304"/>
      <c r="CE32" s="304"/>
      <c r="CF32" s="304"/>
      <c r="CG32" s="304"/>
      <c r="CH32" s="304"/>
      <c r="CI32" s="304"/>
      <c r="CJ32" s="304"/>
      <c r="CK32" s="304"/>
      <c r="CL32" s="304"/>
      <c r="CM32" s="304"/>
      <c r="CN32" s="304"/>
      <c r="CO32" s="304"/>
      <c r="CP32" s="304"/>
      <c r="CQ32" s="304"/>
      <c r="CR32" s="305" t="str" cm="1">
        <f t="array" ref="CR32">CONCATENATE(BM32,_xlfn.TEXTJOIN("",TRUE,IF(BN$129:CQ$129&lt;&gt;"","+"&amp;D32:AG32,"")))</f>
        <v>2+</v>
      </c>
      <c r="CS32" s="279">
        <f t="shared" si="5"/>
        <v>30</v>
      </c>
      <c r="CT32" s="279" t="str">
        <f t="shared" si="3"/>
        <v>+++++++++++++++++++++++++++++++</v>
      </c>
      <c r="CU32" s="291" t="str">
        <f t="shared" ref="CU32:CU95" si="7">CR32&amp;CT32&amp;A32</f>
        <v>2++++++++++++++++++++++++++++++++2</v>
      </c>
      <c r="GB32" s="279" t="s">
        <v>1917</v>
      </c>
    </row>
    <row r="33" spans="1:184">
      <c r="A33" s="275">
        <f>IF(C33&lt;&gt;"",1,IF(AH33="",2,IF(OR(IF(TABLERO!B33="",0,TABLERO!B33)&gt;TABLERO!$M$19,IF(TABLERO!C33="",IF(TABLERO!B33="",0,TABLERO!B33),TABLERO!C33)&gt;TABLERO!$M$19,BI33&gt;TABLERO!$M$19,IF(TABLERO!B33="",0,TABLERO!B33)=0,IF(TABLERO!C33="",BG33,TABLERO!C33)=0,IF(TABLERO!D33="",BG33,TABLERO!D33)=0),2,1)))</f>
        <v>2</v>
      </c>
      <c r="B33" s="276" t="str">
        <f>TABLERO!B33&amp;IF(TABLERO!C33="","",","&amp;TABLERO!C33)&amp;IF(TABLERO!D33="","",","&amp;TABLERO!D33)</f>
        <v>3</v>
      </c>
      <c r="C33" s="269" t="str">
        <f>IF(TABLERO!E33=0,"",TABLERO!E33)</f>
        <v/>
      </c>
      <c r="D33" s="312" t="str">
        <f>IF(OR(TABLERO!X33="",TABLERO!X33=0),"",TABLERO!X33)</f>
        <v/>
      </c>
      <c r="E33" s="312" t="str">
        <f>IF(OR(TABLERO!Y33="",TABLERO!Y33=0),"",TABLERO!Y33)</f>
        <v/>
      </c>
      <c r="F33" s="312" t="str">
        <f>IF(OR(TABLERO!Z33="",TABLERO!Z33=0),"",TABLERO!Z33)</f>
        <v/>
      </c>
      <c r="G33" s="312" t="str">
        <f>IF(OR(TABLERO!AA33="",TABLERO!AA33=0),"",TABLERO!AA33)</f>
        <v/>
      </c>
      <c r="H33" s="312" t="str">
        <f>IF(OR(TABLERO!AB33="",TABLERO!AB33=0),"",TABLERO!AB33)</f>
        <v/>
      </c>
      <c r="I33" s="312" t="str">
        <f>IF(OR(TABLERO!AC33="",TABLERO!AC33=0),"",TABLERO!AC33)</f>
        <v/>
      </c>
      <c r="J33" s="312" t="str">
        <f>IF(OR(TABLERO!AD33="",TABLERO!AD33=0),"",TABLERO!AD33)</f>
        <v/>
      </c>
      <c r="K33" s="312" t="str">
        <f>IF(OR(TABLERO!AE33="",TABLERO!AE33=0),"",TABLERO!AE33)</f>
        <v/>
      </c>
      <c r="L33" s="312" t="str">
        <f>IF(OR(TABLERO!AF33="",TABLERO!AF33=0),"",TABLERO!AF33)</f>
        <v/>
      </c>
      <c r="M33" s="312" t="str">
        <f>IF(OR(TABLERO!AG33="",TABLERO!AG33=0),"",TABLERO!AG33)</f>
        <v/>
      </c>
      <c r="N33" s="312" t="str">
        <f>IF(OR(TABLERO!AH33="",TABLERO!AH33=0),"",TABLERO!AH33)</f>
        <v/>
      </c>
      <c r="O33" s="312" t="str">
        <f>IF(OR(TABLERO!AI33="",TABLERO!AI33=0),"",TABLERO!AI33)</f>
        <v/>
      </c>
      <c r="P33" s="312" t="str">
        <f>IF(OR(TABLERO!AJ33="",TABLERO!AJ33=0),"",TABLERO!AJ33)</f>
        <v/>
      </c>
      <c r="Q33" s="312" t="str">
        <f>IF(OR(TABLERO!AK33="",TABLERO!AK33=0),"",TABLERO!AK33)</f>
        <v/>
      </c>
      <c r="R33" s="312" t="str">
        <f>IF(OR(TABLERO!AL33="",TABLERO!AL33=0),"",TABLERO!AL33)</f>
        <v/>
      </c>
      <c r="S33" s="312" t="str">
        <f>IF(OR(TABLERO!AM33="",TABLERO!AM33=0),"",TABLERO!AM33)</f>
        <v/>
      </c>
      <c r="T33" s="312" t="str">
        <f>IF(OR(TABLERO!AN33="",TABLERO!AN33=0),"",TABLERO!AN33)</f>
        <v/>
      </c>
      <c r="U33" s="312" t="str">
        <f>IF(OR(TABLERO!AO33="",TABLERO!AO33=0),"",TABLERO!AO33)</f>
        <v/>
      </c>
      <c r="V33" s="312" t="str">
        <f>IF(OR(TABLERO!AP33="",TABLERO!AP33=0),"",TABLERO!AP33)</f>
        <v/>
      </c>
      <c r="W33" s="312" t="str">
        <f>IF(OR(TABLERO!AQ33="",TABLERO!AQ33=0),"",TABLERO!AQ33)</f>
        <v/>
      </c>
      <c r="X33" s="312" t="str">
        <f>IF(OR(TABLERO!AR33="",TABLERO!AR33=0),"",TABLERO!AR33)</f>
        <v/>
      </c>
      <c r="Y33" s="312" t="str">
        <f>IF(OR(TABLERO!AS33="",TABLERO!AS33=0),"",TABLERO!AS33)</f>
        <v/>
      </c>
      <c r="Z33" s="312" t="str">
        <f>IF(OR(TABLERO!AT33="",TABLERO!AT33=0),"",TABLERO!AT33)</f>
        <v/>
      </c>
      <c r="AA33" s="312" t="str">
        <f>IF(OR(TABLERO!AU33="",TABLERO!AU33=0),"",TABLERO!AU33)</f>
        <v/>
      </c>
      <c r="AB33" s="312" t="str">
        <f>IF(OR(TABLERO!AV33="",TABLERO!AV33=0),"",TABLERO!AV33)</f>
        <v/>
      </c>
      <c r="AC33" s="312" t="str">
        <f>IF(OR(TABLERO!AW33="",TABLERO!AW33=0),"",TABLERO!AW33)</f>
        <v/>
      </c>
      <c r="AD33" s="312" t="str">
        <f>IF(OR(TABLERO!AX33="",TABLERO!AX33=0),"",TABLERO!AX33)</f>
        <v/>
      </c>
      <c r="AE33" s="312" t="str">
        <f>IF(OR(TABLERO!AY33="",TABLERO!AY33=0),"",TABLERO!AY33)</f>
        <v/>
      </c>
      <c r="AF33" s="312" t="str">
        <f>IF(OR(TABLERO!AZ33="",TABLERO!AZ33=0),"",TABLERO!AZ33)</f>
        <v/>
      </c>
      <c r="AG33" s="312" t="str">
        <f>IF(OR(TABLERO!BA33="",TABLERO!BA33=0),"",TABLERO!BA33)</f>
        <v/>
      </c>
      <c r="AH33" s="277" t="str">
        <f>IF(TABLERO!BB33=0,"",FIXED(IF(TABLERO!$F$17&lt;&gt;"KVA",TABLERO!BB33*1000,TABLERO!BB33*1000/TABLERO!DA33),2))</f>
        <v/>
      </c>
      <c r="AI33" s="277" t="str">
        <f>IF(TABLERO!BB33=0,"",FIXED(IF(TABLERO!$F$17&lt;&gt;"KVA",TABLERO!BT33*1000,TABLERO!BT33*1000/TABLERO!DA33),2))</f>
        <v/>
      </c>
      <c r="AJ33" s="272" t="str">
        <f>IF(OR(TABLERO!BU33="",TABLERO!BU33=0),"",FIXED(TABLERO!BU33,2))</f>
        <v/>
      </c>
      <c r="AK33" s="312" t="str">
        <f>IF(TABLERO!BB33=0,"",TABLERO!F33)</f>
        <v/>
      </c>
      <c r="AL33" s="312" t="str">
        <f>IF(TABLERO!BB33=0,"",TABLERO!G33)</f>
        <v/>
      </c>
      <c r="AM33" s="312" t="str">
        <f>IF(TABLERO!BB33=0,"",TABLERO!BV33)</f>
        <v/>
      </c>
      <c r="AN33" s="272" t="str">
        <f>IF(TABLERO!BB33=0,"",TABLERO!K33)</f>
        <v/>
      </c>
      <c r="AO33" s="312" t="str">
        <f>IF(TABLERO!BB33=0,"",TABLERO!J33)</f>
        <v/>
      </c>
      <c r="AP33" s="272" t="str">
        <f>IF(TABLERO!BB33=0,"",TABLERO!CT33)</f>
        <v/>
      </c>
      <c r="AQ33" s="272" t="str">
        <f>IF(TABLERO!BB33=0,"",TABLERO!CS33)</f>
        <v/>
      </c>
      <c r="AR33" s="272" t="str">
        <f>IF(OR(TABLERO!BB33=0,TABLERO!H33="RE"),"",FIXED(TABLERO!CY33,2))</f>
        <v/>
      </c>
      <c r="AS33" s="312" t="str">
        <f>IF(TABLERO!BB33=0,"",TABLERO!N33)</f>
        <v/>
      </c>
      <c r="AT33" s="1164" t="str">
        <f>IF(TABLERO!BB33=0,"",TABLERO!BX33&amp;" "&amp;TABLERO!ED33&amp;", "&amp;TABLERO!I33)</f>
        <v/>
      </c>
      <c r="AU33" s="1165"/>
      <c r="AV33" s="272" t="str">
        <f>IF(OR(TABLERO!BB33=0,TABLERO!H33="RE"),"",FIXED(TABLERO!BZ33,2))</f>
        <v/>
      </c>
      <c r="AW33" s="312" t="str">
        <f>IF(TABLERO!BB33=0,"",TABLERO!CA33)</f>
        <v/>
      </c>
      <c r="AX33" s="271" t="str">
        <f>IF(TABLERO!BB33=0,"",TABLERO!CB33)</f>
        <v/>
      </c>
      <c r="AY33" s="272" t="str">
        <f>IF(OR(TABLERO!BB33=0,TABLERO!H33="RE"),"",FIXED(TABLERO!DL33,2))</f>
        <v/>
      </c>
      <c r="AZ33" s="310" t="str">
        <f>IF(OR(TABLERO!BB33=0,TABLERO!H33="RE"),"",TABLERO!F33&amp;"P-"&amp;TABLERO!BW33&amp;"A")</f>
        <v/>
      </c>
      <c r="BA33" s="272" t="str">
        <f>IF(TABLERO!$BB33=0,"",IF(TABLERO!CI33="-","     -     ",FIXED(IF(TABLERO!$F$17&lt;&gt;"KVA",TABLERO!CI33,TABLERO!CI33/TABLERO!$F$14),2)))</f>
        <v/>
      </c>
      <c r="BB33" s="272" t="str">
        <f>IF(TABLERO!$BB33=0,"",IF(TABLERO!CJ33="-","     -     ",FIXED(IF(TABLERO!$F$17&lt;&gt;"KVA",TABLERO!CJ33,TABLERO!CJ33/TABLERO!$F$14),2)))</f>
        <v/>
      </c>
      <c r="BC33" s="272" t="str">
        <f>IF(TABLERO!$BB33=0,"",IF(TABLERO!CK33="-","     -     ",FIXED(IF(TABLERO!$F$17&lt;&gt;"KVA",TABLERO!CK33,TABLERO!CK33/TABLERO!$F$14),2)))</f>
        <v/>
      </c>
      <c r="BG33" s="275">
        <f>IF(TABLERO!B33="",0,TABLERO!B33)</f>
        <v>3</v>
      </c>
      <c r="BH33" s="275"/>
      <c r="BI33" s="275"/>
      <c r="BK33" s="275"/>
      <c r="BL33" s="289" t="str" cm="1">
        <f t="array" ref="BL33">[1]!ACAELE_LineaCAD(A33)</f>
        <v>++++++++++++++++++++++++++++++2</v>
      </c>
      <c r="BM33" s="279" t="str">
        <f t="shared" si="4"/>
        <v>3+</v>
      </c>
      <c r="BN33" s="304"/>
      <c r="BO33" s="304"/>
      <c r="BP33" s="304"/>
      <c r="BQ33" s="304"/>
      <c r="BR33" s="304"/>
      <c r="BS33" s="304"/>
      <c r="BT33" s="304"/>
      <c r="BU33" s="304"/>
      <c r="BV33" s="304"/>
      <c r="BW33" s="304"/>
      <c r="BX33" s="304"/>
      <c r="BY33" s="304"/>
      <c r="BZ33" s="304"/>
      <c r="CA33" s="304"/>
      <c r="CB33" s="304"/>
      <c r="CC33" s="304"/>
      <c r="CD33" s="304"/>
      <c r="CE33" s="304"/>
      <c r="CF33" s="304"/>
      <c r="CG33" s="304"/>
      <c r="CH33" s="304"/>
      <c r="CI33" s="304"/>
      <c r="CJ33" s="304"/>
      <c r="CK33" s="304"/>
      <c r="CL33" s="304"/>
      <c r="CM33" s="304"/>
      <c r="CN33" s="304"/>
      <c r="CO33" s="304"/>
      <c r="CP33" s="304"/>
      <c r="CQ33" s="304"/>
      <c r="CR33" s="305" t="str" cm="1">
        <f t="array" ref="CR33">CONCATENATE(BM33,_xlfn.TEXTJOIN("",TRUE,IF(BN$129:CQ$129&lt;&gt;"","+"&amp;D33:AG33,"")))</f>
        <v>3+</v>
      </c>
      <c r="CS33" s="279">
        <f t="shared" si="5"/>
        <v>30</v>
      </c>
      <c r="CT33" s="279" t="str">
        <f t="shared" si="3"/>
        <v>+++++++++++++++++++++++++++++++</v>
      </c>
      <c r="CU33" s="291" t="str">
        <f t="shared" si="7"/>
        <v>3++++++++++++++++++++++++++++++++2</v>
      </c>
      <c r="GB33" s="279" t="s">
        <v>1918</v>
      </c>
    </row>
    <row r="34" spans="1:184">
      <c r="A34" s="275">
        <f>IF(C34&lt;&gt;"",1,IF(AH34="",2,IF(OR(IF(TABLERO!B34="",0,TABLERO!B34)&gt;TABLERO!$M$19,IF(TABLERO!C34="",IF(TABLERO!B34="",0,TABLERO!B34),TABLERO!C34)&gt;TABLERO!$M$19,BI34&gt;TABLERO!$M$19,IF(TABLERO!B34="",0,TABLERO!B34)=0,IF(TABLERO!C34="",BG34,TABLERO!C34)=0,IF(TABLERO!D34="",BG34,TABLERO!D34)=0),2,1)))</f>
        <v>2</v>
      </c>
      <c r="B34" s="276" t="str">
        <f>TABLERO!B34&amp;IF(TABLERO!C34="","",","&amp;TABLERO!C34)&amp;IF(TABLERO!D34="","",","&amp;TABLERO!D34)</f>
        <v>4</v>
      </c>
      <c r="C34" s="269" t="str">
        <f>IF(TABLERO!E34=0,"",TABLERO!E34)</f>
        <v/>
      </c>
      <c r="D34" s="312" t="str">
        <f>IF(OR(TABLERO!X34="",TABLERO!X34=0),"",TABLERO!X34)</f>
        <v/>
      </c>
      <c r="E34" s="312" t="str">
        <f>IF(OR(TABLERO!Y34="",TABLERO!Y34=0),"",TABLERO!Y34)</f>
        <v/>
      </c>
      <c r="F34" s="312" t="str">
        <f>IF(OR(TABLERO!Z34="",TABLERO!Z34=0),"",TABLERO!Z34)</f>
        <v/>
      </c>
      <c r="G34" s="312" t="str">
        <f>IF(OR(TABLERO!AA34="",TABLERO!AA34=0),"",TABLERO!AA34)</f>
        <v/>
      </c>
      <c r="H34" s="312" t="str">
        <f>IF(OR(TABLERO!AB34="",TABLERO!AB34=0),"",TABLERO!AB34)</f>
        <v/>
      </c>
      <c r="I34" s="312" t="str">
        <f>IF(OR(TABLERO!AC34="",TABLERO!AC34=0),"",TABLERO!AC34)</f>
        <v/>
      </c>
      <c r="J34" s="312" t="str">
        <f>IF(OR(TABLERO!AD34="",TABLERO!AD34=0),"",TABLERO!AD34)</f>
        <v/>
      </c>
      <c r="K34" s="312" t="str">
        <f>IF(OR(TABLERO!AE34="",TABLERO!AE34=0),"",TABLERO!AE34)</f>
        <v/>
      </c>
      <c r="L34" s="312" t="str">
        <f>IF(OR(TABLERO!AF34="",TABLERO!AF34=0),"",TABLERO!AF34)</f>
        <v/>
      </c>
      <c r="M34" s="312" t="str">
        <f>IF(OR(TABLERO!AG34="",TABLERO!AG34=0),"",TABLERO!AG34)</f>
        <v/>
      </c>
      <c r="N34" s="312" t="str">
        <f>IF(OR(TABLERO!AH34="",TABLERO!AH34=0),"",TABLERO!AH34)</f>
        <v/>
      </c>
      <c r="O34" s="312" t="str">
        <f>IF(OR(TABLERO!AI34="",TABLERO!AI34=0),"",TABLERO!AI34)</f>
        <v/>
      </c>
      <c r="P34" s="312" t="str">
        <f>IF(OR(TABLERO!AJ34="",TABLERO!AJ34=0),"",TABLERO!AJ34)</f>
        <v/>
      </c>
      <c r="Q34" s="312" t="str">
        <f>IF(OR(TABLERO!AK34="",TABLERO!AK34=0),"",TABLERO!AK34)</f>
        <v/>
      </c>
      <c r="R34" s="312" t="str">
        <f>IF(OR(TABLERO!AL34="",TABLERO!AL34=0),"",TABLERO!AL34)</f>
        <v/>
      </c>
      <c r="S34" s="312" t="str">
        <f>IF(OR(TABLERO!AM34="",TABLERO!AM34=0),"",TABLERO!AM34)</f>
        <v/>
      </c>
      <c r="T34" s="312" t="str">
        <f>IF(OR(TABLERO!AN34="",TABLERO!AN34=0),"",TABLERO!AN34)</f>
        <v/>
      </c>
      <c r="U34" s="312" t="str">
        <f>IF(OR(TABLERO!AO34="",TABLERO!AO34=0),"",TABLERO!AO34)</f>
        <v/>
      </c>
      <c r="V34" s="312" t="str">
        <f>IF(OR(TABLERO!AP34="",TABLERO!AP34=0),"",TABLERO!AP34)</f>
        <v/>
      </c>
      <c r="W34" s="312" t="str">
        <f>IF(OR(TABLERO!AQ34="",TABLERO!AQ34=0),"",TABLERO!AQ34)</f>
        <v/>
      </c>
      <c r="X34" s="312" t="str">
        <f>IF(OR(TABLERO!AR34="",TABLERO!AR34=0),"",TABLERO!AR34)</f>
        <v/>
      </c>
      <c r="Y34" s="312" t="str">
        <f>IF(OR(TABLERO!AS34="",TABLERO!AS34=0),"",TABLERO!AS34)</f>
        <v/>
      </c>
      <c r="Z34" s="312" t="str">
        <f>IF(OR(TABLERO!AT34="",TABLERO!AT34=0),"",TABLERO!AT34)</f>
        <v/>
      </c>
      <c r="AA34" s="312" t="str">
        <f>IF(OR(TABLERO!AU34="",TABLERO!AU34=0),"",TABLERO!AU34)</f>
        <v/>
      </c>
      <c r="AB34" s="312" t="str">
        <f>IF(OR(TABLERO!AV34="",TABLERO!AV34=0),"",TABLERO!AV34)</f>
        <v/>
      </c>
      <c r="AC34" s="312" t="str">
        <f>IF(OR(TABLERO!AW34="",TABLERO!AW34=0),"",TABLERO!AW34)</f>
        <v/>
      </c>
      <c r="AD34" s="312" t="str">
        <f>IF(OR(TABLERO!AX34="",TABLERO!AX34=0),"",TABLERO!AX34)</f>
        <v/>
      </c>
      <c r="AE34" s="312" t="str">
        <f>IF(OR(TABLERO!AY34="",TABLERO!AY34=0),"",TABLERO!AY34)</f>
        <v/>
      </c>
      <c r="AF34" s="312" t="str">
        <f>IF(OR(TABLERO!AZ34="",TABLERO!AZ34=0),"",TABLERO!AZ34)</f>
        <v/>
      </c>
      <c r="AG34" s="312" t="str">
        <f>IF(OR(TABLERO!BA34="",TABLERO!BA34=0),"",TABLERO!BA34)</f>
        <v/>
      </c>
      <c r="AH34" s="277" t="str">
        <f>IF(TABLERO!BB34=0,"",FIXED(IF(TABLERO!$F$17&lt;&gt;"KVA",TABLERO!BB34*1000,TABLERO!BB34*1000/TABLERO!DA34),2))</f>
        <v/>
      </c>
      <c r="AI34" s="277" t="str">
        <f>IF(TABLERO!BB34=0,"",FIXED(IF(TABLERO!$F$17&lt;&gt;"KVA",TABLERO!BT34*1000,TABLERO!BT34*1000/TABLERO!DA34),2))</f>
        <v/>
      </c>
      <c r="AJ34" s="272" t="str">
        <f>IF(OR(TABLERO!BU34="",TABLERO!BU34=0),"",FIXED(TABLERO!BU34,2))</f>
        <v/>
      </c>
      <c r="AK34" s="312" t="str">
        <f>IF(TABLERO!BB34=0,"",TABLERO!F34)</f>
        <v/>
      </c>
      <c r="AL34" s="312" t="str">
        <f>IF(TABLERO!BB34=0,"",TABLERO!G34)</f>
        <v/>
      </c>
      <c r="AM34" s="312" t="str">
        <f>IF(TABLERO!BB34=0,"",TABLERO!BV34)</f>
        <v/>
      </c>
      <c r="AN34" s="272" t="str">
        <f>IF(TABLERO!BB34=0,"",TABLERO!K34)</f>
        <v/>
      </c>
      <c r="AO34" s="312" t="str">
        <f>IF(TABLERO!BB34=0,"",TABLERO!J34)</f>
        <v/>
      </c>
      <c r="AP34" s="272" t="str">
        <f>IF(TABLERO!BB34=0,"",TABLERO!CT34)</f>
        <v/>
      </c>
      <c r="AQ34" s="272" t="str">
        <f>IF(TABLERO!BB34=0,"",TABLERO!CS34)</f>
        <v/>
      </c>
      <c r="AR34" s="272" t="str">
        <f>IF(OR(TABLERO!BB34=0,TABLERO!H34="RE"),"",FIXED(TABLERO!CY34,2))</f>
        <v/>
      </c>
      <c r="AS34" s="312" t="str">
        <f>IF(TABLERO!BB34=0,"",TABLERO!N34)</f>
        <v/>
      </c>
      <c r="AT34" s="1164" t="str">
        <f>IF(TABLERO!BB34=0,"",TABLERO!BX34&amp;" "&amp;TABLERO!ED34&amp;", "&amp;TABLERO!I34)</f>
        <v/>
      </c>
      <c r="AU34" s="1165"/>
      <c r="AV34" s="272" t="str">
        <f>IF(OR(TABLERO!BB34=0,TABLERO!H34="RE"),"",FIXED(TABLERO!BZ34,2))</f>
        <v/>
      </c>
      <c r="AW34" s="312" t="str">
        <f>IF(TABLERO!BB34=0,"",TABLERO!CA34)</f>
        <v/>
      </c>
      <c r="AX34" s="271" t="str">
        <f>IF(TABLERO!BB34=0,"",TABLERO!CB34)</f>
        <v/>
      </c>
      <c r="AY34" s="272" t="str">
        <f>IF(OR(TABLERO!BB34=0,TABLERO!H34="RE"),"",FIXED(TABLERO!DL34,2))</f>
        <v/>
      </c>
      <c r="AZ34" s="310" t="str">
        <f>IF(OR(TABLERO!BB34=0,TABLERO!H34="RE"),"",TABLERO!F34&amp;"P-"&amp;TABLERO!BW34&amp;"A")</f>
        <v/>
      </c>
      <c r="BA34" s="272" t="str">
        <f>IF(TABLERO!$BB34=0,"",IF(TABLERO!CI34="-","     -     ",FIXED(IF(TABLERO!$F$17&lt;&gt;"KVA",TABLERO!CI34,TABLERO!CI34/TABLERO!$F$14),2)))</f>
        <v/>
      </c>
      <c r="BB34" s="272" t="str">
        <f>IF(TABLERO!$BB34=0,"",IF(TABLERO!CJ34="-","     -     ",FIXED(IF(TABLERO!$F$17&lt;&gt;"KVA",TABLERO!CJ34,TABLERO!CJ34/TABLERO!$F$14),2)))</f>
        <v/>
      </c>
      <c r="BC34" s="272" t="str">
        <f>IF(TABLERO!$BB34=0,"",IF(TABLERO!CK34="-","     -     ",FIXED(IF(TABLERO!$F$17&lt;&gt;"KVA",TABLERO!CK34,TABLERO!CK34/TABLERO!$F$14),2)))</f>
        <v/>
      </c>
      <c r="BG34" s="275">
        <f>IF(TABLERO!B34="",0,TABLERO!B34)</f>
        <v>4</v>
      </c>
      <c r="BH34" s="275"/>
      <c r="BI34" s="275"/>
      <c r="BK34" s="275"/>
      <c r="BL34" s="289" t="str" cm="1">
        <f t="array" ref="BL34">[1]!ACAELE_LineaCAD(A34)</f>
        <v>++++++++++++++++++++++++++++++2</v>
      </c>
      <c r="BM34" s="279" t="str">
        <f t="shared" si="4"/>
        <v>4+</v>
      </c>
      <c r="BN34" s="304"/>
      <c r="BO34" s="304"/>
      <c r="BP34" s="304"/>
      <c r="BQ34" s="304"/>
      <c r="BR34" s="304"/>
      <c r="BS34" s="304"/>
      <c r="BT34" s="304"/>
      <c r="BU34" s="304"/>
      <c r="BV34" s="304"/>
      <c r="BW34" s="304"/>
      <c r="BX34" s="304"/>
      <c r="BY34" s="304"/>
      <c r="BZ34" s="304"/>
      <c r="CA34" s="304"/>
      <c r="CB34" s="304"/>
      <c r="CC34" s="304"/>
      <c r="CD34" s="304"/>
      <c r="CE34" s="304"/>
      <c r="CF34" s="304"/>
      <c r="CG34" s="304"/>
      <c r="CH34" s="304"/>
      <c r="CI34" s="304"/>
      <c r="CJ34" s="304"/>
      <c r="CK34" s="304"/>
      <c r="CL34" s="304"/>
      <c r="CM34" s="304"/>
      <c r="CN34" s="304"/>
      <c r="CO34" s="304"/>
      <c r="CP34" s="304"/>
      <c r="CQ34" s="304"/>
      <c r="CR34" s="305" t="str" cm="1">
        <f t="array" ref="CR34">CONCATENATE(BM34,_xlfn.TEXTJOIN("",TRUE,IF(BN$129:CQ$129&lt;&gt;"","+"&amp;D34:AG34,"")))</f>
        <v>4+</v>
      </c>
      <c r="CS34" s="279">
        <f t="shared" si="5"/>
        <v>30</v>
      </c>
      <c r="CT34" s="279" t="str">
        <f t="shared" si="3"/>
        <v>+++++++++++++++++++++++++++++++</v>
      </c>
      <c r="CU34" s="291" t="str">
        <f t="shared" si="7"/>
        <v>4++++++++++++++++++++++++++++++++2</v>
      </c>
      <c r="GB34" s="279" t="s">
        <v>1919</v>
      </c>
    </row>
    <row r="35" spans="1:184">
      <c r="A35" s="275">
        <f>IF(C35&lt;&gt;"",1,IF(AH35="",2,IF(OR(IF(TABLERO!B35="",0,TABLERO!B35)&gt;TABLERO!$M$19,IF(TABLERO!C35="",IF(TABLERO!B35="",0,TABLERO!B35),TABLERO!C35)&gt;TABLERO!$M$19,BI35&gt;TABLERO!$M$19,IF(TABLERO!B35="",0,TABLERO!B35)=0,IF(TABLERO!C35="",BG35,TABLERO!C35)=0,IF(TABLERO!D35="",BG35,TABLERO!D35)=0),2,1)))</f>
        <v>2</v>
      </c>
      <c r="B35" s="276" t="str">
        <f>TABLERO!B35&amp;IF(TABLERO!C35="","",","&amp;TABLERO!C35)&amp;IF(TABLERO!D35="","",","&amp;TABLERO!D35)</f>
        <v>5</v>
      </c>
      <c r="C35" s="269" t="str">
        <f>IF(TABLERO!E35=0,"",TABLERO!E35)</f>
        <v/>
      </c>
      <c r="D35" s="312" t="str">
        <f>IF(OR(TABLERO!X35="",TABLERO!X35=0),"",TABLERO!X35)</f>
        <v/>
      </c>
      <c r="E35" s="312" t="str">
        <f>IF(OR(TABLERO!Y35="",TABLERO!Y35=0),"",TABLERO!Y35)</f>
        <v/>
      </c>
      <c r="F35" s="312" t="str">
        <f>IF(OR(TABLERO!Z35="",TABLERO!Z35=0),"",TABLERO!Z35)</f>
        <v/>
      </c>
      <c r="G35" s="312" t="str">
        <f>IF(OR(TABLERO!AA35="",TABLERO!AA35=0),"",TABLERO!AA35)</f>
        <v/>
      </c>
      <c r="H35" s="312" t="str">
        <f>IF(OR(TABLERO!AB35="",TABLERO!AB35=0),"",TABLERO!AB35)</f>
        <v/>
      </c>
      <c r="I35" s="312" t="str">
        <f>IF(OR(TABLERO!AC35="",TABLERO!AC35=0),"",TABLERO!AC35)</f>
        <v/>
      </c>
      <c r="J35" s="312" t="str">
        <f>IF(OR(TABLERO!AD35="",TABLERO!AD35=0),"",TABLERO!AD35)</f>
        <v/>
      </c>
      <c r="K35" s="312" t="str">
        <f>IF(OR(TABLERO!AE35="",TABLERO!AE35=0),"",TABLERO!AE35)</f>
        <v/>
      </c>
      <c r="L35" s="312" t="str">
        <f>IF(OR(TABLERO!AF35="",TABLERO!AF35=0),"",TABLERO!AF35)</f>
        <v/>
      </c>
      <c r="M35" s="312" t="str">
        <f>IF(OR(TABLERO!AG35="",TABLERO!AG35=0),"",TABLERO!AG35)</f>
        <v/>
      </c>
      <c r="N35" s="312" t="str">
        <f>IF(OR(TABLERO!AH35="",TABLERO!AH35=0),"",TABLERO!AH35)</f>
        <v/>
      </c>
      <c r="O35" s="312" t="str">
        <f>IF(OR(TABLERO!AI35="",TABLERO!AI35=0),"",TABLERO!AI35)</f>
        <v/>
      </c>
      <c r="P35" s="312" t="str">
        <f>IF(OR(TABLERO!AJ35="",TABLERO!AJ35=0),"",TABLERO!AJ35)</f>
        <v/>
      </c>
      <c r="Q35" s="312" t="str">
        <f>IF(OR(TABLERO!AK35="",TABLERO!AK35=0),"",TABLERO!AK35)</f>
        <v/>
      </c>
      <c r="R35" s="312" t="str">
        <f>IF(OR(TABLERO!AL35="",TABLERO!AL35=0),"",TABLERO!AL35)</f>
        <v/>
      </c>
      <c r="S35" s="312" t="str">
        <f>IF(OR(TABLERO!AM35="",TABLERO!AM35=0),"",TABLERO!AM35)</f>
        <v/>
      </c>
      <c r="T35" s="312" t="str">
        <f>IF(OR(TABLERO!AN35="",TABLERO!AN35=0),"",TABLERO!AN35)</f>
        <v/>
      </c>
      <c r="U35" s="312" t="str">
        <f>IF(OR(TABLERO!AO35="",TABLERO!AO35=0),"",TABLERO!AO35)</f>
        <v/>
      </c>
      <c r="V35" s="312" t="str">
        <f>IF(OR(TABLERO!AP35="",TABLERO!AP35=0),"",TABLERO!AP35)</f>
        <v/>
      </c>
      <c r="W35" s="312" t="str">
        <f>IF(OR(TABLERO!AQ35="",TABLERO!AQ35=0),"",TABLERO!AQ35)</f>
        <v/>
      </c>
      <c r="X35" s="312" t="str">
        <f>IF(OR(TABLERO!AR35="",TABLERO!AR35=0),"",TABLERO!AR35)</f>
        <v/>
      </c>
      <c r="Y35" s="312" t="str">
        <f>IF(OR(TABLERO!AS35="",TABLERO!AS35=0),"",TABLERO!AS35)</f>
        <v/>
      </c>
      <c r="Z35" s="312" t="str">
        <f>IF(OR(TABLERO!AT35="",TABLERO!AT35=0),"",TABLERO!AT35)</f>
        <v/>
      </c>
      <c r="AA35" s="312" t="str">
        <f>IF(OR(TABLERO!AU35="",TABLERO!AU35=0),"",TABLERO!AU35)</f>
        <v/>
      </c>
      <c r="AB35" s="312" t="str">
        <f>IF(OR(TABLERO!AV35="",TABLERO!AV35=0),"",TABLERO!AV35)</f>
        <v/>
      </c>
      <c r="AC35" s="312" t="str">
        <f>IF(OR(TABLERO!AW35="",TABLERO!AW35=0),"",TABLERO!AW35)</f>
        <v/>
      </c>
      <c r="AD35" s="312" t="str">
        <f>IF(OR(TABLERO!AX35="",TABLERO!AX35=0),"",TABLERO!AX35)</f>
        <v/>
      </c>
      <c r="AE35" s="312" t="str">
        <f>IF(OR(TABLERO!AY35="",TABLERO!AY35=0),"",TABLERO!AY35)</f>
        <v/>
      </c>
      <c r="AF35" s="312" t="str">
        <f>IF(OR(TABLERO!AZ35="",TABLERO!AZ35=0),"",TABLERO!AZ35)</f>
        <v/>
      </c>
      <c r="AG35" s="312" t="str">
        <f>IF(OR(TABLERO!BA35="",TABLERO!BA35=0),"",TABLERO!BA35)</f>
        <v/>
      </c>
      <c r="AH35" s="277" t="str">
        <f>IF(TABLERO!BB35=0,"",FIXED(IF(TABLERO!$F$17&lt;&gt;"KVA",TABLERO!BB35*1000,TABLERO!BB35*1000/TABLERO!DA35),2))</f>
        <v/>
      </c>
      <c r="AI35" s="277" t="str">
        <f>IF(TABLERO!BB35=0,"",FIXED(IF(TABLERO!$F$17&lt;&gt;"KVA",TABLERO!BT35*1000,TABLERO!BT35*1000/TABLERO!DA35),2))</f>
        <v/>
      </c>
      <c r="AJ35" s="272" t="str">
        <f>IF(OR(TABLERO!BU35="",TABLERO!BU35=0),"",FIXED(TABLERO!BU35,2))</f>
        <v/>
      </c>
      <c r="AK35" s="312" t="str">
        <f>IF(TABLERO!BB35=0,"",TABLERO!F35)</f>
        <v/>
      </c>
      <c r="AL35" s="312" t="str">
        <f>IF(TABLERO!BB35=0,"",TABLERO!G35)</f>
        <v/>
      </c>
      <c r="AM35" s="312" t="str">
        <f>IF(TABLERO!BB35=0,"",TABLERO!BV35)</f>
        <v/>
      </c>
      <c r="AN35" s="272" t="str">
        <f>IF(TABLERO!BB35=0,"",TABLERO!K35)</f>
        <v/>
      </c>
      <c r="AO35" s="312" t="str">
        <f>IF(TABLERO!BB35=0,"",TABLERO!J35)</f>
        <v/>
      </c>
      <c r="AP35" s="272" t="str">
        <f>IF(TABLERO!BB35=0,"",TABLERO!CT35)</f>
        <v/>
      </c>
      <c r="AQ35" s="272" t="str">
        <f>IF(TABLERO!BB35=0,"",TABLERO!CS35)</f>
        <v/>
      </c>
      <c r="AR35" s="272" t="str">
        <f>IF(OR(TABLERO!BB35=0,TABLERO!H35="RE"),"",FIXED(TABLERO!CY35,2))</f>
        <v/>
      </c>
      <c r="AS35" s="312" t="str">
        <f>IF(TABLERO!BB35=0,"",TABLERO!N35)</f>
        <v/>
      </c>
      <c r="AT35" s="1164" t="str">
        <f>IF(TABLERO!BB35=0,"",TABLERO!BX35&amp;" "&amp;TABLERO!ED35&amp;", "&amp;TABLERO!I35)</f>
        <v/>
      </c>
      <c r="AU35" s="1165"/>
      <c r="AV35" s="272" t="str">
        <f>IF(OR(TABLERO!BB35=0,TABLERO!H35="RE"),"",FIXED(TABLERO!BZ35,2))</f>
        <v/>
      </c>
      <c r="AW35" s="312" t="str">
        <f>IF(TABLERO!BB35=0,"",TABLERO!CA35)</f>
        <v/>
      </c>
      <c r="AX35" s="271" t="str">
        <f>IF(TABLERO!BB35=0,"",TABLERO!CB35)</f>
        <v/>
      </c>
      <c r="AY35" s="272" t="str">
        <f>IF(OR(TABLERO!BB35=0,TABLERO!H35="RE"),"",FIXED(TABLERO!DL35,2))</f>
        <v/>
      </c>
      <c r="AZ35" s="310" t="str">
        <f>IF(OR(TABLERO!BB35=0,TABLERO!H35="RE"),"",TABLERO!F35&amp;"P-"&amp;TABLERO!BW35&amp;"A")</f>
        <v/>
      </c>
      <c r="BA35" s="272" t="str">
        <f>IF(TABLERO!$BB35=0,"",IF(TABLERO!CI35="-","     -     ",FIXED(IF(TABLERO!$F$17&lt;&gt;"KVA",TABLERO!CI35,TABLERO!CI35/TABLERO!$F$14),2)))</f>
        <v/>
      </c>
      <c r="BB35" s="272" t="str">
        <f>IF(TABLERO!$BB35=0,"",IF(TABLERO!CJ35="-","     -     ",FIXED(IF(TABLERO!$F$17&lt;&gt;"KVA",TABLERO!CJ35,TABLERO!CJ35/TABLERO!$F$14),2)))</f>
        <v/>
      </c>
      <c r="BC35" s="272" t="str">
        <f>IF(TABLERO!$BB35=0,"",IF(TABLERO!CK35="-","     -     ",FIXED(IF(TABLERO!$F$17&lt;&gt;"KVA",TABLERO!CK35,TABLERO!CK35/TABLERO!$F$14),2)))</f>
        <v/>
      </c>
      <c r="BG35" s="275">
        <f>IF(TABLERO!B35="",0,TABLERO!B35)</f>
        <v>5</v>
      </c>
      <c r="BH35" s="275"/>
      <c r="BI35" s="275"/>
      <c r="BK35" s="275"/>
      <c r="BL35" s="289" t="str" cm="1">
        <f t="array" ref="BL35">[1]!ACAELE_LineaCAD(A35)</f>
        <v>++++++++++++++++++++++++++++++2</v>
      </c>
      <c r="BM35" s="279" t="str">
        <f t="shared" si="4"/>
        <v>5+</v>
      </c>
      <c r="BN35" s="304"/>
      <c r="BO35" s="304"/>
      <c r="BP35" s="304"/>
      <c r="BQ35" s="304"/>
      <c r="BR35" s="304"/>
      <c r="BS35" s="304"/>
      <c r="BT35" s="304"/>
      <c r="BU35" s="304"/>
      <c r="BV35" s="304"/>
      <c r="BW35" s="304"/>
      <c r="BX35" s="304"/>
      <c r="BY35" s="304"/>
      <c r="BZ35" s="304"/>
      <c r="CA35" s="304"/>
      <c r="CB35" s="304"/>
      <c r="CC35" s="304"/>
      <c r="CD35" s="304"/>
      <c r="CE35" s="304"/>
      <c r="CF35" s="304"/>
      <c r="CG35" s="304"/>
      <c r="CH35" s="304"/>
      <c r="CI35" s="304"/>
      <c r="CJ35" s="304"/>
      <c r="CK35" s="304"/>
      <c r="CL35" s="304"/>
      <c r="CM35" s="304"/>
      <c r="CN35" s="304"/>
      <c r="CO35" s="304"/>
      <c r="CP35" s="304"/>
      <c r="CQ35" s="304"/>
      <c r="CR35" s="305" t="str" cm="1">
        <f t="array" ref="CR35">CONCATENATE(BM35,_xlfn.TEXTJOIN("",TRUE,IF(BN$129:CQ$129&lt;&gt;"","+"&amp;D35:AG35,"")))</f>
        <v>5+</v>
      </c>
      <c r="CS35" s="279">
        <f t="shared" si="5"/>
        <v>30</v>
      </c>
      <c r="CT35" s="279" t="str">
        <f t="shared" si="3"/>
        <v>+++++++++++++++++++++++++++++++</v>
      </c>
      <c r="CU35" s="291" t="str">
        <f t="shared" si="7"/>
        <v>5++++++++++++++++++++++++++++++++2</v>
      </c>
      <c r="GB35" s="279" t="s">
        <v>1920</v>
      </c>
    </row>
    <row r="36" spans="1:184">
      <c r="A36" s="275">
        <f>IF(C36&lt;&gt;"",1,IF(AH36="",2,IF(OR(IF(TABLERO!B36="",0,TABLERO!B36)&gt;TABLERO!$M$19,IF(TABLERO!C36="",IF(TABLERO!B36="",0,TABLERO!B36),TABLERO!C36)&gt;TABLERO!$M$19,BI36&gt;TABLERO!$M$19,IF(TABLERO!B36="",0,TABLERO!B36)=0,IF(TABLERO!C36="",BG36,TABLERO!C36)=0,IF(TABLERO!D36="",BG36,TABLERO!D36)=0),2,1)))</f>
        <v>2</v>
      </c>
      <c r="B36" s="276" t="str">
        <f>TABLERO!B36&amp;IF(TABLERO!C36="","",","&amp;TABLERO!C36)&amp;IF(TABLERO!D36="","",","&amp;TABLERO!D36)</f>
        <v>6</v>
      </c>
      <c r="C36" s="269" t="str">
        <f>IF(TABLERO!E36=0,"",TABLERO!E36)</f>
        <v/>
      </c>
      <c r="D36" s="312" t="str">
        <f>IF(OR(TABLERO!X36="",TABLERO!X36=0),"",TABLERO!X36)</f>
        <v/>
      </c>
      <c r="E36" s="312" t="str">
        <f>IF(OR(TABLERO!Y36="",TABLERO!Y36=0),"",TABLERO!Y36)</f>
        <v/>
      </c>
      <c r="F36" s="312" t="str">
        <f>IF(OR(TABLERO!Z36="",TABLERO!Z36=0),"",TABLERO!Z36)</f>
        <v/>
      </c>
      <c r="G36" s="312" t="str">
        <f>IF(OR(TABLERO!AA36="",TABLERO!AA36=0),"",TABLERO!AA36)</f>
        <v/>
      </c>
      <c r="H36" s="312" t="str">
        <f>IF(OR(TABLERO!AB36="",TABLERO!AB36=0),"",TABLERO!AB36)</f>
        <v/>
      </c>
      <c r="I36" s="312" t="str">
        <f>IF(OR(TABLERO!AC36="",TABLERO!AC36=0),"",TABLERO!AC36)</f>
        <v/>
      </c>
      <c r="J36" s="312" t="str">
        <f>IF(OR(TABLERO!AD36="",TABLERO!AD36=0),"",TABLERO!AD36)</f>
        <v/>
      </c>
      <c r="K36" s="312" t="str">
        <f>IF(OR(TABLERO!AE36="",TABLERO!AE36=0),"",TABLERO!AE36)</f>
        <v/>
      </c>
      <c r="L36" s="312" t="str">
        <f>IF(OR(TABLERO!AF36="",TABLERO!AF36=0),"",TABLERO!AF36)</f>
        <v/>
      </c>
      <c r="M36" s="312" t="str">
        <f>IF(OR(TABLERO!AG36="",TABLERO!AG36=0),"",TABLERO!AG36)</f>
        <v/>
      </c>
      <c r="N36" s="312" t="str">
        <f>IF(OR(TABLERO!AH36="",TABLERO!AH36=0),"",TABLERO!AH36)</f>
        <v/>
      </c>
      <c r="O36" s="312" t="str">
        <f>IF(OR(TABLERO!AI36="",TABLERO!AI36=0),"",TABLERO!AI36)</f>
        <v/>
      </c>
      <c r="P36" s="312" t="str">
        <f>IF(OR(TABLERO!AJ36="",TABLERO!AJ36=0),"",TABLERO!AJ36)</f>
        <v/>
      </c>
      <c r="Q36" s="312" t="str">
        <f>IF(OR(TABLERO!AK36="",TABLERO!AK36=0),"",TABLERO!AK36)</f>
        <v/>
      </c>
      <c r="R36" s="312" t="str">
        <f>IF(OR(TABLERO!AL36="",TABLERO!AL36=0),"",TABLERO!AL36)</f>
        <v/>
      </c>
      <c r="S36" s="312" t="str">
        <f>IF(OR(TABLERO!AM36="",TABLERO!AM36=0),"",TABLERO!AM36)</f>
        <v/>
      </c>
      <c r="T36" s="312" t="str">
        <f>IF(OR(TABLERO!AN36="",TABLERO!AN36=0),"",TABLERO!AN36)</f>
        <v/>
      </c>
      <c r="U36" s="312" t="str">
        <f>IF(OR(TABLERO!AO36="",TABLERO!AO36=0),"",TABLERO!AO36)</f>
        <v/>
      </c>
      <c r="V36" s="312" t="str">
        <f>IF(OR(TABLERO!AP36="",TABLERO!AP36=0),"",TABLERO!AP36)</f>
        <v/>
      </c>
      <c r="W36" s="312" t="str">
        <f>IF(OR(TABLERO!AQ36="",TABLERO!AQ36=0),"",TABLERO!AQ36)</f>
        <v/>
      </c>
      <c r="X36" s="312" t="str">
        <f>IF(OR(TABLERO!AR36="",TABLERO!AR36=0),"",TABLERO!AR36)</f>
        <v/>
      </c>
      <c r="Y36" s="312" t="str">
        <f>IF(OR(TABLERO!AS36="",TABLERO!AS36=0),"",TABLERO!AS36)</f>
        <v/>
      </c>
      <c r="Z36" s="312" t="str">
        <f>IF(OR(TABLERO!AT36="",TABLERO!AT36=0),"",TABLERO!AT36)</f>
        <v/>
      </c>
      <c r="AA36" s="312" t="str">
        <f>IF(OR(TABLERO!AU36="",TABLERO!AU36=0),"",TABLERO!AU36)</f>
        <v/>
      </c>
      <c r="AB36" s="312" t="str">
        <f>IF(OR(TABLERO!AV36="",TABLERO!AV36=0),"",TABLERO!AV36)</f>
        <v/>
      </c>
      <c r="AC36" s="312" t="str">
        <f>IF(OR(TABLERO!AW36="",TABLERO!AW36=0),"",TABLERO!AW36)</f>
        <v/>
      </c>
      <c r="AD36" s="312" t="str">
        <f>IF(OR(TABLERO!AX36="",TABLERO!AX36=0),"",TABLERO!AX36)</f>
        <v/>
      </c>
      <c r="AE36" s="312" t="str">
        <f>IF(OR(TABLERO!AY36="",TABLERO!AY36=0),"",TABLERO!AY36)</f>
        <v/>
      </c>
      <c r="AF36" s="312" t="str">
        <f>IF(OR(TABLERO!AZ36="",TABLERO!AZ36=0),"",TABLERO!AZ36)</f>
        <v/>
      </c>
      <c r="AG36" s="312" t="str">
        <f>IF(OR(TABLERO!BA36="",TABLERO!BA36=0),"",TABLERO!BA36)</f>
        <v/>
      </c>
      <c r="AH36" s="277" t="str">
        <f>IF(TABLERO!BB36=0,"",FIXED(IF(TABLERO!$F$17&lt;&gt;"KVA",TABLERO!BB36*1000,TABLERO!BB36*1000/TABLERO!DA36),2))</f>
        <v/>
      </c>
      <c r="AI36" s="277" t="str">
        <f>IF(TABLERO!BB36=0,"",FIXED(IF(TABLERO!$F$17&lt;&gt;"KVA",TABLERO!BT36*1000,TABLERO!BT36*1000/TABLERO!DA36),2))</f>
        <v/>
      </c>
      <c r="AJ36" s="272" t="str">
        <f>IF(OR(TABLERO!BU36="",TABLERO!BU36=0),"",FIXED(TABLERO!BU36,2))</f>
        <v/>
      </c>
      <c r="AK36" s="312" t="str">
        <f>IF(TABLERO!BB36=0,"",TABLERO!F36)</f>
        <v/>
      </c>
      <c r="AL36" s="312" t="str">
        <f>IF(TABLERO!BB36=0,"",TABLERO!G36)</f>
        <v/>
      </c>
      <c r="AM36" s="312" t="str">
        <f>IF(TABLERO!BB36=0,"",TABLERO!BV36)</f>
        <v/>
      </c>
      <c r="AN36" s="272" t="str">
        <f>IF(TABLERO!BB36=0,"",TABLERO!K36)</f>
        <v/>
      </c>
      <c r="AO36" s="312" t="str">
        <f>IF(TABLERO!BB36=0,"",TABLERO!J36)</f>
        <v/>
      </c>
      <c r="AP36" s="272" t="str">
        <f>IF(TABLERO!BB36=0,"",TABLERO!CT36)</f>
        <v/>
      </c>
      <c r="AQ36" s="272" t="str">
        <f>IF(TABLERO!BB36=0,"",TABLERO!CS36)</f>
        <v/>
      </c>
      <c r="AR36" s="272" t="str">
        <f>IF(OR(TABLERO!BB36=0,TABLERO!H36="RE"),"",FIXED(TABLERO!CY36,2))</f>
        <v/>
      </c>
      <c r="AS36" s="312" t="str">
        <f>IF(TABLERO!BB36=0,"",TABLERO!N36)</f>
        <v/>
      </c>
      <c r="AT36" s="1164" t="str">
        <f>IF(TABLERO!BB36=0,"",TABLERO!BX36&amp;" "&amp;TABLERO!ED36&amp;", "&amp;TABLERO!I36)</f>
        <v/>
      </c>
      <c r="AU36" s="1165"/>
      <c r="AV36" s="272" t="str">
        <f>IF(OR(TABLERO!BB36=0,TABLERO!H36="RE"),"",FIXED(TABLERO!BZ36,2))</f>
        <v/>
      </c>
      <c r="AW36" s="312" t="str">
        <f>IF(TABLERO!BB36=0,"",TABLERO!CA36)</f>
        <v/>
      </c>
      <c r="AX36" s="271" t="str">
        <f>IF(TABLERO!BB36=0,"",TABLERO!CB36)</f>
        <v/>
      </c>
      <c r="AY36" s="272" t="str">
        <f>IF(OR(TABLERO!BB36=0,TABLERO!H36="RE"),"",FIXED(TABLERO!DL36,2))</f>
        <v/>
      </c>
      <c r="AZ36" s="310" t="str">
        <f>IF(OR(TABLERO!BB36=0,TABLERO!H36="RE"),"",TABLERO!F36&amp;"P-"&amp;TABLERO!BW36&amp;"A")</f>
        <v/>
      </c>
      <c r="BA36" s="272" t="str">
        <f>IF(TABLERO!$BB36=0,"",IF(TABLERO!CI36="-","     -     ",FIXED(IF(TABLERO!$F$17&lt;&gt;"KVA",TABLERO!CI36,TABLERO!CI36/TABLERO!$F$14),2)))</f>
        <v/>
      </c>
      <c r="BB36" s="272" t="str">
        <f>IF(TABLERO!$BB36=0,"",IF(TABLERO!CJ36="-","     -     ",FIXED(IF(TABLERO!$F$17&lt;&gt;"KVA",TABLERO!CJ36,TABLERO!CJ36/TABLERO!$F$14),2)))</f>
        <v/>
      </c>
      <c r="BC36" s="272" t="str">
        <f>IF(TABLERO!$BB36=0,"",IF(TABLERO!CK36="-","     -     ",FIXED(IF(TABLERO!$F$17&lt;&gt;"KVA",TABLERO!CK36,TABLERO!CK36/TABLERO!$F$14),2)))</f>
        <v/>
      </c>
      <c r="BG36" s="275">
        <f>IF(TABLERO!B36="",0,TABLERO!B36)</f>
        <v>6</v>
      </c>
      <c r="BH36" s="275"/>
      <c r="BI36" s="275"/>
      <c r="BK36" s="275"/>
      <c r="BL36" s="289" t="str" cm="1">
        <f t="array" ref="BL36">[1]!ACAELE_LineaCAD(A36)</f>
        <v>++++++++++++++++++++++++++++++2</v>
      </c>
      <c r="BM36" s="279" t="str">
        <f t="shared" si="4"/>
        <v>6+</v>
      </c>
      <c r="BN36" s="304"/>
      <c r="BO36" s="304"/>
      <c r="BP36" s="304"/>
      <c r="BQ36" s="304"/>
      <c r="BR36" s="304"/>
      <c r="BS36" s="304"/>
      <c r="BT36" s="304"/>
      <c r="BU36" s="304"/>
      <c r="BV36" s="304"/>
      <c r="BW36" s="304"/>
      <c r="BX36" s="304"/>
      <c r="BY36" s="304"/>
      <c r="BZ36" s="304"/>
      <c r="CA36" s="304"/>
      <c r="CB36" s="304"/>
      <c r="CC36" s="304"/>
      <c r="CD36" s="304"/>
      <c r="CE36" s="304"/>
      <c r="CF36" s="304"/>
      <c r="CG36" s="304"/>
      <c r="CH36" s="304"/>
      <c r="CI36" s="304"/>
      <c r="CJ36" s="304"/>
      <c r="CK36" s="304"/>
      <c r="CL36" s="304"/>
      <c r="CM36" s="304"/>
      <c r="CN36" s="304"/>
      <c r="CO36" s="304"/>
      <c r="CP36" s="304"/>
      <c r="CQ36" s="304"/>
      <c r="CR36" s="305" t="str" cm="1">
        <f t="array" ref="CR36">CONCATENATE(BM36,_xlfn.TEXTJOIN("",TRUE,IF(BN$129:CQ$129&lt;&gt;"","+"&amp;D36:AG36,"")))</f>
        <v>6+</v>
      </c>
      <c r="CS36" s="279">
        <f t="shared" si="5"/>
        <v>30</v>
      </c>
      <c r="CT36" s="279" t="str">
        <f t="shared" si="3"/>
        <v>+++++++++++++++++++++++++++++++</v>
      </c>
      <c r="CU36" s="291" t="str">
        <f t="shared" si="7"/>
        <v>6++++++++++++++++++++++++++++++++2</v>
      </c>
      <c r="GB36" s="279" t="s">
        <v>1921</v>
      </c>
    </row>
    <row r="37" spans="1:184">
      <c r="A37" s="275">
        <f>IF(C37&lt;&gt;"",1,IF(AH37="",2,IF(OR(IF(TABLERO!B37="",0,TABLERO!B37)&gt;TABLERO!$M$19,IF(TABLERO!C37="",IF(TABLERO!B37="",0,TABLERO!B37),TABLERO!C37)&gt;TABLERO!$M$19,BI37&gt;TABLERO!$M$19,IF(TABLERO!B37="",0,TABLERO!B37)=0,IF(TABLERO!C37="",BG37,TABLERO!C37)=0,IF(TABLERO!D37="",BG37,TABLERO!D37)=0),2,1)))</f>
        <v>2</v>
      </c>
      <c r="B37" s="276" t="str">
        <f>TABLERO!B37&amp;IF(TABLERO!C37="","",","&amp;TABLERO!C37)&amp;IF(TABLERO!D37="","",","&amp;TABLERO!D37)</f>
        <v>7</v>
      </c>
      <c r="C37" s="269" t="str">
        <f>IF(TABLERO!E37=0,"",TABLERO!E37)</f>
        <v/>
      </c>
      <c r="D37" s="312" t="str">
        <f>IF(OR(TABLERO!X37="",TABLERO!X37=0),"",TABLERO!X37)</f>
        <v/>
      </c>
      <c r="E37" s="312" t="str">
        <f>IF(OR(TABLERO!Y37="",TABLERO!Y37=0),"",TABLERO!Y37)</f>
        <v/>
      </c>
      <c r="F37" s="312" t="str">
        <f>IF(OR(TABLERO!Z37="",TABLERO!Z37=0),"",TABLERO!Z37)</f>
        <v/>
      </c>
      <c r="G37" s="312" t="str">
        <f>IF(OR(TABLERO!AA37="",TABLERO!AA37=0),"",TABLERO!AA37)</f>
        <v/>
      </c>
      <c r="H37" s="312" t="str">
        <f>IF(OR(TABLERO!AB37="",TABLERO!AB37=0),"",TABLERO!AB37)</f>
        <v/>
      </c>
      <c r="I37" s="312" t="str">
        <f>IF(OR(TABLERO!AC37="",TABLERO!AC37=0),"",TABLERO!AC37)</f>
        <v/>
      </c>
      <c r="J37" s="312" t="str">
        <f>IF(OR(TABLERO!AD37="",TABLERO!AD37=0),"",TABLERO!AD37)</f>
        <v/>
      </c>
      <c r="K37" s="312" t="str">
        <f>IF(OR(TABLERO!AE37="",TABLERO!AE37=0),"",TABLERO!AE37)</f>
        <v/>
      </c>
      <c r="L37" s="312" t="str">
        <f>IF(OR(TABLERO!AF37="",TABLERO!AF37=0),"",TABLERO!AF37)</f>
        <v/>
      </c>
      <c r="M37" s="312" t="str">
        <f>IF(OR(TABLERO!AG37="",TABLERO!AG37=0),"",TABLERO!AG37)</f>
        <v/>
      </c>
      <c r="N37" s="312" t="str">
        <f>IF(OR(TABLERO!AH37="",TABLERO!AH37=0),"",TABLERO!AH37)</f>
        <v/>
      </c>
      <c r="O37" s="312" t="str">
        <f>IF(OR(TABLERO!AI37="",TABLERO!AI37=0),"",TABLERO!AI37)</f>
        <v/>
      </c>
      <c r="P37" s="312" t="str">
        <f>IF(OR(TABLERO!AJ37="",TABLERO!AJ37=0),"",TABLERO!AJ37)</f>
        <v/>
      </c>
      <c r="Q37" s="312" t="str">
        <f>IF(OR(TABLERO!AK37="",TABLERO!AK37=0),"",TABLERO!AK37)</f>
        <v/>
      </c>
      <c r="R37" s="312" t="str">
        <f>IF(OR(TABLERO!AL37="",TABLERO!AL37=0),"",TABLERO!AL37)</f>
        <v/>
      </c>
      <c r="S37" s="312" t="str">
        <f>IF(OR(TABLERO!AM37="",TABLERO!AM37=0),"",TABLERO!AM37)</f>
        <v/>
      </c>
      <c r="T37" s="312" t="str">
        <f>IF(OR(TABLERO!AN37="",TABLERO!AN37=0),"",TABLERO!AN37)</f>
        <v/>
      </c>
      <c r="U37" s="312" t="str">
        <f>IF(OR(TABLERO!AO37="",TABLERO!AO37=0),"",TABLERO!AO37)</f>
        <v/>
      </c>
      <c r="V37" s="312" t="str">
        <f>IF(OR(TABLERO!AP37="",TABLERO!AP37=0),"",TABLERO!AP37)</f>
        <v/>
      </c>
      <c r="W37" s="312" t="str">
        <f>IF(OR(TABLERO!AQ37="",TABLERO!AQ37=0),"",TABLERO!AQ37)</f>
        <v/>
      </c>
      <c r="X37" s="312" t="str">
        <f>IF(OR(TABLERO!AR37="",TABLERO!AR37=0),"",TABLERO!AR37)</f>
        <v/>
      </c>
      <c r="Y37" s="312" t="str">
        <f>IF(OR(TABLERO!AS37="",TABLERO!AS37=0),"",TABLERO!AS37)</f>
        <v/>
      </c>
      <c r="Z37" s="312" t="str">
        <f>IF(OR(TABLERO!AT37="",TABLERO!AT37=0),"",TABLERO!AT37)</f>
        <v/>
      </c>
      <c r="AA37" s="312" t="str">
        <f>IF(OR(TABLERO!AU37="",TABLERO!AU37=0),"",TABLERO!AU37)</f>
        <v/>
      </c>
      <c r="AB37" s="312" t="str">
        <f>IF(OR(TABLERO!AV37="",TABLERO!AV37=0),"",TABLERO!AV37)</f>
        <v/>
      </c>
      <c r="AC37" s="312" t="str">
        <f>IF(OR(TABLERO!AW37="",TABLERO!AW37=0),"",TABLERO!AW37)</f>
        <v/>
      </c>
      <c r="AD37" s="312" t="str">
        <f>IF(OR(TABLERO!AX37="",TABLERO!AX37=0),"",TABLERO!AX37)</f>
        <v/>
      </c>
      <c r="AE37" s="312" t="str">
        <f>IF(OR(TABLERO!AY37="",TABLERO!AY37=0),"",TABLERO!AY37)</f>
        <v/>
      </c>
      <c r="AF37" s="312" t="str">
        <f>IF(OR(TABLERO!AZ37="",TABLERO!AZ37=0),"",TABLERO!AZ37)</f>
        <v/>
      </c>
      <c r="AG37" s="312" t="str">
        <f>IF(OR(TABLERO!BA37="",TABLERO!BA37=0),"",TABLERO!BA37)</f>
        <v/>
      </c>
      <c r="AH37" s="277" t="str">
        <f>IF(TABLERO!BB37=0,"",FIXED(IF(TABLERO!$F$17&lt;&gt;"KVA",TABLERO!BB37*1000,TABLERO!BB37*1000/TABLERO!DA37),2))</f>
        <v/>
      </c>
      <c r="AI37" s="277" t="str">
        <f>IF(TABLERO!BB37=0,"",FIXED(IF(TABLERO!$F$17&lt;&gt;"KVA",TABLERO!BT37*1000,TABLERO!BT37*1000/TABLERO!DA37),2))</f>
        <v/>
      </c>
      <c r="AJ37" s="272" t="str">
        <f>IF(OR(TABLERO!BU37="",TABLERO!BU37=0),"",FIXED(TABLERO!BU37,2))</f>
        <v/>
      </c>
      <c r="AK37" s="312" t="str">
        <f>IF(TABLERO!BB37=0,"",TABLERO!F37)</f>
        <v/>
      </c>
      <c r="AL37" s="312" t="str">
        <f>IF(TABLERO!BB37=0,"",TABLERO!G37)</f>
        <v/>
      </c>
      <c r="AM37" s="312" t="str">
        <f>IF(TABLERO!BB37=0,"",TABLERO!BV37)</f>
        <v/>
      </c>
      <c r="AN37" s="272" t="str">
        <f>IF(TABLERO!BB37=0,"",TABLERO!K37)</f>
        <v/>
      </c>
      <c r="AO37" s="312" t="str">
        <f>IF(TABLERO!BB37=0,"",TABLERO!J37)</f>
        <v/>
      </c>
      <c r="AP37" s="272" t="str">
        <f>IF(TABLERO!BB37=0,"",TABLERO!CT37)</f>
        <v/>
      </c>
      <c r="AQ37" s="272" t="str">
        <f>IF(TABLERO!BB37=0,"",TABLERO!CS37)</f>
        <v/>
      </c>
      <c r="AR37" s="272" t="str">
        <f>IF(OR(TABLERO!BB37=0,TABLERO!H37="RE"),"",FIXED(TABLERO!CY37,2))</f>
        <v/>
      </c>
      <c r="AS37" s="312" t="str">
        <f>IF(TABLERO!BB37=0,"",TABLERO!N37)</f>
        <v/>
      </c>
      <c r="AT37" s="1164" t="str">
        <f>IF(TABLERO!BB37=0,"",TABLERO!BX37&amp;" "&amp;TABLERO!ED37&amp;", "&amp;TABLERO!I37)</f>
        <v/>
      </c>
      <c r="AU37" s="1165"/>
      <c r="AV37" s="272" t="str">
        <f>IF(OR(TABLERO!BB37=0,TABLERO!H37="RE"),"",FIXED(TABLERO!BZ37,2))</f>
        <v/>
      </c>
      <c r="AW37" s="312" t="str">
        <f>IF(TABLERO!BB37=0,"",TABLERO!CA37)</f>
        <v/>
      </c>
      <c r="AX37" s="271" t="str">
        <f>IF(TABLERO!BB37=0,"",TABLERO!CB37)</f>
        <v/>
      </c>
      <c r="AY37" s="272" t="str">
        <f>IF(OR(TABLERO!BB37=0,TABLERO!H37="RE"),"",FIXED(TABLERO!DL37,2))</f>
        <v/>
      </c>
      <c r="AZ37" s="310" t="str">
        <f>IF(OR(TABLERO!BB37=0,TABLERO!H37="RE"),"",TABLERO!F37&amp;"P-"&amp;TABLERO!BW37&amp;"A")</f>
        <v/>
      </c>
      <c r="BA37" s="272" t="str">
        <f>IF(TABLERO!$BB37=0,"",IF(TABLERO!CI37="-","     -     ",FIXED(IF(TABLERO!$F$17&lt;&gt;"KVA",TABLERO!CI37,TABLERO!CI37/TABLERO!$F$14),2)))</f>
        <v/>
      </c>
      <c r="BB37" s="272" t="str">
        <f>IF(TABLERO!$BB37=0,"",IF(TABLERO!CJ37="-","     -     ",FIXED(IF(TABLERO!$F$17&lt;&gt;"KVA",TABLERO!CJ37,TABLERO!CJ37/TABLERO!$F$14),2)))</f>
        <v/>
      </c>
      <c r="BC37" s="272" t="str">
        <f>IF(TABLERO!$BB37=0,"",IF(TABLERO!CK37="-","     -     ",FIXED(IF(TABLERO!$F$17&lt;&gt;"KVA",TABLERO!CK37,TABLERO!CK37/TABLERO!$F$14),2)))</f>
        <v/>
      </c>
      <c r="BG37" s="275">
        <f>IF(TABLERO!B37="",0,TABLERO!B37)</f>
        <v>7</v>
      </c>
      <c r="BH37" s="275"/>
      <c r="BI37" s="275"/>
      <c r="BK37" s="275"/>
      <c r="BL37" s="289" t="str" cm="1">
        <f t="array" ref="BL37">[1]!ACAELE_LineaCAD(A37)</f>
        <v>++++++++++++++++++++++++++++++2</v>
      </c>
      <c r="BM37" s="279" t="str">
        <f t="shared" si="4"/>
        <v>7+</v>
      </c>
      <c r="BN37" s="304"/>
      <c r="BO37" s="304"/>
      <c r="BP37" s="304"/>
      <c r="BQ37" s="304"/>
      <c r="BR37" s="304"/>
      <c r="BS37" s="304"/>
      <c r="BT37" s="304"/>
      <c r="BU37" s="304"/>
      <c r="BV37" s="304"/>
      <c r="BW37" s="304"/>
      <c r="BX37" s="304"/>
      <c r="BY37" s="304"/>
      <c r="BZ37" s="304"/>
      <c r="CA37" s="304"/>
      <c r="CB37" s="304"/>
      <c r="CC37" s="304"/>
      <c r="CD37" s="304"/>
      <c r="CE37" s="304"/>
      <c r="CF37" s="304"/>
      <c r="CG37" s="304"/>
      <c r="CH37" s="304"/>
      <c r="CI37" s="304"/>
      <c r="CJ37" s="304"/>
      <c r="CK37" s="304"/>
      <c r="CL37" s="304"/>
      <c r="CM37" s="304"/>
      <c r="CN37" s="304"/>
      <c r="CO37" s="304"/>
      <c r="CP37" s="304"/>
      <c r="CQ37" s="304"/>
      <c r="CR37" s="305" t="str" cm="1">
        <f t="array" ref="CR37">CONCATENATE(BM37,_xlfn.TEXTJOIN("",TRUE,IF(BN$129:CQ$129&lt;&gt;"","+"&amp;D37:AG37,"")))</f>
        <v>7+</v>
      </c>
      <c r="CS37" s="279">
        <f t="shared" si="5"/>
        <v>30</v>
      </c>
      <c r="CT37" s="279" t="str">
        <f t="shared" si="3"/>
        <v>+++++++++++++++++++++++++++++++</v>
      </c>
      <c r="CU37" s="291" t="str">
        <f t="shared" si="7"/>
        <v>7++++++++++++++++++++++++++++++++2</v>
      </c>
      <c r="GB37" s="279" t="s">
        <v>1922</v>
      </c>
    </row>
    <row r="38" spans="1:184">
      <c r="A38" s="275">
        <f>IF(C38&lt;&gt;"",1,IF(AH38="",2,IF(OR(IF(TABLERO!B38="",0,TABLERO!B38)&gt;TABLERO!$M$19,IF(TABLERO!C38="",IF(TABLERO!B38="",0,TABLERO!B38),TABLERO!C38)&gt;TABLERO!$M$19,BI38&gt;TABLERO!$M$19,IF(TABLERO!B38="",0,TABLERO!B38)=0,IF(TABLERO!C38="",BG38,TABLERO!C38)=0,IF(TABLERO!D38="",BG38,TABLERO!D38)=0),2,1)))</f>
        <v>2</v>
      </c>
      <c r="B38" s="276" t="str">
        <f>TABLERO!B38&amp;IF(TABLERO!C38="","",","&amp;TABLERO!C38)&amp;IF(TABLERO!D38="","",","&amp;TABLERO!D38)</f>
        <v>8</v>
      </c>
      <c r="C38" s="269" t="str">
        <f>IF(TABLERO!E38=0,"",TABLERO!E38)</f>
        <v/>
      </c>
      <c r="D38" s="312" t="str">
        <f>IF(OR(TABLERO!X38="",TABLERO!X38=0),"",TABLERO!X38)</f>
        <v/>
      </c>
      <c r="E38" s="312" t="str">
        <f>IF(OR(TABLERO!Y38="",TABLERO!Y38=0),"",TABLERO!Y38)</f>
        <v/>
      </c>
      <c r="F38" s="312" t="str">
        <f>IF(OR(TABLERO!Z38="",TABLERO!Z38=0),"",TABLERO!Z38)</f>
        <v/>
      </c>
      <c r="G38" s="312" t="str">
        <f>IF(OR(TABLERO!AA38="",TABLERO!AA38=0),"",TABLERO!AA38)</f>
        <v/>
      </c>
      <c r="H38" s="312" t="str">
        <f>IF(OR(TABLERO!AB38="",TABLERO!AB38=0),"",TABLERO!AB38)</f>
        <v/>
      </c>
      <c r="I38" s="312" t="str">
        <f>IF(OR(TABLERO!AC38="",TABLERO!AC38=0),"",TABLERO!AC38)</f>
        <v/>
      </c>
      <c r="J38" s="312" t="str">
        <f>IF(OR(TABLERO!AD38="",TABLERO!AD38=0),"",TABLERO!AD38)</f>
        <v/>
      </c>
      <c r="K38" s="312" t="str">
        <f>IF(OR(TABLERO!AE38="",TABLERO!AE38=0),"",TABLERO!AE38)</f>
        <v/>
      </c>
      <c r="L38" s="312" t="str">
        <f>IF(OR(TABLERO!AF38="",TABLERO!AF38=0),"",TABLERO!AF38)</f>
        <v/>
      </c>
      <c r="M38" s="312" t="str">
        <f>IF(OR(TABLERO!AG38="",TABLERO!AG38=0),"",TABLERO!AG38)</f>
        <v/>
      </c>
      <c r="N38" s="312" t="str">
        <f>IF(OR(TABLERO!AH38="",TABLERO!AH38=0),"",TABLERO!AH38)</f>
        <v/>
      </c>
      <c r="O38" s="312" t="str">
        <f>IF(OR(TABLERO!AI38="",TABLERO!AI38=0),"",TABLERO!AI38)</f>
        <v/>
      </c>
      <c r="P38" s="312" t="str">
        <f>IF(OR(TABLERO!AJ38="",TABLERO!AJ38=0),"",TABLERO!AJ38)</f>
        <v/>
      </c>
      <c r="Q38" s="312" t="str">
        <f>IF(OR(TABLERO!AK38="",TABLERO!AK38=0),"",TABLERO!AK38)</f>
        <v/>
      </c>
      <c r="R38" s="312" t="str">
        <f>IF(OR(TABLERO!AL38="",TABLERO!AL38=0),"",TABLERO!AL38)</f>
        <v/>
      </c>
      <c r="S38" s="312" t="str">
        <f>IF(OR(TABLERO!AM38="",TABLERO!AM38=0),"",TABLERO!AM38)</f>
        <v/>
      </c>
      <c r="T38" s="312" t="str">
        <f>IF(OR(TABLERO!AN38="",TABLERO!AN38=0),"",TABLERO!AN38)</f>
        <v/>
      </c>
      <c r="U38" s="312" t="str">
        <f>IF(OR(TABLERO!AO38="",TABLERO!AO38=0),"",TABLERO!AO38)</f>
        <v/>
      </c>
      <c r="V38" s="312" t="str">
        <f>IF(OR(TABLERO!AP38="",TABLERO!AP38=0),"",TABLERO!AP38)</f>
        <v/>
      </c>
      <c r="W38" s="312" t="str">
        <f>IF(OR(TABLERO!AQ38="",TABLERO!AQ38=0),"",TABLERO!AQ38)</f>
        <v/>
      </c>
      <c r="X38" s="312" t="str">
        <f>IF(OR(TABLERO!AR38="",TABLERO!AR38=0),"",TABLERO!AR38)</f>
        <v/>
      </c>
      <c r="Y38" s="312" t="str">
        <f>IF(OR(TABLERO!AS38="",TABLERO!AS38=0),"",TABLERO!AS38)</f>
        <v/>
      </c>
      <c r="Z38" s="312" t="str">
        <f>IF(OR(TABLERO!AT38="",TABLERO!AT38=0),"",TABLERO!AT38)</f>
        <v/>
      </c>
      <c r="AA38" s="312" t="str">
        <f>IF(OR(TABLERO!AU38="",TABLERO!AU38=0),"",TABLERO!AU38)</f>
        <v/>
      </c>
      <c r="AB38" s="312" t="str">
        <f>IF(OR(TABLERO!AV38="",TABLERO!AV38=0),"",TABLERO!AV38)</f>
        <v/>
      </c>
      <c r="AC38" s="312" t="str">
        <f>IF(OR(TABLERO!AW38="",TABLERO!AW38=0),"",TABLERO!AW38)</f>
        <v/>
      </c>
      <c r="AD38" s="312" t="str">
        <f>IF(OR(TABLERO!AX38="",TABLERO!AX38=0),"",TABLERO!AX38)</f>
        <v/>
      </c>
      <c r="AE38" s="312" t="str">
        <f>IF(OR(TABLERO!AY38="",TABLERO!AY38=0),"",TABLERO!AY38)</f>
        <v/>
      </c>
      <c r="AF38" s="312" t="str">
        <f>IF(OR(TABLERO!AZ38="",TABLERO!AZ38=0),"",TABLERO!AZ38)</f>
        <v/>
      </c>
      <c r="AG38" s="312" t="str">
        <f>IF(OR(TABLERO!BA38="",TABLERO!BA38=0),"",TABLERO!BA38)</f>
        <v/>
      </c>
      <c r="AH38" s="277" t="str">
        <f>IF(TABLERO!BB38=0,"",FIXED(IF(TABLERO!$F$17&lt;&gt;"KVA",TABLERO!BB38*1000,TABLERO!BB38*1000/TABLERO!DA38),2))</f>
        <v/>
      </c>
      <c r="AI38" s="277" t="str">
        <f>IF(TABLERO!BB38=0,"",FIXED(IF(TABLERO!$F$17&lt;&gt;"KVA",TABLERO!BT38*1000,TABLERO!BT38*1000/TABLERO!DA38),2))</f>
        <v/>
      </c>
      <c r="AJ38" s="272" t="str">
        <f>IF(OR(TABLERO!BU38="",TABLERO!BU38=0),"",FIXED(TABLERO!BU38,2))</f>
        <v/>
      </c>
      <c r="AK38" s="312" t="str">
        <f>IF(TABLERO!BB38=0,"",TABLERO!F38)</f>
        <v/>
      </c>
      <c r="AL38" s="312" t="str">
        <f>IF(TABLERO!BB38=0,"",TABLERO!G38)</f>
        <v/>
      </c>
      <c r="AM38" s="312" t="str">
        <f>IF(TABLERO!BB38=0,"",TABLERO!BV38)</f>
        <v/>
      </c>
      <c r="AN38" s="272" t="str">
        <f>IF(TABLERO!BB38=0,"",TABLERO!K38)</f>
        <v/>
      </c>
      <c r="AO38" s="312" t="str">
        <f>IF(TABLERO!BB38=0,"",TABLERO!J38)</f>
        <v/>
      </c>
      <c r="AP38" s="272" t="str">
        <f>IF(TABLERO!BB38=0,"",TABLERO!CT38)</f>
        <v/>
      </c>
      <c r="AQ38" s="272" t="str">
        <f>IF(TABLERO!BB38=0,"",TABLERO!CS38)</f>
        <v/>
      </c>
      <c r="AR38" s="272" t="str">
        <f>IF(OR(TABLERO!BB38=0,TABLERO!H38="RE"),"",FIXED(TABLERO!CY38,2))</f>
        <v/>
      </c>
      <c r="AS38" s="312" t="str">
        <f>IF(TABLERO!BB38=0,"",TABLERO!N38)</f>
        <v/>
      </c>
      <c r="AT38" s="1164" t="str">
        <f>IF(TABLERO!BB38=0,"",TABLERO!BX38&amp;" "&amp;TABLERO!ED38&amp;", "&amp;TABLERO!I38)</f>
        <v/>
      </c>
      <c r="AU38" s="1165"/>
      <c r="AV38" s="272" t="str">
        <f>IF(OR(TABLERO!BB38=0,TABLERO!H38="RE"),"",FIXED(TABLERO!BZ38,2))</f>
        <v/>
      </c>
      <c r="AW38" s="312" t="str">
        <f>IF(TABLERO!BB38=0,"",TABLERO!CA38)</f>
        <v/>
      </c>
      <c r="AX38" s="271" t="str">
        <f>IF(TABLERO!BB38=0,"",TABLERO!CB38)</f>
        <v/>
      </c>
      <c r="AY38" s="272" t="str">
        <f>IF(OR(TABLERO!BB38=0,TABLERO!H38="RE"),"",FIXED(TABLERO!DL38,2))</f>
        <v/>
      </c>
      <c r="AZ38" s="310" t="str">
        <f>IF(OR(TABLERO!BB38=0,TABLERO!H38="RE"),"",TABLERO!F38&amp;"P-"&amp;TABLERO!BW38&amp;"A")</f>
        <v/>
      </c>
      <c r="BA38" s="272" t="str">
        <f>IF(TABLERO!$BB38=0,"",IF(TABLERO!CI38="-","     -     ",FIXED(IF(TABLERO!$F$17&lt;&gt;"KVA",TABLERO!CI38,TABLERO!CI38/TABLERO!$F$14),2)))</f>
        <v/>
      </c>
      <c r="BB38" s="272" t="str">
        <f>IF(TABLERO!$BB38=0,"",IF(TABLERO!CJ38="-","     -     ",FIXED(IF(TABLERO!$F$17&lt;&gt;"KVA",TABLERO!CJ38,TABLERO!CJ38/TABLERO!$F$14),2)))</f>
        <v/>
      </c>
      <c r="BC38" s="272" t="str">
        <f>IF(TABLERO!$BB38=0,"",IF(TABLERO!CK38="-","     -     ",FIXED(IF(TABLERO!$F$17&lt;&gt;"KVA",TABLERO!CK38,TABLERO!CK38/TABLERO!$F$14),2)))</f>
        <v/>
      </c>
      <c r="BG38" s="275">
        <f>IF(TABLERO!B38="",0,TABLERO!B38)</f>
        <v>8</v>
      </c>
      <c r="BH38" s="275"/>
      <c r="BI38" s="275"/>
      <c r="BK38" s="275"/>
      <c r="BL38" s="289" t="str" cm="1">
        <f t="array" ref="BL38">[1]!ACAELE_LineaCAD(A38)</f>
        <v>++++++++++++++++++++++++++++++2</v>
      </c>
      <c r="BM38" s="279" t="str">
        <f t="shared" si="4"/>
        <v>8+</v>
      </c>
      <c r="BN38" s="304"/>
      <c r="BO38" s="304"/>
      <c r="BP38" s="304"/>
      <c r="BQ38" s="304"/>
      <c r="BR38" s="304"/>
      <c r="BS38" s="304"/>
      <c r="BT38" s="304"/>
      <c r="BU38" s="304"/>
      <c r="BV38" s="304"/>
      <c r="BW38" s="304"/>
      <c r="BX38" s="304"/>
      <c r="BY38" s="304"/>
      <c r="BZ38" s="304"/>
      <c r="CA38" s="304"/>
      <c r="CB38" s="304"/>
      <c r="CC38" s="304"/>
      <c r="CD38" s="304"/>
      <c r="CE38" s="304"/>
      <c r="CF38" s="304"/>
      <c r="CG38" s="304"/>
      <c r="CH38" s="304"/>
      <c r="CI38" s="304"/>
      <c r="CJ38" s="304"/>
      <c r="CK38" s="304"/>
      <c r="CL38" s="304"/>
      <c r="CM38" s="304"/>
      <c r="CN38" s="304"/>
      <c r="CO38" s="304"/>
      <c r="CP38" s="304"/>
      <c r="CQ38" s="304"/>
      <c r="CR38" s="305" t="str" cm="1">
        <f t="array" ref="CR38">CONCATENATE(BM38,_xlfn.TEXTJOIN("",TRUE,IF(BN$129:CQ$129&lt;&gt;"","+"&amp;D38:AG38,"")))</f>
        <v>8+</v>
      </c>
      <c r="CS38" s="279">
        <f t="shared" si="5"/>
        <v>30</v>
      </c>
      <c r="CT38" s="279" t="str">
        <f t="shared" si="3"/>
        <v>+++++++++++++++++++++++++++++++</v>
      </c>
      <c r="CU38" s="291" t="str">
        <f t="shared" si="7"/>
        <v>8++++++++++++++++++++++++++++++++2</v>
      </c>
      <c r="GB38" s="279" t="s">
        <v>1923</v>
      </c>
    </row>
    <row r="39" spans="1:184">
      <c r="A39" s="275">
        <f>IF(C39&lt;&gt;"",1,IF(AH39="",2,IF(OR(IF(TABLERO!B39="",0,TABLERO!B39)&gt;TABLERO!$M$19,IF(TABLERO!C39="",IF(TABLERO!B39="",0,TABLERO!B39),TABLERO!C39)&gt;TABLERO!$M$19,BI39&gt;TABLERO!$M$19,IF(TABLERO!B39="",0,TABLERO!B39)=0,IF(TABLERO!C39="",BG39,TABLERO!C39)=0,IF(TABLERO!D39="",BG39,TABLERO!D39)=0),2,1)))</f>
        <v>2</v>
      </c>
      <c r="B39" s="276" t="str">
        <f>TABLERO!B39&amp;IF(TABLERO!C39="","",","&amp;TABLERO!C39)&amp;IF(TABLERO!D39="","",","&amp;TABLERO!D39)</f>
        <v>9</v>
      </c>
      <c r="C39" s="269" t="str">
        <f>IF(TABLERO!E39=0,"",TABLERO!E39)</f>
        <v/>
      </c>
      <c r="D39" s="312" t="str">
        <f>IF(OR(TABLERO!X39="",TABLERO!X39=0),"",TABLERO!X39)</f>
        <v/>
      </c>
      <c r="E39" s="312" t="str">
        <f>IF(OR(TABLERO!Y39="",TABLERO!Y39=0),"",TABLERO!Y39)</f>
        <v/>
      </c>
      <c r="F39" s="312" t="str">
        <f>IF(OR(TABLERO!Z39="",TABLERO!Z39=0),"",TABLERO!Z39)</f>
        <v/>
      </c>
      <c r="G39" s="312" t="str">
        <f>IF(OR(TABLERO!AA39="",TABLERO!AA39=0),"",TABLERO!AA39)</f>
        <v/>
      </c>
      <c r="H39" s="312" t="str">
        <f>IF(OR(TABLERO!AB39="",TABLERO!AB39=0),"",TABLERO!AB39)</f>
        <v/>
      </c>
      <c r="I39" s="312" t="str">
        <f>IF(OR(TABLERO!AC39="",TABLERO!AC39=0),"",TABLERO!AC39)</f>
        <v/>
      </c>
      <c r="J39" s="312" t="str">
        <f>IF(OR(TABLERO!AD39="",TABLERO!AD39=0),"",TABLERO!AD39)</f>
        <v/>
      </c>
      <c r="K39" s="312" t="str">
        <f>IF(OR(TABLERO!AE39="",TABLERO!AE39=0),"",TABLERO!AE39)</f>
        <v/>
      </c>
      <c r="L39" s="312" t="str">
        <f>IF(OR(TABLERO!AF39="",TABLERO!AF39=0),"",TABLERO!AF39)</f>
        <v/>
      </c>
      <c r="M39" s="312" t="str">
        <f>IF(OR(TABLERO!AG39="",TABLERO!AG39=0),"",TABLERO!AG39)</f>
        <v/>
      </c>
      <c r="N39" s="312" t="str">
        <f>IF(OR(TABLERO!AH39="",TABLERO!AH39=0),"",TABLERO!AH39)</f>
        <v/>
      </c>
      <c r="O39" s="312" t="str">
        <f>IF(OR(TABLERO!AI39="",TABLERO!AI39=0),"",TABLERO!AI39)</f>
        <v/>
      </c>
      <c r="P39" s="312" t="str">
        <f>IF(OR(TABLERO!AJ39="",TABLERO!AJ39=0),"",TABLERO!AJ39)</f>
        <v/>
      </c>
      <c r="Q39" s="312" t="str">
        <f>IF(OR(TABLERO!AK39="",TABLERO!AK39=0),"",TABLERO!AK39)</f>
        <v/>
      </c>
      <c r="R39" s="312" t="str">
        <f>IF(OR(TABLERO!AL39="",TABLERO!AL39=0),"",TABLERO!AL39)</f>
        <v/>
      </c>
      <c r="S39" s="312" t="str">
        <f>IF(OR(TABLERO!AM39="",TABLERO!AM39=0),"",TABLERO!AM39)</f>
        <v/>
      </c>
      <c r="T39" s="312" t="str">
        <f>IF(OR(TABLERO!AN39="",TABLERO!AN39=0),"",TABLERO!AN39)</f>
        <v/>
      </c>
      <c r="U39" s="312" t="str">
        <f>IF(OR(TABLERO!AO39="",TABLERO!AO39=0),"",TABLERO!AO39)</f>
        <v/>
      </c>
      <c r="V39" s="312" t="str">
        <f>IF(OR(TABLERO!AP39="",TABLERO!AP39=0),"",TABLERO!AP39)</f>
        <v/>
      </c>
      <c r="W39" s="312" t="str">
        <f>IF(OR(TABLERO!AQ39="",TABLERO!AQ39=0),"",TABLERO!AQ39)</f>
        <v/>
      </c>
      <c r="X39" s="312" t="str">
        <f>IF(OR(TABLERO!AR39="",TABLERO!AR39=0),"",TABLERO!AR39)</f>
        <v/>
      </c>
      <c r="Y39" s="312" t="str">
        <f>IF(OR(TABLERO!AS39="",TABLERO!AS39=0),"",TABLERO!AS39)</f>
        <v/>
      </c>
      <c r="Z39" s="312" t="str">
        <f>IF(OR(TABLERO!AT39="",TABLERO!AT39=0),"",TABLERO!AT39)</f>
        <v/>
      </c>
      <c r="AA39" s="312" t="str">
        <f>IF(OR(TABLERO!AU39="",TABLERO!AU39=0),"",TABLERO!AU39)</f>
        <v/>
      </c>
      <c r="AB39" s="312" t="str">
        <f>IF(OR(TABLERO!AV39="",TABLERO!AV39=0),"",TABLERO!AV39)</f>
        <v/>
      </c>
      <c r="AC39" s="312" t="str">
        <f>IF(OR(TABLERO!AW39="",TABLERO!AW39=0),"",TABLERO!AW39)</f>
        <v/>
      </c>
      <c r="AD39" s="312" t="str">
        <f>IF(OR(TABLERO!AX39="",TABLERO!AX39=0),"",TABLERO!AX39)</f>
        <v/>
      </c>
      <c r="AE39" s="312" t="str">
        <f>IF(OR(TABLERO!AY39="",TABLERO!AY39=0),"",TABLERO!AY39)</f>
        <v/>
      </c>
      <c r="AF39" s="312" t="str">
        <f>IF(OR(TABLERO!AZ39="",TABLERO!AZ39=0),"",TABLERO!AZ39)</f>
        <v/>
      </c>
      <c r="AG39" s="312" t="str">
        <f>IF(OR(TABLERO!BA39="",TABLERO!BA39=0),"",TABLERO!BA39)</f>
        <v/>
      </c>
      <c r="AH39" s="277" t="str">
        <f>IF(TABLERO!BB39=0,"",FIXED(IF(TABLERO!$F$17&lt;&gt;"KVA",TABLERO!BB39*1000,TABLERO!BB39*1000/TABLERO!DA39),2))</f>
        <v/>
      </c>
      <c r="AI39" s="277" t="str">
        <f>IF(TABLERO!BB39=0,"",FIXED(IF(TABLERO!$F$17&lt;&gt;"KVA",TABLERO!BT39*1000,TABLERO!BT39*1000/TABLERO!DA39),2))</f>
        <v/>
      </c>
      <c r="AJ39" s="272" t="str">
        <f>IF(OR(TABLERO!BU39="",TABLERO!BU39=0),"",FIXED(TABLERO!BU39,2))</f>
        <v/>
      </c>
      <c r="AK39" s="312" t="str">
        <f>IF(TABLERO!BB39=0,"",TABLERO!F39)</f>
        <v/>
      </c>
      <c r="AL39" s="312" t="str">
        <f>IF(TABLERO!BB39=0,"",TABLERO!G39)</f>
        <v/>
      </c>
      <c r="AM39" s="312" t="str">
        <f>IF(TABLERO!BB39=0,"",TABLERO!BV39)</f>
        <v/>
      </c>
      <c r="AN39" s="272" t="str">
        <f>IF(TABLERO!BB39=0,"",TABLERO!K39)</f>
        <v/>
      </c>
      <c r="AO39" s="312" t="str">
        <f>IF(TABLERO!BB39=0,"",TABLERO!J39)</f>
        <v/>
      </c>
      <c r="AP39" s="272" t="str">
        <f>IF(TABLERO!BB39=0,"",TABLERO!CT39)</f>
        <v/>
      </c>
      <c r="AQ39" s="272" t="str">
        <f>IF(TABLERO!BB39=0,"",TABLERO!CS39)</f>
        <v/>
      </c>
      <c r="AR39" s="272" t="str">
        <f>IF(OR(TABLERO!BB39=0,TABLERO!H39="RE"),"",FIXED(TABLERO!CY39,2))</f>
        <v/>
      </c>
      <c r="AS39" s="312" t="str">
        <f>IF(TABLERO!BB39=0,"",TABLERO!N39)</f>
        <v/>
      </c>
      <c r="AT39" s="1164" t="str">
        <f>IF(TABLERO!BB39=0,"",TABLERO!BX39&amp;" "&amp;TABLERO!ED39&amp;", "&amp;TABLERO!I39)</f>
        <v/>
      </c>
      <c r="AU39" s="1165"/>
      <c r="AV39" s="272" t="str">
        <f>IF(OR(TABLERO!BB39=0,TABLERO!H39="RE"),"",FIXED(TABLERO!BZ39,2))</f>
        <v/>
      </c>
      <c r="AW39" s="312" t="str">
        <f>IF(TABLERO!BB39=0,"",TABLERO!CA39)</f>
        <v/>
      </c>
      <c r="AX39" s="271" t="str">
        <f>IF(TABLERO!BB39=0,"",TABLERO!CB39)</f>
        <v/>
      </c>
      <c r="AY39" s="272" t="str">
        <f>IF(OR(TABLERO!BB39=0,TABLERO!H39="RE"),"",FIXED(TABLERO!DL39,2))</f>
        <v/>
      </c>
      <c r="AZ39" s="310" t="str">
        <f>IF(OR(TABLERO!BB39=0,TABLERO!H39="RE"),"",TABLERO!F39&amp;"P-"&amp;TABLERO!BW39&amp;"A")</f>
        <v/>
      </c>
      <c r="BA39" s="272" t="str">
        <f>IF(TABLERO!$BB39=0,"",IF(TABLERO!CI39="-","     -     ",FIXED(IF(TABLERO!$F$17&lt;&gt;"KVA",TABLERO!CI39,TABLERO!CI39/TABLERO!$F$14),2)))</f>
        <v/>
      </c>
      <c r="BB39" s="272" t="str">
        <f>IF(TABLERO!$BB39=0,"",IF(TABLERO!CJ39="-","     -     ",FIXED(IF(TABLERO!$F$17&lt;&gt;"KVA",TABLERO!CJ39,TABLERO!CJ39/TABLERO!$F$14),2)))</f>
        <v/>
      </c>
      <c r="BC39" s="272" t="str">
        <f>IF(TABLERO!$BB39=0,"",IF(TABLERO!CK39="-","     -     ",FIXED(IF(TABLERO!$F$17&lt;&gt;"KVA",TABLERO!CK39,TABLERO!CK39/TABLERO!$F$14),2)))</f>
        <v/>
      </c>
      <c r="BG39" s="275">
        <f>IF(TABLERO!B39="",0,TABLERO!B39)</f>
        <v>9</v>
      </c>
      <c r="BH39" s="275"/>
      <c r="BI39" s="275"/>
      <c r="BK39" s="275"/>
      <c r="BL39" s="289" t="str" cm="1">
        <f t="array" ref="BL39">[1]!ACAELE_LineaCAD(A39)</f>
        <v>++++++++++++++++++++++++++++++2</v>
      </c>
      <c r="BM39" s="279" t="str">
        <f t="shared" si="4"/>
        <v>9+</v>
      </c>
      <c r="BN39" s="304"/>
      <c r="BO39" s="304"/>
      <c r="BP39" s="304"/>
      <c r="BQ39" s="304"/>
      <c r="BR39" s="304"/>
      <c r="BS39" s="304"/>
      <c r="BT39" s="304"/>
      <c r="BU39" s="304"/>
      <c r="BV39" s="304"/>
      <c r="BW39" s="304"/>
      <c r="BX39" s="304"/>
      <c r="BY39" s="304"/>
      <c r="BZ39" s="304"/>
      <c r="CA39" s="304"/>
      <c r="CB39" s="304"/>
      <c r="CC39" s="304"/>
      <c r="CD39" s="304"/>
      <c r="CE39" s="304"/>
      <c r="CF39" s="304"/>
      <c r="CG39" s="304"/>
      <c r="CH39" s="304"/>
      <c r="CI39" s="304"/>
      <c r="CJ39" s="304"/>
      <c r="CK39" s="304"/>
      <c r="CL39" s="304"/>
      <c r="CM39" s="304"/>
      <c r="CN39" s="304"/>
      <c r="CO39" s="304"/>
      <c r="CP39" s="304"/>
      <c r="CQ39" s="304"/>
      <c r="CR39" s="305" t="str" cm="1">
        <f t="array" ref="CR39">CONCATENATE(BM39,_xlfn.TEXTJOIN("",TRUE,IF(BN$129:CQ$129&lt;&gt;"","+"&amp;D39:AG39,"")))</f>
        <v>9+</v>
      </c>
      <c r="CS39" s="279">
        <f t="shared" si="5"/>
        <v>30</v>
      </c>
      <c r="CT39" s="279" t="str">
        <f t="shared" si="3"/>
        <v>+++++++++++++++++++++++++++++++</v>
      </c>
      <c r="CU39" s="291" t="str">
        <f t="shared" si="7"/>
        <v>9++++++++++++++++++++++++++++++++2</v>
      </c>
      <c r="GB39" s="279" t="s">
        <v>1924</v>
      </c>
    </row>
    <row r="40" spans="1:184">
      <c r="A40" s="275">
        <f>IF(C40&lt;&gt;"",1,IF(AH40="",2,IF(OR(IF(TABLERO!B40="",0,TABLERO!B40)&gt;TABLERO!$M$19,IF(TABLERO!C40="",IF(TABLERO!B40="",0,TABLERO!B40),TABLERO!C40)&gt;TABLERO!$M$19,BI40&gt;TABLERO!$M$19,IF(TABLERO!B40="",0,TABLERO!B40)=0,IF(TABLERO!C40="",BG40,TABLERO!C40)=0,IF(TABLERO!D40="",BG40,TABLERO!D40)=0),2,1)))</f>
        <v>2</v>
      </c>
      <c r="B40" s="276" t="str">
        <f>TABLERO!B40&amp;IF(TABLERO!C40="","",","&amp;TABLERO!C40)&amp;IF(TABLERO!D40="","",","&amp;TABLERO!D40)</f>
        <v>10</v>
      </c>
      <c r="C40" s="269" t="str">
        <f>IF(TABLERO!E40=0,"",TABLERO!E40)</f>
        <v/>
      </c>
      <c r="D40" s="312" t="str">
        <f>IF(OR(TABLERO!X40="",TABLERO!X40=0),"",TABLERO!X40)</f>
        <v/>
      </c>
      <c r="E40" s="312" t="str">
        <f>IF(OR(TABLERO!Y40="",TABLERO!Y40=0),"",TABLERO!Y40)</f>
        <v/>
      </c>
      <c r="F40" s="312" t="str">
        <f>IF(OR(TABLERO!Z40="",TABLERO!Z40=0),"",TABLERO!Z40)</f>
        <v/>
      </c>
      <c r="G40" s="312" t="str">
        <f>IF(OR(TABLERO!AA40="",TABLERO!AA40=0),"",TABLERO!AA40)</f>
        <v/>
      </c>
      <c r="H40" s="312" t="str">
        <f>IF(OR(TABLERO!AB40="",TABLERO!AB40=0),"",TABLERO!AB40)</f>
        <v/>
      </c>
      <c r="I40" s="312" t="str">
        <f>IF(OR(TABLERO!AC40="",TABLERO!AC40=0),"",TABLERO!AC40)</f>
        <v/>
      </c>
      <c r="J40" s="312" t="str">
        <f>IF(OR(TABLERO!AD40="",TABLERO!AD40=0),"",TABLERO!AD40)</f>
        <v/>
      </c>
      <c r="K40" s="312" t="str">
        <f>IF(OR(TABLERO!AE40="",TABLERO!AE40=0),"",TABLERO!AE40)</f>
        <v/>
      </c>
      <c r="L40" s="312" t="str">
        <f>IF(OR(TABLERO!AF40="",TABLERO!AF40=0),"",TABLERO!AF40)</f>
        <v/>
      </c>
      <c r="M40" s="312" t="str">
        <f>IF(OR(TABLERO!AG40="",TABLERO!AG40=0),"",TABLERO!AG40)</f>
        <v/>
      </c>
      <c r="N40" s="312" t="str">
        <f>IF(OR(TABLERO!AH40="",TABLERO!AH40=0),"",TABLERO!AH40)</f>
        <v/>
      </c>
      <c r="O40" s="312" t="str">
        <f>IF(OR(TABLERO!AI40="",TABLERO!AI40=0),"",TABLERO!AI40)</f>
        <v/>
      </c>
      <c r="P40" s="312" t="str">
        <f>IF(OR(TABLERO!AJ40="",TABLERO!AJ40=0),"",TABLERO!AJ40)</f>
        <v/>
      </c>
      <c r="Q40" s="312" t="str">
        <f>IF(OR(TABLERO!AK40="",TABLERO!AK40=0),"",TABLERO!AK40)</f>
        <v/>
      </c>
      <c r="R40" s="312" t="str">
        <f>IF(OR(TABLERO!AL40="",TABLERO!AL40=0),"",TABLERO!AL40)</f>
        <v/>
      </c>
      <c r="S40" s="312" t="str">
        <f>IF(OR(TABLERO!AM40="",TABLERO!AM40=0),"",TABLERO!AM40)</f>
        <v/>
      </c>
      <c r="T40" s="312" t="str">
        <f>IF(OR(TABLERO!AN40="",TABLERO!AN40=0),"",TABLERO!AN40)</f>
        <v/>
      </c>
      <c r="U40" s="312" t="str">
        <f>IF(OR(TABLERO!AO40="",TABLERO!AO40=0),"",TABLERO!AO40)</f>
        <v/>
      </c>
      <c r="V40" s="312" t="str">
        <f>IF(OR(TABLERO!AP40="",TABLERO!AP40=0),"",TABLERO!AP40)</f>
        <v/>
      </c>
      <c r="W40" s="312" t="str">
        <f>IF(OR(TABLERO!AQ40="",TABLERO!AQ40=0),"",TABLERO!AQ40)</f>
        <v/>
      </c>
      <c r="X40" s="312" t="str">
        <f>IF(OR(TABLERO!AR40="",TABLERO!AR40=0),"",TABLERO!AR40)</f>
        <v/>
      </c>
      <c r="Y40" s="312" t="str">
        <f>IF(OR(TABLERO!AS40="",TABLERO!AS40=0),"",TABLERO!AS40)</f>
        <v/>
      </c>
      <c r="Z40" s="312" t="str">
        <f>IF(OR(TABLERO!AT40="",TABLERO!AT40=0),"",TABLERO!AT40)</f>
        <v/>
      </c>
      <c r="AA40" s="312" t="str">
        <f>IF(OR(TABLERO!AU40="",TABLERO!AU40=0),"",TABLERO!AU40)</f>
        <v/>
      </c>
      <c r="AB40" s="312" t="str">
        <f>IF(OR(TABLERO!AV40="",TABLERO!AV40=0),"",TABLERO!AV40)</f>
        <v/>
      </c>
      <c r="AC40" s="312" t="str">
        <f>IF(OR(TABLERO!AW40="",TABLERO!AW40=0),"",TABLERO!AW40)</f>
        <v/>
      </c>
      <c r="AD40" s="312" t="str">
        <f>IF(OR(TABLERO!AX40="",TABLERO!AX40=0),"",TABLERO!AX40)</f>
        <v/>
      </c>
      <c r="AE40" s="312" t="str">
        <f>IF(OR(TABLERO!AY40="",TABLERO!AY40=0),"",TABLERO!AY40)</f>
        <v/>
      </c>
      <c r="AF40" s="312" t="str">
        <f>IF(OR(TABLERO!AZ40="",TABLERO!AZ40=0),"",TABLERO!AZ40)</f>
        <v/>
      </c>
      <c r="AG40" s="312" t="str">
        <f>IF(OR(TABLERO!BA40="",TABLERO!BA40=0),"",TABLERO!BA40)</f>
        <v/>
      </c>
      <c r="AH40" s="277" t="str">
        <f>IF(TABLERO!BB40=0,"",FIXED(IF(TABLERO!$F$17&lt;&gt;"KVA",TABLERO!BB40*1000,TABLERO!BB40*1000/TABLERO!DA40),2))</f>
        <v/>
      </c>
      <c r="AI40" s="277" t="str">
        <f>IF(TABLERO!BB40=0,"",FIXED(IF(TABLERO!$F$17&lt;&gt;"KVA",TABLERO!BT40*1000,TABLERO!BT40*1000/TABLERO!DA40),2))</f>
        <v/>
      </c>
      <c r="AJ40" s="272" t="str">
        <f>IF(OR(TABLERO!BU40="",TABLERO!BU40=0),"",FIXED(TABLERO!BU40,2))</f>
        <v/>
      </c>
      <c r="AK40" s="312" t="str">
        <f>IF(TABLERO!BB40=0,"",TABLERO!F40)</f>
        <v/>
      </c>
      <c r="AL40" s="312" t="str">
        <f>IF(TABLERO!BB40=0,"",TABLERO!G40)</f>
        <v/>
      </c>
      <c r="AM40" s="312" t="str">
        <f>IF(TABLERO!BB40=0,"",TABLERO!BV40)</f>
        <v/>
      </c>
      <c r="AN40" s="272" t="str">
        <f>IF(TABLERO!BB40=0,"",TABLERO!K40)</f>
        <v/>
      </c>
      <c r="AO40" s="312" t="str">
        <f>IF(TABLERO!BB40=0,"",TABLERO!J40)</f>
        <v/>
      </c>
      <c r="AP40" s="272" t="str">
        <f>IF(TABLERO!BB40=0,"",TABLERO!CT40)</f>
        <v/>
      </c>
      <c r="AQ40" s="272" t="str">
        <f>IF(TABLERO!BB40=0,"",TABLERO!CS40)</f>
        <v/>
      </c>
      <c r="AR40" s="272" t="str">
        <f>IF(OR(TABLERO!BB40=0,TABLERO!H40="RE"),"",FIXED(TABLERO!CY40,2))</f>
        <v/>
      </c>
      <c r="AS40" s="312" t="str">
        <f>IF(TABLERO!BB40=0,"",TABLERO!N40)</f>
        <v/>
      </c>
      <c r="AT40" s="1164" t="str">
        <f>IF(TABLERO!BB40=0,"",TABLERO!BX40&amp;" "&amp;TABLERO!ED40&amp;", "&amp;TABLERO!I40)</f>
        <v/>
      </c>
      <c r="AU40" s="1165"/>
      <c r="AV40" s="272" t="str">
        <f>IF(OR(TABLERO!BB40=0,TABLERO!H40="RE"),"",FIXED(TABLERO!BZ40,2))</f>
        <v/>
      </c>
      <c r="AW40" s="312" t="str">
        <f>IF(TABLERO!BB40=0,"",TABLERO!CA40)</f>
        <v/>
      </c>
      <c r="AX40" s="271" t="str">
        <f>IF(TABLERO!BB40=0,"",TABLERO!CB40)</f>
        <v/>
      </c>
      <c r="AY40" s="272" t="str">
        <f>IF(OR(TABLERO!BB40=0,TABLERO!H40="RE"),"",FIXED(TABLERO!DL40,2))</f>
        <v/>
      </c>
      <c r="AZ40" s="310" t="str">
        <f>IF(OR(TABLERO!BB40=0,TABLERO!H40="RE"),"",TABLERO!F40&amp;"P-"&amp;TABLERO!BW40&amp;"A")</f>
        <v/>
      </c>
      <c r="BA40" s="272" t="str">
        <f>IF(TABLERO!$BB40=0,"",IF(TABLERO!CI40="-","     -     ",FIXED(IF(TABLERO!$F$17&lt;&gt;"KVA",TABLERO!CI40,TABLERO!CI40/TABLERO!$F$14),2)))</f>
        <v/>
      </c>
      <c r="BB40" s="272" t="str">
        <f>IF(TABLERO!$BB40=0,"",IF(TABLERO!CJ40="-","     -     ",FIXED(IF(TABLERO!$F$17&lt;&gt;"KVA",TABLERO!CJ40,TABLERO!CJ40/TABLERO!$F$14),2)))</f>
        <v/>
      </c>
      <c r="BC40" s="272" t="str">
        <f>IF(TABLERO!$BB40=0,"",IF(TABLERO!CK40="-","     -     ",FIXED(IF(TABLERO!$F$17&lt;&gt;"KVA",TABLERO!CK40,TABLERO!CK40/TABLERO!$F$14),2)))</f>
        <v/>
      </c>
      <c r="BG40" s="275">
        <f>IF(TABLERO!B40="",0,TABLERO!B40)</f>
        <v>10</v>
      </c>
      <c r="BH40" s="275"/>
      <c r="BI40" s="275"/>
      <c r="BK40" s="275"/>
      <c r="BL40" s="289" t="str" cm="1">
        <f t="array" ref="BL40">[1]!ACAELE_LineaCAD(A40)</f>
        <v>++++++++++++++++++++++++++++++2</v>
      </c>
      <c r="BM40" s="279" t="str">
        <f t="shared" si="4"/>
        <v>10+</v>
      </c>
      <c r="BN40" s="304"/>
      <c r="BO40" s="304"/>
      <c r="BP40" s="304"/>
      <c r="BQ40" s="304"/>
      <c r="BR40" s="304"/>
      <c r="BS40" s="304"/>
      <c r="BT40" s="304"/>
      <c r="BU40" s="304"/>
      <c r="BV40" s="304"/>
      <c r="BW40" s="304"/>
      <c r="BX40" s="304"/>
      <c r="BY40" s="304"/>
      <c r="BZ40" s="304"/>
      <c r="CA40" s="304"/>
      <c r="CB40" s="304"/>
      <c r="CC40" s="304"/>
      <c r="CD40" s="304"/>
      <c r="CE40" s="304"/>
      <c r="CF40" s="304"/>
      <c r="CG40" s="304"/>
      <c r="CH40" s="304"/>
      <c r="CI40" s="304"/>
      <c r="CJ40" s="304"/>
      <c r="CK40" s="304"/>
      <c r="CL40" s="304"/>
      <c r="CM40" s="304"/>
      <c r="CN40" s="304"/>
      <c r="CO40" s="304"/>
      <c r="CP40" s="304"/>
      <c r="CQ40" s="304"/>
      <c r="CR40" s="305" t="str" cm="1">
        <f t="array" ref="CR40">CONCATENATE(BM40,_xlfn.TEXTJOIN("",TRUE,IF(BN$129:CQ$129&lt;&gt;"","+"&amp;D40:AG40,"")))</f>
        <v>10+</v>
      </c>
      <c r="CS40" s="279">
        <f t="shared" si="5"/>
        <v>30</v>
      </c>
      <c r="CT40" s="279" t="str">
        <f t="shared" si="3"/>
        <v>+++++++++++++++++++++++++++++++</v>
      </c>
      <c r="CU40" s="291" t="str">
        <f t="shared" si="7"/>
        <v>10++++++++++++++++++++++++++++++++2</v>
      </c>
      <c r="GB40" s="279" t="s">
        <v>1925</v>
      </c>
    </row>
    <row r="41" spans="1:184">
      <c r="A41" s="275">
        <f>IF(C41&lt;&gt;"",1,IF(AH41="",2,IF(OR(IF(TABLERO!B41="",0,TABLERO!B41)&gt;TABLERO!$M$19,IF(TABLERO!C41="",IF(TABLERO!B41="",0,TABLERO!B41),TABLERO!C41)&gt;TABLERO!$M$19,BI41&gt;TABLERO!$M$19,IF(TABLERO!B41="",0,TABLERO!B41)=0,IF(TABLERO!C41="",BG41,TABLERO!C41)=0,IF(TABLERO!D41="",BG41,TABLERO!D41)=0),2,1)))</f>
        <v>2</v>
      </c>
      <c r="B41" s="276" t="str">
        <f>TABLERO!B41&amp;IF(TABLERO!C41="","",","&amp;TABLERO!C41)&amp;IF(TABLERO!D41="","",","&amp;TABLERO!D41)</f>
        <v>11</v>
      </c>
      <c r="C41" s="269" t="str">
        <f>IF(TABLERO!E41=0,"",TABLERO!E41)</f>
        <v/>
      </c>
      <c r="D41" s="312" t="str">
        <f>IF(OR(TABLERO!X41="",TABLERO!X41=0),"",TABLERO!X41)</f>
        <v/>
      </c>
      <c r="E41" s="312" t="str">
        <f>IF(OR(TABLERO!Y41="",TABLERO!Y41=0),"",TABLERO!Y41)</f>
        <v/>
      </c>
      <c r="F41" s="312" t="str">
        <f>IF(OR(TABLERO!Z41="",TABLERO!Z41=0),"",TABLERO!Z41)</f>
        <v/>
      </c>
      <c r="G41" s="312" t="str">
        <f>IF(OR(TABLERO!AA41="",TABLERO!AA41=0),"",TABLERO!AA41)</f>
        <v/>
      </c>
      <c r="H41" s="312" t="str">
        <f>IF(OR(TABLERO!AB41="",TABLERO!AB41=0),"",TABLERO!AB41)</f>
        <v/>
      </c>
      <c r="I41" s="312" t="str">
        <f>IF(OR(TABLERO!AC41="",TABLERO!AC41=0),"",TABLERO!AC41)</f>
        <v/>
      </c>
      <c r="J41" s="312" t="str">
        <f>IF(OR(TABLERO!AD41="",TABLERO!AD41=0),"",TABLERO!AD41)</f>
        <v/>
      </c>
      <c r="K41" s="312" t="str">
        <f>IF(OR(TABLERO!AE41="",TABLERO!AE41=0),"",TABLERO!AE41)</f>
        <v/>
      </c>
      <c r="L41" s="312" t="str">
        <f>IF(OR(TABLERO!AF41="",TABLERO!AF41=0),"",TABLERO!AF41)</f>
        <v/>
      </c>
      <c r="M41" s="312" t="str">
        <f>IF(OR(TABLERO!AG41="",TABLERO!AG41=0),"",TABLERO!AG41)</f>
        <v/>
      </c>
      <c r="N41" s="312" t="str">
        <f>IF(OR(TABLERO!AH41="",TABLERO!AH41=0),"",TABLERO!AH41)</f>
        <v/>
      </c>
      <c r="O41" s="312" t="str">
        <f>IF(OR(TABLERO!AI41="",TABLERO!AI41=0),"",TABLERO!AI41)</f>
        <v/>
      </c>
      <c r="P41" s="312" t="str">
        <f>IF(OR(TABLERO!AJ41="",TABLERO!AJ41=0),"",TABLERO!AJ41)</f>
        <v/>
      </c>
      <c r="Q41" s="312" t="str">
        <f>IF(OR(TABLERO!AK41="",TABLERO!AK41=0),"",TABLERO!AK41)</f>
        <v/>
      </c>
      <c r="R41" s="312" t="str">
        <f>IF(OR(TABLERO!AL41="",TABLERO!AL41=0),"",TABLERO!AL41)</f>
        <v/>
      </c>
      <c r="S41" s="312" t="str">
        <f>IF(OR(TABLERO!AM41="",TABLERO!AM41=0),"",TABLERO!AM41)</f>
        <v/>
      </c>
      <c r="T41" s="312" t="str">
        <f>IF(OR(TABLERO!AN41="",TABLERO!AN41=0),"",TABLERO!AN41)</f>
        <v/>
      </c>
      <c r="U41" s="312" t="str">
        <f>IF(OR(TABLERO!AO41="",TABLERO!AO41=0),"",TABLERO!AO41)</f>
        <v/>
      </c>
      <c r="V41" s="312" t="str">
        <f>IF(OR(TABLERO!AP41="",TABLERO!AP41=0),"",TABLERO!AP41)</f>
        <v/>
      </c>
      <c r="W41" s="312" t="str">
        <f>IF(OR(TABLERO!AQ41="",TABLERO!AQ41=0),"",TABLERO!AQ41)</f>
        <v/>
      </c>
      <c r="X41" s="312" t="str">
        <f>IF(OR(TABLERO!AR41="",TABLERO!AR41=0),"",TABLERO!AR41)</f>
        <v/>
      </c>
      <c r="Y41" s="312" t="str">
        <f>IF(OR(TABLERO!AS41="",TABLERO!AS41=0),"",TABLERO!AS41)</f>
        <v/>
      </c>
      <c r="Z41" s="312" t="str">
        <f>IF(OR(TABLERO!AT41="",TABLERO!AT41=0),"",TABLERO!AT41)</f>
        <v/>
      </c>
      <c r="AA41" s="312" t="str">
        <f>IF(OR(TABLERO!AU41="",TABLERO!AU41=0),"",TABLERO!AU41)</f>
        <v/>
      </c>
      <c r="AB41" s="312" t="str">
        <f>IF(OR(TABLERO!AV41="",TABLERO!AV41=0),"",TABLERO!AV41)</f>
        <v/>
      </c>
      <c r="AC41" s="312" t="str">
        <f>IF(OR(TABLERO!AW41="",TABLERO!AW41=0),"",TABLERO!AW41)</f>
        <v/>
      </c>
      <c r="AD41" s="312" t="str">
        <f>IF(OR(TABLERO!AX41="",TABLERO!AX41=0),"",TABLERO!AX41)</f>
        <v/>
      </c>
      <c r="AE41" s="312" t="str">
        <f>IF(OR(TABLERO!AY41="",TABLERO!AY41=0),"",TABLERO!AY41)</f>
        <v/>
      </c>
      <c r="AF41" s="312" t="str">
        <f>IF(OR(TABLERO!AZ41="",TABLERO!AZ41=0),"",TABLERO!AZ41)</f>
        <v/>
      </c>
      <c r="AG41" s="312" t="str">
        <f>IF(OR(TABLERO!BA41="",TABLERO!BA41=0),"",TABLERO!BA41)</f>
        <v/>
      </c>
      <c r="AH41" s="277" t="str">
        <f>IF(TABLERO!BB41=0,"",FIXED(IF(TABLERO!$F$17&lt;&gt;"KVA",TABLERO!BB41*1000,TABLERO!BB41*1000/TABLERO!DA41),2))</f>
        <v/>
      </c>
      <c r="AI41" s="277" t="str">
        <f>IF(TABLERO!BB41=0,"",FIXED(IF(TABLERO!$F$17&lt;&gt;"KVA",TABLERO!BT41*1000,TABLERO!BT41*1000/TABLERO!DA41),2))</f>
        <v/>
      </c>
      <c r="AJ41" s="272" t="str">
        <f>IF(OR(TABLERO!BU41="",TABLERO!BU41=0),"",FIXED(TABLERO!BU41,2))</f>
        <v/>
      </c>
      <c r="AK41" s="312" t="str">
        <f>IF(TABLERO!BB41=0,"",TABLERO!F41)</f>
        <v/>
      </c>
      <c r="AL41" s="312" t="str">
        <f>IF(TABLERO!BB41=0,"",TABLERO!G41)</f>
        <v/>
      </c>
      <c r="AM41" s="312" t="str">
        <f>IF(TABLERO!BB41=0,"",TABLERO!BV41)</f>
        <v/>
      </c>
      <c r="AN41" s="272" t="str">
        <f>IF(TABLERO!BB41=0,"",TABLERO!K41)</f>
        <v/>
      </c>
      <c r="AO41" s="312" t="str">
        <f>IF(TABLERO!BB41=0,"",TABLERO!J41)</f>
        <v/>
      </c>
      <c r="AP41" s="272" t="str">
        <f>IF(TABLERO!BB41=0,"",TABLERO!CT41)</f>
        <v/>
      </c>
      <c r="AQ41" s="272" t="str">
        <f>IF(TABLERO!BB41=0,"",TABLERO!CS41)</f>
        <v/>
      </c>
      <c r="AR41" s="272" t="str">
        <f>IF(OR(TABLERO!BB41=0,TABLERO!H41="RE"),"",FIXED(TABLERO!CY41,2))</f>
        <v/>
      </c>
      <c r="AS41" s="312" t="str">
        <f>IF(TABLERO!BB41=0,"",TABLERO!N41)</f>
        <v/>
      </c>
      <c r="AT41" s="1164" t="str">
        <f>IF(TABLERO!BB41=0,"",TABLERO!BX41&amp;" "&amp;TABLERO!ED41&amp;", "&amp;TABLERO!I41)</f>
        <v/>
      </c>
      <c r="AU41" s="1165"/>
      <c r="AV41" s="272" t="str">
        <f>IF(OR(TABLERO!BB41=0,TABLERO!H41="RE"),"",FIXED(TABLERO!BZ41,2))</f>
        <v/>
      </c>
      <c r="AW41" s="312" t="str">
        <f>IF(TABLERO!BB41=0,"",TABLERO!CA41)</f>
        <v/>
      </c>
      <c r="AX41" s="271" t="str">
        <f>IF(TABLERO!BB41=0,"",TABLERO!CB41)</f>
        <v/>
      </c>
      <c r="AY41" s="272" t="str">
        <f>IF(OR(TABLERO!BB41=0,TABLERO!H41="RE"),"",FIXED(TABLERO!DL41,2))</f>
        <v/>
      </c>
      <c r="AZ41" s="310" t="str">
        <f>IF(OR(TABLERO!BB41=0,TABLERO!H41="RE"),"",TABLERO!F41&amp;"P-"&amp;TABLERO!BW41&amp;"A")</f>
        <v/>
      </c>
      <c r="BA41" s="272" t="str">
        <f>IF(TABLERO!$BB41=0,"",IF(TABLERO!CI41="-","     -     ",FIXED(IF(TABLERO!$F$17&lt;&gt;"KVA",TABLERO!CI41,TABLERO!CI41/TABLERO!$F$14),2)))</f>
        <v/>
      </c>
      <c r="BB41" s="272" t="str">
        <f>IF(TABLERO!$BB41=0,"",IF(TABLERO!CJ41="-","     -     ",FIXED(IF(TABLERO!$F$17&lt;&gt;"KVA",TABLERO!CJ41,TABLERO!CJ41/TABLERO!$F$14),2)))</f>
        <v/>
      </c>
      <c r="BC41" s="272" t="str">
        <f>IF(TABLERO!$BB41=0,"",IF(TABLERO!CK41="-","     -     ",FIXED(IF(TABLERO!$F$17&lt;&gt;"KVA",TABLERO!CK41,TABLERO!CK41/TABLERO!$F$14),2)))</f>
        <v/>
      </c>
      <c r="BG41" s="275">
        <f>IF(TABLERO!B41="",0,TABLERO!B41)</f>
        <v>11</v>
      </c>
      <c r="BH41" s="275"/>
      <c r="BI41" s="275"/>
      <c r="BK41" s="275"/>
      <c r="BL41" s="289" t="str" cm="1">
        <f t="array" ref="BL41">[1]!ACAELE_LineaCAD(A41)</f>
        <v>++++++++++++++++++++++++++++++2</v>
      </c>
      <c r="BM41" s="279" t="str">
        <f t="shared" si="4"/>
        <v>11+</v>
      </c>
      <c r="BN41" s="304"/>
      <c r="BO41" s="304"/>
      <c r="BP41" s="304"/>
      <c r="BQ41" s="304"/>
      <c r="BR41" s="304"/>
      <c r="BS41" s="304"/>
      <c r="BT41" s="304"/>
      <c r="BU41" s="304"/>
      <c r="BV41" s="304"/>
      <c r="BW41" s="304"/>
      <c r="BX41" s="304"/>
      <c r="BY41" s="304"/>
      <c r="BZ41" s="304"/>
      <c r="CA41" s="304"/>
      <c r="CB41" s="304"/>
      <c r="CC41" s="304"/>
      <c r="CD41" s="304"/>
      <c r="CE41" s="304"/>
      <c r="CF41" s="304"/>
      <c r="CG41" s="304"/>
      <c r="CH41" s="304"/>
      <c r="CI41" s="304"/>
      <c r="CJ41" s="304"/>
      <c r="CK41" s="304"/>
      <c r="CL41" s="304"/>
      <c r="CM41" s="304"/>
      <c r="CN41" s="304"/>
      <c r="CO41" s="304"/>
      <c r="CP41" s="304"/>
      <c r="CQ41" s="304"/>
      <c r="CR41" s="305" t="str" cm="1">
        <f t="array" ref="CR41">CONCATENATE(BM41,_xlfn.TEXTJOIN("",TRUE,IF(BN$129:CQ$129&lt;&gt;"","+"&amp;D41:AG41,"")))</f>
        <v>11+</v>
      </c>
      <c r="CS41" s="279">
        <f t="shared" si="5"/>
        <v>30</v>
      </c>
      <c r="CT41" s="279" t="str">
        <f t="shared" si="3"/>
        <v>+++++++++++++++++++++++++++++++</v>
      </c>
      <c r="CU41" s="291" t="str">
        <f t="shared" si="7"/>
        <v>11++++++++++++++++++++++++++++++++2</v>
      </c>
      <c r="GB41" s="279" t="s">
        <v>1926</v>
      </c>
    </row>
    <row r="42" spans="1:184">
      <c r="A42" s="275">
        <f>IF(C42&lt;&gt;"",1,IF(AH42="",2,IF(OR(IF(TABLERO!B42="",0,TABLERO!B42)&gt;TABLERO!$M$19,IF(TABLERO!C42="",IF(TABLERO!B42="",0,TABLERO!B42),TABLERO!C42)&gt;TABLERO!$M$19,BI42&gt;TABLERO!$M$19,IF(TABLERO!B42="",0,TABLERO!B42)=0,IF(TABLERO!C42="",BG42,TABLERO!C42)=0,IF(TABLERO!D42="",BG42,TABLERO!D42)=0),2,1)))</f>
        <v>2</v>
      </c>
      <c r="B42" s="276" t="str">
        <f>TABLERO!B42&amp;IF(TABLERO!C42="","",","&amp;TABLERO!C42)&amp;IF(TABLERO!D42="","",","&amp;TABLERO!D42)</f>
        <v>12</v>
      </c>
      <c r="C42" s="269" t="str">
        <f>IF(TABLERO!E42=0,"",TABLERO!E42)</f>
        <v/>
      </c>
      <c r="D42" s="312" t="str">
        <f>IF(OR(TABLERO!X42="",TABLERO!X42=0),"",TABLERO!X42)</f>
        <v/>
      </c>
      <c r="E42" s="312" t="str">
        <f>IF(OR(TABLERO!Y42="",TABLERO!Y42=0),"",TABLERO!Y42)</f>
        <v/>
      </c>
      <c r="F42" s="312" t="str">
        <f>IF(OR(TABLERO!Z42="",TABLERO!Z42=0),"",TABLERO!Z42)</f>
        <v/>
      </c>
      <c r="G42" s="312" t="str">
        <f>IF(OR(TABLERO!AA42="",TABLERO!AA42=0),"",TABLERO!AA42)</f>
        <v/>
      </c>
      <c r="H42" s="312" t="str">
        <f>IF(OR(TABLERO!AB42="",TABLERO!AB42=0),"",TABLERO!AB42)</f>
        <v/>
      </c>
      <c r="I42" s="312" t="str">
        <f>IF(OR(TABLERO!AC42="",TABLERO!AC42=0),"",TABLERO!AC42)</f>
        <v/>
      </c>
      <c r="J42" s="312" t="str">
        <f>IF(OR(TABLERO!AD42="",TABLERO!AD42=0),"",TABLERO!AD42)</f>
        <v/>
      </c>
      <c r="K42" s="312" t="str">
        <f>IF(OR(TABLERO!AE42="",TABLERO!AE42=0),"",TABLERO!AE42)</f>
        <v/>
      </c>
      <c r="L42" s="312" t="str">
        <f>IF(OR(TABLERO!AF42="",TABLERO!AF42=0),"",TABLERO!AF42)</f>
        <v/>
      </c>
      <c r="M42" s="312" t="str">
        <f>IF(OR(TABLERO!AG42="",TABLERO!AG42=0),"",TABLERO!AG42)</f>
        <v/>
      </c>
      <c r="N42" s="312" t="str">
        <f>IF(OR(TABLERO!AH42="",TABLERO!AH42=0),"",TABLERO!AH42)</f>
        <v/>
      </c>
      <c r="O42" s="312" t="str">
        <f>IF(OR(TABLERO!AI42="",TABLERO!AI42=0),"",TABLERO!AI42)</f>
        <v/>
      </c>
      <c r="P42" s="312" t="str">
        <f>IF(OR(TABLERO!AJ42="",TABLERO!AJ42=0),"",TABLERO!AJ42)</f>
        <v/>
      </c>
      <c r="Q42" s="312" t="str">
        <f>IF(OR(TABLERO!AK42="",TABLERO!AK42=0),"",TABLERO!AK42)</f>
        <v/>
      </c>
      <c r="R42" s="312" t="str">
        <f>IF(OR(TABLERO!AL42="",TABLERO!AL42=0),"",TABLERO!AL42)</f>
        <v/>
      </c>
      <c r="S42" s="312" t="str">
        <f>IF(OR(TABLERO!AM42="",TABLERO!AM42=0),"",TABLERO!AM42)</f>
        <v/>
      </c>
      <c r="T42" s="312" t="str">
        <f>IF(OR(TABLERO!AN42="",TABLERO!AN42=0),"",TABLERO!AN42)</f>
        <v/>
      </c>
      <c r="U42" s="312" t="str">
        <f>IF(OR(TABLERO!AO42="",TABLERO!AO42=0),"",TABLERO!AO42)</f>
        <v/>
      </c>
      <c r="V42" s="312" t="str">
        <f>IF(OR(TABLERO!AP42="",TABLERO!AP42=0),"",TABLERO!AP42)</f>
        <v/>
      </c>
      <c r="W42" s="312" t="str">
        <f>IF(OR(TABLERO!AQ42="",TABLERO!AQ42=0),"",TABLERO!AQ42)</f>
        <v/>
      </c>
      <c r="X42" s="312" t="str">
        <f>IF(OR(TABLERO!AR42="",TABLERO!AR42=0),"",TABLERO!AR42)</f>
        <v/>
      </c>
      <c r="Y42" s="312" t="str">
        <f>IF(OR(TABLERO!AS42="",TABLERO!AS42=0),"",TABLERO!AS42)</f>
        <v/>
      </c>
      <c r="Z42" s="312" t="str">
        <f>IF(OR(TABLERO!AT42="",TABLERO!AT42=0),"",TABLERO!AT42)</f>
        <v/>
      </c>
      <c r="AA42" s="312" t="str">
        <f>IF(OR(TABLERO!AU42="",TABLERO!AU42=0),"",TABLERO!AU42)</f>
        <v/>
      </c>
      <c r="AB42" s="312" t="str">
        <f>IF(OR(TABLERO!AV42="",TABLERO!AV42=0),"",TABLERO!AV42)</f>
        <v/>
      </c>
      <c r="AC42" s="312" t="str">
        <f>IF(OR(TABLERO!AW42="",TABLERO!AW42=0),"",TABLERO!AW42)</f>
        <v/>
      </c>
      <c r="AD42" s="312" t="str">
        <f>IF(OR(TABLERO!AX42="",TABLERO!AX42=0),"",TABLERO!AX42)</f>
        <v/>
      </c>
      <c r="AE42" s="312" t="str">
        <f>IF(OR(TABLERO!AY42="",TABLERO!AY42=0),"",TABLERO!AY42)</f>
        <v/>
      </c>
      <c r="AF42" s="312" t="str">
        <f>IF(OR(TABLERO!AZ42="",TABLERO!AZ42=0),"",TABLERO!AZ42)</f>
        <v/>
      </c>
      <c r="AG42" s="312" t="str">
        <f>IF(OR(TABLERO!BA42="",TABLERO!BA42=0),"",TABLERO!BA42)</f>
        <v/>
      </c>
      <c r="AH42" s="277" t="str">
        <f>IF(TABLERO!BB42=0,"",FIXED(IF(TABLERO!$F$17&lt;&gt;"KVA",TABLERO!BB42*1000,TABLERO!BB42*1000/TABLERO!DA42),2))</f>
        <v/>
      </c>
      <c r="AI42" s="277" t="str">
        <f>IF(TABLERO!BB42=0,"",FIXED(IF(TABLERO!$F$17&lt;&gt;"KVA",TABLERO!BT42*1000,TABLERO!BT42*1000/TABLERO!DA42),2))</f>
        <v/>
      </c>
      <c r="AJ42" s="272" t="str">
        <f>IF(OR(TABLERO!BU42="",TABLERO!BU42=0),"",FIXED(TABLERO!BU42,2))</f>
        <v/>
      </c>
      <c r="AK42" s="312" t="str">
        <f>IF(TABLERO!BB42=0,"",TABLERO!F42)</f>
        <v/>
      </c>
      <c r="AL42" s="312" t="str">
        <f>IF(TABLERO!BB42=0,"",TABLERO!G42)</f>
        <v/>
      </c>
      <c r="AM42" s="312" t="str">
        <f>IF(TABLERO!BB42=0,"",TABLERO!BV42)</f>
        <v/>
      </c>
      <c r="AN42" s="272" t="str">
        <f>IF(TABLERO!BB42=0,"",TABLERO!K42)</f>
        <v/>
      </c>
      <c r="AO42" s="312" t="str">
        <f>IF(TABLERO!BB42=0,"",TABLERO!J42)</f>
        <v/>
      </c>
      <c r="AP42" s="272" t="str">
        <f>IF(TABLERO!BB42=0,"",TABLERO!CT42)</f>
        <v/>
      </c>
      <c r="AQ42" s="272" t="str">
        <f>IF(TABLERO!BB42=0,"",TABLERO!CS42)</f>
        <v/>
      </c>
      <c r="AR42" s="272" t="str">
        <f>IF(OR(TABLERO!BB42=0,TABLERO!H42="RE"),"",FIXED(TABLERO!CY42,2))</f>
        <v/>
      </c>
      <c r="AS42" s="312" t="str">
        <f>IF(TABLERO!BB42=0,"",TABLERO!N42)</f>
        <v/>
      </c>
      <c r="AT42" s="1164" t="str">
        <f>IF(TABLERO!BB42=0,"",TABLERO!BX42&amp;" "&amp;TABLERO!ED42&amp;", "&amp;TABLERO!I42)</f>
        <v/>
      </c>
      <c r="AU42" s="1165"/>
      <c r="AV42" s="272" t="str">
        <f>IF(OR(TABLERO!BB42=0,TABLERO!H42="RE"),"",FIXED(TABLERO!BZ42,2))</f>
        <v/>
      </c>
      <c r="AW42" s="312" t="str">
        <f>IF(TABLERO!BB42=0,"",TABLERO!CA42)</f>
        <v/>
      </c>
      <c r="AX42" s="271" t="str">
        <f>IF(TABLERO!BB42=0,"",TABLERO!CB42)</f>
        <v/>
      </c>
      <c r="AY42" s="272" t="str">
        <f>IF(OR(TABLERO!BB42=0,TABLERO!H42="RE"),"",FIXED(TABLERO!DL42,2))</f>
        <v/>
      </c>
      <c r="AZ42" s="310" t="str">
        <f>IF(OR(TABLERO!BB42=0,TABLERO!H42="RE"),"",TABLERO!F42&amp;"P-"&amp;TABLERO!BW42&amp;"A")</f>
        <v/>
      </c>
      <c r="BA42" s="272" t="str">
        <f>IF(TABLERO!$BB42=0,"",IF(TABLERO!CI42="-","     -     ",FIXED(IF(TABLERO!$F$17&lt;&gt;"KVA",TABLERO!CI42,TABLERO!CI42/TABLERO!$F$14),2)))</f>
        <v/>
      </c>
      <c r="BB42" s="272" t="str">
        <f>IF(TABLERO!$BB42=0,"",IF(TABLERO!CJ42="-","     -     ",FIXED(IF(TABLERO!$F$17&lt;&gt;"KVA",TABLERO!CJ42,TABLERO!CJ42/TABLERO!$F$14),2)))</f>
        <v/>
      </c>
      <c r="BC42" s="272" t="str">
        <f>IF(TABLERO!$BB42=0,"",IF(TABLERO!CK42="-","     -     ",FIXED(IF(TABLERO!$F$17&lt;&gt;"KVA",TABLERO!CK42,TABLERO!CK42/TABLERO!$F$14),2)))</f>
        <v/>
      </c>
      <c r="BG42" s="275">
        <f>IF(TABLERO!B42="",0,TABLERO!B42)</f>
        <v>12</v>
      </c>
      <c r="BH42" s="275"/>
      <c r="BI42" s="275"/>
      <c r="BK42" s="275"/>
      <c r="BL42" s="289" t="str" cm="1">
        <f t="array" ref="BL42">[1]!ACAELE_LineaCAD(A42)</f>
        <v>++++++++++++++++++++++++++++++2</v>
      </c>
      <c r="BM42" s="279" t="str">
        <f t="shared" si="4"/>
        <v>12+</v>
      </c>
      <c r="BN42" s="304"/>
      <c r="BO42" s="304"/>
      <c r="BP42" s="304"/>
      <c r="BQ42" s="304"/>
      <c r="BR42" s="304"/>
      <c r="BS42" s="304"/>
      <c r="BT42" s="304"/>
      <c r="BU42" s="304"/>
      <c r="BV42" s="304"/>
      <c r="BW42" s="304"/>
      <c r="BX42" s="304"/>
      <c r="BY42" s="304"/>
      <c r="BZ42" s="304"/>
      <c r="CA42" s="304"/>
      <c r="CB42" s="304"/>
      <c r="CC42" s="304"/>
      <c r="CD42" s="304"/>
      <c r="CE42" s="304"/>
      <c r="CF42" s="304"/>
      <c r="CG42" s="304"/>
      <c r="CH42" s="304"/>
      <c r="CI42" s="304"/>
      <c r="CJ42" s="304"/>
      <c r="CK42" s="304"/>
      <c r="CL42" s="304"/>
      <c r="CM42" s="304"/>
      <c r="CN42" s="304"/>
      <c r="CO42" s="304"/>
      <c r="CP42" s="304"/>
      <c r="CQ42" s="304"/>
      <c r="CR42" s="305" t="str" cm="1">
        <f t="array" ref="CR42">CONCATENATE(BM42,_xlfn.TEXTJOIN("",TRUE,IF(BN$129:CQ$129&lt;&gt;"","+"&amp;D42:AG42,"")))</f>
        <v>12+</v>
      </c>
      <c r="CS42" s="279">
        <f t="shared" si="5"/>
        <v>30</v>
      </c>
      <c r="CT42" s="279" t="str">
        <f t="shared" si="3"/>
        <v>+++++++++++++++++++++++++++++++</v>
      </c>
      <c r="CU42" s="291" t="str">
        <f t="shared" si="7"/>
        <v>12++++++++++++++++++++++++++++++++2</v>
      </c>
      <c r="GB42" s="279" t="s">
        <v>1927</v>
      </c>
    </row>
    <row r="43" spans="1:184">
      <c r="A43" s="275">
        <f>IF(C43&lt;&gt;"",1,IF(AH43="",2,IF(OR(IF(TABLERO!B43="",0,TABLERO!B43)&gt;TABLERO!$M$19,IF(TABLERO!C43="",IF(TABLERO!B43="",0,TABLERO!B43),TABLERO!C43)&gt;TABLERO!$M$19,BI43&gt;TABLERO!$M$19,IF(TABLERO!B43="",0,TABLERO!B43)=0,IF(TABLERO!C43="",BG43,TABLERO!C43)=0,IF(TABLERO!D43="",BG43,TABLERO!D43)=0),2,1)))</f>
        <v>2</v>
      </c>
      <c r="B43" s="276" t="str">
        <f>TABLERO!B43&amp;IF(TABLERO!C43="","",","&amp;TABLERO!C43)&amp;IF(TABLERO!D43="","",","&amp;TABLERO!D43)</f>
        <v>13</v>
      </c>
      <c r="C43" s="269" t="str">
        <f>IF(TABLERO!E43=0,"",TABLERO!E43)</f>
        <v/>
      </c>
      <c r="D43" s="312" t="str">
        <f>IF(OR(TABLERO!X43="",TABLERO!X43=0),"",TABLERO!X43)</f>
        <v/>
      </c>
      <c r="E43" s="312" t="str">
        <f>IF(OR(TABLERO!Y43="",TABLERO!Y43=0),"",TABLERO!Y43)</f>
        <v/>
      </c>
      <c r="F43" s="312" t="str">
        <f>IF(OR(TABLERO!Z43="",TABLERO!Z43=0),"",TABLERO!Z43)</f>
        <v/>
      </c>
      <c r="G43" s="312" t="str">
        <f>IF(OR(TABLERO!AA43="",TABLERO!AA43=0),"",TABLERO!AA43)</f>
        <v/>
      </c>
      <c r="H43" s="312" t="str">
        <f>IF(OR(TABLERO!AB43="",TABLERO!AB43=0),"",TABLERO!AB43)</f>
        <v/>
      </c>
      <c r="I43" s="312" t="str">
        <f>IF(OR(TABLERO!AC43="",TABLERO!AC43=0),"",TABLERO!AC43)</f>
        <v/>
      </c>
      <c r="J43" s="312" t="str">
        <f>IF(OR(TABLERO!AD43="",TABLERO!AD43=0),"",TABLERO!AD43)</f>
        <v/>
      </c>
      <c r="K43" s="312" t="str">
        <f>IF(OR(TABLERO!AE43="",TABLERO!AE43=0),"",TABLERO!AE43)</f>
        <v/>
      </c>
      <c r="L43" s="312" t="str">
        <f>IF(OR(TABLERO!AF43="",TABLERO!AF43=0),"",TABLERO!AF43)</f>
        <v/>
      </c>
      <c r="M43" s="312" t="str">
        <f>IF(OR(TABLERO!AG43="",TABLERO!AG43=0),"",TABLERO!AG43)</f>
        <v/>
      </c>
      <c r="N43" s="312" t="str">
        <f>IF(OR(TABLERO!AH43="",TABLERO!AH43=0),"",TABLERO!AH43)</f>
        <v/>
      </c>
      <c r="O43" s="312" t="str">
        <f>IF(OR(TABLERO!AI43="",TABLERO!AI43=0),"",TABLERO!AI43)</f>
        <v/>
      </c>
      <c r="P43" s="312" t="str">
        <f>IF(OR(TABLERO!AJ43="",TABLERO!AJ43=0),"",TABLERO!AJ43)</f>
        <v/>
      </c>
      <c r="Q43" s="312" t="str">
        <f>IF(OR(TABLERO!AK43="",TABLERO!AK43=0),"",TABLERO!AK43)</f>
        <v/>
      </c>
      <c r="R43" s="312" t="str">
        <f>IF(OR(TABLERO!AL43="",TABLERO!AL43=0),"",TABLERO!AL43)</f>
        <v/>
      </c>
      <c r="S43" s="312" t="str">
        <f>IF(OR(TABLERO!AM43="",TABLERO!AM43=0),"",TABLERO!AM43)</f>
        <v/>
      </c>
      <c r="T43" s="312" t="str">
        <f>IF(OR(TABLERO!AN43="",TABLERO!AN43=0),"",TABLERO!AN43)</f>
        <v/>
      </c>
      <c r="U43" s="312" t="str">
        <f>IF(OR(TABLERO!AO43="",TABLERO!AO43=0),"",TABLERO!AO43)</f>
        <v/>
      </c>
      <c r="V43" s="312" t="str">
        <f>IF(OR(TABLERO!AP43="",TABLERO!AP43=0),"",TABLERO!AP43)</f>
        <v/>
      </c>
      <c r="W43" s="312" t="str">
        <f>IF(OR(TABLERO!AQ43="",TABLERO!AQ43=0),"",TABLERO!AQ43)</f>
        <v/>
      </c>
      <c r="X43" s="312" t="str">
        <f>IF(OR(TABLERO!AR43="",TABLERO!AR43=0),"",TABLERO!AR43)</f>
        <v/>
      </c>
      <c r="Y43" s="312" t="str">
        <f>IF(OR(TABLERO!AS43="",TABLERO!AS43=0),"",TABLERO!AS43)</f>
        <v/>
      </c>
      <c r="Z43" s="312" t="str">
        <f>IF(OR(TABLERO!AT43="",TABLERO!AT43=0),"",TABLERO!AT43)</f>
        <v/>
      </c>
      <c r="AA43" s="312" t="str">
        <f>IF(OR(TABLERO!AU43="",TABLERO!AU43=0),"",TABLERO!AU43)</f>
        <v/>
      </c>
      <c r="AB43" s="312" t="str">
        <f>IF(OR(TABLERO!AV43="",TABLERO!AV43=0),"",TABLERO!AV43)</f>
        <v/>
      </c>
      <c r="AC43" s="312" t="str">
        <f>IF(OR(TABLERO!AW43="",TABLERO!AW43=0),"",TABLERO!AW43)</f>
        <v/>
      </c>
      <c r="AD43" s="312" t="str">
        <f>IF(OR(TABLERO!AX43="",TABLERO!AX43=0),"",TABLERO!AX43)</f>
        <v/>
      </c>
      <c r="AE43" s="312" t="str">
        <f>IF(OR(TABLERO!AY43="",TABLERO!AY43=0),"",TABLERO!AY43)</f>
        <v/>
      </c>
      <c r="AF43" s="312" t="str">
        <f>IF(OR(TABLERO!AZ43="",TABLERO!AZ43=0),"",TABLERO!AZ43)</f>
        <v/>
      </c>
      <c r="AG43" s="312" t="str">
        <f>IF(OR(TABLERO!BA43="",TABLERO!BA43=0),"",TABLERO!BA43)</f>
        <v/>
      </c>
      <c r="AH43" s="277" t="str">
        <f>IF(TABLERO!BB43=0,"",FIXED(IF(TABLERO!$F$17&lt;&gt;"KVA",TABLERO!BB43*1000,TABLERO!BB43*1000/TABLERO!DA43),2))</f>
        <v/>
      </c>
      <c r="AI43" s="277" t="str">
        <f>IF(TABLERO!BB43=0,"",FIXED(IF(TABLERO!$F$17&lt;&gt;"KVA",TABLERO!BT43*1000,TABLERO!BT43*1000/TABLERO!DA43),2))</f>
        <v/>
      </c>
      <c r="AJ43" s="272" t="str">
        <f>IF(OR(TABLERO!BU43="",TABLERO!BU43=0),"",FIXED(TABLERO!BU43,2))</f>
        <v/>
      </c>
      <c r="AK43" s="312" t="str">
        <f>IF(TABLERO!BB43=0,"",TABLERO!F43)</f>
        <v/>
      </c>
      <c r="AL43" s="312" t="str">
        <f>IF(TABLERO!BB43=0,"",TABLERO!G43)</f>
        <v/>
      </c>
      <c r="AM43" s="312" t="str">
        <f>IF(TABLERO!BB43=0,"",TABLERO!BV43)</f>
        <v/>
      </c>
      <c r="AN43" s="272" t="str">
        <f>IF(TABLERO!BB43=0,"",TABLERO!K43)</f>
        <v/>
      </c>
      <c r="AO43" s="312" t="str">
        <f>IF(TABLERO!BB43=0,"",TABLERO!J43)</f>
        <v/>
      </c>
      <c r="AP43" s="272" t="str">
        <f>IF(TABLERO!BB43=0,"",TABLERO!CT43)</f>
        <v/>
      </c>
      <c r="AQ43" s="272" t="str">
        <f>IF(TABLERO!BB43=0,"",TABLERO!CS43)</f>
        <v/>
      </c>
      <c r="AR43" s="272" t="str">
        <f>IF(OR(TABLERO!BB43=0,TABLERO!H43="RE"),"",FIXED(TABLERO!CY43,2))</f>
        <v/>
      </c>
      <c r="AS43" s="312" t="str">
        <f>IF(TABLERO!BB43=0,"",TABLERO!N43)</f>
        <v/>
      </c>
      <c r="AT43" s="1164" t="str">
        <f>IF(TABLERO!BB43=0,"",TABLERO!BX43&amp;" "&amp;TABLERO!ED43&amp;", "&amp;TABLERO!I43)</f>
        <v/>
      </c>
      <c r="AU43" s="1165"/>
      <c r="AV43" s="272" t="str">
        <f>IF(OR(TABLERO!BB43=0,TABLERO!H43="RE"),"",FIXED(TABLERO!BZ43,2))</f>
        <v/>
      </c>
      <c r="AW43" s="312" t="str">
        <f>IF(TABLERO!BB43=0,"",TABLERO!CA43)</f>
        <v/>
      </c>
      <c r="AX43" s="271" t="str">
        <f>IF(TABLERO!BB43=0,"",TABLERO!CB43)</f>
        <v/>
      </c>
      <c r="AY43" s="272" t="str">
        <f>IF(OR(TABLERO!BB43=0,TABLERO!H43="RE"),"",FIXED(TABLERO!DL43,2))</f>
        <v/>
      </c>
      <c r="AZ43" s="310" t="str">
        <f>IF(OR(TABLERO!BB43=0,TABLERO!H43="RE"),"",TABLERO!F43&amp;"P-"&amp;TABLERO!BW43&amp;"A")</f>
        <v/>
      </c>
      <c r="BA43" s="272" t="str">
        <f>IF(TABLERO!$BB43=0,"",IF(TABLERO!CI43="-","     -     ",FIXED(IF(TABLERO!$F$17&lt;&gt;"KVA",TABLERO!CI43,TABLERO!CI43/TABLERO!$F$14),2)))</f>
        <v/>
      </c>
      <c r="BB43" s="272" t="str">
        <f>IF(TABLERO!$BB43=0,"",IF(TABLERO!CJ43="-","     -     ",FIXED(IF(TABLERO!$F$17&lt;&gt;"KVA",TABLERO!CJ43,TABLERO!CJ43/TABLERO!$F$14),2)))</f>
        <v/>
      </c>
      <c r="BC43" s="272" t="str">
        <f>IF(TABLERO!$BB43=0,"",IF(TABLERO!CK43="-","     -     ",FIXED(IF(TABLERO!$F$17&lt;&gt;"KVA",TABLERO!CK43,TABLERO!CK43/TABLERO!$F$14),2)))</f>
        <v/>
      </c>
      <c r="BG43" s="275">
        <f>IF(TABLERO!B43="",0,TABLERO!B43)</f>
        <v>13</v>
      </c>
      <c r="BH43" s="275"/>
      <c r="BI43" s="275"/>
      <c r="BK43" s="275"/>
      <c r="BL43" s="289" t="str" cm="1">
        <f t="array" ref="BL43">[1]!ACAELE_LineaCAD(A43)</f>
        <v>++++++++++++++++++++++++++++++2</v>
      </c>
      <c r="BM43" s="279" t="str">
        <f t="shared" si="4"/>
        <v>13+</v>
      </c>
      <c r="BN43" s="304"/>
      <c r="BO43" s="304"/>
      <c r="BP43" s="304"/>
      <c r="BQ43" s="304"/>
      <c r="BR43" s="304"/>
      <c r="BS43" s="304"/>
      <c r="BT43" s="304"/>
      <c r="BU43" s="304"/>
      <c r="BV43" s="304"/>
      <c r="BW43" s="304"/>
      <c r="BX43" s="304"/>
      <c r="BY43" s="304"/>
      <c r="BZ43" s="304"/>
      <c r="CA43" s="304"/>
      <c r="CB43" s="304"/>
      <c r="CC43" s="304"/>
      <c r="CD43" s="304"/>
      <c r="CE43" s="304"/>
      <c r="CF43" s="304"/>
      <c r="CG43" s="304"/>
      <c r="CH43" s="304"/>
      <c r="CI43" s="304"/>
      <c r="CJ43" s="304"/>
      <c r="CK43" s="304"/>
      <c r="CL43" s="304"/>
      <c r="CM43" s="304"/>
      <c r="CN43" s="304"/>
      <c r="CO43" s="304"/>
      <c r="CP43" s="304"/>
      <c r="CQ43" s="304"/>
      <c r="CR43" s="305" t="str" cm="1">
        <f t="array" ref="CR43">CONCATENATE(BM43,_xlfn.TEXTJOIN("",TRUE,IF(BN$129:CQ$129&lt;&gt;"","+"&amp;D43:AG43,"")))</f>
        <v>13+</v>
      </c>
      <c r="CS43" s="279">
        <f t="shared" si="5"/>
        <v>30</v>
      </c>
      <c r="CT43" s="279" t="str">
        <f t="shared" si="3"/>
        <v>+++++++++++++++++++++++++++++++</v>
      </c>
      <c r="CU43" s="291" t="str">
        <f t="shared" si="7"/>
        <v>13++++++++++++++++++++++++++++++++2</v>
      </c>
      <c r="GB43" s="279" t="s">
        <v>1928</v>
      </c>
    </row>
    <row r="44" spans="1:184">
      <c r="A44" s="275">
        <f>IF(C44&lt;&gt;"",1,IF(AH44="",2,IF(OR(IF(TABLERO!B44="",0,TABLERO!B44)&gt;TABLERO!$M$19,IF(TABLERO!C44="",IF(TABLERO!B44="",0,TABLERO!B44),TABLERO!C44)&gt;TABLERO!$M$19,BI44&gt;TABLERO!$M$19,IF(TABLERO!B44="",0,TABLERO!B44)=0,IF(TABLERO!C44="",BG44,TABLERO!C44)=0,IF(TABLERO!D44="",BG44,TABLERO!D44)=0),2,1)))</f>
        <v>2</v>
      </c>
      <c r="B44" s="276" t="str">
        <f>TABLERO!B44&amp;IF(TABLERO!C44="","",","&amp;TABLERO!C44)&amp;IF(TABLERO!D44="","",","&amp;TABLERO!D44)</f>
        <v>14</v>
      </c>
      <c r="C44" s="269" t="str">
        <f>IF(TABLERO!E44=0,"",TABLERO!E44)</f>
        <v/>
      </c>
      <c r="D44" s="312" t="str">
        <f>IF(OR(TABLERO!X44="",TABLERO!X44=0),"",TABLERO!X44)</f>
        <v/>
      </c>
      <c r="E44" s="312" t="str">
        <f>IF(OR(TABLERO!Y44="",TABLERO!Y44=0),"",TABLERO!Y44)</f>
        <v/>
      </c>
      <c r="F44" s="312" t="str">
        <f>IF(OR(TABLERO!Z44="",TABLERO!Z44=0),"",TABLERO!Z44)</f>
        <v/>
      </c>
      <c r="G44" s="312" t="str">
        <f>IF(OR(TABLERO!AA44="",TABLERO!AA44=0),"",TABLERO!AA44)</f>
        <v/>
      </c>
      <c r="H44" s="312" t="str">
        <f>IF(OR(TABLERO!AB44="",TABLERO!AB44=0),"",TABLERO!AB44)</f>
        <v/>
      </c>
      <c r="I44" s="312" t="str">
        <f>IF(OR(TABLERO!AC44="",TABLERO!AC44=0),"",TABLERO!AC44)</f>
        <v/>
      </c>
      <c r="J44" s="312" t="str">
        <f>IF(OR(TABLERO!AD44="",TABLERO!AD44=0),"",TABLERO!AD44)</f>
        <v/>
      </c>
      <c r="K44" s="312" t="str">
        <f>IF(OR(TABLERO!AE44="",TABLERO!AE44=0),"",TABLERO!AE44)</f>
        <v/>
      </c>
      <c r="L44" s="312" t="str">
        <f>IF(OR(TABLERO!AF44="",TABLERO!AF44=0),"",TABLERO!AF44)</f>
        <v/>
      </c>
      <c r="M44" s="312" t="str">
        <f>IF(OR(TABLERO!AG44="",TABLERO!AG44=0),"",TABLERO!AG44)</f>
        <v/>
      </c>
      <c r="N44" s="312" t="str">
        <f>IF(OR(TABLERO!AH44="",TABLERO!AH44=0),"",TABLERO!AH44)</f>
        <v/>
      </c>
      <c r="O44" s="312" t="str">
        <f>IF(OR(TABLERO!AI44="",TABLERO!AI44=0),"",TABLERO!AI44)</f>
        <v/>
      </c>
      <c r="P44" s="312" t="str">
        <f>IF(OR(TABLERO!AJ44="",TABLERO!AJ44=0),"",TABLERO!AJ44)</f>
        <v/>
      </c>
      <c r="Q44" s="312" t="str">
        <f>IF(OR(TABLERO!AK44="",TABLERO!AK44=0),"",TABLERO!AK44)</f>
        <v/>
      </c>
      <c r="R44" s="312" t="str">
        <f>IF(OR(TABLERO!AL44="",TABLERO!AL44=0),"",TABLERO!AL44)</f>
        <v/>
      </c>
      <c r="S44" s="312" t="str">
        <f>IF(OR(TABLERO!AM44="",TABLERO!AM44=0),"",TABLERO!AM44)</f>
        <v/>
      </c>
      <c r="T44" s="312" t="str">
        <f>IF(OR(TABLERO!AN44="",TABLERO!AN44=0),"",TABLERO!AN44)</f>
        <v/>
      </c>
      <c r="U44" s="312" t="str">
        <f>IF(OR(TABLERO!AO44="",TABLERO!AO44=0),"",TABLERO!AO44)</f>
        <v/>
      </c>
      <c r="V44" s="312" t="str">
        <f>IF(OR(TABLERO!AP44="",TABLERO!AP44=0),"",TABLERO!AP44)</f>
        <v/>
      </c>
      <c r="W44" s="312" t="str">
        <f>IF(OR(TABLERO!AQ44="",TABLERO!AQ44=0),"",TABLERO!AQ44)</f>
        <v/>
      </c>
      <c r="X44" s="312" t="str">
        <f>IF(OR(TABLERO!AR44="",TABLERO!AR44=0),"",TABLERO!AR44)</f>
        <v/>
      </c>
      <c r="Y44" s="312" t="str">
        <f>IF(OR(TABLERO!AS44="",TABLERO!AS44=0),"",TABLERO!AS44)</f>
        <v/>
      </c>
      <c r="Z44" s="312" t="str">
        <f>IF(OR(TABLERO!AT44="",TABLERO!AT44=0),"",TABLERO!AT44)</f>
        <v/>
      </c>
      <c r="AA44" s="312" t="str">
        <f>IF(OR(TABLERO!AU44="",TABLERO!AU44=0),"",TABLERO!AU44)</f>
        <v/>
      </c>
      <c r="AB44" s="312" t="str">
        <f>IF(OR(TABLERO!AV44="",TABLERO!AV44=0),"",TABLERO!AV44)</f>
        <v/>
      </c>
      <c r="AC44" s="312" t="str">
        <f>IF(OR(TABLERO!AW44="",TABLERO!AW44=0),"",TABLERO!AW44)</f>
        <v/>
      </c>
      <c r="AD44" s="312" t="str">
        <f>IF(OR(TABLERO!AX44="",TABLERO!AX44=0),"",TABLERO!AX44)</f>
        <v/>
      </c>
      <c r="AE44" s="312" t="str">
        <f>IF(OR(TABLERO!AY44="",TABLERO!AY44=0),"",TABLERO!AY44)</f>
        <v/>
      </c>
      <c r="AF44" s="312" t="str">
        <f>IF(OR(TABLERO!AZ44="",TABLERO!AZ44=0),"",TABLERO!AZ44)</f>
        <v/>
      </c>
      <c r="AG44" s="312" t="str">
        <f>IF(OR(TABLERO!BA44="",TABLERO!BA44=0),"",TABLERO!BA44)</f>
        <v/>
      </c>
      <c r="AH44" s="277" t="str">
        <f>IF(TABLERO!BB44=0,"",FIXED(IF(TABLERO!$F$17&lt;&gt;"KVA",TABLERO!BB44*1000,TABLERO!BB44*1000/TABLERO!DA44),2))</f>
        <v/>
      </c>
      <c r="AI44" s="277" t="str">
        <f>IF(TABLERO!BB44=0,"",FIXED(IF(TABLERO!$F$17&lt;&gt;"KVA",TABLERO!BT44*1000,TABLERO!BT44*1000/TABLERO!DA44),2))</f>
        <v/>
      </c>
      <c r="AJ44" s="272" t="str">
        <f>IF(OR(TABLERO!BU44="",TABLERO!BU44=0),"",FIXED(TABLERO!BU44,2))</f>
        <v/>
      </c>
      <c r="AK44" s="312" t="str">
        <f>IF(TABLERO!BB44=0,"",TABLERO!F44)</f>
        <v/>
      </c>
      <c r="AL44" s="312" t="str">
        <f>IF(TABLERO!BB44=0,"",TABLERO!G44)</f>
        <v/>
      </c>
      <c r="AM44" s="312" t="str">
        <f>IF(TABLERO!BB44=0,"",TABLERO!BV44)</f>
        <v/>
      </c>
      <c r="AN44" s="272" t="str">
        <f>IF(TABLERO!BB44=0,"",TABLERO!K44)</f>
        <v/>
      </c>
      <c r="AO44" s="312" t="str">
        <f>IF(TABLERO!BB44=0,"",TABLERO!J44)</f>
        <v/>
      </c>
      <c r="AP44" s="272" t="str">
        <f>IF(TABLERO!BB44=0,"",TABLERO!CT44)</f>
        <v/>
      </c>
      <c r="AQ44" s="272" t="str">
        <f>IF(TABLERO!BB44=0,"",TABLERO!CS44)</f>
        <v/>
      </c>
      <c r="AR44" s="272" t="str">
        <f>IF(OR(TABLERO!BB44=0,TABLERO!H44="RE"),"",FIXED(TABLERO!CY44,2))</f>
        <v/>
      </c>
      <c r="AS44" s="312" t="str">
        <f>IF(TABLERO!BB44=0,"",TABLERO!N44)</f>
        <v/>
      </c>
      <c r="AT44" s="1164" t="str">
        <f>IF(TABLERO!BB44=0,"",TABLERO!BX44&amp;" "&amp;TABLERO!ED44&amp;", "&amp;TABLERO!I44)</f>
        <v/>
      </c>
      <c r="AU44" s="1165"/>
      <c r="AV44" s="272" t="str">
        <f>IF(OR(TABLERO!BB44=0,TABLERO!H44="RE"),"",FIXED(TABLERO!BZ44,2))</f>
        <v/>
      </c>
      <c r="AW44" s="312" t="str">
        <f>IF(TABLERO!BB44=0,"",TABLERO!CA44)</f>
        <v/>
      </c>
      <c r="AX44" s="271" t="str">
        <f>IF(TABLERO!BB44=0,"",TABLERO!CB44)</f>
        <v/>
      </c>
      <c r="AY44" s="272" t="str">
        <f>IF(OR(TABLERO!BB44=0,TABLERO!H44="RE"),"",FIXED(TABLERO!DL44,2))</f>
        <v/>
      </c>
      <c r="AZ44" s="310" t="str">
        <f>IF(OR(TABLERO!BB44=0,TABLERO!H44="RE"),"",TABLERO!F44&amp;"P-"&amp;TABLERO!BW44&amp;"A")</f>
        <v/>
      </c>
      <c r="BA44" s="272" t="str">
        <f>IF(TABLERO!$BB44=0,"",IF(TABLERO!CI44="-","     -     ",FIXED(IF(TABLERO!$F$17&lt;&gt;"KVA",TABLERO!CI44,TABLERO!CI44/TABLERO!$F$14),2)))</f>
        <v/>
      </c>
      <c r="BB44" s="272" t="str">
        <f>IF(TABLERO!$BB44=0,"",IF(TABLERO!CJ44="-","     -     ",FIXED(IF(TABLERO!$F$17&lt;&gt;"KVA",TABLERO!CJ44,TABLERO!CJ44/TABLERO!$F$14),2)))</f>
        <v/>
      </c>
      <c r="BC44" s="272" t="str">
        <f>IF(TABLERO!$BB44=0,"",IF(TABLERO!CK44="-","     -     ",FIXED(IF(TABLERO!$F$17&lt;&gt;"KVA",TABLERO!CK44,TABLERO!CK44/TABLERO!$F$14),2)))</f>
        <v/>
      </c>
      <c r="BG44" s="275">
        <f>IF(TABLERO!B44="",0,TABLERO!B44)</f>
        <v>14</v>
      </c>
      <c r="BH44" s="275"/>
      <c r="BI44" s="275"/>
      <c r="BK44" s="275"/>
      <c r="BL44" s="289" t="str" cm="1">
        <f t="array" ref="BL44">[1]!ACAELE_LineaCAD(A44)</f>
        <v>++++++++++++++++++++++++++++++2</v>
      </c>
      <c r="BM44" s="279" t="str">
        <f t="shared" si="4"/>
        <v>14+</v>
      </c>
      <c r="BN44" s="304"/>
      <c r="BO44" s="304"/>
      <c r="BP44" s="304"/>
      <c r="BQ44" s="304"/>
      <c r="BR44" s="304"/>
      <c r="BS44" s="304"/>
      <c r="BT44" s="304"/>
      <c r="BU44" s="304"/>
      <c r="BV44" s="304"/>
      <c r="BW44" s="304"/>
      <c r="BX44" s="304"/>
      <c r="BY44" s="304"/>
      <c r="BZ44" s="304"/>
      <c r="CA44" s="304"/>
      <c r="CB44" s="304"/>
      <c r="CC44" s="304"/>
      <c r="CD44" s="304"/>
      <c r="CE44" s="304"/>
      <c r="CF44" s="304"/>
      <c r="CG44" s="304"/>
      <c r="CH44" s="304"/>
      <c r="CI44" s="304"/>
      <c r="CJ44" s="304"/>
      <c r="CK44" s="304"/>
      <c r="CL44" s="304"/>
      <c r="CM44" s="304"/>
      <c r="CN44" s="304"/>
      <c r="CO44" s="304"/>
      <c r="CP44" s="304"/>
      <c r="CQ44" s="304"/>
      <c r="CR44" s="305" t="str" cm="1">
        <f t="array" ref="CR44">CONCATENATE(BM44,_xlfn.TEXTJOIN("",TRUE,IF(BN$129:CQ$129&lt;&gt;"","+"&amp;D44:AG44,"")))</f>
        <v>14+</v>
      </c>
      <c r="CS44" s="279">
        <f t="shared" si="5"/>
        <v>30</v>
      </c>
      <c r="CT44" s="279" t="str">
        <f t="shared" si="3"/>
        <v>+++++++++++++++++++++++++++++++</v>
      </c>
      <c r="CU44" s="291" t="str">
        <f t="shared" si="7"/>
        <v>14++++++++++++++++++++++++++++++++2</v>
      </c>
      <c r="GB44" s="279" t="s">
        <v>1929</v>
      </c>
    </row>
    <row r="45" spans="1:184">
      <c r="A45" s="275">
        <f>IF(C45&lt;&gt;"",1,IF(AH45="",2,IF(OR(IF(TABLERO!B45="",0,TABLERO!B45)&gt;TABLERO!$M$19,IF(TABLERO!C45="",IF(TABLERO!B45="",0,TABLERO!B45),TABLERO!C45)&gt;TABLERO!$M$19,BI45&gt;TABLERO!$M$19,IF(TABLERO!B45="",0,TABLERO!B45)=0,IF(TABLERO!C45="",BG45,TABLERO!C45)=0,IF(TABLERO!D45="",BG45,TABLERO!D45)=0),2,1)))</f>
        <v>2</v>
      </c>
      <c r="B45" s="276" t="str">
        <f>TABLERO!B45&amp;IF(TABLERO!C45="","",","&amp;TABLERO!C45)&amp;IF(TABLERO!D45="","",","&amp;TABLERO!D45)</f>
        <v>15</v>
      </c>
      <c r="C45" s="269" t="str">
        <f>IF(TABLERO!E45=0,"",TABLERO!E45)</f>
        <v/>
      </c>
      <c r="D45" s="312" t="str">
        <f>IF(OR(TABLERO!X45="",TABLERO!X45=0),"",TABLERO!X45)</f>
        <v/>
      </c>
      <c r="E45" s="312" t="str">
        <f>IF(OR(TABLERO!Y45="",TABLERO!Y45=0),"",TABLERO!Y45)</f>
        <v/>
      </c>
      <c r="F45" s="312" t="str">
        <f>IF(OR(TABLERO!Z45="",TABLERO!Z45=0),"",TABLERO!Z45)</f>
        <v/>
      </c>
      <c r="G45" s="312" t="str">
        <f>IF(OR(TABLERO!AA45="",TABLERO!AA45=0),"",TABLERO!AA45)</f>
        <v/>
      </c>
      <c r="H45" s="312" t="str">
        <f>IF(OR(TABLERO!AB45="",TABLERO!AB45=0),"",TABLERO!AB45)</f>
        <v/>
      </c>
      <c r="I45" s="312" t="str">
        <f>IF(OR(TABLERO!AC45="",TABLERO!AC45=0),"",TABLERO!AC45)</f>
        <v/>
      </c>
      <c r="J45" s="312" t="str">
        <f>IF(OR(TABLERO!AD45="",TABLERO!AD45=0),"",TABLERO!AD45)</f>
        <v/>
      </c>
      <c r="K45" s="312" t="str">
        <f>IF(OR(TABLERO!AE45="",TABLERO!AE45=0),"",TABLERO!AE45)</f>
        <v/>
      </c>
      <c r="L45" s="312" t="str">
        <f>IF(OR(TABLERO!AF45="",TABLERO!AF45=0),"",TABLERO!AF45)</f>
        <v/>
      </c>
      <c r="M45" s="312" t="str">
        <f>IF(OR(TABLERO!AG45="",TABLERO!AG45=0),"",TABLERO!AG45)</f>
        <v/>
      </c>
      <c r="N45" s="312" t="str">
        <f>IF(OR(TABLERO!AH45="",TABLERO!AH45=0),"",TABLERO!AH45)</f>
        <v/>
      </c>
      <c r="O45" s="312" t="str">
        <f>IF(OR(TABLERO!AI45="",TABLERO!AI45=0),"",TABLERO!AI45)</f>
        <v/>
      </c>
      <c r="P45" s="312" t="str">
        <f>IF(OR(TABLERO!AJ45="",TABLERO!AJ45=0),"",TABLERO!AJ45)</f>
        <v/>
      </c>
      <c r="Q45" s="312" t="str">
        <f>IF(OR(TABLERO!AK45="",TABLERO!AK45=0),"",TABLERO!AK45)</f>
        <v/>
      </c>
      <c r="R45" s="312" t="str">
        <f>IF(OR(TABLERO!AL45="",TABLERO!AL45=0),"",TABLERO!AL45)</f>
        <v/>
      </c>
      <c r="S45" s="312" t="str">
        <f>IF(OR(TABLERO!AM45="",TABLERO!AM45=0),"",TABLERO!AM45)</f>
        <v/>
      </c>
      <c r="T45" s="312" t="str">
        <f>IF(OR(TABLERO!AN45="",TABLERO!AN45=0),"",TABLERO!AN45)</f>
        <v/>
      </c>
      <c r="U45" s="312" t="str">
        <f>IF(OR(TABLERO!AO45="",TABLERO!AO45=0),"",TABLERO!AO45)</f>
        <v/>
      </c>
      <c r="V45" s="312" t="str">
        <f>IF(OR(TABLERO!AP45="",TABLERO!AP45=0),"",TABLERO!AP45)</f>
        <v/>
      </c>
      <c r="W45" s="312" t="str">
        <f>IF(OR(TABLERO!AQ45="",TABLERO!AQ45=0),"",TABLERO!AQ45)</f>
        <v/>
      </c>
      <c r="X45" s="312" t="str">
        <f>IF(OR(TABLERO!AR45="",TABLERO!AR45=0),"",TABLERO!AR45)</f>
        <v/>
      </c>
      <c r="Y45" s="312" t="str">
        <f>IF(OR(TABLERO!AS45="",TABLERO!AS45=0),"",TABLERO!AS45)</f>
        <v/>
      </c>
      <c r="Z45" s="312" t="str">
        <f>IF(OR(TABLERO!AT45="",TABLERO!AT45=0),"",TABLERO!AT45)</f>
        <v/>
      </c>
      <c r="AA45" s="312" t="str">
        <f>IF(OR(TABLERO!AU45="",TABLERO!AU45=0),"",TABLERO!AU45)</f>
        <v/>
      </c>
      <c r="AB45" s="312" t="str">
        <f>IF(OR(TABLERO!AV45="",TABLERO!AV45=0),"",TABLERO!AV45)</f>
        <v/>
      </c>
      <c r="AC45" s="312" t="str">
        <f>IF(OR(TABLERO!AW45="",TABLERO!AW45=0),"",TABLERO!AW45)</f>
        <v/>
      </c>
      <c r="AD45" s="312" t="str">
        <f>IF(OR(TABLERO!AX45="",TABLERO!AX45=0),"",TABLERO!AX45)</f>
        <v/>
      </c>
      <c r="AE45" s="312" t="str">
        <f>IF(OR(TABLERO!AY45="",TABLERO!AY45=0),"",TABLERO!AY45)</f>
        <v/>
      </c>
      <c r="AF45" s="312" t="str">
        <f>IF(OR(TABLERO!AZ45="",TABLERO!AZ45=0),"",TABLERO!AZ45)</f>
        <v/>
      </c>
      <c r="AG45" s="312" t="str">
        <f>IF(OR(TABLERO!BA45="",TABLERO!BA45=0),"",TABLERO!BA45)</f>
        <v/>
      </c>
      <c r="AH45" s="277" t="str">
        <f>IF(TABLERO!BB45=0,"",FIXED(IF(TABLERO!$F$17&lt;&gt;"KVA",TABLERO!BB45*1000,TABLERO!BB45*1000/TABLERO!DA45),2))</f>
        <v/>
      </c>
      <c r="AI45" s="277" t="str">
        <f>IF(TABLERO!BB45=0,"",FIXED(IF(TABLERO!$F$17&lt;&gt;"KVA",TABLERO!BT45*1000,TABLERO!BT45*1000/TABLERO!DA45),2))</f>
        <v/>
      </c>
      <c r="AJ45" s="272" t="str">
        <f>IF(OR(TABLERO!BU45="",TABLERO!BU45=0),"",FIXED(TABLERO!BU45,2))</f>
        <v/>
      </c>
      <c r="AK45" s="312" t="str">
        <f>IF(TABLERO!BB45=0,"",TABLERO!F45)</f>
        <v/>
      </c>
      <c r="AL45" s="312" t="str">
        <f>IF(TABLERO!BB45=0,"",TABLERO!G45)</f>
        <v/>
      </c>
      <c r="AM45" s="312" t="str">
        <f>IF(TABLERO!BB45=0,"",TABLERO!BV45)</f>
        <v/>
      </c>
      <c r="AN45" s="272" t="str">
        <f>IF(TABLERO!BB45=0,"",TABLERO!K45)</f>
        <v/>
      </c>
      <c r="AO45" s="312" t="str">
        <f>IF(TABLERO!BB45=0,"",TABLERO!J45)</f>
        <v/>
      </c>
      <c r="AP45" s="272" t="str">
        <f>IF(TABLERO!BB45=0,"",TABLERO!CT45)</f>
        <v/>
      </c>
      <c r="AQ45" s="272" t="str">
        <f>IF(TABLERO!BB45=0,"",TABLERO!CS45)</f>
        <v/>
      </c>
      <c r="AR45" s="272" t="str">
        <f>IF(OR(TABLERO!BB45=0,TABLERO!H45="RE"),"",FIXED(TABLERO!CY45,2))</f>
        <v/>
      </c>
      <c r="AS45" s="312" t="str">
        <f>IF(TABLERO!BB45=0,"",TABLERO!N45)</f>
        <v/>
      </c>
      <c r="AT45" s="1164" t="str">
        <f>IF(TABLERO!BB45=0,"",TABLERO!BX45&amp;" "&amp;TABLERO!ED45&amp;", "&amp;TABLERO!I45)</f>
        <v/>
      </c>
      <c r="AU45" s="1165"/>
      <c r="AV45" s="272" t="str">
        <f>IF(OR(TABLERO!BB45=0,TABLERO!H45="RE"),"",FIXED(TABLERO!BZ45,2))</f>
        <v/>
      </c>
      <c r="AW45" s="312" t="str">
        <f>IF(TABLERO!BB45=0,"",TABLERO!CA45)</f>
        <v/>
      </c>
      <c r="AX45" s="271" t="str">
        <f>IF(TABLERO!BB45=0,"",TABLERO!CB45)</f>
        <v/>
      </c>
      <c r="AY45" s="272" t="str">
        <f>IF(OR(TABLERO!BB45=0,TABLERO!H45="RE"),"",FIXED(TABLERO!DL45,2))</f>
        <v/>
      </c>
      <c r="AZ45" s="310" t="str">
        <f>IF(OR(TABLERO!BB45=0,TABLERO!H45="RE"),"",TABLERO!F45&amp;"P-"&amp;TABLERO!BW45&amp;"A")</f>
        <v/>
      </c>
      <c r="BA45" s="272" t="str">
        <f>IF(TABLERO!$BB45=0,"",IF(TABLERO!CI45="-","     -     ",FIXED(IF(TABLERO!$F$17&lt;&gt;"KVA",TABLERO!CI45,TABLERO!CI45/TABLERO!$F$14),2)))</f>
        <v/>
      </c>
      <c r="BB45" s="272" t="str">
        <f>IF(TABLERO!$BB45=0,"",IF(TABLERO!CJ45="-","     -     ",FIXED(IF(TABLERO!$F$17&lt;&gt;"KVA",TABLERO!CJ45,TABLERO!CJ45/TABLERO!$F$14),2)))</f>
        <v/>
      </c>
      <c r="BC45" s="272" t="str">
        <f>IF(TABLERO!$BB45=0,"",IF(TABLERO!CK45="-","     -     ",FIXED(IF(TABLERO!$F$17&lt;&gt;"KVA",TABLERO!CK45,TABLERO!CK45/TABLERO!$F$14),2)))</f>
        <v/>
      </c>
      <c r="BG45" s="275">
        <f>IF(TABLERO!B45="",0,TABLERO!B45)</f>
        <v>15</v>
      </c>
      <c r="BH45" s="275"/>
      <c r="BI45" s="275"/>
      <c r="BK45" s="275"/>
      <c r="BL45" s="289" t="str" cm="1">
        <f t="array" ref="BL45">[1]!ACAELE_LineaCAD(A45)</f>
        <v>++++++++++++++++++++++++++++++2</v>
      </c>
      <c r="BM45" s="279" t="str">
        <f t="shared" si="4"/>
        <v>15+</v>
      </c>
      <c r="BN45" s="304"/>
      <c r="BO45" s="304"/>
      <c r="BP45" s="304"/>
      <c r="BQ45" s="304"/>
      <c r="BR45" s="304"/>
      <c r="BS45" s="304"/>
      <c r="BT45" s="304"/>
      <c r="BU45" s="304"/>
      <c r="BV45" s="304"/>
      <c r="BW45" s="304"/>
      <c r="BX45" s="304"/>
      <c r="BY45" s="304"/>
      <c r="BZ45" s="304"/>
      <c r="CA45" s="304"/>
      <c r="CB45" s="304"/>
      <c r="CC45" s="304"/>
      <c r="CD45" s="304"/>
      <c r="CE45" s="304"/>
      <c r="CF45" s="304"/>
      <c r="CG45" s="304"/>
      <c r="CH45" s="304"/>
      <c r="CI45" s="304"/>
      <c r="CJ45" s="304"/>
      <c r="CK45" s="304"/>
      <c r="CL45" s="304"/>
      <c r="CM45" s="304"/>
      <c r="CN45" s="304"/>
      <c r="CO45" s="304"/>
      <c r="CP45" s="304"/>
      <c r="CQ45" s="304"/>
      <c r="CR45" s="305" t="str" cm="1">
        <f t="array" ref="CR45">CONCATENATE(BM45,_xlfn.TEXTJOIN("",TRUE,IF(BN$129:CQ$129&lt;&gt;"","+"&amp;D45:AG45,"")))</f>
        <v>15+</v>
      </c>
      <c r="CS45" s="279">
        <f t="shared" si="5"/>
        <v>30</v>
      </c>
      <c r="CT45" s="279" t="str">
        <f t="shared" si="3"/>
        <v>+++++++++++++++++++++++++++++++</v>
      </c>
      <c r="CU45" s="291" t="str">
        <f t="shared" si="7"/>
        <v>15++++++++++++++++++++++++++++++++2</v>
      </c>
      <c r="GB45" s="279" t="s">
        <v>1930</v>
      </c>
    </row>
    <row r="46" spans="1:184">
      <c r="A46" s="275">
        <f>IF(C46&lt;&gt;"",1,IF(AH46="",2,IF(OR(IF(TABLERO!B46="",0,TABLERO!B46)&gt;TABLERO!$M$19,IF(TABLERO!C46="",IF(TABLERO!B46="",0,TABLERO!B46),TABLERO!C46)&gt;TABLERO!$M$19,BI46&gt;TABLERO!$M$19,IF(TABLERO!B46="",0,TABLERO!B46)=0,IF(TABLERO!C46="",BG46,TABLERO!C46)=0,IF(TABLERO!D46="",BG46,TABLERO!D46)=0),2,1)))</f>
        <v>2</v>
      </c>
      <c r="B46" s="276" t="str">
        <f>TABLERO!B46&amp;IF(TABLERO!C46="","",","&amp;TABLERO!C46)&amp;IF(TABLERO!D46="","",","&amp;TABLERO!D46)</f>
        <v>16</v>
      </c>
      <c r="C46" s="269" t="str">
        <f>IF(TABLERO!E46=0,"",TABLERO!E46)</f>
        <v/>
      </c>
      <c r="D46" s="312" t="str">
        <f>IF(OR(TABLERO!X46="",TABLERO!X46=0),"",TABLERO!X46)</f>
        <v/>
      </c>
      <c r="E46" s="312" t="str">
        <f>IF(OR(TABLERO!Y46="",TABLERO!Y46=0),"",TABLERO!Y46)</f>
        <v/>
      </c>
      <c r="F46" s="312" t="str">
        <f>IF(OR(TABLERO!Z46="",TABLERO!Z46=0),"",TABLERO!Z46)</f>
        <v/>
      </c>
      <c r="G46" s="312" t="str">
        <f>IF(OR(TABLERO!AA46="",TABLERO!AA46=0),"",TABLERO!AA46)</f>
        <v/>
      </c>
      <c r="H46" s="312" t="str">
        <f>IF(OR(TABLERO!AB46="",TABLERO!AB46=0),"",TABLERO!AB46)</f>
        <v/>
      </c>
      <c r="I46" s="312" t="str">
        <f>IF(OR(TABLERO!AC46="",TABLERO!AC46=0),"",TABLERO!AC46)</f>
        <v/>
      </c>
      <c r="J46" s="312" t="str">
        <f>IF(OR(TABLERO!AD46="",TABLERO!AD46=0),"",TABLERO!AD46)</f>
        <v/>
      </c>
      <c r="K46" s="312" t="str">
        <f>IF(OR(TABLERO!AE46="",TABLERO!AE46=0),"",TABLERO!AE46)</f>
        <v/>
      </c>
      <c r="L46" s="312" t="str">
        <f>IF(OR(TABLERO!AF46="",TABLERO!AF46=0),"",TABLERO!AF46)</f>
        <v/>
      </c>
      <c r="M46" s="312" t="str">
        <f>IF(OR(TABLERO!AG46="",TABLERO!AG46=0),"",TABLERO!AG46)</f>
        <v/>
      </c>
      <c r="N46" s="312" t="str">
        <f>IF(OR(TABLERO!AH46="",TABLERO!AH46=0),"",TABLERO!AH46)</f>
        <v/>
      </c>
      <c r="O46" s="312" t="str">
        <f>IF(OR(TABLERO!AI46="",TABLERO!AI46=0),"",TABLERO!AI46)</f>
        <v/>
      </c>
      <c r="P46" s="312" t="str">
        <f>IF(OR(TABLERO!AJ46="",TABLERO!AJ46=0),"",TABLERO!AJ46)</f>
        <v/>
      </c>
      <c r="Q46" s="312" t="str">
        <f>IF(OR(TABLERO!AK46="",TABLERO!AK46=0),"",TABLERO!AK46)</f>
        <v/>
      </c>
      <c r="R46" s="312" t="str">
        <f>IF(OR(TABLERO!AL46="",TABLERO!AL46=0),"",TABLERO!AL46)</f>
        <v/>
      </c>
      <c r="S46" s="312" t="str">
        <f>IF(OR(TABLERO!AM46="",TABLERO!AM46=0),"",TABLERO!AM46)</f>
        <v/>
      </c>
      <c r="T46" s="312" t="str">
        <f>IF(OR(TABLERO!AN46="",TABLERO!AN46=0),"",TABLERO!AN46)</f>
        <v/>
      </c>
      <c r="U46" s="312" t="str">
        <f>IF(OR(TABLERO!AO46="",TABLERO!AO46=0),"",TABLERO!AO46)</f>
        <v/>
      </c>
      <c r="V46" s="312" t="str">
        <f>IF(OR(TABLERO!AP46="",TABLERO!AP46=0),"",TABLERO!AP46)</f>
        <v/>
      </c>
      <c r="W46" s="312" t="str">
        <f>IF(OR(TABLERO!AQ46="",TABLERO!AQ46=0),"",TABLERO!AQ46)</f>
        <v/>
      </c>
      <c r="X46" s="312" t="str">
        <f>IF(OR(TABLERO!AR46="",TABLERO!AR46=0),"",TABLERO!AR46)</f>
        <v/>
      </c>
      <c r="Y46" s="312" t="str">
        <f>IF(OR(TABLERO!AS46="",TABLERO!AS46=0),"",TABLERO!AS46)</f>
        <v/>
      </c>
      <c r="Z46" s="312" t="str">
        <f>IF(OR(TABLERO!AT46="",TABLERO!AT46=0),"",TABLERO!AT46)</f>
        <v/>
      </c>
      <c r="AA46" s="312" t="str">
        <f>IF(OR(TABLERO!AU46="",TABLERO!AU46=0),"",TABLERO!AU46)</f>
        <v/>
      </c>
      <c r="AB46" s="312" t="str">
        <f>IF(OR(TABLERO!AV46="",TABLERO!AV46=0),"",TABLERO!AV46)</f>
        <v/>
      </c>
      <c r="AC46" s="312" t="str">
        <f>IF(OR(TABLERO!AW46="",TABLERO!AW46=0),"",TABLERO!AW46)</f>
        <v/>
      </c>
      <c r="AD46" s="312" t="str">
        <f>IF(OR(TABLERO!AX46="",TABLERO!AX46=0),"",TABLERO!AX46)</f>
        <v/>
      </c>
      <c r="AE46" s="312" t="str">
        <f>IF(OR(TABLERO!AY46="",TABLERO!AY46=0),"",TABLERO!AY46)</f>
        <v/>
      </c>
      <c r="AF46" s="312" t="str">
        <f>IF(OR(TABLERO!AZ46="",TABLERO!AZ46=0),"",TABLERO!AZ46)</f>
        <v/>
      </c>
      <c r="AG46" s="312" t="str">
        <f>IF(OR(TABLERO!BA46="",TABLERO!BA46=0),"",TABLERO!BA46)</f>
        <v/>
      </c>
      <c r="AH46" s="277" t="str">
        <f>IF(TABLERO!BB46=0,"",FIXED(IF(TABLERO!$F$17&lt;&gt;"KVA",TABLERO!BB46*1000,TABLERO!BB46*1000/TABLERO!DA46),2))</f>
        <v/>
      </c>
      <c r="AI46" s="277" t="str">
        <f>IF(TABLERO!BB46=0,"",FIXED(IF(TABLERO!$F$17&lt;&gt;"KVA",TABLERO!BT46*1000,TABLERO!BT46*1000/TABLERO!DA46),2))</f>
        <v/>
      </c>
      <c r="AJ46" s="272" t="str">
        <f>IF(OR(TABLERO!BU46="",TABLERO!BU46=0),"",FIXED(TABLERO!BU46,2))</f>
        <v/>
      </c>
      <c r="AK46" s="312" t="str">
        <f>IF(TABLERO!BB46=0,"",TABLERO!F46)</f>
        <v/>
      </c>
      <c r="AL46" s="312" t="str">
        <f>IF(TABLERO!BB46=0,"",TABLERO!G46)</f>
        <v/>
      </c>
      <c r="AM46" s="312" t="str">
        <f>IF(TABLERO!BB46=0,"",TABLERO!BV46)</f>
        <v/>
      </c>
      <c r="AN46" s="272" t="str">
        <f>IF(TABLERO!BB46=0,"",TABLERO!K46)</f>
        <v/>
      </c>
      <c r="AO46" s="312" t="str">
        <f>IF(TABLERO!BB46=0,"",TABLERO!J46)</f>
        <v/>
      </c>
      <c r="AP46" s="272" t="str">
        <f>IF(TABLERO!BB46=0,"",TABLERO!CT46)</f>
        <v/>
      </c>
      <c r="AQ46" s="272" t="str">
        <f>IF(TABLERO!BB46=0,"",TABLERO!CS46)</f>
        <v/>
      </c>
      <c r="AR46" s="272" t="str">
        <f>IF(OR(TABLERO!BB46=0,TABLERO!H46="RE"),"",FIXED(TABLERO!CY46,2))</f>
        <v/>
      </c>
      <c r="AS46" s="312" t="str">
        <f>IF(TABLERO!BB46=0,"",TABLERO!N46)</f>
        <v/>
      </c>
      <c r="AT46" s="1164" t="str">
        <f>IF(TABLERO!BB46=0,"",TABLERO!BX46&amp;" "&amp;TABLERO!ED46&amp;", "&amp;TABLERO!I46)</f>
        <v/>
      </c>
      <c r="AU46" s="1165"/>
      <c r="AV46" s="272" t="str">
        <f>IF(OR(TABLERO!BB46=0,TABLERO!H46="RE"),"",FIXED(TABLERO!BZ46,2))</f>
        <v/>
      </c>
      <c r="AW46" s="312" t="str">
        <f>IF(TABLERO!BB46=0,"",TABLERO!CA46)</f>
        <v/>
      </c>
      <c r="AX46" s="271" t="str">
        <f>IF(TABLERO!BB46=0,"",TABLERO!CB46)</f>
        <v/>
      </c>
      <c r="AY46" s="272" t="str">
        <f>IF(OR(TABLERO!BB46=0,TABLERO!H46="RE"),"",FIXED(TABLERO!DL46,2))</f>
        <v/>
      </c>
      <c r="AZ46" s="310" t="str">
        <f>IF(OR(TABLERO!BB46=0,TABLERO!H46="RE"),"",TABLERO!F46&amp;"P-"&amp;TABLERO!BW46&amp;"A")</f>
        <v/>
      </c>
      <c r="BA46" s="272" t="str">
        <f>IF(TABLERO!$BB46=0,"",IF(TABLERO!CI46="-","     -     ",FIXED(IF(TABLERO!$F$17&lt;&gt;"KVA",TABLERO!CI46,TABLERO!CI46/TABLERO!$F$14),2)))</f>
        <v/>
      </c>
      <c r="BB46" s="272" t="str">
        <f>IF(TABLERO!$BB46=0,"",IF(TABLERO!CJ46="-","     -     ",FIXED(IF(TABLERO!$F$17&lt;&gt;"KVA",TABLERO!CJ46,TABLERO!CJ46/TABLERO!$F$14),2)))</f>
        <v/>
      </c>
      <c r="BC46" s="272" t="str">
        <f>IF(TABLERO!$BB46=0,"",IF(TABLERO!CK46="-","     -     ",FIXED(IF(TABLERO!$F$17&lt;&gt;"KVA",TABLERO!CK46,TABLERO!CK46/TABLERO!$F$14),2)))</f>
        <v/>
      </c>
      <c r="BG46" s="275">
        <f>IF(TABLERO!B46="",0,TABLERO!B46)</f>
        <v>16</v>
      </c>
      <c r="BH46" s="275"/>
      <c r="BI46" s="275"/>
      <c r="BK46" s="275"/>
      <c r="BL46" s="289" t="str" cm="1">
        <f t="array" ref="BL46">[1]!ACAELE_LineaCAD(A46)</f>
        <v>++++++++++++++++++++++++++++++2</v>
      </c>
      <c r="BM46" s="279" t="str">
        <f t="shared" si="4"/>
        <v>16+</v>
      </c>
      <c r="BN46" s="304"/>
      <c r="BO46" s="304"/>
      <c r="BP46" s="304"/>
      <c r="BQ46" s="304"/>
      <c r="BR46" s="304"/>
      <c r="BS46" s="304"/>
      <c r="BT46" s="304"/>
      <c r="BU46" s="304"/>
      <c r="BV46" s="304"/>
      <c r="BW46" s="304"/>
      <c r="BX46" s="304"/>
      <c r="BY46" s="304"/>
      <c r="BZ46" s="304"/>
      <c r="CA46" s="304"/>
      <c r="CB46" s="304"/>
      <c r="CC46" s="304"/>
      <c r="CD46" s="304"/>
      <c r="CE46" s="304"/>
      <c r="CF46" s="304"/>
      <c r="CG46" s="304"/>
      <c r="CH46" s="304"/>
      <c r="CI46" s="304"/>
      <c r="CJ46" s="304"/>
      <c r="CK46" s="304"/>
      <c r="CL46" s="304"/>
      <c r="CM46" s="304"/>
      <c r="CN46" s="304"/>
      <c r="CO46" s="304"/>
      <c r="CP46" s="304"/>
      <c r="CQ46" s="304"/>
      <c r="CR46" s="305" t="str" cm="1">
        <f t="array" ref="CR46">CONCATENATE(BM46,_xlfn.TEXTJOIN("",TRUE,IF(BN$129:CQ$129&lt;&gt;"","+"&amp;D46:AG46,"")))</f>
        <v>16+</v>
      </c>
      <c r="CS46" s="279">
        <f t="shared" si="5"/>
        <v>30</v>
      </c>
      <c r="CT46" s="279" t="str">
        <f t="shared" si="3"/>
        <v>+++++++++++++++++++++++++++++++</v>
      </c>
      <c r="CU46" s="291" t="str">
        <f t="shared" si="7"/>
        <v>16++++++++++++++++++++++++++++++++2</v>
      </c>
      <c r="GB46" s="279" t="s">
        <v>1931</v>
      </c>
    </row>
    <row r="47" spans="1:184">
      <c r="A47" s="275">
        <f>IF(C47&lt;&gt;"",1,IF(AH47="",2,IF(OR(IF(TABLERO!B47="",0,TABLERO!B47)&gt;TABLERO!$M$19,IF(TABLERO!C47="",IF(TABLERO!B47="",0,TABLERO!B47),TABLERO!C47)&gt;TABLERO!$M$19,BI47&gt;TABLERO!$M$19,IF(TABLERO!B47="",0,TABLERO!B47)=0,IF(TABLERO!C47="",BG47,TABLERO!C47)=0,IF(TABLERO!D47="",BG47,TABLERO!D47)=0),2,1)))</f>
        <v>2</v>
      </c>
      <c r="B47" s="276" t="str">
        <f>TABLERO!B47&amp;IF(TABLERO!C47="","",","&amp;TABLERO!C47)&amp;IF(TABLERO!D47="","",","&amp;TABLERO!D47)</f>
        <v>17</v>
      </c>
      <c r="C47" s="269" t="str">
        <f>IF(TABLERO!E47=0,"",TABLERO!E47)</f>
        <v/>
      </c>
      <c r="D47" s="312" t="str">
        <f>IF(OR(TABLERO!X47="",TABLERO!X47=0),"",TABLERO!X47)</f>
        <v/>
      </c>
      <c r="E47" s="312" t="str">
        <f>IF(OR(TABLERO!Y47="",TABLERO!Y47=0),"",TABLERO!Y47)</f>
        <v/>
      </c>
      <c r="F47" s="312" t="str">
        <f>IF(OR(TABLERO!Z47="",TABLERO!Z47=0),"",TABLERO!Z47)</f>
        <v/>
      </c>
      <c r="G47" s="312" t="str">
        <f>IF(OR(TABLERO!AA47="",TABLERO!AA47=0),"",TABLERO!AA47)</f>
        <v/>
      </c>
      <c r="H47" s="312" t="str">
        <f>IF(OR(TABLERO!AB47="",TABLERO!AB47=0),"",TABLERO!AB47)</f>
        <v/>
      </c>
      <c r="I47" s="312" t="str">
        <f>IF(OR(TABLERO!AC47="",TABLERO!AC47=0),"",TABLERO!AC47)</f>
        <v/>
      </c>
      <c r="J47" s="312" t="str">
        <f>IF(OR(TABLERO!AD47="",TABLERO!AD47=0),"",TABLERO!AD47)</f>
        <v/>
      </c>
      <c r="K47" s="312" t="str">
        <f>IF(OR(TABLERO!AE47="",TABLERO!AE47=0),"",TABLERO!AE47)</f>
        <v/>
      </c>
      <c r="L47" s="312" t="str">
        <f>IF(OR(TABLERO!AF47="",TABLERO!AF47=0),"",TABLERO!AF47)</f>
        <v/>
      </c>
      <c r="M47" s="312" t="str">
        <f>IF(OR(TABLERO!AG47="",TABLERO!AG47=0),"",TABLERO!AG47)</f>
        <v/>
      </c>
      <c r="N47" s="312" t="str">
        <f>IF(OR(TABLERO!AH47="",TABLERO!AH47=0),"",TABLERO!AH47)</f>
        <v/>
      </c>
      <c r="O47" s="312" t="str">
        <f>IF(OR(TABLERO!AI47="",TABLERO!AI47=0),"",TABLERO!AI47)</f>
        <v/>
      </c>
      <c r="P47" s="312" t="str">
        <f>IF(OR(TABLERO!AJ47="",TABLERO!AJ47=0),"",TABLERO!AJ47)</f>
        <v/>
      </c>
      <c r="Q47" s="312" t="str">
        <f>IF(OR(TABLERO!AK47="",TABLERO!AK47=0),"",TABLERO!AK47)</f>
        <v/>
      </c>
      <c r="R47" s="312" t="str">
        <f>IF(OR(TABLERO!AL47="",TABLERO!AL47=0),"",TABLERO!AL47)</f>
        <v/>
      </c>
      <c r="S47" s="312" t="str">
        <f>IF(OR(TABLERO!AM47="",TABLERO!AM47=0),"",TABLERO!AM47)</f>
        <v/>
      </c>
      <c r="T47" s="312" t="str">
        <f>IF(OR(TABLERO!AN47="",TABLERO!AN47=0),"",TABLERO!AN47)</f>
        <v/>
      </c>
      <c r="U47" s="312" t="str">
        <f>IF(OR(TABLERO!AO47="",TABLERO!AO47=0),"",TABLERO!AO47)</f>
        <v/>
      </c>
      <c r="V47" s="312" t="str">
        <f>IF(OR(TABLERO!AP47="",TABLERO!AP47=0),"",TABLERO!AP47)</f>
        <v/>
      </c>
      <c r="W47" s="312" t="str">
        <f>IF(OR(TABLERO!AQ47="",TABLERO!AQ47=0),"",TABLERO!AQ47)</f>
        <v/>
      </c>
      <c r="X47" s="312" t="str">
        <f>IF(OR(TABLERO!AR47="",TABLERO!AR47=0),"",TABLERO!AR47)</f>
        <v/>
      </c>
      <c r="Y47" s="312" t="str">
        <f>IF(OR(TABLERO!AS47="",TABLERO!AS47=0),"",TABLERO!AS47)</f>
        <v/>
      </c>
      <c r="Z47" s="312" t="str">
        <f>IF(OR(TABLERO!AT47="",TABLERO!AT47=0),"",TABLERO!AT47)</f>
        <v/>
      </c>
      <c r="AA47" s="312" t="str">
        <f>IF(OR(TABLERO!AU47="",TABLERO!AU47=0),"",TABLERO!AU47)</f>
        <v/>
      </c>
      <c r="AB47" s="312" t="str">
        <f>IF(OR(TABLERO!AV47="",TABLERO!AV47=0),"",TABLERO!AV47)</f>
        <v/>
      </c>
      <c r="AC47" s="312" t="str">
        <f>IF(OR(TABLERO!AW47="",TABLERO!AW47=0),"",TABLERO!AW47)</f>
        <v/>
      </c>
      <c r="AD47" s="312" t="str">
        <f>IF(OR(TABLERO!AX47="",TABLERO!AX47=0),"",TABLERO!AX47)</f>
        <v/>
      </c>
      <c r="AE47" s="312" t="str">
        <f>IF(OR(TABLERO!AY47="",TABLERO!AY47=0),"",TABLERO!AY47)</f>
        <v/>
      </c>
      <c r="AF47" s="312" t="str">
        <f>IF(OR(TABLERO!AZ47="",TABLERO!AZ47=0),"",TABLERO!AZ47)</f>
        <v/>
      </c>
      <c r="AG47" s="312" t="str">
        <f>IF(OR(TABLERO!BA47="",TABLERO!BA47=0),"",TABLERO!BA47)</f>
        <v/>
      </c>
      <c r="AH47" s="277" t="str">
        <f>IF(TABLERO!BB47=0,"",FIXED(IF(TABLERO!$F$17&lt;&gt;"KVA",TABLERO!BB47*1000,TABLERO!BB47*1000/TABLERO!DA47),2))</f>
        <v/>
      </c>
      <c r="AI47" s="277" t="str">
        <f>IF(TABLERO!BB47=0,"",FIXED(IF(TABLERO!$F$17&lt;&gt;"KVA",TABLERO!BT47*1000,TABLERO!BT47*1000/TABLERO!DA47),2))</f>
        <v/>
      </c>
      <c r="AJ47" s="272" t="str">
        <f>IF(OR(TABLERO!BU47="",TABLERO!BU47=0),"",FIXED(TABLERO!BU47,2))</f>
        <v/>
      </c>
      <c r="AK47" s="312" t="str">
        <f>IF(TABLERO!BB47=0,"",TABLERO!F47)</f>
        <v/>
      </c>
      <c r="AL47" s="312" t="str">
        <f>IF(TABLERO!BB47=0,"",TABLERO!G47)</f>
        <v/>
      </c>
      <c r="AM47" s="312" t="str">
        <f>IF(TABLERO!BB47=0,"",TABLERO!BV47)</f>
        <v/>
      </c>
      <c r="AN47" s="272" t="str">
        <f>IF(TABLERO!BB47=0,"",TABLERO!K47)</f>
        <v/>
      </c>
      <c r="AO47" s="312" t="str">
        <f>IF(TABLERO!BB47=0,"",TABLERO!J47)</f>
        <v/>
      </c>
      <c r="AP47" s="272" t="str">
        <f>IF(TABLERO!BB47=0,"",TABLERO!CT47)</f>
        <v/>
      </c>
      <c r="AQ47" s="272" t="str">
        <f>IF(TABLERO!BB47=0,"",TABLERO!CS47)</f>
        <v/>
      </c>
      <c r="AR47" s="272" t="str">
        <f>IF(OR(TABLERO!BB47=0,TABLERO!H47="RE"),"",FIXED(TABLERO!CY47,2))</f>
        <v/>
      </c>
      <c r="AS47" s="312" t="str">
        <f>IF(TABLERO!BB47=0,"",TABLERO!N47)</f>
        <v/>
      </c>
      <c r="AT47" s="1164" t="str">
        <f>IF(TABLERO!BB47=0,"",TABLERO!BX47&amp;" "&amp;TABLERO!ED47&amp;", "&amp;TABLERO!I47)</f>
        <v/>
      </c>
      <c r="AU47" s="1165"/>
      <c r="AV47" s="272" t="str">
        <f>IF(OR(TABLERO!BB47=0,TABLERO!H47="RE"),"",FIXED(TABLERO!BZ47,2))</f>
        <v/>
      </c>
      <c r="AW47" s="312" t="str">
        <f>IF(TABLERO!BB47=0,"",TABLERO!CA47)</f>
        <v/>
      </c>
      <c r="AX47" s="271" t="str">
        <f>IF(TABLERO!BB47=0,"",TABLERO!CB47)</f>
        <v/>
      </c>
      <c r="AY47" s="272" t="str">
        <f>IF(OR(TABLERO!BB47=0,TABLERO!H47="RE"),"",FIXED(TABLERO!DL47,2))</f>
        <v/>
      </c>
      <c r="AZ47" s="310" t="str">
        <f>IF(OR(TABLERO!BB47=0,TABLERO!H47="RE"),"",TABLERO!F47&amp;"P-"&amp;TABLERO!BW47&amp;"A")</f>
        <v/>
      </c>
      <c r="BA47" s="272" t="str">
        <f>IF(TABLERO!$BB47=0,"",IF(TABLERO!CI47="-","     -     ",FIXED(IF(TABLERO!$F$17&lt;&gt;"KVA",TABLERO!CI47,TABLERO!CI47/TABLERO!$F$14),2)))</f>
        <v/>
      </c>
      <c r="BB47" s="272" t="str">
        <f>IF(TABLERO!$BB47=0,"",IF(TABLERO!CJ47="-","     -     ",FIXED(IF(TABLERO!$F$17&lt;&gt;"KVA",TABLERO!CJ47,TABLERO!CJ47/TABLERO!$F$14),2)))</f>
        <v/>
      </c>
      <c r="BC47" s="272" t="str">
        <f>IF(TABLERO!$BB47=0,"",IF(TABLERO!CK47="-","     -     ",FIXED(IF(TABLERO!$F$17&lt;&gt;"KVA",TABLERO!CK47,TABLERO!CK47/TABLERO!$F$14),2)))</f>
        <v/>
      </c>
      <c r="BG47" s="275">
        <f>IF(TABLERO!B47="",0,TABLERO!B47)</f>
        <v>17</v>
      </c>
      <c r="BH47" s="275"/>
      <c r="BI47" s="275"/>
      <c r="BK47" s="275"/>
      <c r="BL47" s="289" t="str" cm="1">
        <f t="array" ref="BL47">[1]!ACAELE_LineaCAD(A47)</f>
        <v>++++++++++++++++++++++++++++++2</v>
      </c>
      <c r="BM47" s="279" t="str">
        <f t="shared" si="4"/>
        <v>17+</v>
      </c>
      <c r="BN47" s="304"/>
      <c r="BO47" s="304"/>
      <c r="BP47" s="304"/>
      <c r="BQ47" s="304"/>
      <c r="BR47" s="304"/>
      <c r="BS47" s="304"/>
      <c r="BT47" s="304"/>
      <c r="BU47" s="304"/>
      <c r="BV47" s="304"/>
      <c r="BW47" s="304"/>
      <c r="BX47" s="304"/>
      <c r="BY47" s="304"/>
      <c r="BZ47" s="304"/>
      <c r="CA47" s="304"/>
      <c r="CB47" s="304"/>
      <c r="CC47" s="304"/>
      <c r="CD47" s="304"/>
      <c r="CE47" s="304"/>
      <c r="CF47" s="304"/>
      <c r="CG47" s="304"/>
      <c r="CH47" s="304"/>
      <c r="CI47" s="304"/>
      <c r="CJ47" s="304"/>
      <c r="CK47" s="304"/>
      <c r="CL47" s="304"/>
      <c r="CM47" s="304"/>
      <c r="CN47" s="304"/>
      <c r="CO47" s="304"/>
      <c r="CP47" s="304"/>
      <c r="CQ47" s="304"/>
      <c r="CR47" s="305" t="str" cm="1">
        <f t="array" ref="CR47">CONCATENATE(BM47,_xlfn.TEXTJOIN("",TRUE,IF(BN$129:CQ$129&lt;&gt;"","+"&amp;D47:AG47,"")))</f>
        <v>17+</v>
      </c>
      <c r="CS47" s="279">
        <f t="shared" si="5"/>
        <v>30</v>
      </c>
      <c r="CT47" s="279" t="str">
        <f t="shared" si="3"/>
        <v>+++++++++++++++++++++++++++++++</v>
      </c>
      <c r="CU47" s="291" t="str">
        <f t="shared" si="7"/>
        <v>17++++++++++++++++++++++++++++++++2</v>
      </c>
      <c r="GB47" s="279" t="s">
        <v>1932</v>
      </c>
    </row>
    <row r="48" spans="1:184">
      <c r="A48" s="275">
        <f>IF(C48&lt;&gt;"",1,IF(AH48="",2,IF(OR(IF(TABLERO!B48="",0,TABLERO!B48)&gt;TABLERO!$M$19,IF(TABLERO!C48="",IF(TABLERO!B48="",0,TABLERO!B48),TABLERO!C48)&gt;TABLERO!$M$19,BI48&gt;TABLERO!$M$19,IF(TABLERO!B48="",0,TABLERO!B48)=0,IF(TABLERO!C48="",BG48,TABLERO!C48)=0,IF(TABLERO!D48="",BG48,TABLERO!D48)=0),2,1)))</f>
        <v>2</v>
      </c>
      <c r="B48" s="276" t="str">
        <f>TABLERO!B48&amp;IF(TABLERO!C48="","",","&amp;TABLERO!C48)&amp;IF(TABLERO!D48="","",","&amp;TABLERO!D48)</f>
        <v>18</v>
      </c>
      <c r="C48" s="269" t="str">
        <f>IF(TABLERO!E48=0,"",TABLERO!E48)</f>
        <v/>
      </c>
      <c r="D48" s="312" t="str">
        <f>IF(OR(TABLERO!X48="",TABLERO!X48=0),"",TABLERO!X48)</f>
        <v/>
      </c>
      <c r="E48" s="312" t="str">
        <f>IF(OR(TABLERO!Y48="",TABLERO!Y48=0),"",TABLERO!Y48)</f>
        <v/>
      </c>
      <c r="F48" s="312" t="str">
        <f>IF(OR(TABLERO!Z48="",TABLERO!Z48=0),"",TABLERO!Z48)</f>
        <v/>
      </c>
      <c r="G48" s="312" t="str">
        <f>IF(OR(TABLERO!AA48="",TABLERO!AA48=0),"",TABLERO!AA48)</f>
        <v/>
      </c>
      <c r="H48" s="312" t="str">
        <f>IF(OR(TABLERO!AB48="",TABLERO!AB48=0),"",TABLERO!AB48)</f>
        <v/>
      </c>
      <c r="I48" s="312" t="str">
        <f>IF(OR(TABLERO!AC48="",TABLERO!AC48=0),"",TABLERO!AC48)</f>
        <v/>
      </c>
      <c r="J48" s="312" t="str">
        <f>IF(OR(TABLERO!AD48="",TABLERO!AD48=0),"",TABLERO!AD48)</f>
        <v/>
      </c>
      <c r="K48" s="312" t="str">
        <f>IF(OR(TABLERO!AE48="",TABLERO!AE48=0),"",TABLERO!AE48)</f>
        <v/>
      </c>
      <c r="L48" s="312" t="str">
        <f>IF(OR(TABLERO!AF48="",TABLERO!AF48=0),"",TABLERO!AF48)</f>
        <v/>
      </c>
      <c r="M48" s="312" t="str">
        <f>IF(OR(TABLERO!AG48="",TABLERO!AG48=0),"",TABLERO!AG48)</f>
        <v/>
      </c>
      <c r="N48" s="312" t="str">
        <f>IF(OR(TABLERO!AH48="",TABLERO!AH48=0),"",TABLERO!AH48)</f>
        <v/>
      </c>
      <c r="O48" s="312" t="str">
        <f>IF(OR(TABLERO!AI48="",TABLERO!AI48=0),"",TABLERO!AI48)</f>
        <v/>
      </c>
      <c r="P48" s="312" t="str">
        <f>IF(OR(TABLERO!AJ48="",TABLERO!AJ48=0),"",TABLERO!AJ48)</f>
        <v/>
      </c>
      <c r="Q48" s="312" t="str">
        <f>IF(OR(TABLERO!AK48="",TABLERO!AK48=0),"",TABLERO!AK48)</f>
        <v/>
      </c>
      <c r="R48" s="312" t="str">
        <f>IF(OR(TABLERO!AL48="",TABLERO!AL48=0),"",TABLERO!AL48)</f>
        <v/>
      </c>
      <c r="S48" s="312" t="str">
        <f>IF(OR(TABLERO!AM48="",TABLERO!AM48=0),"",TABLERO!AM48)</f>
        <v/>
      </c>
      <c r="T48" s="312" t="str">
        <f>IF(OR(TABLERO!AN48="",TABLERO!AN48=0),"",TABLERO!AN48)</f>
        <v/>
      </c>
      <c r="U48" s="312" t="str">
        <f>IF(OR(TABLERO!AO48="",TABLERO!AO48=0),"",TABLERO!AO48)</f>
        <v/>
      </c>
      <c r="V48" s="312" t="str">
        <f>IF(OR(TABLERO!AP48="",TABLERO!AP48=0),"",TABLERO!AP48)</f>
        <v/>
      </c>
      <c r="W48" s="312" t="str">
        <f>IF(OR(TABLERO!AQ48="",TABLERO!AQ48=0),"",TABLERO!AQ48)</f>
        <v/>
      </c>
      <c r="X48" s="312" t="str">
        <f>IF(OR(TABLERO!AR48="",TABLERO!AR48=0),"",TABLERO!AR48)</f>
        <v/>
      </c>
      <c r="Y48" s="312" t="str">
        <f>IF(OR(TABLERO!AS48="",TABLERO!AS48=0),"",TABLERO!AS48)</f>
        <v/>
      </c>
      <c r="Z48" s="312" t="str">
        <f>IF(OR(TABLERO!AT48="",TABLERO!AT48=0),"",TABLERO!AT48)</f>
        <v/>
      </c>
      <c r="AA48" s="312" t="str">
        <f>IF(OR(TABLERO!AU48="",TABLERO!AU48=0),"",TABLERO!AU48)</f>
        <v/>
      </c>
      <c r="AB48" s="312" t="str">
        <f>IF(OR(TABLERO!AV48="",TABLERO!AV48=0),"",TABLERO!AV48)</f>
        <v/>
      </c>
      <c r="AC48" s="312" t="str">
        <f>IF(OR(TABLERO!AW48="",TABLERO!AW48=0),"",TABLERO!AW48)</f>
        <v/>
      </c>
      <c r="AD48" s="312" t="str">
        <f>IF(OR(TABLERO!AX48="",TABLERO!AX48=0),"",TABLERO!AX48)</f>
        <v/>
      </c>
      <c r="AE48" s="312" t="str">
        <f>IF(OR(TABLERO!AY48="",TABLERO!AY48=0),"",TABLERO!AY48)</f>
        <v/>
      </c>
      <c r="AF48" s="312" t="str">
        <f>IF(OR(TABLERO!AZ48="",TABLERO!AZ48=0),"",TABLERO!AZ48)</f>
        <v/>
      </c>
      <c r="AG48" s="312" t="str">
        <f>IF(OR(TABLERO!BA48="",TABLERO!BA48=0),"",TABLERO!BA48)</f>
        <v/>
      </c>
      <c r="AH48" s="277" t="str">
        <f>IF(TABLERO!BB48=0,"",FIXED(IF(TABLERO!$F$17&lt;&gt;"KVA",TABLERO!BB48*1000,TABLERO!BB48*1000/TABLERO!DA48),2))</f>
        <v/>
      </c>
      <c r="AI48" s="277" t="str">
        <f>IF(TABLERO!BB48=0,"",FIXED(IF(TABLERO!$F$17&lt;&gt;"KVA",TABLERO!BT48*1000,TABLERO!BT48*1000/TABLERO!DA48),2))</f>
        <v/>
      </c>
      <c r="AJ48" s="272" t="str">
        <f>IF(OR(TABLERO!BU48="",TABLERO!BU48=0),"",FIXED(TABLERO!BU48,2))</f>
        <v/>
      </c>
      <c r="AK48" s="312" t="str">
        <f>IF(TABLERO!BB48=0,"",TABLERO!F48)</f>
        <v/>
      </c>
      <c r="AL48" s="312" t="str">
        <f>IF(TABLERO!BB48=0,"",TABLERO!G48)</f>
        <v/>
      </c>
      <c r="AM48" s="312" t="str">
        <f>IF(TABLERO!BB48=0,"",TABLERO!BV48)</f>
        <v/>
      </c>
      <c r="AN48" s="272" t="str">
        <f>IF(TABLERO!BB48=0,"",TABLERO!K48)</f>
        <v/>
      </c>
      <c r="AO48" s="312" t="str">
        <f>IF(TABLERO!BB48=0,"",TABLERO!J48)</f>
        <v/>
      </c>
      <c r="AP48" s="272" t="str">
        <f>IF(TABLERO!BB48=0,"",TABLERO!CT48)</f>
        <v/>
      </c>
      <c r="AQ48" s="272" t="str">
        <f>IF(TABLERO!BB48=0,"",TABLERO!CS48)</f>
        <v/>
      </c>
      <c r="AR48" s="272" t="str">
        <f>IF(OR(TABLERO!BB48=0,TABLERO!H48="RE"),"",FIXED(TABLERO!CY48,2))</f>
        <v/>
      </c>
      <c r="AS48" s="312" t="str">
        <f>IF(TABLERO!BB48=0,"",TABLERO!N48)</f>
        <v/>
      </c>
      <c r="AT48" s="1164" t="str">
        <f>IF(TABLERO!BB48=0,"",TABLERO!BX48&amp;" "&amp;TABLERO!ED48&amp;", "&amp;TABLERO!I48)</f>
        <v/>
      </c>
      <c r="AU48" s="1165"/>
      <c r="AV48" s="272" t="str">
        <f>IF(OR(TABLERO!BB48=0,TABLERO!H48="RE"),"",FIXED(TABLERO!BZ48,2))</f>
        <v/>
      </c>
      <c r="AW48" s="312" t="str">
        <f>IF(TABLERO!BB48=0,"",TABLERO!CA48)</f>
        <v/>
      </c>
      <c r="AX48" s="271" t="str">
        <f>IF(TABLERO!BB48=0,"",TABLERO!CB48)</f>
        <v/>
      </c>
      <c r="AY48" s="272" t="str">
        <f>IF(OR(TABLERO!BB48=0,TABLERO!H48="RE"),"",FIXED(TABLERO!DL48,2))</f>
        <v/>
      </c>
      <c r="AZ48" s="310" t="str">
        <f>IF(OR(TABLERO!BB48=0,TABLERO!H48="RE"),"",TABLERO!F48&amp;"P-"&amp;TABLERO!BW48&amp;"A")</f>
        <v/>
      </c>
      <c r="BA48" s="272" t="str">
        <f>IF(TABLERO!$BB48=0,"",IF(TABLERO!CI48="-","     -     ",FIXED(IF(TABLERO!$F$17&lt;&gt;"KVA",TABLERO!CI48,TABLERO!CI48/TABLERO!$F$14),2)))</f>
        <v/>
      </c>
      <c r="BB48" s="272" t="str">
        <f>IF(TABLERO!$BB48=0,"",IF(TABLERO!CJ48="-","     -     ",FIXED(IF(TABLERO!$F$17&lt;&gt;"KVA",TABLERO!CJ48,TABLERO!CJ48/TABLERO!$F$14),2)))</f>
        <v/>
      </c>
      <c r="BC48" s="272" t="str">
        <f>IF(TABLERO!$BB48=0,"",IF(TABLERO!CK48="-","     -     ",FIXED(IF(TABLERO!$F$17&lt;&gt;"KVA",TABLERO!CK48,TABLERO!CK48/TABLERO!$F$14),2)))</f>
        <v/>
      </c>
      <c r="BG48" s="275">
        <f>IF(TABLERO!B48="",0,TABLERO!B48)</f>
        <v>18</v>
      </c>
      <c r="BH48" s="275"/>
      <c r="BI48" s="275"/>
      <c r="BK48" s="275"/>
      <c r="BL48" s="289" t="str" cm="1">
        <f t="array" ref="BL48">[1]!ACAELE_LineaCAD(A48)</f>
        <v>++++++++++++++++++++++++++++++2</v>
      </c>
      <c r="BM48" s="279" t="str">
        <f t="shared" si="4"/>
        <v>18+</v>
      </c>
      <c r="BN48" s="304"/>
      <c r="BO48" s="304"/>
      <c r="BP48" s="304"/>
      <c r="BQ48" s="304"/>
      <c r="BR48" s="304"/>
      <c r="BS48" s="304"/>
      <c r="BT48" s="304"/>
      <c r="BU48" s="304"/>
      <c r="BV48" s="304"/>
      <c r="BW48" s="304"/>
      <c r="BX48" s="304"/>
      <c r="BY48" s="304"/>
      <c r="BZ48" s="304"/>
      <c r="CA48" s="304"/>
      <c r="CB48" s="304"/>
      <c r="CC48" s="304"/>
      <c r="CD48" s="304"/>
      <c r="CE48" s="304"/>
      <c r="CF48" s="304"/>
      <c r="CG48" s="304"/>
      <c r="CH48" s="304"/>
      <c r="CI48" s="304"/>
      <c r="CJ48" s="304"/>
      <c r="CK48" s="304"/>
      <c r="CL48" s="304"/>
      <c r="CM48" s="304"/>
      <c r="CN48" s="304"/>
      <c r="CO48" s="304"/>
      <c r="CP48" s="304"/>
      <c r="CQ48" s="304"/>
      <c r="CR48" s="305" t="str" cm="1">
        <f t="array" ref="CR48">CONCATENATE(BM48,_xlfn.TEXTJOIN("",TRUE,IF(BN$129:CQ$129&lt;&gt;"","+"&amp;D48:AG48,"")))</f>
        <v>18+</v>
      </c>
      <c r="CS48" s="279">
        <f t="shared" si="5"/>
        <v>30</v>
      </c>
      <c r="CT48" s="279" t="str">
        <f t="shared" si="3"/>
        <v>+++++++++++++++++++++++++++++++</v>
      </c>
      <c r="CU48" s="291" t="str">
        <f t="shared" si="7"/>
        <v>18++++++++++++++++++++++++++++++++2</v>
      </c>
      <c r="GB48" s="279" t="s">
        <v>1933</v>
      </c>
    </row>
    <row r="49" spans="1:184">
      <c r="A49" s="275">
        <f>IF(C49&lt;&gt;"",1,IF(AH49="",2,IF(OR(IF(TABLERO!B49="",0,TABLERO!B49)&gt;TABLERO!$M$19,IF(TABLERO!C49="",IF(TABLERO!B49="",0,TABLERO!B49),TABLERO!C49)&gt;TABLERO!$M$19,BI49&gt;TABLERO!$M$19,IF(TABLERO!B49="",0,TABLERO!B49)=0,IF(TABLERO!C49="",BG49,TABLERO!C49)=0,IF(TABLERO!D49="",BG49,TABLERO!D49)=0),2,1)))</f>
        <v>2</v>
      </c>
      <c r="B49" s="276" t="str">
        <f>TABLERO!B49&amp;IF(TABLERO!C49="","",","&amp;TABLERO!C49)&amp;IF(TABLERO!D49="","",","&amp;TABLERO!D49)</f>
        <v>19</v>
      </c>
      <c r="C49" s="269" t="str">
        <f>IF(TABLERO!E49=0,"",TABLERO!E49)</f>
        <v/>
      </c>
      <c r="D49" s="312" t="str">
        <f>IF(OR(TABLERO!X49="",TABLERO!X49=0),"",TABLERO!X49)</f>
        <v/>
      </c>
      <c r="E49" s="312" t="str">
        <f>IF(OR(TABLERO!Y49="",TABLERO!Y49=0),"",TABLERO!Y49)</f>
        <v/>
      </c>
      <c r="F49" s="312" t="str">
        <f>IF(OR(TABLERO!Z49="",TABLERO!Z49=0),"",TABLERO!Z49)</f>
        <v/>
      </c>
      <c r="G49" s="312" t="str">
        <f>IF(OR(TABLERO!AA49="",TABLERO!AA49=0),"",TABLERO!AA49)</f>
        <v/>
      </c>
      <c r="H49" s="312" t="str">
        <f>IF(OR(TABLERO!AB49="",TABLERO!AB49=0),"",TABLERO!AB49)</f>
        <v/>
      </c>
      <c r="I49" s="312" t="str">
        <f>IF(OR(TABLERO!AC49="",TABLERO!AC49=0),"",TABLERO!AC49)</f>
        <v/>
      </c>
      <c r="J49" s="312" t="str">
        <f>IF(OR(TABLERO!AD49="",TABLERO!AD49=0),"",TABLERO!AD49)</f>
        <v/>
      </c>
      <c r="K49" s="312" t="str">
        <f>IF(OR(TABLERO!AE49="",TABLERO!AE49=0),"",TABLERO!AE49)</f>
        <v/>
      </c>
      <c r="L49" s="312" t="str">
        <f>IF(OR(TABLERO!AF49="",TABLERO!AF49=0),"",TABLERO!AF49)</f>
        <v/>
      </c>
      <c r="M49" s="312" t="str">
        <f>IF(OR(TABLERO!AG49="",TABLERO!AG49=0),"",TABLERO!AG49)</f>
        <v/>
      </c>
      <c r="N49" s="312" t="str">
        <f>IF(OR(TABLERO!AH49="",TABLERO!AH49=0),"",TABLERO!AH49)</f>
        <v/>
      </c>
      <c r="O49" s="312" t="str">
        <f>IF(OR(TABLERO!AI49="",TABLERO!AI49=0),"",TABLERO!AI49)</f>
        <v/>
      </c>
      <c r="P49" s="312" t="str">
        <f>IF(OR(TABLERO!AJ49="",TABLERO!AJ49=0),"",TABLERO!AJ49)</f>
        <v/>
      </c>
      <c r="Q49" s="312" t="str">
        <f>IF(OR(TABLERO!AK49="",TABLERO!AK49=0),"",TABLERO!AK49)</f>
        <v/>
      </c>
      <c r="R49" s="312" t="str">
        <f>IF(OR(TABLERO!AL49="",TABLERO!AL49=0),"",TABLERO!AL49)</f>
        <v/>
      </c>
      <c r="S49" s="312" t="str">
        <f>IF(OR(TABLERO!AM49="",TABLERO!AM49=0),"",TABLERO!AM49)</f>
        <v/>
      </c>
      <c r="T49" s="312" t="str">
        <f>IF(OR(TABLERO!AN49="",TABLERO!AN49=0),"",TABLERO!AN49)</f>
        <v/>
      </c>
      <c r="U49" s="312" t="str">
        <f>IF(OR(TABLERO!AO49="",TABLERO!AO49=0),"",TABLERO!AO49)</f>
        <v/>
      </c>
      <c r="V49" s="312" t="str">
        <f>IF(OR(TABLERO!AP49="",TABLERO!AP49=0),"",TABLERO!AP49)</f>
        <v/>
      </c>
      <c r="W49" s="312" t="str">
        <f>IF(OR(TABLERO!AQ49="",TABLERO!AQ49=0),"",TABLERO!AQ49)</f>
        <v/>
      </c>
      <c r="X49" s="312" t="str">
        <f>IF(OR(TABLERO!AR49="",TABLERO!AR49=0),"",TABLERO!AR49)</f>
        <v/>
      </c>
      <c r="Y49" s="312" t="str">
        <f>IF(OR(TABLERO!AS49="",TABLERO!AS49=0),"",TABLERO!AS49)</f>
        <v/>
      </c>
      <c r="Z49" s="312" t="str">
        <f>IF(OR(TABLERO!AT49="",TABLERO!AT49=0),"",TABLERO!AT49)</f>
        <v/>
      </c>
      <c r="AA49" s="312" t="str">
        <f>IF(OR(TABLERO!AU49="",TABLERO!AU49=0),"",TABLERO!AU49)</f>
        <v/>
      </c>
      <c r="AB49" s="312" t="str">
        <f>IF(OR(TABLERO!AV49="",TABLERO!AV49=0),"",TABLERO!AV49)</f>
        <v/>
      </c>
      <c r="AC49" s="312" t="str">
        <f>IF(OR(TABLERO!AW49="",TABLERO!AW49=0),"",TABLERO!AW49)</f>
        <v/>
      </c>
      <c r="AD49" s="312" t="str">
        <f>IF(OR(TABLERO!AX49="",TABLERO!AX49=0),"",TABLERO!AX49)</f>
        <v/>
      </c>
      <c r="AE49" s="312" t="str">
        <f>IF(OR(TABLERO!AY49="",TABLERO!AY49=0),"",TABLERO!AY49)</f>
        <v/>
      </c>
      <c r="AF49" s="312" t="str">
        <f>IF(OR(TABLERO!AZ49="",TABLERO!AZ49=0),"",TABLERO!AZ49)</f>
        <v/>
      </c>
      <c r="AG49" s="312" t="str">
        <f>IF(OR(TABLERO!BA49="",TABLERO!BA49=0),"",TABLERO!BA49)</f>
        <v/>
      </c>
      <c r="AH49" s="277" t="str">
        <f>IF(TABLERO!BB49=0,"",FIXED(IF(TABLERO!$F$17&lt;&gt;"KVA",TABLERO!BB49*1000,TABLERO!BB49*1000/TABLERO!DA49),2))</f>
        <v/>
      </c>
      <c r="AI49" s="277" t="str">
        <f>IF(TABLERO!BB49=0,"",FIXED(IF(TABLERO!$F$17&lt;&gt;"KVA",TABLERO!BT49*1000,TABLERO!BT49*1000/TABLERO!DA49),2))</f>
        <v/>
      </c>
      <c r="AJ49" s="272" t="str">
        <f>IF(OR(TABLERO!BU49="",TABLERO!BU49=0),"",FIXED(TABLERO!BU49,2))</f>
        <v/>
      </c>
      <c r="AK49" s="312" t="str">
        <f>IF(TABLERO!BB49=0,"",TABLERO!F49)</f>
        <v/>
      </c>
      <c r="AL49" s="312" t="str">
        <f>IF(TABLERO!BB49=0,"",TABLERO!G49)</f>
        <v/>
      </c>
      <c r="AM49" s="312" t="str">
        <f>IF(TABLERO!BB49=0,"",TABLERO!BV49)</f>
        <v/>
      </c>
      <c r="AN49" s="272" t="str">
        <f>IF(TABLERO!BB49=0,"",TABLERO!K49)</f>
        <v/>
      </c>
      <c r="AO49" s="312" t="str">
        <f>IF(TABLERO!BB49=0,"",TABLERO!J49)</f>
        <v/>
      </c>
      <c r="AP49" s="272" t="str">
        <f>IF(TABLERO!BB49=0,"",TABLERO!CT49)</f>
        <v/>
      </c>
      <c r="AQ49" s="272" t="str">
        <f>IF(TABLERO!BB49=0,"",TABLERO!CS49)</f>
        <v/>
      </c>
      <c r="AR49" s="272" t="str">
        <f>IF(OR(TABLERO!BB49=0,TABLERO!H49="RE"),"",FIXED(TABLERO!CY49,2))</f>
        <v/>
      </c>
      <c r="AS49" s="312" t="str">
        <f>IF(TABLERO!BB49=0,"",TABLERO!N49)</f>
        <v/>
      </c>
      <c r="AT49" s="1164" t="str">
        <f>IF(TABLERO!BB49=0,"",TABLERO!BX49&amp;" "&amp;TABLERO!ED49&amp;", "&amp;TABLERO!I49)</f>
        <v/>
      </c>
      <c r="AU49" s="1165"/>
      <c r="AV49" s="272" t="str">
        <f>IF(OR(TABLERO!BB49=0,TABLERO!H49="RE"),"",FIXED(TABLERO!BZ49,2))</f>
        <v/>
      </c>
      <c r="AW49" s="312" t="str">
        <f>IF(TABLERO!BB49=0,"",TABLERO!CA49)</f>
        <v/>
      </c>
      <c r="AX49" s="271" t="str">
        <f>IF(TABLERO!BB49=0,"",TABLERO!CB49)</f>
        <v/>
      </c>
      <c r="AY49" s="272" t="str">
        <f>IF(OR(TABLERO!BB49=0,TABLERO!H49="RE"),"",FIXED(TABLERO!DL49,2))</f>
        <v/>
      </c>
      <c r="AZ49" s="310" t="str">
        <f>IF(OR(TABLERO!BB49=0,TABLERO!H49="RE"),"",TABLERO!F49&amp;"P-"&amp;TABLERO!BW49&amp;"A")</f>
        <v/>
      </c>
      <c r="BA49" s="272" t="str">
        <f>IF(TABLERO!$BB49=0,"",IF(TABLERO!CI49="-","     -     ",FIXED(IF(TABLERO!$F$17&lt;&gt;"KVA",TABLERO!CI49,TABLERO!CI49/TABLERO!$F$14),2)))</f>
        <v/>
      </c>
      <c r="BB49" s="272" t="str">
        <f>IF(TABLERO!$BB49=0,"",IF(TABLERO!CJ49="-","     -     ",FIXED(IF(TABLERO!$F$17&lt;&gt;"KVA",TABLERO!CJ49,TABLERO!CJ49/TABLERO!$F$14),2)))</f>
        <v/>
      </c>
      <c r="BC49" s="272" t="str">
        <f>IF(TABLERO!$BB49=0,"",IF(TABLERO!CK49="-","     -     ",FIXED(IF(TABLERO!$F$17&lt;&gt;"KVA",TABLERO!CK49,TABLERO!CK49/TABLERO!$F$14),2)))</f>
        <v/>
      </c>
      <c r="BG49" s="275">
        <f>IF(TABLERO!B49="",0,TABLERO!B49)</f>
        <v>19</v>
      </c>
      <c r="BH49" s="275"/>
      <c r="BI49" s="275"/>
      <c r="BK49" s="275"/>
      <c r="BL49" s="289" t="str" cm="1">
        <f t="array" ref="BL49">[1]!ACAELE_LineaCAD(A49)</f>
        <v>++++++++++++++++++++++++++++++2</v>
      </c>
      <c r="BM49" s="279" t="str">
        <f t="shared" si="4"/>
        <v>19+</v>
      </c>
      <c r="BN49" s="304"/>
      <c r="BO49" s="304"/>
      <c r="BP49" s="304"/>
      <c r="BQ49" s="304"/>
      <c r="BR49" s="304"/>
      <c r="BS49" s="304"/>
      <c r="BT49" s="304"/>
      <c r="BU49" s="304"/>
      <c r="BV49" s="304"/>
      <c r="BW49" s="304"/>
      <c r="BX49" s="304"/>
      <c r="BY49" s="304"/>
      <c r="BZ49" s="304"/>
      <c r="CA49" s="304"/>
      <c r="CB49" s="304"/>
      <c r="CC49" s="304"/>
      <c r="CD49" s="304"/>
      <c r="CE49" s="304"/>
      <c r="CF49" s="304"/>
      <c r="CG49" s="304"/>
      <c r="CH49" s="304"/>
      <c r="CI49" s="304"/>
      <c r="CJ49" s="304"/>
      <c r="CK49" s="304"/>
      <c r="CL49" s="304"/>
      <c r="CM49" s="304"/>
      <c r="CN49" s="304"/>
      <c r="CO49" s="304"/>
      <c r="CP49" s="304"/>
      <c r="CQ49" s="304"/>
      <c r="CR49" s="305" t="str" cm="1">
        <f t="array" ref="CR49">CONCATENATE(BM49,_xlfn.TEXTJOIN("",TRUE,IF(BN$129:CQ$129&lt;&gt;"","+"&amp;D49:AG49,"")))</f>
        <v>19+</v>
      </c>
      <c r="CS49" s="279">
        <f t="shared" si="5"/>
        <v>30</v>
      </c>
      <c r="CT49" s="279" t="str">
        <f t="shared" si="3"/>
        <v>+++++++++++++++++++++++++++++++</v>
      </c>
      <c r="CU49" s="291" t="str">
        <f t="shared" si="7"/>
        <v>19++++++++++++++++++++++++++++++++2</v>
      </c>
      <c r="GB49" s="279" t="s">
        <v>1934</v>
      </c>
    </row>
    <row r="50" spans="1:184">
      <c r="A50" s="275">
        <f>IF(C50&lt;&gt;"",1,IF(AH50="",2,IF(OR(IF(TABLERO!B50="",0,TABLERO!B50)&gt;TABLERO!$M$19,IF(TABLERO!C50="",IF(TABLERO!B50="",0,TABLERO!B50),TABLERO!C50)&gt;TABLERO!$M$19,BI50&gt;TABLERO!$M$19,IF(TABLERO!B50="",0,TABLERO!B50)=0,IF(TABLERO!C50="",BG50,TABLERO!C50)=0,IF(TABLERO!D50="",BG50,TABLERO!D50)=0),2,1)))</f>
        <v>2</v>
      </c>
      <c r="B50" s="276" t="str">
        <f>TABLERO!B50&amp;IF(TABLERO!C50="","",","&amp;TABLERO!C50)&amp;IF(TABLERO!D50="","",","&amp;TABLERO!D50)</f>
        <v>20</v>
      </c>
      <c r="C50" s="269" t="str">
        <f>IF(TABLERO!E50=0,"",TABLERO!E50)</f>
        <v/>
      </c>
      <c r="D50" s="312" t="str">
        <f>IF(OR(TABLERO!X50="",TABLERO!X50=0),"",TABLERO!X50)</f>
        <v/>
      </c>
      <c r="E50" s="312" t="str">
        <f>IF(OR(TABLERO!Y50="",TABLERO!Y50=0),"",TABLERO!Y50)</f>
        <v/>
      </c>
      <c r="F50" s="312" t="str">
        <f>IF(OR(TABLERO!Z50="",TABLERO!Z50=0),"",TABLERO!Z50)</f>
        <v/>
      </c>
      <c r="G50" s="312" t="str">
        <f>IF(OR(TABLERO!AA50="",TABLERO!AA50=0),"",TABLERO!AA50)</f>
        <v/>
      </c>
      <c r="H50" s="312" t="str">
        <f>IF(OR(TABLERO!AB50="",TABLERO!AB50=0),"",TABLERO!AB50)</f>
        <v/>
      </c>
      <c r="I50" s="312" t="str">
        <f>IF(OR(TABLERO!AC50="",TABLERO!AC50=0),"",TABLERO!AC50)</f>
        <v/>
      </c>
      <c r="J50" s="312" t="str">
        <f>IF(OR(TABLERO!AD50="",TABLERO!AD50=0),"",TABLERO!AD50)</f>
        <v/>
      </c>
      <c r="K50" s="312" t="str">
        <f>IF(OR(TABLERO!AE50="",TABLERO!AE50=0),"",TABLERO!AE50)</f>
        <v/>
      </c>
      <c r="L50" s="312" t="str">
        <f>IF(OR(TABLERO!AF50="",TABLERO!AF50=0),"",TABLERO!AF50)</f>
        <v/>
      </c>
      <c r="M50" s="312" t="str">
        <f>IF(OR(TABLERO!AG50="",TABLERO!AG50=0),"",TABLERO!AG50)</f>
        <v/>
      </c>
      <c r="N50" s="312" t="str">
        <f>IF(OR(TABLERO!AH50="",TABLERO!AH50=0),"",TABLERO!AH50)</f>
        <v/>
      </c>
      <c r="O50" s="312" t="str">
        <f>IF(OR(TABLERO!AI50="",TABLERO!AI50=0),"",TABLERO!AI50)</f>
        <v/>
      </c>
      <c r="P50" s="312" t="str">
        <f>IF(OR(TABLERO!AJ50="",TABLERO!AJ50=0),"",TABLERO!AJ50)</f>
        <v/>
      </c>
      <c r="Q50" s="312" t="str">
        <f>IF(OR(TABLERO!AK50="",TABLERO!AK50=0),"",TABLERO!AK50)</f>
        <v/>
      </c>
      <c r="R50" s="312" t="str">
        <f>IF(OR(TABLERO!AL50="",TABLERO!AL50=0),"",TABLERO!AL50)</f>
        <v/>
      </c>
      <c r="S50" s="312" t="str">
        <f>IF(OR(TABLERO!AM50="",TABLERO!AM50=0),"",TABLERO!AM50)</f>
        <v/>
      </c>
      <c r="T50" s="312" t="str">
        <f>IF(OR(TABLERO!AN50="",TABLERO!AN50=0),"",TABLERO!AN50)</f>
        <v/>
      </c>
      <c r="U50" s="312" t="str">
        <f>IF(OR(TABLERO!AO50="",TABLERO!AO50=0),"",TABLERO!AO50)</f>
        <v/>
      </c>
      <c r="V50" s="312" t="str">
        <f>IF(OR(TABLERO!AP50="",TABLERO!AP50=0),"",TABLERO!AP50)</f>
        <v/>
      </c>
      <c r="W50" s="312" t="str">
        <f>IF(OR(TABLERO!AQ50="",TABLERO!AQ50=0),"",TABLERO!AQ50)</f>
        <v/>
      </c>
      <c r="X50" s="312" t="str">
        <f>IF(OR(TABLERO!AR50="",TABLERO!AR50=0),"",TABLERO!AR50)</f>
        <v/>
      </c>
      <c r="Y50" s="312" t="str">
        <f>IF(OR(TABLERO!AS50="",TABLERO!AS50=0),"",TABLERO!AS50)</f>
        <v/>
      </c>
      <c r="Z50" s="312" t="str">
        <f>IF(OR(TABLERO!AT50="",TABLERO!AT50=0),"",TABLERO!AT50)</f>
        <v/>
      </c>
      <c r="AA50" s="312" t="str">
        <f>IF(OR(TABLERO!AU50="",TABLERO!AU50=0),"",TABLERO!AU50)</f>
        <v/>
      </c>
      <c r="AB50" s="312" t="str">
        <f>IF(OR(TABLERO!AV50="",TABLERO!AV50=0),"",TABLERO!AV50)</f>
        <v/>
      </c>
      <c r="AC50" s="312" t="str">
        <f>IF(OR(TABLERO!AW50="",TABLERO!AW50=0),"",TABLERO!AW50)</f>
        <v/>
      </c>
      <c r="AD50" s="312" t="str">
        <f>IF(OR(TABLERO!AX50="",TABLERO!AX50=0),"",TABLERO!AX50)</f>
        <v/>
      </c>
      <c r="AE50" s="312" t="str">
        <f>IF(OR(TABLERO!AY50="",TABLERO!AY50=0),"",TABLERO!AY50)</f>
        <v/>
      </c>
      <c r="AF50" s="312" t="str">
        <f>IF(OR(TABLERO!AZ50="",TABLERO!AZ50=0),"",TABLERO!AZ50)</f>
        <v/>
      </c>
      <c r="AG50" s="312" t="str">
        <f>IF(OR(TABLERO!BA50="",TABLERO!BA50=0),"",TABLERO!BA50)</f>
        <v/>
      </c>
      <c r="AH50" s="277" t="str">
        <f>IF(TABLERO!BB50=0,"",FIXED(IF(TABLERO!$F$17&lt;&gt;"KVA",TABLERO!BB50*1000,TABLERO!BB50*1000/TABLERO!DA50),2))</f>
        <v/>
      </c>
      <c r="AI50" s="277" t="str">
        <f>IF(TABLERO!BB50=0,"",FIXED(IF(TABLERO!$F$17&lt;&gt;"KVA",TABLERO!BT50*1000,TABLERO!BT50*1000/TABLERO!DA50),2))</f>
        <v/>
      </c>
      <c r="AJ50" s="272" t="str">
        <f>IF(OR(TABLERO!BU50="",TABLERO!BU50=0),"",FIXED(TABLERO!BU50,2))</f>
        <v/>
      </c>
      <c r="AK50" s="312" t="str">
        <f>IF(TABLERO!BB50=0,"",TABLERO!F50)</f>
        <v/>
      </c>
      <c r="AL50" s="312" t="str">
        <f>IF(TABLERO!BB50=0,"",TABLERO!G50)</f>
        <v/>
      </c>
      <c r="AM50" s="312" t="str">
        <f>IF(TABLERO!BB50=0,"",TABLERO!BV50)</f>
        <v/>
      </c>
      <c r="AN50" s="272" t="str">
        <f>IF(TABLERO!BB50=0,"",TABLERO!K50)</f>
        <v/>
      </c>
      <c r="AO50" s="312" t="str">
        <f>IF(TABLERO!BB50=0,"",TABLERO!J50)</f>
        <v/>
      </c>
      <c r="AP50" s="272" t="str">
        <f>IF(TABLERO!BB50=0,"",TABLERO!CT50)</f>
        <v/>
      </c>
      <c r="AQ50" s="272" t="str">
        <f>IF(TABLERO!BB50=0,"",TABLERO!CS50)</f>
        <v/>
      </c>
      <c r="AR50" s="272" t="str">
        <f>IF(OR(TABLERO!BB50=0,TABLERO!H50="RE"),"",FIXED(TABLERO!CY50,2))</f>
        <v/>
      </c>
      <c r="AS50" s="312" t="str">
        <f>IF(TABLERO!BB50=0,"",TABLERO!N50)</f>
        <v/>
      </c>
      <c r="AT50" s="1164" t="str">
        <f>IF(TABLERO!BB50=0,"",TABLERO!BX50&amp;" "&amp;TABLERO!ED50&amp;", "&amp;TABLERO!I50)</f>
        <v/>
      </c>
      <c r="AU50" s="1165"/>
      <c r="AV50" s="272" t="str">
        <f>IF(OR(TABLERO!BB50=0,TABLERO!H50="RE"),"",FIXED(TABLERO!BZ50,2))</f>
        <v/>
      </c>
      <c r="AW50" s="312" t="str">
        <f>IF(TABLERO!BB50=0,"",TABLERO!CA50)</f>
        <v/>
      </c>
      <c r="AX50" s="271" t="str">
        <f>IF(TABLERO!BB50=0,"",TABLERO!CB50)</f>
        <v/>
      </c>
      <c r="AY50" s="272" t="str">
        <f>IF(OR(TABLERO!BB50=0,TABLERO!H50="RE"),"",FIXED(TABLERO!DL50,2))</f>
        <v/>
      </c>
      <c r="AZ50" s="310" t="str">
        <f>IF(OR(TABLERO!BB50=0,TABLERO!H50="RE"),"",TABLERO!F50&amp;"P-"&amp;TABLERO!BW50&amp;"A")</f>
        <v/>
      </c>
      <c r="BA50" s="272" t="str">
        <f>IF(TABLERO!$BB50=0,"",IF(TABLERO!CI50="-","     -     ",FIXED(IF(TABLERO!$F$17&lt;&gt;"KVA",TABLERO!CI50,TABLERO!CI50/TABLERO!$F$14),2)))</f>
        <v/>
      </c>
      <c r="BB50" s="272" t="str">
        <f>IF(TABLERO!$BB50=0,"",IF(TABLERO!CJ50="-","     -     ",FIXED(IF(TABLERO!$F$17&lt;&gt;"KVA",TABLERO!CJ50,TABLERO!CJ50/TABLERO!$F$14),2)))</f>
        <v/>
      </c>
      <c r="BC50" s="272" t="str">
        <f>IF(TABLERO!$BB50=0,"",IF(TABLERO!CK50="-","     -     ",FIXED(IF(TABLERO!$F$17&lt;&gt;"KVA",TABLERO!CK50,TABLERO!CK50/TABLERO!$F$14),2)))</f>
        <v/>
      </c>
      <c r="BG50" s="275">
        <f>IF(TABLERO!B50="",0,TABLERO!B50)</f>
        <v>20</v>
      </c>
      <c r="BH50" s="275"/>
      <c r="BI50" s="275"/>
      <c r="BK50" s="275"/>
      <c r="BL50" s="289" t="str" cm="1">
        <f t="array" ref="BL50">[1]!ACAELE_LineaCAD(A50)</f>
        <v>++++++++++++++++++++++++++++++2</v>
      </c>
      <c r="BM50" s="279" t="str">
        <f t="shared" si="4"/>
        <v>20+</v>
      </c>
      <c r="BN50" s="304"/>
      <c r="BO50" s="304"/>
      <c r="BP50" s="304"/>
      <c r="BQ50" s="304"/>
      <c r="BR50" s="304"/>
      <c r="BS50" s="304"/>
      <c r="BT50" s="304"/>
      <c r="BU50" s="304"/>
      <c r="BV50" s="304"/>
      <c r="BW50" s="304"/>
      <c r="BX50" s="304"/>
      <c r="BY50" s="304"/>
      <c r="BZ50" s="304"/>
      <c r="CA50" s="304"/>
      <c r="CB50" s="304"/>
      <c r="CC50" s="304"/>
      <c r="CD50" s="304"/>
      <c r="CE50" s="304"/>
      <c r="CF50" s="304"/>
      <c r="CG50" s="304"/>
      <c r="CH50" s="304"/>
      <c r="CI50" s="304"/>
      <c r="CJ50" s="304"/>
      <c r="CK50" s="304"/>
      <c r="CL50" s="304"/>
      <c r="CM50" s="304"/>
      <c r="CN50" s="304"/>
      <c r="CO50" s="304"/>
      <c r="CP50" s="304"/>
      <c r="CQ50" s="304"/>
      <c r="CR50" s="305" t="str" cm="1">
        <f t="array" ref="CR50">CONCATENATE(BM50,_xlfn.TEXTJOIN("",TRUE,IF(BN$129:CQ$129&lt;&gt;"","+"&amp;D50:AG50,"")))</f>
        <v>20+</v>
      </c>
      <c r="CS50" s="279">
        <f t="shared" si="5"/>
        <v>30</v>
      </c>
      <c r="CT50" s="279" t="str">
        <f t="shared" si="3"/>
        <v>+++++++++++++++++++++++++++++++</v>
      </c>
      <c r="CU50" s="291" t="str">
        <f t="shared" si="7"/>
        <v>20++++++++++++++++++++++++++++++++2</v>
      </c>
      <c r="GB50" s="279" t="s">
        <v>1935</v>
      </c>
    </row>
    <row r="51" spans="1:184">
      <c r="A51" s="275">
        <f>IF(C51&lt;&gt;"",1,IF(AH51="",2,IF(OR(IF(TABLERO!B51="",0,TABLERO!B51)&gt;TABLERO!$M$19,IF(TABLERO!C51="",IF(TABLERO!B51="",0,TABLERO!B51),TABLERO!C51)&gt;TABLERO!$M$19,BI51&gt;TABLERO!$M$19,IF(TABLERO!B51="",0,TABLERO!B51)=0,IF(TABLERO!C51="",BG51,TABLERO!C51)=0,IF(TABLERO!D51="",BG51,TABLERO!D51)=0),2,1)))</f>
        <v>2</v>
      </c>
      <c r="B51" s="276" t="str">
        <f>TABLERO!B51&amp;IF(TABLERO!C51="","",","&amp;TABLERO!C51)&amp;IF(TABLERO!D51="","",","&amp;TABLERO!D51)</f>
        <v>21</v>
      </c>
      <c r="C51" s="269" t="str">
        <f>IF(TABLERO!E51=0,"",TABLERO!E51)</f>
        <v/>
      </c>
      <c r="D51" s="312" t="str">
        <f>IF(OR(TABLERO!X51="",TABLERO!X51=0),"",TABLERO!X51)</f>
        <v/>
      </c>
      <c r="E51" s="312" t="str">
        <f>IF(OR(TABLERO!Y51="",TABLERO!Y51=0),"",TABLERO!Y51)</f>
        <v/>
      </c>
      <c r="F51" s="312" t="str">
        <f>IF(OR(TABLERO!Z51="",TABLERO!Z51=0),"",TABLERO!Z51)</f>
        <v/>
      </c>
      <c r="G51" s="312" t="str">
        <f>IF(OR(TABLERO!AA51="",TABLERO!AA51=0),"",TABLERO!AA51)</f>
        <v/>
      </c>
      <c r="H51" s="312" t="str">
        <f>IF(OR(TABLERO!AB51="",TABLERO!AB51=0),"",TABLERO!AB51)</f>
        <v/>
      </c>
      <c r="I51" s="312" t="str">
        <f>IF(OR(TABLERO!AC51="",TABLERO!AC51=0),"",TABLERO!AC51)</f>
        <v/>
      </c>
      <c r="J51" s="312" t="str">
        <f>IF(OR(TABLERO!AD51="",TABLERO!AD51=0),"",TABLERO!AD51)</f>
        <v/>
      </c>
      <c r="K51" s="312" t="str">
        <f>IF(OR(TABLERO!AE51="",TABLERO!AE51=0),"",TABLERO!AE51)</f>
        <v/>
      </c>
      <c r="L51" s="312" t="str">
        <f>IF(OR(TABLERO!AF51="",TABLERO!AF51=0),"",TABLERO!AF51)</f>
        <v/>
      </c>
      <c r="M51" s="312" t="str">
        <f>IF(OR(TABLERO!AG51="",TABLERO!AG51=0),"",TABLERO!AG51)</f>
        <v/>
      </c>
      <c r="N51" s="312" t="str">
        <f>IF(OR(TABLERO!AH51="",TABLERO!AH51=0),"",TABLERO!AH51)</f>
        <v/>
      </c>
      <c r="O51" s="312" t="str">
        <f>IF(OR(TABLERO!AI51="",TABLERO!AI51=0),"",TABLERO!AI51)</f>
        <v/>
      </c>
      <c r="P51" s="312" t="str">
        <f>IF(OR(TABLERO!AJ51="",TABLERO!AJ51=0),"",TABLERO!AJ51)</f>
        <v/>
      </c>
      <c r="Q51" s="312" t="str">
        <f>IF(OR(TABLERO!AK51="",TABLERO!AK51=0),"",TABLERO!AK51)</f>
        <v/>
      </c>
      <c r="R51" s="312" t="str">
        <f>IF(OR(TABLERO!AL51="",TABLERO!AL51=0),"",TABLERO!AL51)</f>
        <v/>
      </c>
      <c r="S51" s="312" t="str">
        <f>IF(OR(TABLERO!AM51="",TABLERO!AM51=0),"",TABLERO!AM51)</f>
        <v/>
      </c>
      <c r="T51" s="312" t="str">
        <f>IF(OR(TABLERO!AN51="",TABLERO!AN51=0),"",TABLERO!AN51)</f>
        <v/>
      </c>
      <c r="U51" s="312" t="str">
        <f>IF(OR(TABLERO!AO51="",TABLERO!AO51=0),"",TABLERO!AO51)</f>
        <v/>
      </c>
      <c r="V51" s="312" t="str">
        <f>IF(OR(TABLERO!AP51="",TABLERO!AP51=0),"",TABLERO!AP51)</f>
        <v/>
      </c>
      <c r="W51" s="312" t="str">
        <f>IF(OR(TABLERO!AQ51="",TABLERO!AQ51=0),"",TABLERO!AQ51)</f>
        <v/>
      </c>
      <c r="X51" s="312" t="str">
        <f>IF(OR(TABLERO!AR51="",TABLERO!AR51=0),"",TABLERO!AR51)</f>
        <v/>
      </c>
      <c r="Y51" s="312" t="str">
        <f>IF(OR(TABLERO!AS51="",TABLERO!AS51=0),"",TABLERO!AS51)</f>
        <v/>
      </c>
      <c r="Z51" s="312" t="str">
        <f>IF(OR(TABLERO!AT51="",TABLERO!AT51=0),"",TABLERO!AT51)</f>
        <v/>
      </c>
      <c r="AA51" s="312" t="str">
        <f>IF(OR(TABLERO!AU51="",TABLERO!AU51=0),"",TABLERO!AU51)</f>
        <v/>
      </c>
      <c r="AB51" s="312" t="str">
        <f>IF(OR(TABLERO!AV51="",TABLERO!AV51=0),"",TABLERO!AV51)</f>
        <v/>
      </c>
      <c r="AC51" s="312" t="str">
        <f>IF(OR(TABLERO!AW51="",TABLERO!AW51=0),"",TABLERO!AW51)</f>
        <v/>
      </c>
      <c r="AD51" s="312" t="str">
        <f>IF(OR(TABLERO!AX51="",TABLERO!AX51=0),"",TABLERO!AX51)</f>
        <v/>
      </c>
      <c r="AE51" s="312" t="str">
        <f>IF(OR(TABLERO!AY51="",TABLERO!AY51=0),"",TABLERO!AY51)</f>
        <v/>
      </c>
      <c r="AF51" s="312" t="str">
        <f>IF(OR(TABLERO!AZ51="",TABLERO!AZ51=0),"",TABLERO!AZ51)</f>
        <v/>
      </c>
      <c r="AG51" s="312" t="str">
        <f>IF(OR(TABLERO!BA51="",TABLERO!BA51=0),"",TABLERO!BA51)</f>
        <v/>
      </c>
      <c r="AH51" s="277" t="str">
        <f>IF(TABLERO!BB51=0,"",FIXED(IF(TABLERO!$F$17&lt;&gt;"KVA",TABLERO!BB51*1000,TABLERO!BB51*1000/TABLERO!DA51),2))</f>
        <v/>
      </c>
      <c r="AI51" s="277" t="str">
        <f>IF(TABLERO!BB51=0,"",FIXED(IF(TABLERO!$F$17&lt;&gt;"KVA",TABLERO!BT51*1000,TABLERO!BT51*1000/TABLERO!DA51),2))</f>
        <v/>
      </c>
      <c r="AJ51" s="272" t="str">
        <f>IF(OR(TABLERO!BU51="",TABLERO!BU51=0),"",FIXED(TABLERO!BU51,2))</f>
        <v/>
      </c>
      <c r="AK51" s="312" t="str">
        <f>IF(TABLERO!BB51=0,"",TABLERO!F51)</f>
        <v/>
      </c>
      <c r="AL51" s="312" t="str">
        <f>IF(TABLERO!BB51=0,"",TABLERO!G51)</f>
        <v/>
      </c>
      <c r="AM51" s="312" t="str">
        <f>IF(TABLERO!BB51=0,"",TABLERO!BV51)</f>
        <v/>
      </c>
      <c r="AN51" s="272" t="str">
        <f>IF(TABLERO!BB51=0,"",TABLERO!K51)</f>
        <v/>
      </c>
      <c r="AO51" s="312" t="str">
        <f>IF(TABLERO!BB51=0,"",TABLERO!J51)</f>
        <v/>
      </c>
      <c r="AP51" s="272" t="str">
        <f>IF(TABLERO!BB51=0,"",TABLERO!CT51)</f>
        <v/>
      </c>
      <c r="AQ51" s="272" t="str">
        <f>IF(TABLERO!BB51=0,"",TABLERO!CS51)</f>
        <v/>
      </c>
      <c r="AR51" s="272" t="str">
        <f>IF(OR(TABLERO!BB51=0,TABLERO!H51="RE"),"",FIXED(TABLERO!CY51,2))</f>
        <v/>
      </c>
      <c r="AS51" s="312" t="str">
        <f>IF(TABLERO!BB51=0,"",TABLERO!N51)</f>
        <v/>
      </c>
      <c r="AT51" s="1164" t="str">
        <f>IF(TABLERO!BB51=0,"",TABLERO!BX51&amp;" "&amp;TABLERO!ED51&amp;", "&amp;TABLERO!I51)</f>
        <v/>
      </c>
      <c r="AU51" s="1165"/>
      <c r="AV51" s="272" t="str">
        <f>IF(OR(TABLERO!BB51=0,TABLERO!H51="RE"),"",FIXED(TABLERO!BZ51,2))</f>
        <v/>
      </c>
      <c r="AW51" s="312" t="str">
        <f>IF(TABLERO!BB51=0,"",TABLERO!CA51)</f>
        <v/>
      </c>
      <c r="AX51" s="271" t="str">
        <f>IF(TABLERO!BB51=0,"",TABLERO!CB51)</f>
        <v/>
      </c>
      <c r="AY51" s="272" t="str">
        <f>IF(OR(TABLERO!BB51=0,TABLERO!H51="RE"),"",FIXED(TABLERO!DL51,2))</f>
        <v/>
      </c>
      <c r="AZ51" s="310" t="str">
        <f>IF(OR(TABLERO!BB51=0,TABLERO!H51="RE"),"",TABLERO!F51&amp;"P-"&amp;TABLERO!BW51&amp;"A")</f>
        <v/>
      </c>
      <c r="BA51" s="272" t="str">
        <f>IF(TABLERO!$BB51=0,"",IF(TABLERO!CI51="-","     -     ",FIXED(IF(TABLERO!$F$17&lt;&gt;"KVA",TABLERO!CI51,TABLERO!CI51/TABLERO!$F$14),2)))</f>
        <v/>
      </c>
      <c r="BB51" s="272" t="str">
        <f>IF(TABLERO!$BB51=0,"",IF(TABLERO!CJ51="-","     -     ",FIXED(IF(TABLERO!$F$17&lt;&gt;"KVA",TABLERO!CJ51,TABLERO!CJ51/TABLERO!$F$14),2)))</f>
        <v/>
      </c>
      <c r="BC51" s="272" t="str">
        <f>IF(TABLERO!$BB51=0,"",IF(TABLERO!CK51="-","     -     ",FIXED(IF(TABLERO!$F$17&lt;&gt;"KVA",TABLERO!CK51,TABLERO!CK51/TABLERO!$F$14),2)))</f>
        <v/>
      </c>
      <c r="BG51" s="275">
        <f>IF(TABLERO!B51="",0,TABLERO!B51)</f>
        <v>21</v>
      </c>
      <c r="BH51" s="275"/>
      <c r="BI51" s="275"/>
      <c r="BK51" s="275"/>
      <c r="BL51" s="289" t="str" cm="1">
        <f t="array" ref="BL51">[1]!ACAELE_LineaCAD(A51)</f>
        <v>++++++++++++++++++++++++++++++2</v>
      </c>
      <c r="BM51" s="279" t="str">
        <f t="shared" si="4"/>
        <v>21+</v>
      </c>
      <c r="BN51" s="304"/>
      <c r="BO51" s="304"/>
      <c r="BP51" s="304"/>
      <c r="BQ51" s="304"/>
      <c r="BR51" s="304"/>
      <c r="BS51" s="304"/>
      <c r="BT51" s="304"/>
      <c r="BU51" s="304"/>
      <c r="BV51" s="304"/>
      <c r="BW51" s="304"/>
      <c r="BX51" s="304"/>
      <c r="BY51" s="304"/>
      <c r="BZ51" s="304"/>
      <c r="CA51" s="304"/>
      <c r="CB51" s="304"/>
      <c r="CC51" s="304"/>
      <c r="CD51" s="304"/>
      <c r="CE51" s="304"/>
      <c r="CF51" s="304"/>
      <c r="CG51" s="304"/>
      <c r="CH51" s="304"/>
      <c r="CI51" s="304"/>
      <c r="CJ51" s="304"/>
      <c r="CK51" s="304"/>
      <c r="CL51" s="304"/>
      <c r="CM51" s="304"/>
      <c r="CN51" s="304"/>
      <c r="CO51" s="304"/>
      <c r="CP51" s="304"/>
      <c r="CQ51" s="304"/>
      <c r="CR51" s="305" t="str" cm="1">
        <f t="array" ref="CR51">CONCATENATE(BM51,_xlfn.TEXTJOIN("",TRUE,IF(BN$129:CQ$129&lt;&gt;"","+"&amp;D51:AG51,"")))</f>
        <v>21+</v>
      </c>
      <c r="CS51" s="279">
        <f t="shared" si="5"/>
        <v>30</v>
      </c>
      <c r="CT51" s="279" t="str">
        <f t="shared" si="3"/>
        <v>+++++++++++++++++++++++++++++++</v>
      </c>
      <c r="CU51" s="291" t="str">
        <f t="shared" si="7"/>
        <v>21++++++++++++++++++++++++++++++++2</v>
      </c>
      <c r="GB51" s="279" t="s">
        <v>1936</v>
      </c>
    </row>
    <row r="52" spans="1:184">
      <c r="A52" s="275">
        <f>IF(C52&lt;&gt;"",1,IF(AH52="",2,IF(OR(IF(TABLERO!B52="",0,TABLERO!B52)&gt;TABLERO!$M$19,IF(TABLERO!C52="",IF(TABLERO!B52="",0,TABLERO!B52),TABLERO!C52)&gt;TABLERO!$M$19,BI52&gt;TABLERO!$M$19,IF(TABLERO!B52="",0,TABLERO!B52)=0,IF(TABLERO!C52="",BG52,TABLERO!C52)=0,IF(TABLERO!D52="",BG52,TABLERO!D52)=0),2,1)))</f>
        <v>2</v>
      </c>
      <c r="B52" s="276" t="str">
        <f>TABLERO!B52&amp;IF(TABLERO!C52="","",","&amp;TABLERO!C52)&amp;IF(TABLERO!D52="","",","&amp;TABLERO!D52)</f>
        <v>22</v>
      </c>
      <c r="C52" s="269" t="str">
        <f>IF(TABLERO!E52=0,"",TABLERO!E52)</f>
        <v/>
      </c>
      <c r="D52" s="312" t="str">
        <f>IF(OR(TABLERO!X52="",TABLERO!X52=0),"",TABLERO!X52)</f>
        <v/>
      </c>
      <c r="E52" s="312" t="str">
        <f>IF(OR(TABLERO!Y52="",TABLERO!Y52=0),"",TABLERO!Y52)</f>
        <v/>
      </c>
      <c r="F52" s="312" t="str">
        <f>IF(OR(TABLERO!Z52="",TABLERO!Z52=0),"",TABLERO!Z52)</f>
        <v/>
      </c>
      <c r="G52" s="312" t="str">
        <f>IF(OR(TABLERO!AA52="",TABLERO!AA52=0),"",TABLERO!AA52)</f>
        <v/>
      </c>
      <c r="H52" s="312" t="str">
        <f>IF(OR(TABLERO!AB52="",TABLERO!AB52=0),"",TABLERO!AB52)</f>
        <v/>
      </c>
      <c r="I52" s="312" t="str">
        <f>IF(OR(TABLERO!AC52="",TABLERO!AC52=0),"",TABLERO!AC52)</f>
        <v/>
      </c>
      <c r="J52" s="312" t="str">
        <f>IF(OR(TABLERO!AD52="",TABLERO!AD52=0),"",TABLERO!AD52)</f>
        <v/>
      </c>
      <c r="K52" s="312" t="str">
        <f>IF(OR(TABLERO!AE52="",TABLERO!AE52=0),"",TABLERO!AE52)</f>
        <v/>
      </c>
      <c r="L52" s="312" t="str">
        <f>IF(OR(TABLERO!AF52="",TABLERO!AF52=0),"",TABLERO!AF52)</f>
        <v/>
      </c>
      <c r="M52" s="312" t="str">
        <f>IF(OR(TABLERO!AG52="",TABLERO!AG52=0),"",TABLERO!AG52)</f>
        <v/>
      </c>
      <c r="N52" s="312" t="str">
        <f>IF(OR(TABLERO!AH52="",TABLERO!AH52=0),"",TABLERO!AH52)</f>
        <v/>
      </c>
      <c r="O52" s="312" t="str">
        <f>IF(OR(TABLERO!AI52="",TABLERO!AI52=0),"",TABLERO!AI52)</f>
        <v/>
      </c>
      <c r="P52" s="312" t="str">
        <f>IF(OR(TABLERO!AJ52="",TABLERO!AJ52=0),"",TABLERO!AJ52)</f>
        <v/>
      </c>
      <c r="Q52" s="312" t="str">
        <f>IF(OR(TABLERO!AK52="",TABLERO!AK52=0),"",TABLERO!AK52)</f>
        <v/>
      </c>
      <c r="R52" s="312" t="str">
        <f>IF(OR(TABLERO!AL52="",TABLERO!AL52=0),"",TABLERO!AL52)</f>
        <v/>
      </c>
      <c r="S52" s="312" t="str">
        <f>IF(OR(TABLERO!AM52="",TABLERO!AM52=0),"",TABLERO!AM52)</f>
        <v/>
      </c>
      <c r="T52" s="312" t="str">
        <f>IF(OR(TABLERO!AN52="",TABLERO!AN52=0),"",TABLERO!AN52)</f>
        <v/>
      </c>
      <c r="U52" s="312" t="str">
        <f>IF(OR(TABLERO!AO52="",TABLERO!AO52=0),"",TABLERO!AO52)</f>
        <v/>
      </c>
      <c r="V52" s="312" t="str">
        <f>IF(OR(TABLERO!AP52="",TABLERO!AP52=0),"",TABLERO!AP52)</f>
        <v/>
      </c>
      <c r="W52" s="312" t="str">
        <f>IF(OR(TABLERO!AQ52="",TABLERO!AQ52=0),"",TABLERO!AQ52)</f>
        <v/>
      </c>
      <c r="X52" s="312" t="str">
        <f>IF(OR(TABLERO!AR52="",TABLERO!AR52=0),"",TABLERO!AR52)</f>
        <v/>
      </c>
      <c r="Y52" s="312" t="str">
        <f>IF(OR(TABLERO!AS52="",TABLERO!AS52=0),"",TABLERO!AS52)</f>
        <v/>
      </c>
      <c r="Z52" s="312" t="str">
        <f>IF(OR(TABLERO!AT52="",TABLERO!AT52=0),"",TABLERO!AT52)</f>
        <v/>
      </c>
      <c r="AA52" s="312" t="str">
        <f>IF(OR(TABLERO!AU52="",TABLERO!AU52=0),"",TABLERO!AU52)</f>
        <v/>
      </c>
      <c r="AB52" s="312" t="str">
        <f>IF(OR(TABLERO!AV52="",TABLERO!AV52=0),"",TABLERO!AV52)</f>
        <v/>
      </c>
      <c r="AC52" s="312" t="str">
        <f>IF(OR(TABLERO!AW52="",TABLERO!AW52=0),"",TABLERO!AW52)</f>
        <v/>
      </c>
      <c r="AD52" s="312" t="str">
        <f>IF(OR(TABLERO!AX52="",TABLERO!AX52=0),"",TABLERO!AX52)</f>
        <v/>
      </c>
      <c r="AE52" s="312" t="str">
        <f>IF(OR(TABLERO!AY52="",TABLERO!AY52=0),"",TABLERO!AY52)</f>
        <v/>
      </c>
      <c r="AF52" s="312" t="str">
        <f>IF(OR(TABLERO!AZ52="",TABLERO!AZ52=0),"",TABLERO!AZ52)</f>
        <v/>
      </c>
      <c r="AG52" s="312" t="str">
        <f>IF(OR(TABLERO!BA52="",TABLERO!BA52=0),"",TABLERO!BA52)</f>
        <v/>
      </c>
      <c r="AH52" s="277" t="str">
        <f>IF(TABLERO!BB52=0,"",FIXED(IF(TABLERO!$F$17&lt;&gt;"KVA",TABLERO!BB52*1000,TABLERO!BB52*1000/TABLERO!DA52),2))</f>
        <v/>
      </c>
      <c r="AI52" s="277" t="str">
        <f>IF(TABLERO!BB52=0,"",FIXED(IF(TABLERO!$F$17&lt;&gt;"KVA",TABLERO!BT52*1000,TABLERO!BT52*1000/TABLERO!DA52),2))</f>
        <v/>
      </c>
      <c r="AJ52" s="272" t="str">
        <f>IF(OR(TABLERO!BU52="",TABLERO!BU52=0),"",FIXED(TABLERO!BU52,2))</f>
        <v/>
      </c>
      <c r="AK52" s="312" t="str">
        <f>IF(TABLERO!BB52=0,"",TABLERO!F52)</f>
        <v/>
      </c>
      <c r="AL52" s="312" t="str">
        <f>IF(TABLERO!BB52=0,"",TABLERO!G52)</f>
        <v/>
      </c>
      <c r="AM52" s="312" t="str">
        <f>IF(TABLERO!BB52=0,"",TABLERO!BV52)</f>
        <v/>
      </c>
      <c r="AN52" s="272" t="str">
        <f>IF(TABLERO!BB52=0,"",TABLERO!K52)</f>
        <v/>
      </c>
      <c r="AO52" s="312" t="str">
        <f>IF(TABLERO!BB52=0,"",TABLERO!J52)</f>
        <v/>
      </c>
      <c r="AP52" s="272" t="str">
        <f>IF(TABLERO!BB52=0,"",TABLERO!CT52)</f>
        <v/>
      </c>
      <c r="AQ52" s="272" t="str">
        <f>IF(TABLERO!BB52=0,"",TABLERO!CS52)</f>
        <v/>
      </c>
      <c r="AR52" s="272" t="str">
        <f>IF(OR(TABLERO!BB52=0,TABLERO!H52="RE"),"",FIXED(TABLERO!CY52,2))</f>
        <v/>
      </c>
      <c r="AS52" s="312" t="str">
        <f>IF(TABLERO!BB52=0,"",TABLERO!N52)</f>
        <v/>
      </c>
      <c r="AT52" s="1164" t="str">
        <f>IF(TABLERO!BB52=0,"",TABLERO!BX52&amp;" "&amp;TABLERO!ED52&amp;", "&amp;TABLERO!I52)</f>
        <v/>
      </c>
      <c r="AU52" s="1165"/>
      <c r="AV52" s="272" t="str">
        <f>IF(OR(TABLERO!BB52=0,TABLERO!H52="RE"),"",FIXED(TABLERO!BZ52,2))</f>
        <v/>
      </c>
      <c r="AW52" s="312" t="str">
        <f>IF(TABLERO!BB52=0,"",TABLERO!CA52)</f>
        <v/>
      </c>
      <c r="AX52" s="271" t="str">
        <f>IF(TABLERO!BB52=0,"",TABLERO!CB52)</f>
        <v/>
      </c>
      <c r="AY52" s="272" t="str">
        <f>IF(OR(TABLERO!BB52=0,TABLERO!H52="RE"),"",FIXED(TABLERO!DL52,2))</f>
        <v/>
      </c>
      <c r="AZ52" s="310" t="str">
        <f>IF(OR(TABLERO!BB52=0,TABLERO!H52="RE"),"",TABLERO!F52&amp;"P-"&amp;TABLERO!BW52&amp;"A")</f>
        <v/>
      </c>
      <c r="BA52" s="272" t="str">
        <f>IF(TABLERO!$BB52=0,"",IF(TABLERO!CI52="-","     -     ",FIXED(IF(TABLERO!$F$17&lt;&gt;"KVA",TABLERO!CI52,TABLERO!CI52/TABLERO!$F$14),2)))</f>
        <v/>
      </c>
      <c r="BB52" s="272" t="str">
        <f>IF(TABLERO!$BB52=0,"",IF(TABLERO!CJ52="-","     -     ",FIXED(IF(TABLERO!$F$17&lt;&gt;"KVA",TABLERO!CJ52,TABLERO!CJ52/TABLERO!$F$14),2)))</f>
        <v/>
      </c>
      <c r="BC52" s="272" t="str">
        <f>IF(TABLERO!$BB52=0,"",IF(TABLERO!CK52="-","     -     ",FIXED(IF(TABLERO!$F$17&lt;&gt;"KVA",TABLERO!CK52,TABLERO!CK52/TABLERO!$F$14),2)))</f>
        <v/>
      </c>
      <c r="BG52" s="275">
        <f>IF(TABLERO!B52="",0,TABLERO!B52)</f>
        <v>22</v>
      </c>
      <c r="BH52" s="275"/>
      <c r="BI52" s="275"/>
      <c r="BK52" s="275"/>
      <c r="BL52" s="289" t="str" cm="1">
        <f t="array" ref="BL52">[1]!ACAELE_LineaCAD(A52)</f>
        <v>++++++++++++++++++++++++++++++2</v>
      </c>
      <c r="BM52" s="279" t="str">
        <f t="shared" si="4"/>
        <v>22+</v>
      </c>
      <c r="BN52" s="304"/>
      <c r="BO52" s="304"/>
      <c r="BP52" s="304"/>
      <c r="BQ52" s="304"/>
      <c r="BR52" s="304"/>
      <c r="BS52" s="304"/>
      <c r="BT52" s="304"/>
      <c r="BU52" s="304"/>
      <c r="BV52" s="304"/>
      <c r="BW52" s="304"/>
      <c r="BX52" s="304"/>
      <c r="BY52" s="304"/>
      <c r="BZ52" s="304"/>
      <c r="CA52" s="304"/>
      <c r="CB52" s="304"/>
      <c r="CC52" s="304"/>
      <c r="CD52" s="304"/>
      <c r="CE52" s="304"/>
      <c r="CF52" s="304"/>
      <c r="CG52" s="304"/>
      <c r="CH52" s="304"/>
      <c r="CI52" s="304"/>
      <c r="CJ52" s="304"/>
      <c r="CK52" s="304"/>
      <c r="CL52" s="304"/>
      <c r="CM52" s="304"/>
      <c r="CN52" s="304"/>
      <c r="CO52" s="304"/>
      <c r="CP52" s="304"/>
      <c r="CQ52" s="304"/>
      <c r="CR52" s="305" t="str" cm="1">
        <f t="array" ref="CR52">CONCATENATE(BM52,_xlfn.TEXTJOIN("",TRUE,IF(BN$129:CQ$129&lt;&gt;"","+"&amp;D52:AG52,"")))</f>
        <v>22+</v>
      </c>
      <c r="CS52" s="279">
        <f t="shared" si="5"/>
        <v>30</v>
      </c>
      <c r="CT52" s="279" t="str">
        <f t="shared" si="3"/>
        <v>+++++++++++++++++++++++++++++++</v>
      </c>
      <c r="CU52" s="291" t="str">
        <f t="shared" si="7"/>
        <v>22++++++++++++++++++++++++++++++++2</v>
      </c>
      <c r="GB52" s="279" t="s">
        <v>1937</v>
      </c>
    </row>
    <row r="53" spans="1:184">
      <c r="A53" s="275">
        <f>IF(C53&lt;&gt;"",1,IF(AH53="",2,IF(OR(IF(TABLERO!B53="",0,TABLERO!B53)&gt;TABLERO!$M$19,IF(TABLERO!C53="",IF(TABLERO!B53="",0,TABLERO!B53),TABLERO!C53)&gt;TABLERO!$M$19,BI53&gt;TABLERO!$M$19,IF(TABLERO!B53="",0,TABLERO!B53)=0,IF(TABLERO!C53="",BG53,TABLERO!C53)=0,IF(TABLERO!D53="",BG53,TABLERO!D53)=0),2,1)))</f>
        <v>2</v>
      </c>
      <c r="B53" s="276" t="str">
        <f>TABLERO!B53&amp;IF(TABLERO!C53="","",","&amp;TABLERO!C53)&amp;IF(TABLERO!D53="","",","&amp;TABLERO!D53)</f>
        <v>23</v>
      </c>
      <c r="C53" s="269" t="str">
        <f>IF(TABLERO!E53=0,"",TABLERO!E53)</f>
        <v/>
      </c>
      <c r="D53" s="312" t="str">
        <f>IF(OR(TABLERO!X53="",TABLERO!X53=0),"",TABLERO!X53)</f>
        <v/>
      </c>
      <c r="E53" s="312" t="str">
        <f>IF(OR(TABLERO!Y53="",TABLERO!Y53=0),"",TABLERO!Y53)</f>
        <v/>
      </c>
      <c r="F53" s="312" t="str">
        <f>IF(OR(TABLERO!Z53="",TABLERO!Z53=0),"",TABLERO!Z53)</f>
        <v/>
      </c>
      <c r="G53" s="312" t="str">
        <f>IF(OR(TABLERO!AA53="",TABLERO!AA53=0),"",TABLERO!AA53)</f>
        <v/>
      </c>
      <c r="H53" s="312" t="str">
        <f>IF(OR(TABLERO!AB53="",TABLERO!AB53=0),"",TABLERO!AB53)</f>
        <v/>
      </c>
      <c r="I53" s="312" t="str">
        <f>IF(OR(TABLERO!AC53="",TABLERO!AC53=0),"",TABLERO!AC53)</f>
        <v/>
      </c>
      <c r="J53" s="312" t="str">
        <f>IF(OR(TABLERO!AD53="",TABLERO!AD53=0),"",TABLERO!AD53)</f>
        <v/>
      </c>
      <c r="K53" s="312" t="str">
        <f>IF(OR(TABLERO!AE53="",TABLERO!AE53=0),"",TABLERO!AE53)</f>
        <v/>
      </c>
      <c r="L53" s="312" t="str">
        <f>IF(OR(TABLERO!AF53="",TABLERO!AF53=0),"",TABLERO!AF53)</f>
        <v/>
      </c>
      <c r="M53" s="312" t="str">
        <f>IF(OR(TABLERO!AG53="",TABLERO!AG53=0),"",TABLERO!AG53)</f>
        <v/>
      </c>
      <c r="N53" s="312" t="str">
        <f>IF(OR(TABLERO!AH53="",TABLERO!AH53=0),"",TABLERO!AH53)</f>
        <v/>
      </c>
      <c r="O53" s="312" t="str">
        <f>IF(OR(TABLERO!AI53="",TABLERO!AI53=0),"",TABLERO!AI53)</f>
        <v/>
      </c>
      <c r="P53" s="312" t="str">
        <f>IF(OR(TABLERO!AJ53="",TABLERO!AJ53=0),"",TABLERO!AJ53)</f>
        <v/>
      </c>
      <c r="Q53" s="312" t="str">
        <f>IF(OR(TABLERO!AK53="",TABLERO!AK53=0),"",TABLERO!AK53)</f>
        <v/>
      </c>
      <c r="R53" s="312" t="str">
        <f>IF(OR(TABLERO!AL53="",TABLERO!AL53=0),"",TABLERO!AL53)</f>
        <v/>
      </c>
      <c r="S53" s="312" t="str">
        <f>IF(OR(TABLERO!AM53="",TABLERO!AM53=0),"",TABLERO!AM53)</f>
        <v/>
      </c>
      <c r="T53" s="312" t="str">
        <f>IF(OR(TABLERO!AN53="",TABLERO!AN53=0),"",TABLERO!AN53)</f>
        <v/>
      </c>
      <c r="U53" s="312" t="str">
        <f>IF(OR(TABLERO!AO53="",TABLERO!AO53=0),"",TABLERO!AO53)</f>
        <v/>
      </c>
      <c r="V53" s="312" t="str">
        <f>IF(OR(TABLERO!AP53="",TABLERO!AP53=0),"",TABLERO!AP53)</f>
        <v/>
      </c>
      <c r="W53" s="312" t="str">
        <f>IF(OR(TABLERO!AQ53="",TABLERO!AQ53=0),"",TABLERO!AQ53)</f>
        <v/>
      </c>
      <c r="X53" s="312" t="str">
        <f>IF(OR(TABLERO!AR53="",TABLERO!AR53=0),"",TABLERO!AR53)</f>
        <v/>
      </c>
      <c r="Y53" s="312" t="str">
        <f>IF(OR(TABLERO!AS53="",TABLERO!AS53=0),"",TABLERO!AS53)</f>
        <v/>
      </c>
      <c r="Z53" s="312" t="str">
        <f>IF(OR(TABLERO!AT53="",TABLERO!AT53=0),"",TABLERO!AT53)</f>
        <v/>
      </c>
      <c r="AA53" s="312" t="str">
        <f>IF(OR(TABLERO!AU53="",TABLERO!AU53=0),"",TABLERO!AU53)</f>
        <v/>
      </c>
      <c r="AB53" s="312" t="str">
        <f>IF(OR(TABLERO!AV53="",TABLERO!AV53=0),"",TABLERO!AV53)</f>
        <v/>
      </c>
      <c r="AC53" s="312" t="str">
        <f>IF(OR(TABLERO!AW53="",TABLERO!AW53=0),"",TABLERO!AW53)</f>
        <v/>
      </c>
      <c r="AD53" s="312" t="str">
        <f>IF(OR(TABLERO!AX53="",TABLERO!AX53=0),"",TABLERO!AX53)</f>
        <v/>
      </c>
      <c r="AE53" s="312" t="str">
        <f>IF(OR(TABLERO!AY53="",TABLERO!AY53=0),"",TABLERO!AY53)</f>
        <v/>
      </c>
      <c r="AF53" s="312" t="str">
        <f>IF(OR(TABLERO!AZ53="",TABLERO!AZ53=0),"",TABLERO!AZ53)</f>
        <v/>
      </c>
      <c r="AG53" s="312" t="str">
        <f>IF(OR(TABLERO!BA53="",TABLERO!BA53=0),"",TABLERO!BA53)</f>
        <v/>
      </c>
      <c r="AH53" s="277" t="str">
        <f>IF(TABLERO!BB53=0,"",FIXED(IF(TABLERO!$F$17&lt;&gt;"KVA",TABLERO!BB53*1000,TABLERO!BB53*1000/TABLERO!DA53),2))</f>
        <v/>
      </c>
      <c r="AI53" s="277" t="str">
        <f>IF(TABLERO!BB53=0,"",FIXED(IF(TABLERO!$F$17&lt;&gt;"KVA",TABLERO!BT53*1000,TABLERO!BT53*1000/TABLERO!DA53),2))</f>
        <v/>
      </c>
      <c r="AJ53" s="272" t="str">
        <f>IF(OR(TABLERO!BU53="",TABLERO!BU53=0),"",FIXED(TABLERO!BU53,2))</f>
        <v/>
      </c>
      <c r="AK53" s="312" t="str">
        <f>IF(TABLERO!BB53=0,"",TABLERO!F53)</f>
        <v/>
      </c>
      <c r="AL53" s="312" t="str">
        <f>IF(TABLERO!BB53=0,"",TABLERO!G53)</f>
        <v/>
      </c>
      <c r="AM53" s="312" t="str">
        <f>IF(TABLERO!BB53=0,"",TABLERO!BV53)</f>
        <v/>
      </c>
      <c r="AN53" s="272" t="str">
        <f>IF(TABLERO!BB53=0,"",TABLERO!K53)</f>
        <v/>
      </c>
      <c r="AO53" s="312" t="str">
        <f>IF(TABLERO!BB53=0,"",TABLERO!J53)</f>
        <v/>
      </c>
      <c r="AP53" s="272" t="str">
        <f>IF(TABLERO!BB53=0,"",TABLERO!CT53)</f>
        <v/>
      </c>
      <c r="AQ53" s="272" t="str">
        <f>IF(TABLERO!BB53=0,"",TABLERO!CS53)</f>
        <v/>
      </c>
      <c r="AR53" s="272" t="str">
        <f>IF(OR(TABLERO!BB53=0,TABLERO!H53="RE"),"",FIXED(TABLERO!CY53,2))</f>
        <v/>
      </c>
      <c r="AS53" s="312" t="str">
        <f>IF(TABLERO!BB53=0,"",TABLERO!N53)</f>
        <v/>
      </c>
      <c r="AT53" s="1164" t="str">
        <f>IF(TABLERO!BB53=0,"",TABLERO!BX53&amp;" "&amp;TABLERO!ED53&amp;", "&amp;TABLERO!I53)</f>
        <v/>
      </c>
      <c r="AU53" s="1165"/>
      <c r="AV53" s="272" t="str">
        <f>IF(OR(TABLERO!BB53=0,TABLERO!H53="RE"),"",FIXED(TABLERO!BZ53,2))</f>
        <v/>
      </c>
      <c r="AW53" s="312" t="str">
        <f>IF(TABLERO!BB53=0,"",TABLERO!CA53)</f>
        <v/>
      </c>
      <c r="AX53" s="271" t="str">
        <f>IF(TABLERO!BB53=0,"",TABLERO!CB53)</f>
        <v/>
      </c>
      <c r="AY53" s="272" t="str">
        <f>IF(OR(TABLERO!BB53=0,TABLERO!H53="RE"),"",FIXED(TABLERO!DL53,2))</f>
        <v/>
      </c>
      <c r="AZ53" s="310" t="str">
        <f>IF(OR(TABLERO!BB53=0,TABLERO!H53="RE"),"",TABLERO!F53&amp;"P-"&amp;TABLERO!BW53&amp;"A")</f>
        <v/>
      </c>
      <c r="BA53" s="272" t="str">
        <f>IF(TABLERO!$BB53=0,"",IF(TABLERO!CI53="-","     -     ",FIXED(IF(TABLERO!$F$17&lt;&gt;"KVA",TABLERO!CI53,TABLERO!CI53/TABLERO!$F$14),2)))</f>
        <v/>
      </c>
      <c r="BB53" s="272" t="str">
        <f>IF(TABLERO!$BB53=0,"",IF(TABLERO!CJ53="-","     -     ",FIXED(IF(TABLERO!$F$17&lt;&gt;"KVA",TABLERO!CJ53,TABLERO!CJ53/TABLERO!$F$14),2)))</f>
        <v/>
      </c>
      <c r="BC53" s="272" t="str">
        <f>IF(TABLERO!$BB53=0,"",IF(TABLERO!CK53="-","     -     ",FIXED(IF(TABLERO!$F$17&lt;&gt;"KVA",TABLERO!CK53,TABLERO!CK53/TABLERO!$F$14),2)))</f>
        <v/>
      </c>
      <c r="BG53" s="275">
        <f>IF(TABLERO!B53="",0,TABLERO!B53)</f>
        <v>23</v>
      </c>
      <c r="BH53" s="275"/>
      <c r="BI53" s="275"/>
      <c r="BK53" s="275"/>
      <c r="BL53" s="289" t="str" cm="1">
        <f t="array" ref="BL53">[1]!ACAELE_LineaCAD(A53)</f>
        <v>++++++++++++++++++++++++++++++2</v>
      </c>
      <c r="BM53" s="279" t="str">
        <f t="shared" si="4"/>
        <v>23+</v>
      </c>
      <c r="BN53" s="304"/>
      <c r="BO53" s="304"/>
      <c r="BP53" s="304"/>
      <c r="BQ53" s="304"/>
      <c r="BR53" s="304"/>
      <c r="BS53" s="304"/>
      <c r="BT53" s="304"/>
      <c r="BU53" s="304"/>
      <c r="BV53" s="304"/>
      <c r="BW53" s="304"/>
      <c r="BX53" s="304"/>
      <c r="BY53" s="304"/>
      <c r="BZ53" s="304"/>
      <c r="CA53" s="304"/>
      <c r="CB53" s="304"/>
      <c r="CC53" s="304"/>
      <c r="CD53" s="304"/>
      <c r="CE53" s="304"/>
      <c r="CF53" s="304"/>
      <c r="CG53" s="304"/>
      <c r="CH53" s="304"/>
      <c r="CI53" s="304"/>
      <c r="CJ53" s="304"/>
      <c r="CK53" s="304"/>
      <c r="CL53" s="304"/>
      <c r="CM53" s="304"/>
      <c r="CN53" s="304"/>
      <c r="CO53" s="304"/>
      <c r="CP53" s="304"/>
      <c r="CQ53" s="304"/>
      <c r="CR53" s="305" t="str" cm="1">
        <f t="array" ref="CR53">CONCATENATE(BM53,_xlfn.TEXTJOIN("",TRUE,IF(BN$129:CQ$129&lt;&gt;"","+"&amp;D53:AG53,"")))</f>
        <v>23+</v>
      </c>
      <c r="CS53" s="279">
        <f t="shared" si="5"/>
        <v>30</v>
      </c>
      <c r="CT53" s="279" t="str">
        <f t="shared" si="3"/>
        <v>+++++++++++++++++++++++++++++++</v>
      </c>
      <c r="CU53" s="291" t="str">
        <f t="shared" si="7"/>
        <v>23++++++++++++++++++++++++++++++++2</v>
      </c>
      <c r="GB53" s="279" t="s">
        <v>1938</v>
      </c>
    </row>
    <row r="54" spans="1:184">
      <c r="A54" s="275">
        <f>IF(C54&lt;&gt;"",1,IF(AH54="",2,IF(OR(IF(TABLERO!B54="",0,TABLERO!B54)&gt;TABLERO!$M$19,IF(TABLERO!C54="",IF(TABLERO!B54="",0,TABLERO!B54),TABLERO!C54)&gt;TABLERO!$M$19,BI54&gt;TABLERO!$M$19,IF(TABLERO!B54="",0,TABLERO!B54)=0,IF(TABLERO!C54="",BG54,TABLERO!C54)=0,IF(TABLERO!D54="",BG54,TABLERO!D54)=0),2,1)))</f>
        <v>2</v>
      </c>
      <c r="B54" s="276" t="str">
        <f>TABLERO!B54&amp;IF(TABLERO!C54="","",","&amp;TABLERO!C54)&amp;IF(TABLERO!D54="","",","&amp;TABLERO!D54)</f>
        <v>24</v>
      </c>
      <c r="C54" s="269" t="str">
        <f>IF(TABLERO!E54=0,"",TABLERO!E54)</f>
        <v/>
      </c>
      <c r="D54" s="312" t="str">
        <f>IF(OR(TABLERO!X54="",TABLERO!X54=0),"",TABLERO!X54)</f>
        <v/>
      </c>
      <c r="E54" s="312" t="str">
        <f>IF(OR(TABLERO!Y54="",TABLERO!Y54=0),"",TABLERO!Y54)</f>
        <v/>
      </c>
      <c r="F54" s="312" t="str">
        <f>IF(OR(TABLERO!Z54="",TABLERO!Z54=0),"",TABLERO!Z54)</f>
        <v/>
      </c>
      <c r="G54" s="312" t="str">
        <f>IF(OR(TABLERO!AA54="",TABLERO!AA54=0),"",TABLERO!AA54)</f>
        <v/>
      </c>
      <c r="H54" s="312" t="str">
        <f>IF(OR(TABLERO!AB54="",TABLERO!AB54=0),"",TABLERO!AB54)</f>
        <v/>
      </c>
      <c r="I54" s="312" t="str">
        <f>IF(OR(TABLERO!AC54="",TABLERO!AC54=0),"",TABLERO!AC54)</f>
        <v/>
      </c>
      <c r="J54" s="312" t="str">
        <f>IF(OR(TABLERO!AD54="",TABLERO!AD54=0),"",TABLERO!AD54)</f>
        <v/>
      </c>
      <c r="K54" s="312" t="str">
        <f>IF(OR(TABLERO!AE54="",TABLERO!AE54=0),"",TABLERO!AE54)</f>
        <v/>
      </c>
      <c r="L54" s="312" t="str">
        <f>IF(OR(TABLERO!AF54="",TABLERO!AF54=0),"",TABLERO!AF54)</f>
        <v/>
      </c>
      <c r="M54" s="312" t="str">
        <f>IF(OR(TABLERO!AG54="",TABLERO!AG54=0),"",TABLERO!AG54)</f>
        <v/>
      </c>
      <c r="N54" s="312" t="str">
        <f>IF(OR(TABLERO!AH54="",TABLERO!AH54=0),"",TABLERO!AH54)</f>
        <v/>
      </c>
      <c r="O54" s="312" t="str">
        <f>IF(OR(TABLERO!AI54="",TABLERO!AI54=0),"",TABLERO!AI54)</f>
        <v/>
      </c>
      <c r="P54" s="312" t="str">
        <f>IF(OR(TABLERO!AJ54="",TABLERO!AJ54=0),"",TABLERO!AJ54)</f>
        <v/>
      </c>
      <c r="Q54" s="312" t="str">
        <f>IF(OR(TABLERO!AK54="",TABLERO!AK54=0),"",TABLERO!AK54)</f>
        <v/>
      </c>
      <c r="R54" s="312" t="str">
        <f>IF(OR(TABLERO!AL54="",TABLERO!AL54=0),"",TABLERO!AL54)</f>
        <v/>
      </c>
      <c r="S54" s="312" t="str">
        <f>IF(OR(TABLERO!AM54="",TABLERO!AM54=0),"",TABLERO!AM54)</f>
        <v/>
      </c>
      <c r="T54" s="312" t="str">
        <f>IF(OR(TABLERO!AN54="",TABLERO!AN54=0),"",TABLERO!AN54)</f>
        <v/>
      </c>
      <c r="U54" s="312" t="str">
        <f>IF(OR(TABLERO!AO54="",TABLERO!AO54=0),"",TABLERO!AO54)</f>
        <v/>
      </c>
      <c r="V54" s="312" t="str">
        <f>IF(OR(TABLERO!AP54="",TABLERO!AP54=0),"",TABLERO!AP54)</f>
        <v/>
      </c>
      <c r="W54" s="312" t="str">
        <f>IF(OR(TABLERO!AQ54="",TABLERO!AQ54=0),"",TABLERO!AQ54)</f>
        <v/>
      </c>
      <c r="X54" s="312" t="str">
        <f>IF(OR(TABLERO!AR54="",TABLERO!AR54=0),"",TABLERO!AR54)</f>
        <v/>
      </c>
      <c r="Y54" s="312" t="str">
        <f>IF(OR(TABLERO!AS54="",TABLERO!AS54=0),"",TABLERO!AS54)</f>
        <v/>
      </c>
      <c r="Z54" s="312" t="str">
        <f>IF(OR(TABLERO!AT54="",TABLERO!AT54=0),"",TABLERO!AT54)</f>
        <v/>
      </c>
      <c r="AA54" s="312" t="str">
        <f>IF(OR(TABLERO!AU54="",TABLERO!AU54=0),"",TABLERO!AU54)</f>
        <v/>
      </c>
      <c r="AB54" s="312" t="str">
        <f>IF(OR(TABLERO!AV54="",TABLERO!AV54=0),"",TABLERO!AV54)</f>
        <v/>
      </c>
      <c r="AC54" s="312" t="str">
        <f>IF(OR(TABLERO!AW54="",TABLERO!AW54=0),"",TABLERO!AW54)</f>
        <v/>
      </c>
      <c r="AD54" s="312" t="str">
        <f>IF(OR(TABLERO!AX54="",TABLERO!AX54=0),"",TABLERO!AX54)</f>
        <v/>
      </c>
      <c r="AE54" s="312" t="str">
        <f>IF(OR(TABLERO!AY54="",TABLERO!AY54=0),"",TABLERO!AY54)</f>
        <v/>
      </c>
      <c r="AF54" s="312" t="str">
        <f>IF(OR(TABLERO!AZ54="",TABLERO!AZ54=0),"",TABLERO!AZ54)</f>
        <v/>
      </c>
      <c r="AG54" s="312" t="str">
        <f>IF(OR(TABLERO!BA54="",TABLERO!BA54=0),"",TABLERO!BA54)</f>
        <v/>
      </c>
      <c r="AH54" s="277" t="str">
        <f>IF(TABLERO!BB54=0,"",FIXED(IF(TABLERO!$F$17&lt;&gt;"KVA",TABLERO!BB54*1000,TABLERO!BB54*1000/TABLERO!DA54),2))</f>
        <v/>
      </c>
      <c r="AI54" s="277" t="str">
        <f>IF(TABLERO!BB54=0,"",FIXED(IF(TABLERO!$F$17&lt;&gt;"KVA",TABLERO!BT54*1000,TABLERO!BT54*1000/TABLERO!DA54),2))</f>
        <v/>
      </c>
      <c r="AJ54" s="272" t="str">
        <f>IF(OR(TABLERO!BU54="",TABLERO!BU54=0),"",FIXED(TABLERO!BU54,2))</f>
        <v/>
      </c>
      <c r="AK54" s="312" t="str">
        <f>IF(TABLERO!BB54=0,"",TABLERO!F54)</f>
        <v/>
      </c>
      <c r="AL54" s="312" t="str">
        <f>IF(TABLERO!BB54=0,"",TABLERO!G54)</f>
        <v/>
      </c>
      <c r="AM54" s="312" t="str">
        <f>IF(TABLERO!BB54=0,"",TABLERO!BV54)</f>
        <v/>
      </c>
      <c r="AN54" s="272" t="str">
        <f>IF(TABLERO!BB54=0,"",TABLERO!K54)</f>
        <v/>
      </c>
      <c r="AO54" s="312" t="str">
        <f>IF(TABLERO!BB54=0,"",TABLERO!J54)</f>
        <v/>
      </c>
      <c r="AP54" s="272" t="str">
        <f>IF(TABLERO!BB54=0,"",TABLERO!CT54)</f>
        <v/>
      </c>
      <c r="AQ54" s="272" t="str">
        <f>IF(TABLERO!BB54=0,"",TABLERO!CS54)</f>
        <v/>
      </c>
      <c r="AR54" s="272" t="str">
        <f>IF(OR(TABLERO!BB54=0,TABLERO!H54="RE"),"",FIXED(TABLERO!CY54,2))</f>
        <v/>
      </c>
      <c r="AS54" s="312" t="str">
        <f>IF(TABLERO!BB54=0,"",TABLERO!N54)</f>
        <v/>
      </c>
      <c r="AT54" s="1164" t="str">
        <f>IF(TABLERO!BB54=0,"",TABLERO!BX54&amp;" "&amp;TABLERO!ED54&amp;", "&amp;TABLERO!I54)</f>
        <v/>
      </c>
      <c r="AU54" s="1165"/>
      <c r="AV54" s="272" t="str">
        <f>IF(OR(TABLERO!BB54=0,TABLERO!H54="RE"),"",FIXED(TABLERO!BZ54,2))</f>
        <v/>
      </c>
      <c r="AW54" s="312" t="str">
        <f>IF(TABLERO!BB54=0,"",TABLERO!CA54)</f>
        <v/>
      </c>
      <c r="AX54" s="271" t="str">
        <f>IF(TABLERO!BB54=0,"",TABLERO!CB54)</f>
        <v/>
      </c>
      <c r="AY54" s="272" t="str">
        <f>IF(OR(TABLERO!BB54=0,TABLERO!H54="RE"),"",FIXED(TABLERO!DL54,2))</f>
        <v/>
      </c>
      <c r="AZ54" s="310" t="str">
        <f>IF(OR(TABLERO!BB54=0,TABLERO!H54="RE"),"",TABLERO!F54&amp;"P-"&amp;TABLERO!BW54&amp;"A")</f>
        <v/>
      </c>
      <c r="BA54" s="272" t="str">
        <f>IF(TABLERO!$BB54=0,"",IF(TABLERO!CI54="-","     -     ",FIXED(IF(TABLERO!$F$17&lt;&gt;"KVA",TABLERO!CI54,TABLERO!CI54/TABLERO!$F$14),2)))</f>
        <v/>
      </c>
      <c r="BB54" s="272" t="str">
        <f>IF(TABLERO!$BB54=0,"",IF(TABLERO!CJ54="-","     -     ",FIXED(IF(TABLERO!$F$17&lt;&gt;"KVA",TABLERO!CJ54,TABLERO!CJ54/TABLERO!$F$14),2)))</f>
        <v/>
      </c>
      <c r="BC54" s="272" t="str">
        <f>IF(TABLERO!$BB54=0,"",IF(TABLERO!CK54="-","     -     ",FIXED(IF(TABLERO!$F$17&lt;&gt;"KVA",TABLERO!CK54,TABLERO!CK54/TABLERO!$F$14),2)))</f>
        <v/>
      </c>
      <c r="BG54" s="275">
        <f>IF(TABLERO!B54="",0,TABLERO!B54)</f>
        <v>24</v>
      </c>
      <c r="BH54" s="275"/>
      <c r="BI54" s="275"/>
      <c r="BK54" s="275"/>
      <c r="BL54" s="289" t="str" cm="1">
        <f t="array" ref="BL54">[1]!ACAELE_LineaCAD(A54)</f>
        <v>++++++++++++++++++++++++++++++2</v>
      </c>
      <c r="BM54" s="279" t="str">
        <f t="shared" si="4"/>
        <v>24+</v>
      </c>
      <c r="BN54" s="304"/>
      <c r="BO54" s="304"/>
      <c r="BP54" s="304"/>
      <c r="BQ54" s="304"/>
      <c r="BR54" s="304"/>
      <c r="BS54" s="304"/>
      <c r="BT54" s="304"/>
      <c r="BU54" s="304"/>
      <c r="BV54" s="304"/>
      <c r="BW54" s="304"/>
      <c r="BX54" s="304"/>
      <c r="BY54" s="304"/>
      <c r="BZ54" s="304"/>
      <c r="CA54" s="304"/>
      <c r="CB54" s="304"/>
      <c r="CC54" s="304"/>
      <c r="CD54" s="304"/>
      <c r="CE54" s="304"/>
      <c r="CF54" s="304"/>
      <c r="CG54" s="304"/>
      <c r="CH54" s="304"/>
      <c r="CI54" s="304"/>
      <c r="CJ54" s="304"/>
      <c r="CK54" s="304"/>
      <c r="CL54" s="304"/>
      <c r="CM54" s="304"/>
      <c r="CN54" s="304"/>
      <c r="CO54" s="304"/>
      <c r="CP54" s="304"/>
      <c r="CQ54" s="304"/>
      <c r="CR54" s="305" t="str" cm="1">
        <f t="array" ref="CR54">CONCATENATE(BM54,_xlfn.TEXTJOIN("",TRUE,IF(BN$129:CQ$129&lt;&gt;"","+"&amp;D54:AG54,"")))</f>
        <v>24+</v>
      </c>
      <c r="CS54" s="279">
        <f t="shared" si="5"/>
        <v>30</v>
      </c>
      <c r="CT54" s="279" t="str">
        <f t="shared" si="3"/>
        <v>+++++++++++++++++++++++++++++++</v>
      </c>
      <c r="CU54" s="291" t="str">
        <f t="shared" si="7"/>
        <v>24++++++++++++++++++++++++++++++++2</v>
      </c>
      <c r="GB54" s="279" t="s">
        <v>1939</v>
      </c>
    </row>
    <row r="55" spans="1:184">
      <c r="A55" s="275">
        <f>IF(C55&lt;&gt;"",1,IF(AH55="",2,IF(OR(IF(TABLERO!B55="",0,TABLERO!B55)&gt;TABLERO!$M$19,IF(TABLERO!C55="",IF(TABLERO!B55="",0,TABLERO!B55),TABLERO!C55)&gt;TABLERO!$M$19,BI55&gt;TABLERO!$M$19,IF(TABLERO!B55="",0,TABLERO!B55)=0,IF(TABLERO!C55="",BG55,TABLERO!C55)=0,IF(TABLERO!D55="",BG55,TABLERO!D55)=0),2,1)))</f>
        <v>2</v>
      </c>
      <c r="B55" s="276" t="str">
        <f>TABLERO!B55&amp;IF(TABLERO!C55="","",","&amp;TABLERO!C55)&amp;IF(TABLERO!D55="","",","&amp;TABLERO!D55)</f>
        <v>25</v>
      </c>
      <c r="C55" s="269" t="str">
        <f>IF(TABLERO!E55=0,"",TABLERO!E55)</f>
        <v/>
      </c>
      <c r="D55" s="312" t="str">
        <f>IF(OR(TABLERO!X55="",TABLERO!X55=0),"",TABLERO!X55)</f>
        <v/>
      </c>
      <c r="E55" s="312" t="str">
        <f>IF(OR(TABLERO!Y55="",TABLERO!Y55=0),"",TABLERO!Y55)</f>
        <v/>
      </c>
      <c r="F55" s="312" t="str">
        <f>IF(OR(TABLERO!Z55="",TABLERO!Z55=0),"",TABLERO!Z55)</f>
        <v/>
      </c>
      <c r="G55" s="312" t="str">
        <f>IF(OR(TABLERO!AA55="",TABLERO!AA55=0),"",TABLERO!AA55)</f>
        <v/>
      </c>
      <c r="H55" s="312" t="str">
        <f>IF(OR(TABLERO!AB55="",TABLERO!AB55=0),"",TABLERO!AB55)</f>
        <v/>
      </c>
      <c r="I55" s="312" t="str">
        <f>IF(OR(TABLERO!AC55="",TABLERO!AC55=0),"",TABLERO!AC55)</f>
        <v/>
      </c>
      <c r="J55" s="312" t="str">
        <f>IF(OR(TABLERO!AD55="",TABLERO!AD55=0),"",TABLERO!AD55)</f>
        <v/>
      </c>
      <c r="K55" s="312" t="str">
        <f>IF(OR(TABLERO!AE55="",TABLERO!AE55=0),"",TABLERO!AE55)</f>
        <v/>
      </c>
      <c r="L55" s="312" t="str">
        <f>IF(OR(TABLERO!AF55="",TABLERO!AF55=0),"",TABLERO!AF55)</f>
        <v/>
      </c>
      <c r="M55" s="312" t="str">
        <f>IF(OR(TABLERO!AG55="",TABLERO!AG55=0),"",TABLERO!AG55)</f>
        <v/>
      </c>
      <c r="N55" s="312" t="str">
        <f>IF(OR(TABLERO!AH55="",TABLERO!AH55=0),"",TABLERO!AH55)</f>
        <v/>
      </c>
      <c r="O55" s="312" t="str">
        <f>IF(OR(TABLERO!AI55="",TABLERO!AI55=0),"",TABLERO!AI55)</f>
        <v/>
      </c>
      <c r="P55" s="312" t="str">
        <f>IF(OR(TABLERO!AJ55="",TABLERO!AJ55=0),"",TABLERO!AJ55)</f>
        <v/>
      </c>
      <c r="Q55" s="312" t="str">
        <f>IF(OR(TABLERO!AK55="",TABLERO!AK55=0),"",TABLERO!AK55)</f>
        <v/>
      </c>
      <c r="R55" s="312" t="str">
        <f>IF(OR(TABLERO!AL55="",TABLERO!AL55=0),"",TABLERO!AL55)</f>
        <v/>
      </c>
      <c r="S55" s="312" t="str">
        <f>IF(OR(TABLERO!AM55="",TABLERO!AM55=0),"",TABLERO!AM55)</f>
        <v/>
      </c>
      <c r="T55" s="312" t="str">
        <f>IF(OR(TABLERO!AN55="",TABLERO!AN55=0),"",TABLERO!AN55)</f>
        <v/>
      </c>
      <c r="U55" s="312" t="str">
        <f>IF(OR(TABLERO!AO55="",TABLERO!AO55=0),"",TABLERO!AO55)</f>
        <v/>
      </c>
      <c r="V55" s="312" t="str">
        <f>IF(OR(TABLERO!AP55="",TABLERO!AP55=0),"",TABLERO!AP55)</f>
        <v/>
      </c>
      <c r="W55" s="312" t="str">
        <f>IF(OR(TABLERO!AQ55="",TABLERO!AQ55=0),"",TABLERO!AQ55)</f>
        <v/>
      </c>
      <c r="X55" s="312" t="str">
        <f>IF(OR(TABLERO!AR55="",TABLERO!AR55=0),"",TABLERO!AR55)</f>
        <v/>
      </c>
      <c r="Y55" s="312" t="str">
        <f>IF(OR(TABLERO!AS55="",TABLERO!AS55=0),"",TABLERO!AS55)</f>
        <v/>
      </c>
      <c r="Z55" s="312" t="str">
        <f>IF(OR(TABLERO!AT55="",TABLERO!AT55=0),"",TABLERO!AT55)</f>
        <v/>
      </c>
      <c r="AA55" s="312" t="str">
        <f>IF(OR(TABLERO!AU55="",TABLERO!AU55=0),"",TABLERO!AU55)</f>
        <v/>
      </c>
      <c r="AB55" s="312" t="str">
        <f>IF(OR(TABLERO!AV55="",TABLERO!AV55=0),"",TABLERO!AV55)</f>
        <v/>
      </c>
      <c r="AC55" s="312" t="str">
        <f>IF(OR(TABLERO!AW55="",TABLERO!AW55=0),"",TABLERO!AW55)</f>
        <v/>
      </c>
      <c r="AD55" s="312" t="str">
        <f>IF(OR(TABLERO!AX55="",TABLERO!AX55=0),"",TABLERO!AX55)</f>
        <v/>
      </c>
      <c r="AE55" s="312" t="str">
        <f>IF(OR(TABLERO!AY55="",TABLERO!AY55=0),"",TABLERO!AY55)</f>
        <v/>
      </c>
      <c r="AF55" s="312" t="str">
        <f>IF(OR(TABLERO!AZ55="",TABLERO!AZ55=0),"",TABLERO!AZ55)</f>
        <v/>
      </c>
      <c r="AG55" s="312" t="str">
        <f>IF(OR(TABLERO!BA55="",TABLERO!BA55=0),"",TABLERO!BA55)</f>
        <v/>
      </c>
      <c r="AH55" s="277" t="str">
        <f>IF(TABLERO!BB55=0,"",FIXED(IF(TABLERO!$F$17&lt;&gt;"KVA",TABLERO!BB55*1000,TABLERO!BB55*1000/TABLERO!DA55),2))</f>
        <v/>
      </c>
      <c r="AI55" s="277" t="str">
        <f>IF(TABLERO!BB55=0,"",FIXED(IF(TABLERO!$F$17&lt;&gt;"KVA",TABLERO!BT55*1000,TABLERO!BT55*1000/TABLERO!DA55),2))</f>
        <v/>
      </c>
      <c r="AJ55" s="272" t="str">
        <f>IF(OR(TABLERO!BU55="",TABLERO!BU55=0),"",FIXED(TABLERO!BU55,2))</f>
        <v/>
      </c>
      <c r="AK55" s="312" t="str">
        <f>IF(TABLERO!BB55=0,"",TABLERO!F55)</f>
        <v/>
      </c>
      <c r="AL55" s="312" t="str">
        <f>IF(TABLERO!BB55=0,"",TABLERO!G55)</f>
        <v/>
      </c>
      <c r="AM55" s="312" t="str">
        <f>IF(TABLERO!BB55=0,"",TABLERO!BV55)</f>
        <v/>
      </c>
      <c r="AN55" s="272" t="str">
        <f>IF(TABLERO!BB55=0,"",TABLERO!K55)</f>
        <v/>
      </c>
      <c r="AO55" s="312" t="str">
        <f>IF(TABLERO!BB55=0,"",TABLERO!J55)</f>
        <v/>
      </c>
      <c r="AP55" s="272" t="str">
        <f>IF(TABLERO!BB55=0,"",TABLERO!CT55)</f>
        <v/>
      </c>
      <c r="AQ55" s="272" t="str">
        <f>IF(TABLERO!BB55=0,"",TABLERO!CS55)</f>
        <v/>
      </c>
      <c r="AR55" s="272" t="str">
        <f>IF(OR(TABLERO!BB55=0,TABLERO!H55="RE"),"",FIXED(TABLERO!CY55,2))</f>
        <v/>
      </c>
      <c r="AS55" s="312" t="str">
        <f>IF(TABLERO!BB55=0,"",TABLERO!N55)</f>
        <v/>
      </c>
      <c r="AT55" s="1164" t="str">
        <f>IF(TABLERO!BB55=0,"",TABLERO!BX55&amp;" "&amp;TABLERO!ED55&amp;", "&amp;TABLERO!I55)</f>
        <v/>
      </c>
      <c r="AU55" s="1165"/>
      <c r="AV55" s="272" t="str">
        <f>IF(OR(TABLERO!BB55=0,TABLERO!H55="RE"),"",FIXED(TABLERO!BZ55,2))</f>
        <v/>
      </c>
      <c r="AW55" s="312" t="str">
        <f>IF(TABLERO!BB55=0,"",TABLERO!CA55)</f>
        <v/>
      </c>
      <c r="AX55" s="271" t="str">
        <f>IF(TABLERO!BB55=0,"",TABLERO!CB55)</f>
        <v/>
      </c>
      <c r="AY55" s="272" t="str">
        <f>IF(OR(TABLERO!BB55=0,TABLERO!H55="RE"),"",FIXED(TABLERO!DL55,2))</f>
        <v/>
      </c>
      <c r="AZ55" s="310" t="str">
        <f>IF(OR(TABLERO!BB55=0,TABLERO!H55="RE"),"",TABLERO!F55&amp;"P-"&amp;TABLERO!BW55&amp;"A")</f>
        <v/>
      </c>
      <c r="BA55" s="272" t="str">
        <f>IF(TABLERO!$BB55=0,"",IF(TABLERO!CI55="-","     -     ",FIXED(IF(TABLERO!$F$17&lt;&gt;"KVA",TABLERO!CI55,TABLERO!CI55/TABLERO!$F$14),2)))</f>
        <v/>
      </c>
      <c r="BB55" s="272" t="str">
        <f>IF(TABLERO!$BB55=0,"",IF(TABLERO!CJ55="-","     -     ",FIXED(IF(TABLERO!$F$17&lt;&gt;"KVA",TABLERO!CJ55,TABLERO!CJ55/TABLERO!$F$14),2)))</f>
        <v/>
      </c>
      <c r="BC55" s="272" t="str">
        <f>IF(TABLERO!$BB55=0,"",IF(TABLERO!CK55="-","     -     ",FIXED(IF(TABLERO!$F$17&lt;&gt;"KVA",TABLERO!CK55,TABLERO!CK55/TABLERO!$F$14),2)))</f>
        <v/>
      </c>
      <c r="BG55" s="275">
        <f>IF(TABLERO!B55="",0,TABLERO!B55)</f>
        <v>25</v>
      </c>
      <c r="BH55" s="275"/>
      <c r="BI55" s="275"/>
      <c r="BK55" s="275"/>
      <c r="BL55" s="289" t="str" cm="1">
        <f t="array" ref="BL55">[1]!ACAELE_LineaCAD(A55)</f>
        <v>++++++++++++++++++++++++++++++2</v>
      </c>
      <c r="BM55" s="279" t="str">
        <f t="shared" si="4"/>
        <v>25+</v>
      </c>
      <c r="BN55" s="304"/>
      <c r="BO55" s="304"/>
      <c r="BP55" s="304"/>
      <c r="BQ55" s="304"/>
      <c r="BR55" s="304"/>
      <c r="BS55" s="304"/>
      <c r="BT55" s="304"/>
      <c r="BU55" s="304"/>
      <c r="BV55" s="304"/>
      <c r="BW55" s="304"/>
      <c r="BX55" s="304"/>
      <c r="BY55" s="304"/>
      <c r="BZ55" s="304"/>
      <c r="CA55" s="304"/>
      <c r="CB55" s="304"/>
      <c r="CC55" s="304"/>
      <c r="CD55" s="304"/>
      <c r="CE55" s="304"/>
      <c r="CF55" s="304"/>
      <c r="CG55" s="304"/>
      <c r="CH55" s="304"/>
      <c r="CI55" s="304"/>
      <c r="CJ55" s="304"/>
      <c r="CK55" s="304"/>
      <c r="CL55" s="304"/>
      <c r="CM55" s="304"/>
      <c r="CN55" s="304"/>
      <c r="CO55" s="304"/>
      <c r="CP55" s="304"/>
      <c r="CQ55" s="304"/>
      <c r="CR55" s="305" t="str" cm="1">
        <f t="array" ref="CR55">CONCATENATE(BM55,_xlfn.TEXTJOIN("",TRUE,IF(BN$129:CQ$129&lt;&gt;"","+"&amp;D55:AG55,"")))</f>
        <v>25+</v>
      </c>
      <c r="CS55" s="279">
        <f t="shared" si="5"/>
        <v>30</v>
      </c>
      <c r="CT55" s="279" t="str">
        <f t="shared" si="3"/>
        <v>+++++++++++++++++++++++++++++++</v>
      </c>
      <c r="CU55" s="291" t="str">
        <f t="shared" si="7"/>
        <v>25++++++++++++++++++++++++++++++++2</v>
      </c>
      <c r="GB55" s="279" t="s">
        <v>1940</v>
      </c>
    </row>
    <row r="56" spans="1:184">
      <c r="A56" s="275">
        <f>IF(C56&lt;&gt;"",1,IF(AH56="",2,IF(OR(IF(TABLERO!B56="",0,TABLERO!B56)&gt;TABLERO!$M$19,IF(TABLERO!C56="",IF(TABLERO!B56="",0,TABLERO!B56),TABLERO!C56)&gt;TABLERO!$M$19,BI56&gt;TABLERO!$M$19,IF(TABLERO!B56="",0,TABLERO!B56)=0,IF(TABLERO!C56="",BG56,TABLERO!C56)=0,IF(TABLERO!D56="",BG56,TABLERO!D56)=0),2,1)))</f>
        <v>2</v>
      </c>
      <c r="B56" s="276" t="str">
        <f>TABLERO!B56&amp;IF(TABLERO!C56="","",","&amp;TABLERO!C56)&amp;IF(TABLERO!D56="","",","&amp;TABLERO!D56)</f>
        <v>26</v>
      </c>
      <c r="C56" s="269" t="str">
        <f>IF(TABLERO!E56=0,"",TABLERO!E56)</f>
        <v/>
      </c>
      <c r="D56" s="312" t="str">
        <f>IF(OR(TABLERO!X56="",TABLERO!X56=0),"",TABLERO!X56)</f>
        <v/>
      </c>
      <c r="E56" s="312" t="str">
        <f>IF(OR(TABLERO!Y56="",TABLERO!Y56=0),"",TABLERO!Y56)</f>
        <v/>
      </c>
      <c r="F56" s="312" t="str">
        <f>IF(OR(TABLERO!Z56="",TABLERO!Z56=0),"",TABLERO!Z56)</f>
        <v/>
      </c>
      <c r="G56" s="312" t="str">
        <f>IF(OR(TABLERO!AA56="",TABLERO!AA56=0),"",TABLERO!AA56)</f>
        <v/>
      </c>
      <c r="H56" s="312" t="str">
        <f>IF(OR(TABLERO!AB56="",TABLERO!AB56=0),"",TABLERO!AB56)</f>
        <v/>
      </c>
      <c r="I56" s="312" t="str">
        <f>IF(OR(TABLERO!AC56="",TABLERO!AC56=0),"",TABLERO!AC56)</f>
        <v/>
      </c>
      <c r="J56" s="312" t="str">
        <f>IF(OR(TABLERO!AD56="",TABLERO!AD56=0),"",TABLERO!AD56)</f>
        <v/>
      </c>
      <c r="K56" s="312" t="str">
        <f>IF(OR(TABLERO!AE56="",TABLERO!AE56=0),"",TABLERO!AE56)</f>
        <v/>
      </c>
      <c r="L56" s="312" t="str">
        <f>IF(OR(TABLERO!AF56="",TABLERO!AF56=0),"",TABLERO!AF56)</f>
        <v/>
      </c>
      <c r="M56" s="312" t="str">
        <f>IF(OR(TABLERO!AG56="",TABLERO!AG56=0),"",TABLERO!AG56)</f>
        <v/>
      </c>
      <c r="N56" s="312" t="str">
        <f>IF(OR(TABLERO!AH56="",TABLERO!AH56=0),"",TABLERO!AH56)</f>
        <v/>
      </c>
      <c r="O56" s="312" t="str">
        <f>IF(OR(TABLERO!AI56="",TABLERO!AI56=0),"",TABLERO!AI56)</f>
        <v/>
      </c>
      <c r="P56" s="312" t="str">
        <f>IF(OR(TABLERO!AJ56="",TABLERO!AJ56=0),"",TABLERO!AJ56)</f>
        <v/>
      </c>
      <c r="Q56" s="312" t="str">
        <f>IF(OR(TABLERO!AK56="",TABLERO!AK56=0),"",TABLERO!AK56)</f>
        <v/>
      </c>
      <c r="R56" s="312" t="str">
        <f>IF(OR(TABLERO!AL56="",TABLERO!AL56=0),"",TABLERO!AL56)</f>
        <v/>
      </c>
      <c r="S56" s="312" t="str">
        <f>IF(OR(TABLERO!AM56="",TABLERO!AM56=0),"",TABLERO!AM56)</f>
        <v/>
      </c>
      <c r="T56" s="312" t="str">
        <f>IF(OR(TABLERO!AN56="",TABLERO!AN56=0),"",TABLERO!AN56)</f>
        <v/>
      </c>
      <c r="U56" s="312" t="str">
        <f>IF(OR(TABLERO!AO56="",TABLERO!AO56=0),"",TABLERO!AO56)</f>
        <v/>
      </c>
      <c r="V56" s="312" t="str">
        <f>IF(OR(TABLERO!AP56="",TABLERO!AP56=0),"",TABLERO!AP56)</f>
        <v/>
      </c>
      <c r="W56" s="312" t="str">
        <f>IF(OR(TABLERO!AQ56="",TABLERO!AQ56=0),"",TABLERO!AQ56)</f>
        <v/>
      </c>
      <c r="X56" s="312" t="str">
        <f>IF(OR(TABLERO!AR56="",TABLERO!AR56=0),"",TABLERO!AR56)</f>
        <v/>
      </c>
      <c r="Y56" s="312" t="str">
        <f>IF(OR(TABLERO!AS56="",TABLERO!AS56=0),"",TABLERO!AS56)</f>
        <v/>
      </c>
      <c r="Z56" s="312" t="str">
        <f>IF(OR(TABLERO!AT56="",TABLERO!AT56=0),"",TABLERO!AT56)</f>
        <v/>
      </c>
      <c r="AA56" s="312" t="str">
        <f>IF(OR(TABLERO!AU56="",TABLERO!AU56=0),"",TABLERO!AU56)</f>
        <v/>
      </c>
      <c r="AB56" s="312" t="str">
        <f>IF(OR(TABLERO!AV56="",TABLERO!AV56=0),"",TABLERO!AV56)</f>
        <v/>
      </c>
      <c r="AC56" s="312" t="str">
        <f>IF(OR(TABLERO!AW56="",TABLERO!AW56=0),"",TABLERO!AW56)</f>
        <v/>
      </c>
      <c r="AD56" s="312" t="str">
        <f>IF(OR(TABLERO!AX56="",TABLERO!AX56=0),"",TABLERO!AX56)</f>
        <v/>
      </c>
      <c r="AE56" s="312" t="str">
        <f>IF(OR(TABLERO!AY56="",TABLERO!AY56=0),"",TABLERO!AY56)</f>
        <v/>
      </c>
      <c r="AF56" s="312" t="str">
        <f>IF(OR(TABLERO!AZ56="",TABLERO!AZ56=0),"",TABLERO!AZ56)</f>
        <v/>
      </c>
      <c r="AG56" s="312" t="str">
        <f>IF(OR(TABLERO!BA56="",TABLERO!BA56=0),"",TABLERO!BA56)</f>
        <v/>
      </c>
      <c r="AH56" s="277" t="str">
        <f>IF(TABLERO!BB56=0,"",FIXED(IF(TABLERO!$F$17&lt;&gt;"KVA",TABLERO!BB56*1000,TABLERO!BB56*1000/TABLERO!DA56),2))</f>
        <v/>
      </c>
      <c r="AI56" s="277" t="str">
        <f>IF(TABLERO!BB56=0,"",FIXED(IF(TABLERO!$F$17&lt;&gt;"KVA",TABLERO!BT56*1000,TABLERO!BT56*1000/TABLERO!DA56),2))</f>
        <v/>
      </c>
      <c r="AJ56" s="272" t="str">
        <f>IF(OR(TABLERO!BU56="",TABLERO!BU56=0),"",FIXED(TABLERO!BU56,2))</f>
        <v/>
      </c>
      <c r="AK56" s="312" t="str">
        <f>IF(TABLERO!BB56=0,"",TABLERO!F56)</f>
        <v/>
      </c>
      <c r="AL56" s="312" t="str">
        <f>IF(TABLERO!BB56=0,"",TABLERO!G56)</f>
        <v/>
      </c>
      <c r="AM56" s="312" t="str">
        <f>IF(TABLERO!BB56=0,"",TABLERO!BV56)</f>
        <v/>
      </c>
      <c r="AN56" s="272" t="str">
        <f>IF(TABLERO!BB56=0,"",TABLERO!K56)</f>
        <v/>
      </c>
      <c r="AO56" s="312" t="str">
        <f>IF(TABLERO!BB56=0,"",TABLERO!J56)</f>
        <v/>
      </c>
      <c r="AP56" s="272" t="str">
        <f>IF(TABLERO!BB56=0,"",TABLERO!CT56)</f>
        <v/>
      </c>
      <c r="AQ56" s="272" t="str">
        <f>IF(TABLERO!BB56=0,"",TABLERO!CS56)</f>
        <v/>
      </c>
      <c r="AR56" s="272" t="str">
        <f>IF(OR(TABLERO!BB56=0,TABLERO!H56="RE"),"",FIXED(TABLERO!CY56,2))</f>
        <v/>
      </c>
      <c r="AS56" s="312" t="str">
        <f>IF(TABLERO!BB56=0,"",TABLERO!N56)</f>
        <v/>
      </c>
      <c r="AT56" s="1164" t="str">
        <f>IF(TABLERO!BB56=0,"",TABLERO!BX56&amp;" "&amp;TABLERO!ED56&amp;", "&amp;TABLERO!I56)</f>
        <v/>
      </c>
      <c r="AU56" s="1165"/>
      <c r="AV56" s="272" t="str">
        <f>IF(OR(TABLERO!BB56=0,TABLERO!H56="RE"),"",FIXED(TABLERO!BZ56,2))</f>
        <v/>
      </c>
      <c r="AW56" s="312" t="str">
        <f>IF(TABLERO!BB56=0,"",TABLERO!CA56)</f>
        <v/>
      </c>
      <c r="AX56" s="271" t="str">
        <f>IF(TABLERO!BB56=0,"",TABLERO!CB56)</f>
        <v/>
      </c>
      <c r="AY56" s="272" t="str">
        <f>IF(OR(TABLERO!BB56=0,TABLERO!H56="RE"),"",FIXED(TABLERO!DL56,2))</f>
        <v/>
      </c>
      <c r="AZ56" s="310" t="str">
        <f>IF(OR(TABLERO!BB56=0,TABLERO!H56="RE"),"",TABLERO!F56&amp;"P-"&amp;TABLERO!BW56&amp;"A")</f>
        <v/>
      </c>
      <c r="BA56" s="272" t="str">
        <f>IF(TABLERO!$BB56=0,"",IF(TABLERO!CI56="-","     -     ",FIXED(IF(TABLERO!$F$17&lt;&gt;"KVA",TABLERO!CI56,TABLERO!CI56/TABLERO!$F$14),2)))</f>
        <v/>
      </c>
      <c r="BB56" s="272" t="str">
        <f>IF(TABLERO!$BB56=0,"",IF(TABLERO!CJ56="-","     -     ",FIXED(IF(TABLERO!$F$17&lt;&gt;"KVA",TABLERO!CJ56,TABLERO!CJ56/TABLERO!$F$14),2)))</f>
        <v/>
      </c>
      <c r="BC56" s="272" t="str">
        <f>IF(TABLERO!$BB56=0,"",IF(TABLERO!CK56="-","     -     ",FIXED(IF(TABLERO!$F$17&lt;&gt;"KVA",TABLERO!CK56,TABLERO!CK56/TABLERO!$F$14),2)))</f>
        <v/>
      </c>
      <c r="BG56" s="275">
        <f>IF(TABLERO!B56="",0,TABLERO!B56)</f>
        <v>26</v>
      </c>
      <c r="BH56" s="275"/>
      <c r="BI56" s="275"/>
      <c r="BK56" s="275"/>
      <c r="BL56" s="289" t="str" cm="1">
        <f t="array" ref="BL56">[1]!ACAELE_LineaCAD(A56)</f>
        <v>++++++++++++++++++++++++++++++2</v>
      </c>
      <c r="BM56" s="279" t="str">
        <f t="shared" si="4"/>
        <v>26+</v>
      </c>
      <c r="BN56" s="304"/>
      <c r="BO56" s="304"/>
      <c r="BP56" s="304"/>
      <c r="BQ56" s="304"/>
      <c r="BR56" s="304"/>
      <c r="BS56" s="304"/>
      <c r="BT56" s="304"/>
      <c r="BU56" s="304"/>
      <c r="BV56" s="304"/>
      <c r="BW56" s="304"/>
      <c r="BX56" s="304"/>
      <c r="BY56" s="304"/>
      <c r="BZ56" s="304"/>
      <c r="CA56" s="304"/>
      <c r="CB56" s="304"/>
      <c r="CC56" s="304"/>
      <c r="CD56" s="304"/>
      <c r="CE56" s="304"/>
      <c r="CF56" s="304"/>
      <c r="CG56" s="304"/>
      <c r="CH56" s="304"/>
      <c r="CI56" s="304"/>
      <c r="CJ56" s="304"/>
      <c r="CK56" s="304"/>
      <c r="CL56" s="304"/>
      <c r="CM56" s="304"/>
      <c r="CN56" s="304"/>
      <c r="CO56" s="304"/>
      <c r="CP56" s="304"/>
      <c r="CQ56" s="304"/>
      <c r="CR56" s="305" t="str" cm="1">
        <f t="array" ref="CR56">CONCATENATE(BM56,_xlfn.TEXTJOIN("",TRUE,IF(BN$129:CQ$129&lt;&gt;"","+"&amp;D56:AG56,"")))</f>
        <v>26+</v>
      </c>
      <c r="CS56" s="279">
        <f t="shared" si="5"/>
        <v>30</v>
      </c>
      <c r="CT56" s="279" t="str">
        <f t="shared" si="3"/>
        <v>+++++++++++++++++++++++++++++++</v>
      </c>
      <c r="CU56" s="291" t="str">
        <f t="shared" si="7"/>
        <v>26++++++++++++++++++++++++++++++++2</v>
      </c>
      <c r="GB56" s="279" t="s">
        <v>1941</v>
      </c>
    </row>
    <row r="57" spans="1:184">
      <c r="A57" s="275">
        <f>IF(C57&lt;&gt;"",1,IF(AH57="",2,IF(OR(IF(TABLERO!B57="",0,TABLERO!B57)&gt;TABLERO!$M$19,IF(TABLERO!C57="",IF(TABLERO!B57="",0,TABLERO!B57),TABLERO!C57)&gt;TABLERO!$M$19,BI57&gt;TABLERO!$M$19,IF(TABLERO!B57="",0,TABLERO!B57)=0,IF(TABLERO!C57="",BG57,TABLERO!C57)=0,IF(TABLERO!D57="",BG57,TABLERO!D57)=0),2,1)))</f>
        <v>2</v>
      </c>
      <c r="B57" s="276" t="str">
        <f>TABLERO!B57&amp;IF(TABLERO!C57="","",","&amp;TABLERO!C57)&amp;IF(TABLERO!D57="","",","&amp;TABLERO!D57)</f>
        <v>27</v>
      </c>
      <c r="C57" s="269" t="str">
        <f>IF(TABLERO!E57=0,"",TABLERO!E57)</f>
        <v/>
      </c>
      <c r="D57" s="312" t="str">
        <f>IF(OR(TABLERO!X57="",TABLERO!X57=0),"",TABLERO!X57)</f>
        <v/>
      </c>
      <c r="E57" s="312" t="str">
        <f>IF(OR(TABLERO!Y57="",TABLERO!Y57=0),"",TABLERO!Y57)</f>
        <v/>
      </c>
      <c r="F57" s="312" t="str">
        <f>IF(OR(TABLERO!Z57="",TABLERO!Z57=0),"",TABLERO!Z57)</f>
        <v/>
      </c>
      <c r="G57" s="312" t="str">
        <f>IF(OR(TABLERO!AA57="",TABLERO!AA57=0),"",TABLERO!AA57)</f>
        <v/>
      </c>
      <c r="H57" s="312" t="str">
        <f>IF(OR(TABLERO!AB57="",TABLERO!AB57=0),"",TABLERO!AB57)</f>
        <v/>
      </c>
      <c r="I57" s="312" t="str">
        <f>IF(OR(TABLERO!AC57="",TABLERO!AC57=0),"",TABLERO!AC57)</f>
        <v/>
      </c>
      <c r="J57" s="312" t="str">
        <f>IF(OR(TABLERO!AD57="",TABLERO!AD57=0),"",TABLERO!AD57)</f>
        <v/>
      </c>
      <c r="K57" s="312" t="str">
        <f>IF(OR(TABLERO!AE57="",TABLERO!AE57=0),"",TABLERO!AE57)</f>
        <v/>
      </c>
      <c r="L57" s="312" t="str">
        <f>IF(OR(TABLERO!AF57="",TABLERO!AF57=0),"",TABLERO!AF57)</f>
        <v/>
      </c>
      <c r="M57" s="312" t="str">
        <f>IF(OR(TABLERO!AG57="",TABLERO!AG57=0),"",TABLERO!AG57)</f>
        <v/>
      </c>
      <c r="N57" s="312" t="str">
        <f>IF(OR(TABLERO!AH57="",TABLERO!AH57=0),"",TABLERO!AH57)</f>
        <v/>
      </c>
      <c r="O57" s="312" t="str">
        <f>IF(OR(TABLERO!AI57="",TABLERO!AI57=0),"",TABLERO!AI57)</f>
        <v/>
      </c>
      <c r="P57" s="312" t="str">
        <f>IF(OR(TABLERO!AJ57="",TABLERO!AJ57=0),"",TABLERO!AJ57)</f>
        <v/>
      </c>
      <c r="Q57" s="312" t="str">
        <f>IF(OR(TABLERO!AK57="",TABLERO!AK57=0),"",TABLERO!AK57)</f>
        <v/>
      </c>
      <c r="R57" s="312" t="str">
        <f>IF(OR(TABLERO!AL57="",TABLERO!AL57=0),"",TABLERO!AL57)</f>
        <v/>
      </c>
      <c r="S57" s="312" t="str">
        <f>IF(OR(TABLERO!AM57="",TABLERO!AM57=0),"",TABLERO!AM57)</f>
        <v/>
      </c>
      <c r="T57" s="312" t="str">
        <f>IF(OR(TABLERO!AN57="",TABLERO!AN57=0),"",TABLERO!AN57)</f>
        <v/>
      </c>
      <c r="U57" s="312" t="str">
        <f>IF(OR(TABLERO!AO57="",TABLERO!AO57=0),"",TABLERO!AO57)</f>
        <v/>
      </c>
      <c r="V57" s="312" t="str">
        <f>IF(OR(TABLERO!AP57="",TABLERO!AP57=0),"",TABLERO!AP57)</f>
        <v/>
      </c>
      <c r="W57" s="312" t="str">
        <f>IF(OR(TABLERO!AQ57="",TABLERO!AQ57=0),"",TABLERO!AQ57)</f>
        <v/>
      </c>
      <c r="X57" s="312" t="str">
        <f>IF(OR(TABLERO!AR57="",TABLERO!AR57=0),"",TABLERO!AR57)</f>
        <v/>
      </c>
      <c r="Y57" s="312" t="str">
        <f>IF(OR(TABLERO!AS57="",TABLERO!AS57=0),"",TABLERO!AS57)</f>
        <v/>
      </c>
      <c r="Z57" s="312" t="str">
        <f>IF(OR(TABLERO!AT57="",TABLERO!AT57=0),"",TABLERO!AT57)</f>
        <v/>
      </c>
      <c r="AA57" s="312" t="str">
        <f>IF(OR(TABLERO!AU57="",TABLERO!AU57=0),"",TABLERO!AU57)</f>
        <v/>
      </c>
      <c r="AB57" s="312" t="str">
        <f>IF(OR(TABLERO!AV57="",TABLERO!AV57=0),"",TABLERO!AV57)</f>
        <v/>
      </c>
      <c r="AC57" s="312" t="str">
        <f>IF(OR(TABLERO!AW57="",TABLERO!AW57=0),"",TABLERO!AW57)</f>
        <v/>
      </c>
      <c r="AD57" s="312" t="str">
        <f>IF(OR(TABLERO!AX57="",TABLERO!AX57=0),"",TABLERO!AX57)</f>
        <v/>
      </c>
      <c r="AE57" s="312" t="str">
        <f>IF(OR(TABLERO!AY57="",TABLERO!AY57=0),"",TABLERO!AY57)</f>
        <v/>
      </c>
      <c r="AF57" s="312" t="str">
        <f>IF(OR(TABLERO!AZ57="",TABLERO!AZ57=0),"",TABLERO!AZ57)</f>
        <v/>
      </c>
      <c r="AG57" s="312" t="str">
        <f>IF(OR(TABLERO!BA57="",TABLERO!BA57=0),"",TABLERO!BA57)</f>
        <v/>
      </c>
      <c r="AH57" s="277" t="str">
        <f>IF(TABLERO!BB57=0,"",FIXED(IF(TABLERO!$F$17&lt;&gt;"KVA",TABLERO!BB57*1000,TABLERO!BB57*1000/TABLERO!DA57),2))</f>
        <v/>
      </c>
      <c r="AI57" s="277" t="str">
        <f>IF(TABLERO!BB57=0,"",FIXED(IF(TABLERO!$F$17&lt;&gt;"KVA",TABLERO!BT57*1000,TABLERO!BT57*1000/TABLERO!DA57),2))</f>
        <v/>
      </c>
      <c r="AJ57" s="272" t="str">
        <f>IF(OR(TABLERO!BU57="",TABLERO!BU57=0),"",FIXED(TABLERO!BU57,2))</f>
        <v/>
      </c>
      <c r="AK57" s="312" t="str">
        <f>IF(TABLERO!BB57=0,"",TABLERO!F57)</f>
        <v/>
      </c>
      <c r="AL57" s="312" t="str">
        <f>IF(TABLERO!BB57=0,"",TABLERO!G57)</f>
        <v/>
      </c>
      <c r="AM57" s="312" t="str">
        <f>IF(TABLERO!BB57=0,"",TABLERO!BV57)</f>
        <v/>
      </c>
      <c r="AN57" s="272" t="str">
        <f>IF(TABLERO!BB57=0,"",TABLERO!K57)</f>
        <v/>
      </c>
      <c r="AO57" s="312" t="str">
        <f>IF(TABLERO!BB57=0,"",TABLERO!J57)</f>
        <v/>
      </c>
      <c r="AP57" s="272" t="str">
        <f>IF(TABLERO!BB57=0,"",TABLERO!CT57)</f>
        <v/>
      </c>
      <c r="AQ57" s="272" t="str">
        <f>IF(TABLERO!BB57=0,"",TABLERO!CS57)</f>
        <v/>
      </c>
      <c r="AR57" s="272" t="str">
        <f>IF(OR(TABLERO!BB57=0,TABLERO!H57="RE"),"",FIXED(TABLERO!CY57,2))</f>
        <v/>
      </c>
      <c r="AS57" s="312" t="str">
        <f>IF(TABLERO!BB57=0,"",TABLERO!N57)</f>
        <v/>
      </c>
      <c r="AT57" s="1164" t="str">
        <f>IF(TABLERO!BB57=0,"",TABLERO!BX57&amp;" "&amp;TABLERO!ED57&amp;", "&amp;TABLERO!I57)</f>
        <v/>
      </c>
      <c r="AU57" s="1165"/>
      <c r="AV57" s="272" t="str">
        <f>IF(OR(TABLERO!BB57=0,TABLERO!H57="RE"),"",FIXED(TABLERO!BZ57,2))</f>
        <v/>
      </c>
      <c r="AW57" s="312" t="str">
        <f>IF(TABLERO!BB57=0,"",TABLERO!CA57)</f>
        <v/>
      </c>
      <c r="AX57" s="271" t="str">
        <f>IF(TABLERO!BB57=0,"",TABLERO!CB57)</f>
        <v/>
      </c>
      <c r="AY57" s="272" t="str">
        <f>IF(OR(TABLERO!BB57=0,TABLERO!H57="RE"),"",FIXED(TABLERO!DL57,2))</f>
        <v/>
      </c>
      <c r="AZ57" s="310" t="str">
        <f>IF(OR(TABLERO!BB57=0,TABLERO!H57="RE"),"",TABLERO!F57&amp;"P-"&amp;TABLERO!BW57&amp;"A")</f>
        <v/>
      </c>
      <c r="BA57" s="272" t="str">
        <f>IF(TABLERO!$BB57=0,"",IF(TABLERO!CI57="-","     -     ",FIXED(IF(TABLERO!$F$17&lt;&gt;"KVA",TABLERO!CI57,TABLERO!CI57/TABLERO!$F$14),2)))</f>
        <v/>
      </c>
      <c r="BB57" s="272" t="str">
        <f>IF(TABLERO!$BB57=0,"",IF(TABLERO!CJ57="-","     -     ",FIXED(IF(TABLERO!$F$17&lt;&gt;"KVA",TABLERO!CJ57,TABLERO!CJ57/TABLERO!$F$14),2)))</f>
        <v/>
      </c>
      <c r="BC57" s="272" t="str">
        <f>IF(TABLERO!$BB57=0,"",IF(TABLERO!CK57="-","     -     ",FIXED(IF(TABLERO!$F$17&lt;&gt;"KVA",TABLERO!CK57,TABLERO!CK57/TABLERO!$F$14),2)))</f>
        <v/>
      </c>
      <c r="BG57" s="275">
        <f>IF(TABLERO!B57="",0,TABLERO!B57)</f>
        <v>27</v>
      </c>
      <c r="BH57" s="275"/>
      <c r="BI57" s="275"/>
      <c r="BK57" s="275"/>
      <c r="BL57" s="289" t="str" cm="1">
        <f t="array" ref="BL57">[1]!ACAELE_LineaCAD(A57)</f>
        <v>++++++++++++++++++++++++++++++2</v>
      </c>
      <c r="BM57" s="279" t="str">
        <f t="shared" si="4"/>
        <v>27+</v>
      </c>
      <c r="BN57" s="304"/>
      <c r="BO57" s="304"/>
      <c r="BP57" s="304"/>
      <c r="BQ57" s="304"/>
      <c r="BR57" s="304"/>
      <c r="BS57" s="304"/>
      <c r="BT57" s="304"/>
      <c r="BU57" s="304"/>
      <c r="BV57" s="304"/>
      <c r="BW57" s="304"/>
      <c r="BX57" s="304"/>
      <c r="BY57" s="304"/>
      <c r="BZ57" s="304"/>
      <c r="CA57" s="304"/>
      <c r="CB57" s="304"/>
      <c r="CC57" s="304"/>
      <c r="CD57" s="304"/>
      <c r="CE57" s="304"/>
      <c r="CF57" s="304"/>
      <c r="CG57" s="304"/>
      <c r="CH57" s="304"/>
      <c r="CI57" s="304"/>
      <c r="CJ57" s="304"/>
      <c r="CK57" s="304"/>
      <c r="CL57" s="304"/>
      <c r="CM57" s="304"/>
      <c r="CN57" s="304"/>
      <c r="CO57" s="304"/>
      <c r="CP57" s="304"/>
      <c r="CQ57" s="304"/>
      <c r="CR57" s="305" t="str" cm="1">
        <f t="array" ref="CR57">CONCATENATE(BM57,_xlfn.TEXTJOIN("",TRUE,IF(BN$129:CQ$129&lt;&gt;"","+"&amp;D57:AG57,"")))</f>
        <v>27+</v>
      </c>
      <c r="CS57" s="279">
        <f t="shared" si="5"/>
        <v>30</v>
      </c>
      <c r="CT57" s="279" t="str">
        <f t="shared" si="3"/>
        <v>+++++++++++++++++++++++++++++++</v>
      </c>
      <c r="CU57" s="291" t="str">
        <f t="shared" si="7"/>
        <v>27++++++++++++++++++++++++++++++++2</v>
      </c>
      <c r="GB57" s="279" t="s">
        <v>1942</v>
      </c>
    </row>
    <row r="58" spans="1:184">
      <c r="A58" s="275">
        <f>IF(C58&lt;&gt;"",1,IF(AH58="",2,IF(OR(IF(TABLERO!B58="",0,TABLERO!B58)&gt;TABLERO!$M$19,IF(TABLERO!C58="",IF(TABLERO!B58="",0,TABLERO!B58),TABLERO!C58)&gt;TABLERO!$M$19,BI58&gt;TABLERO!$M$19,IF(TABLERO!B58="",0,TABLERO!B58)=0,IF(TABLERO!C58="",BG58,TABLERO!C58)=0,IF(TABLERO!D58="",BG58,TABLERO!D58)=0),2,1)))</f>
        <v>2</v>
      </c>
      <c r="B58" s="276" t="str">
        <f>TABLERO!B58&amp;IF(TABLERO!C58="","",","&amp;TABLERO!C58)&amp;IF(TABLERO!D58="","",","&amp;TABLERO!D58)</f>
        <v>28</v>
      </c>
      <c r="C58" s="269" t="str">
        <f>IF(TABLERO!E58=0,"",TABLERO!E58)</f>
        <v/>
      </c>
      <c r="D58" s="312" t="str">
        <f>IF(OR(TABLERO!X58="",TABLERO!X58=0),"",TABLERO!X58)</f>
        <v/>
      </c>
      <c r="E58" s="312" t="str">
        <f>IF(OR(TABLERO!Y58="",TABLERO!Y58=0),"",TABLERO!Y58)</f>
        <v/>
      </c>
      <c r="F58" s="312" t="str">
        <f>IF(OR(TABLERO!Z58="",TABLERO!Z58=0),"",TABLERO!Z58)</f>
        <v/>
      </c>
      <c r="G58" s="312" t="str">
        <f>IF(OR(TABLERO!AA58="",TABLERO!AA58=0),"",TABLERO!AA58)</f>
        <v/>
      </c>
      <c r="H58" s="312" t="str">
        <f>IF(OR(TABLERO!AB58="",TABLERO!AB58=0),"",TABLERO!AB58)</f>
        <v/>
      </c>
      <c r="I58" s="312" t="str">
        <f>IF(OR(TABLERO!AC58="",TABLERO!AC58=0),"",TABLERO!AC58)</f>
        <v/>
      </c>
      <c r="J58" s="312" t="str">
        <f>IF(OR(TABLERO!AD58="",TABLERO!AD58=0),"",TABLERO!AD58)</f>
        <v/>
      </c>
      <c r="K58" s="312" t="str">
        <f>IF(OR(TABLERO!AE58="",TABLERO!AE58=0),"",TABLERO!AE58)</f>
        <v/>
      </c>
      <c r="L58" s="312" t="str">
        <f>IF(OR(TABLERO!AF58="",TABLERO!AF58=0),"",TABLERO!AF58)</f>
        <v/>
      </c>
      <c r="M58" s="312" t="str">
        <f>IF(OR(TABLERO!AG58="",TABLERO!AG58=0),"",TABLERO!AG58)</f>
        <v/>
      </c>
      <c r="N58" s="312" t="str">
        <f>IF(OR(TABLERO!AH58="",TABLERO!AH58=0),"",TABLERO!AH58)</f>
        <v/>
      </c>
      <c r="O58" s="312" t="str">
        <f>IF(OR(TABLERO!AI58="",TABLERO!AI58=0),"",TABLERO!AI58)</f>
        <v/>
      </c>
      <c r="P58" s="312" t="str">
        <f>IF(OR(TABLERO!AJ58="",TABLERO!AJ58=0),"",TABLERO!AJ58)</f>
        <v/>
      </c>
      <c r="Q58" s="312" t="str">
        <f>IF(OR(TABLERO!AK58="",TABLERO!AK58=0),"",TABLERO!AK58)</f>
        <v/>
      </c>
      <c r="R58" s="312" t="str">
        <f>IF(OR(TABLERO!AL58="",TABLERO!AL58=0),"",TABLERO!AL58)</f>
        <v/>
      </c>
      <c r="S58" s="312" t="str">
        <f>IF(OR(TABLERO!AM58="",TABLERO!AM58=0),"",TABLERO!AM58)</f>
        <v/>
      </c>
      <c r="T58" s="312" t="str">
        <f>IF(OR(TABLERO!AN58="",TABLERO!AN58=0),"",TABLERO!AN58)</f>
        <v/>
      </c>
      <c r="U58" s="312" t="str">
        <f>IF(OR(TABLERO!AO58="",TABLERO!AO58=0),"",TABLERO!AO58)</f>
        <v/>
      </c>
      <c r="V58" s="312" t="str">
        <f>IF(OR(TABLERO!AP58="",TABLERO!AP58=0),"",TABLERO!AP58)</f>
        <v/>
      </c>
      <c r="W58" s="312" t="str">
        <f>IF(OR(TABLERO!AQ58="",TABLERO!AQ58=0),"",TABLERO!AQ58)</f>
        <v/>
      </c>
      <c r="X58" s="312" t="str">
        <f>IF(OR(TABLERO!AR58="",TABLERO!AR58=0),"",TABLERO!AR58)</f>
        <v/>
      </c>
      <c r="Y58" s="312" t="str">
        <f>IF(OR(TABLERO!AS58="",TABLERO!AS58=0),"",TABLERO!AS58)</f>
        <v/>
      </c>
      <c r="Z58" s="312" t="str">
        <f>IF(OR(TABLERO!AT58="",TABLERO!AT58=0),"",TABLERO!AT58)</f>
        <v/>
      </c>
      <c r="AA58" s="312" t="str">
        <f>IF(OR(TABLERO!AU58="",TABLERO!AU58=0),"",TABLERO!AU58)</f>
        <v/>
      </c>
      <c r="AB58" s="312" t="str">
        <f>IF(OR(TABLERO!AV58="",TABLERO!AV58=0),"",TABLERO!AV58)</f>
        <v/>
      </c>
      <c r="AC58" s="312" t="str">
        <f>IF(OR(TABLERO!AW58="",TABLERO!AW58=0),"",TABLERO!AW58)</f>
        <v/>
      </c>
      <c r="AD58" s="312" t="str">
        <f>IF(OR(TABLERO!AX58="",TABLERO!AX58=0),"",TABLERO!AX58)</f>
        <v/>
      </c>
      <c r="AE58" s="312" t="str">
        <f>IF(OR(TABLERO!AY58="",TABLERO!AY58=0),"",TABLERO!AY58)</f>
        <v/>
      </c>
      <c r="AF58" s="312" t="str">
        <f>IF(OR(TABLERO!AZ58="",TABLERO!AZ58=0),"",TABLERO!AZ58)</f>
        <v/>
      </c>
      <c r="AG58" s="312" t="str">
        <f>IF(OR(TABLERO!BA58="",TABLERO!BA58=0),"",TABLERO!BA58)</f>
        <v/>
      </c>
      <c r="AH58" s="277" t="str">
        <f>IF(TABLERO!BB58=0,"",FIXED(IF(TABLERO!$F$17&lt;&gt;"KVA",TABLERO!BB58*1000,TABLERO!BB58*1000/TABLERO!DA58),2))</f>
        <v/>
      </c>
      <c r="AI58" s="277" t="str">
        <f>IF(TABLERO!BB58=0,"",FIXED(IF(TABLERO!$F$17&lt;&gt;"KVA",TABLERO!BT58*1000,TABLERO!BT58*1000/TABLERO!DA58),2))</f>
        <v/>
      </c>
      <c r="AJ58" s="272" t="str">
        <f>IF(OR(TABLERO!BU58="",TABLERO!BU58=0),"",FIXED(TABLERO!BU58,2))</f>
        <v/>
      </c>
      <c r="AK58" s="312" t="str">
        <f>IF(TABLERO!BB58=0,"",TABLERO!F58)</f>
        <v/>
      </c>
      <c r="AL58" s="312" t="str">
        <f>IF(TABLERO!BB58=0,"",TABLERO!G58)</f>
        <v/>
      </c>
      <c r="AM58" s="312" t="str">
        <f>IF(TABLERO!BB58=0,"",TABLERO!BV58)</f>
        <v/>
      </c>
      <c r="AN58" s="272" t="str">
        <f>IF(TABLERO!BB58=0,"",TABLERO!K58)</f>
        <v/>
      </c>
      <c r="AO58" s="312" t="str">
        <f>IF(TABLERO!BB58=0,"",TABLERO!J58)</f>
        <v/>
      </c>
      <c r="AP58" s="272" t="str">
        <f>IF(TABLERO!BB58=0,"",TABLERO!CT58)</f>
        <v/>
      </c>
      <c r="AQ58" s="272" t="str">
        <f>IF(TABLERO!BB58=0,"",TABLERO!CS58)</f>
        <v/>
      </c>
      <c r="AR58" s="272" t="str">
        <f>IF(OR(TABLERO!BB58=0,TABLERO!H58="RE"),"",FIXED(TABLERO!CY58,2))</f>
        <v/>
      </c>
      <c r="AS58" s="312" t="str">
        <f>IF(TABLERO!BB58=0,"",TABLERO!N58)</f>
        <v/>
      </c>
      <c r="AT58" s="1164" t="str">
        <f>IF(TABLERO!BB58=0,"",TABLERO!BX58&amp;" "&amp;TABLERO!ED58&amp;", "&amp;TABLERO!I58)</f>
        <v/>
      </c>
      <c r="AU58" s="1165"/>
      <c r="AV58" s="272" t="str">
        <f>IF(OR(TABLERO!BB58=0,TABLERO!H58="RE"),"",FIXED(TABLERO!BZ58,2))</f>
        <v/>
      </c>
      <c r="AW58" s="312" t="str">
        <f>IF(TABLERO!BB58=0,"",TABLERO!CA58)</f>
        <v/>
      </c>
      <c r="AX58" s="271" t="str">
        <f>IF(TABLERO!BB58=0,"",TABLERO!CB58)</f>
        <v/>
      </c>
      <c r="AY58" s="272" t="str">
        <f>IF(OR(TABLERO!BB58=0,TABLERO!H58="RE"),"",FIXED(TABLERO!DL58,2))</f>
        <v/>
      </c>
      <c r="AZ58" s="310" t="str">
        <f>IF(OR(TABLERO!BB58=0,TABLERO!H58="RE"),"",TABLERO!F58&amp;"P-"&amp;TABLERO!BW58&amp;"A")</f>
        <v/>
      </c>
      <c r="BA58" s="272" t="str">
        <f>IF(TABLERO!$BB58=0,"",IF(TABLERO!CI58="-","     -     ",FIXED(IF(TABLERO!$F$17&lt;&gt;"KVA",TABLERO!CI58,TABLERO!CI58/TABLERO!$F$14),2)))</f>
        <v/>
      </c>
      <c r="BB58" s="272" t="str">
        <f>IF(TABLERO!$BB58=0,"",IF(TABLERO!CJ58="-","     -     ",FIXED(IF(TABLERO!$F$17&lt;&gt;"KVA",TABLERO!CJ58,TABLERO!CJ58/TABLERO!$F$14),2)))</f>
        <v/>
      </c>
      <c r="BC58" s="272" t="str">
        <f>IF(TABLERO!$BB58=0,"",IF(TABLERO!CK58="-","     -     ",FIXED(IF(TABLERO!$F$17&lt;&gt;"KVA",TABLERO!CK58,TABLERO!CK58/TABLERO!$F$14),2)))</f>
        <v/>
      </c>
      <c r="BG58" s="275">
        <f>IF(TABLERO!B58="",0,TABLERO!B58)</f>
        <v>28</v>
      </c>
      <c r="BH58" s="275"/>
      <c r="BI58" s="275"/>
      <c r="BK58" s="275"/>
      <c r="BL58" s="289" t="str" cm="1">
        <f t="array" ref="BL58">[1]!ACAELE_LineaCAD(A58)</f>
        <v>++++++++++++++++++++++++++++++2</v>
      </c>
      <c r="BM58" s="279" t="str">
        <f t="shared" si="4"/>
        <v>28+</v>
      </c>
      <c r="BN58" s="304"/>
      <c r="BO58" s="304"/>
      <c r="BP58" s="304"/>
      <c r="BQ58" s="304"/>
      <c r="BR58" s="304"/>
      <c r="BS58" s="304"/>
      <c r="BT58" s="304"/>
      <c r="BU58" s="304"/>
      <c r="BV58" s="304"/>
      <c r="BW58" s="304"/>
      <c r="BX58" s="304"/>
      <c r="BY58" s="304"/>
      <c r="BZ58" s="304"/>
      <c r="CA58" s="304"/>
      <c r="CB58" s="304"/>
      <c r="CC58" s="304"/>
      <c r="CD58" s="304"/>
      <c r="CE58" s="304"/>
      <c r="CF58" s="304"/>
      <c r="CG58" s="304"/>
      <c r="CH58" s="304"/>
      <c r="CI58" s="304"/>
      <c r="CJ58" s="304"/>
      <c r="CK58" s="304"/>
      <c r="CL58" s="304"/>
      <c r="CM58" s="304"/>
      <c r="CN58" s="304"/>
      <c r="CO58" s="304"/>
      <c r="CP58" s="304"/>
      <c r="CQ58" s="304"/>
      <c r="CR58" s="305" t="str" cm="1">
        <f t="array" ref="CR58">CONCATENATE(BM58,_xlfn.TEXTJOIN("",TRUE,IF(BN$129:CQ$129&lt;&gt;"","+"&amp;D58:AG58,"")))</f>
        <v>28+</v>
      </c>
      <c r="CS58" s="279">
        <f t="shared" si="5"/>
        <v>30</v>
      </c>
      <c r="CT58" s="279" t="str">
        <f t="shared" si="3"/>
        <v>+++++++++++++++++++++++++++++++</v>
      </c>
      <c r="CU58" s="291" t="str">
        <f t="shared" si="7"/>
        <v>28++++++++++++++++++++++++++++++++2</v>
      </c>
      <c r="GB58" s="279" t="s">
        <v>1943</v>
      </c>
    </row>
    <row r="59" spans="1:184">
      <c r="A59" s="275">
        <f>IF(C59&lt;&gt;"",1,IF(AH59="",2,IF(OR(IF(TABLERO!B59="",0,TABLERO!B59)&gt;TABLERO!$M$19,IF(TABLERO!C59="",IF(TABLERO!B59="",0,TABLERO!B59),TABLERO!C59)&gt;TABLERO!$M$19,BI59&gt;TABLERO!$M$19,IF(TABLERO!B59="",0,TABLERO!B59)=0,IF(TABLERO!C59="",BG59,TABLERO!C59)=0,IF(TABLERO!D59="",BG59,TABLERO!D59)=0),2,1)))</f>
        <v>2</v>
      </c>
      <c r="B59" s="276" t="str">
        <f>TABLERO!B59&amp;IF(TABLERO!C59="","",","&amp;TABLERO!C59)&amp;IF(TABLERO!D59="","",","&amp;TABLERO!D59)</f>
        <v>29</v>
      </c>
      <c r="C59" s="269" t="str">
        <f>IF(TABLERO!E59=0,"",TABLERO!E59)</f>
        <v/>
      </c>
      <c r="D59" s="312" t="str">
        <f>IF(OR(TABLERO!X59="",TABLERO!X59=0),"",TABLERO!X59)</f>
        <v/>
      </c>
      <c r="E59" s="312" t="str">
        <f>IF(OR(TABLERO!Y59="",TABLERO!Y59=0),"",TABLERO!Y59)</f>
        <v/>
      </c>
      <c r="F59" s="312" t="str">
        <f>IF(OR(TABLERO!Z59="",TABLERO!Z59=0),"",TABLERO!Z59)</f>
        <v/>
      </c>
      <c r="G59" s="312" t="str">
        <f>IF(OR(TABLERO!AA59="",TABLERO!AA59=0),"",TABLERO!AA59)</f>
        <v/>
      </c>
      <c r="H59" s="312" t="str">
        <f>IF(OR(TABLERO!AB59="",TABLERO!AB59=0),"",TABLERO!AB59)</f>
        <v/>
      </c>
      <c r="I59" s="312" t="str">
        <f>IF(OR(TABLERO!AC59="",TABLERO!AC59=0),"",TABLERO!AC59)</f>
        <v/>
      </c>
      <c r="J59" s="312" t="str">
        <f>IF(OR(TABLERO!AD59="",TABLERO!AD59=0),"",TABLERO!AD59)</f>
        <v/>
      </c>
      <c r="K59" s="312" t="str">
        <f>IF(OR(TABLERO!AE59="",TABLERO!AE59=0),"",TABLERO!AE59)</f>
        <v/>
      </c>
      <c r="L59" s="312" t="str">
        <f>IF(OR(TABLERO!AF59="",TABLERO!AF59=0),"",TABLERO!AF59)</f>
        <v/>
      </c>
      <c r="M59" s="312" t="str">
        <f>IF(OR(TABLERO!AG59="",TABLERO!AG59=0),"",TABLERO!AG59)</f>
        <v/>
      </c>
      <c r="N59" s="312" t="str">
        <f>IF(OR(TABLERO!AH59="",TABLERO!AH59=0),"",TABLERO!AH59)</f>
        <v/>
      </c>
      <c r="O59" s="312" t="str">
        <f>IF(OR(TABLERO!AI59="",TABLERO!AI59=0),"",TABLERO!AI59)</f>
        <v/>
      </c>
      <c r="P59" s="312" t="str">
        <f>IF(OR(TABLERO!AJ59="",TABLERO!AJ59=0),"",TABLERO!AJ59)</f>
        <v/>
      </c>
      <c r="Q59" s="312" t="str">
        <f>IF(OR(TABLERO!AK59="",TABLERO!AK59=0),"",TABLERO!AK59)</f>
        <v/>
      </c>
      <c r="R59" s="312" t="str">
        <f>IF(OR(TABLERO!AL59="",TABLERO!AL59=0),"",TABLERO!AL59)</f>
        <v/>
      </c>
      <c r="S59" s="312" t="str">
        <f>IF(OR(TABLERO!AM59="",TABLERO!AM59=0),"",TABLERO!AM59)</f>
        <v/>
      </c>
      <c r="T59" s="312" t="str">
        <f>IF(OR(TABLERO!AN59="",TABLERO!AN59=0),"",TABLERO!AN59)</f>
        <v/>
      </c>
      <c r="U59" s="312" t="str">
        <f>IF(OR(TABLERO!AO59="",TABLERO!AO59=0),"",TABLERO!AO59)</f>
        <v/>
      </c>
      <c r="V59" s="312" t="str">
        <f>IF(OR(TABLERO!AP59="",TABLERO!AP59=0),"",TABLERO!AP59)</f>
        <v/>
      </c>
      <c r="W59" s="312" t="str">
        <f>IF(OR(TABLERO!AQ59="",TABLERO!AQ59=0),"",TABLERO!AQ59)</f>
        <v/>
      </c>
      <c r="X59" s="312" t="str">
        <f>IF(OR(TABLERO!AR59="",TABLERO!AR59=0),"",TABLERO!AR59)</f>
        <v/>
      </c>
      <c r="Y59" s="312" t="str">
        <f>IF(OR(TABLERO!AS59="",TABLERO!AS59=0),"",TABLERO!AS59)</f>
        <v/>
      </c>
      <c r="Z59" s="312" t="str">
        <f>IF(OR(TABLERO!AT59="",TABLERO!AT59=0),"",TABLERO!AT59)</f>
        <v/>
      </c>
      <c r="AA59" s="312" t="str">
        <f>IF(OR(TABLERO!AU59="",TABLERO!AU59=0),"",TABLERO!AU59)</f>
        <v/>
      </c>
      <c r="AB59" s="312" t="str">
        <f>IF(OR(TABLERO!AV59="",TABLERO!AV59=0),"",TABLERO!AV59)</f>
        <v/>
      </c>
      <c r="AC59" s="312" t="str">
        <f>IF(OR(TABLERO!AW59="",TABLERO!AW59=0),"",TABLERO!AW59)</f>
        <v/>
      </c>
      <c r="AD59" s="312" t="str">
        <f>IF(OR(TABLERO!AX59="",TABLERO!AX59=0),"",TABLERO!AX59)</f>
        <v/>
      </c>
      <c r="AE59" s="312" t="str">
        <f>IF(OR(TABLERO!AY59="",TABLERO!AY59=0),"",TABLERO!AY59)</f>
        <v/>
      </c>
      <c r="AF59" s="312" t="str">
        <f>IF(OR(TABLERO!AZ59="",TABLERO!AZ59=0),"",TABLERO!AZ59)</f>
        <v/>
      </c>
      <c r="AG59" s="312" t="str">
        <f>IF(OR(TABLERO!BA59="",TABLERO!BA59=0),"",TABLERO!BA59)</f>
        <v/>
      </c>
      <c r="AH59" s="277" t="str">
        <f>IF(TABLERO!BB59=0,"",FIXED(IF(TABLERO!$F$17&lt;&gt;"KVA",TABLERO!BB59*1000,TABLERO!BB59*1000/TABLERO!DA59),2))</f>
        <v/>
      </c>
      <c r="AI59" s="277" t="str">
        <f>IF(TABLERO!BB59=0,"",FIXED(IF(TABLERO!$F$17&lt;&gt;"KVA",TABLERO!BT59*1000,TABLERO!BT59*1000/TABLERO!DA59),2))</f>
        <v/>
      </c>
      <c r="AJ59" s="272" t="str">
        <f>IF(OR(TABLERO!BU59="",TABLERO!BU59=0),"",FIXED(TABLERO!BU59,2))</f>
        <v/>
      </c>
      <c r="AK59" s="312" t="str">
        <f>IF(TABLERO!BB59=0,"",TABLERO!F59)</f>
        <v/>
      </c>
      <c r="AL59" s="312" t="str">
        <f>IF(TABLERO!BB59=0,"",TABLERO!G59)</f>
        <v/>
      </c>
      <c r="AM59" s="312" t="str">
        <f>IF(TABLERO!BB59=0,"",TABLERO!BV59)</f>
        <v/>
      </c>
      <c r="AN59" s="272" t="str">
        <f>IF(TABLERO!BB59=0,"",TABLERO!K59)</f>
        <v/>
      </c>
      <c r="AO59" s="312" t="str">
        <f>IF(TABLERO!BB59=0,"",TABLERO!J59)</f>
        <v/>
      </c>
      <c r="AP59" s="272" t="str">
        <f>IF(TABLERO!BB59=0,"",TABLERO!CT59)</f>
        <v/>
      </c>
      <c r="AQ59" s="272" t="str">
        <f>IF(TABLERO!BB59=0,"",TABLERO!CS59)</f>
        <v/>
      </c>
      <c r="AR59" s="272" t="str">
        <f>IF(OR(TABLERO!BB59=0,TABLERO!H59="RE"),"",FIXED(TABLERO!CY59,2))</f>
        <v/>
      </c>
      <c r="AS59" s="312" t="str">
        <f>IF(TABLERO!BB59=0,"",TABLERO!N59)</f>
        <v/>
      </c>
      <c r="AT59" s="1164" t="str">
        <f>IF(TABLERO!BB59=0,"",TABLERO!BX59&amp;" "&amp;TABLERO!ED59&amp;", "&amp;TABLERO!I59)</f>
        <v/>
      </c>
      <c r="AU59" s="1165"/>
      <c r="AV59" s="272" t="str">
        <f>IF(OR(TABLERO!BB59=0,TABLERO!H59="RE"),"",FIXED(TABLERO!BZ59,2))</f>
        <v/>
      </c>
      <c r="AW59" s="312" t="str">
        <f>IF(TABLERO!BB59=0,"",TABLERO!CA59)</f>
        <v/>
      </c>
      <c r="AX59" s="271" t="str">
        <f>IF(TABLERO!BB59=0,"",TABLERO!CB59)</f>
        <v/>
      </c>
      <c r="AY59" s="272" t="str">
        <f>IF(OR(TABLERO!BB59=0,TABLERO!H59="RE"),"",FIXED(TABLERO!DL59,2))</f>
        <v/>
      </c>
      <c r="AZ59" s="310" t="str">
        <f>IF(OR(TABLERO!BB59=0,TABLERO!H59="RE"),"",TABLERO!F59&amp;"P-"&amp;TABLERO!BW59&amp;"A")</f>
        <v/>
      </c>
      <c r="BA59" s="272" t="str">
        <f>IF(TABLERO!$BB59=0,"",IF(TABLERO!CI59="-","     -     ",FIXED(IF(TABLERO!$F$17&lt;&gt;"KVA",TABLERO!CI59,TABLERO!CI59/TABLERO!$F$14),2)))</f>
        <v/>
      </c>
      <c r="BB59" s="272" t="str">
        <f>IF(TABLERO!$BB59=0,"",IF(TABLERO!CJ59="-","     -     ",FIXED(IF(TABLERO!$F$17&lt;&gt;"KVA",TABLERO!CJ59,TABLERO!CJ59/TABLERO!$F$14),2)))</f>
        <v/>
      </c>
      <c r="BC59" s="272" t="str">
        <f>IF(TABLERO!$BB59=0,"",IF(TABLERO!CK59="-","     -     ",FIXED(IF(TABLERO!$F$17&lt;&gt;"KVA",TABLERO!CK59,TABLERO!CK59/TABLERO!$F$14),2)))</f>
        <v/>
      </c>
      <c r="BG59" s="275">
        <f>IF(TABLERO!B59="",0,TABLERO!B59)</f>
        <v>29</v>
      </c>
      <c r="BH59" s="275"/>
      <c r="BI59" s="275"/>
      <c r="BK59" s="275"/>
      <c r="BL59" s="289" t="str" cm="1">
        <f t="array" ref="BL59">[1]!ACAELE_LineaCAD(A59)</f>
        <v>++++++++++++++++++++++++++++++2</v>
      </c>
      <c r="BM59" s="279" t="str">
        <f t="shared" si="4"/>
        <v>29+</v>
      </c>
      <c r="BN59" s="304"/>
      <c r="BO59" s="304"/>
      <c r="BP59" s="304"/>
      <c r="BQ59" s="304"/>
      <c r="BR59" s="304"/>
      <c r="BS59" s="304"/>
      <c r="BT59" s="304"/>
      <c r="BU59" s="304"/>
      <c r="BV59" s="304"/>
      <c r="BW59" s="304"/>
      <c r="BX59" s="304"/>
      <c r="BY59" s="304"/>
      <c r="BZ59" s="304"/>
      <c r="CA59" s="304"/>
      <c r="CB59" s="304"/>
      <c r="CC59" s="304"/>
      <c r="CD59" s="304"/>
      <c r="CE59" s="304"/>
      <c r="CF59" s="304"/>
      <c r="CG59" s="304"/>
      <c r="CH59" s="304"/>
      <c r="CI59" s="304"/>
      <c r="CJ59" s="304"/>
      <c r="CK59" s="304"/>
      <c r="CL59" s="304"/>
      <c r="CM59" s="304"/>
      <c r="CN59" s="304"/>
      <c r="CO59" s="304"/>
      <c r="CP59" s="304"/>
      <c r="CQ59" s="304"/>
      <c r="CR59" s="305" t="str" cm="1">
        <f t="array" ref="CR59">CONCATENATE(BM59,_xlfn.TEXTJOIN("",TRUE,IF(BN$129:CQ$129&lt;&gt;"","+"&amp;D59:AG59,"")))</f>
        <v>29+</v>
      </c>
      <c r="CS59" s="279">
        <f t="shared" si="5"/>
        <v>30</v>
      </c>
      <c r="CT59" s="279" t="str">
        <f t="shared" si="3"/>
        <v>+++++++++++++++++++++++++++++++</v>
      </c>
      <c r="CU59" s="291" t="str">
        <f t="shared" si="7"/>
        <v>29++++++++++++++++++++++++++++++++2</v>
      </c>
      <c r="GB59" s="279" t="s">
        <v>1944</v>
      </c>
    </row>
    <row r="60" spans="1:184">
      <c r="A60" s="275">
        <f>IF(C60&lt;&gt;"",1,IF(AH60="",2,IF(OR(IF(TABLERO!B60="",0,TABLERO!B60)&gt;TABLERO!$M$19,IF(TABLERO!C60="",IF(TABLERO!B60="",0,TABLERO!B60),TABLERO!C60)&gt;TABLERO!$M$19,BI60&gt;TABLERO!$M$19,IF(TABLERO!B60="",0,TABLERO!B60)=0,IF(TABLERO!C60="",BG60,TABLERO!C60)=0,IF(TABLERO!D60="",BG60,TABLERO!D60)=0),2,1)))</f>
        <v>2</v>
      </c>
      <c r="B60" s="276" t="str">
        <f>TABLERO!B60&amp;IF(TABLERO!C60="","",","&amp;TABLERO!C60)&amp;IF(TABLERO!D60="","",","&amp;TABLERO!D60)</f>
        <v>30</v>
      </c>
      <c r="C60" s="269" t="str">
        <f>IF(TABLERO!E60=0,"",TABLERO!E60)</f>
        <v/>
      </c>
      <c r="D60" s="312" t="str">
        <f>IF(OR(TABLERO!X60="",TABLERO!X60=0),"",TABLERO!X60)</f>
        <v/>
      </c>
      <c r="E60" s="312" t="str">
        <f>IF(OR(TABLERO!Y60="",TABLERO!Y60=0),"",TABLERO!Y60)</f>
        <v/>
      </c>
      <c r="F60" s="312" t="str">
        <f>IF(OR(TABLERO!Z60="",TABLERO!Z60=0),"",TABLERO!Z60)</f>
        <v/>
      </c>
      <c r="G60" s="312" t="str">
        <f>IF(OR(TABLERO!AA60="",TABLERO!AA60=0),"",TABLERO!AA60)</f>
        <v/>
      </c>
      <c r="H60" s="312" t="str">
        <f>IF(OR(TABLERO!AB60="",TABLERO!AB60=0),"",TABLERO!AB60)</f>
        <v/>
      </c>
      <c r="I60" s="312" t="str">
        <f>IF(OR(TABLERO!AC60="",TABLERO!AC60=0),"",TABLERO!AC60)</f>
        <v/>
      </c>
      <c r="J60" s="312" t="str">
        <f>IF(OR(TABLERO!AD60="",TABLERO!AD60=0),"",TABLERO!AD60)</f>
        <v/>
      </c>
      <c r="K60" s="312" t="str">
        <f>IF(OR(TABLERO!AE60="",TABLERO!AE60=0),"",TABLERO!AE60)</f>
        <v/>
      </c>
      <c r="L60" s="312" t="str">
        <f>IF(OR(TABLERO!AF60="",TABLERO!AF60=0),"",TABLERO!AF60)</f>
        <v/>
      </c>
      <c r="M60" s="312" t="str">
        <f>IF(OR(TABLERO!AG60="",TABLERO!AG60=0),"",TABLERO!AG60)</f>
        <v/>
      </c>
      <c r="N60" s="312" t="str">
        <f>IF(OR(TABLERO!AH60="",TABLERO!AH60=0),"",TABLERO!AH60)</f>
        <v/>
      </c>
      <c r="O60" s="312" t="str">
        <f>IF(OR(TABLERO!AI60="",TABLERO!AI60=0),"",TABLERO!AI60)</f>
        <v/>
      </c>
      <c r="P60" s="312" t="str">
        <f>IF(OR(TABLERO!AJ60="",TABLERO!AJ60=0),"",TABLERO!AJ60)</f>
        <v/>
      </c>
      <c r="Q60" s="312" t="str">
        <f>IF(OR(TABLERO!AK60="",TABLERO!AK60=0),"",TABLERO!AK60)</f>
        <v/>
      </c>
      <c r="R60" s="312" t="str">
        <f>IF(OR(TABLERO!AL60="",TABLERO!AL60=0),"",TABLERO!AL60)</f>
        <v/>
      </c>
      <c r="S60" s="312" t="str">
        <f>IF(OR(TABLERO!AM60="",TABLERO!AM60=0),"",TABLERO!AM60)</f>
        <v/>
      </c>
      <c r="T60" s="312" t="str">
        <f>IF(OR(TABLERO!AN60="",TABLERO!AN60=0),"",TABLERO!AN60)</f>
        <v/>
      </c>
      <c r="U60" s="312" t="str">
        <f>IF(OR(TABLERO!AO60="",TABLERO!AO60=0),"",TABLERO!AO60)</f>
        <v/>
      </c>
      <c r="V60" s="312" t="str">
        <f>IF(OR(TABLERO!AP60="",TABLERO!AP60=0),"",TABLERO!AP60)</f>
        <v/>
      </c>
      <c r="W60" s="312" t="str">
        <f>IF(OR(TABLERO!AQ60="",TABLERO!AQ60=0),"",TABLERO!AQ60)</f>
        <v/>
      </c>
      <c r="X60" s="312" t="str">
        <f>IF(OR(TABLERO!AR60="",TABLERO!AR60=0),"",TABLERO!AR60)</f>
        <v/>
      </c>
      <c r="Y60" s="312" t="str">
        <f>IF(OR(TABLERO!AS60="",TABLERO!AS60=0),"",TABLERO!AS60)</f>
        <v/>
      </c>
      <c r="Z60" s="312" t="str">
        <f>IF(OR(TABLERO!AT60="",TABLERO!AT60=0),"",TABLERO!AT60)</f>
        <v/>
      </c>
      <c r="AA60" s="312" t="str">
        <f>IF(OR(TABLERO!AU60="",TABLERO!AU60=0),"",TABLERO!AU60)</f>
        <v/>
      </c>
      <c r="AB60" s="312" t="str">
        <f>IF(OR(TABLERO!AV60="",TABLERO!AV60=0),"",TABLERO!AV60)</f>
        <v/>
      </c>
      <c r="AC60" s="312" t="str">
        <f>IF(OR(TABLERO!AW60="",TABLERO!AW60=0),"",TABLERO!AW60)</f>
        <v/>
      </c>
      <c r="AD60" s="312" t="str">
        <f>IF(OR(TABLERO!AX60="",TABLERO!AX60=0),"",TABLERO!AX60)</f>
        <v/>
      </c>
      <c r="AE60" s="312" t="str">
        <f>IF(OR(TABLERO!AY60="",TABLERO!AY60=0),"",TABLERO!AY60)</f>
        <v/>
      </c>
      <c r="AF60" s="312" t="str">
        <f>IF(OR(TABLERO!AZ60="",TABLERO!AZ60=0),"",TABLERO!AZ60)</f>
        <v/>
      </c>
      <c r="AG60" s="312" t="str">
        <f>IF(OR(TABLERO!BA60="",TABLERO!BA60=0),"",TABLERO!BA60)</f>
        <v/>
      </c>
      <c r="AH60" s="277" t="str">
        <f>IF(TABLERO!BB60=0,"",FIXED(IF(TABLERO!$F$17&lt;&gt;"KVA",TABLERO!BB60*1000,TABLERO!BB60*1000/TABLERO!DA60),2))</f>
        <v/>
      </c>
      <c r="AI60" s="277" t="str">
        <f>IF(TABLERO!BB60=0,"",FIXED(IF(TABLERO!$F$17&lt;&gt;"KVA",TABLERO!BT60*1000,TABLERO!BT60*1000/TABLERO!DA60),2))</f>
        <v/>
      </c>
      <c r="AJ60" s="272" t="str">
        <f>IF(OR(TABLERO!BU60="",TABLERO!BU60=0),"",FIXED(TABLERO!BU60,2))</f>
        <v/>
      </c>
      <c r="AK60" s="312" t="str">
        <f>IF(TABLERO!BB60=0,"",TABLERO!F60)</f>
        <v/>
      </c>
      <c r="AL60" s="312" t="str">
        <f>IF(TABLERO!BB60=0,"",TABLERO!G60)</f>
        <v/>
      </c>
      <c r="AM60" s="312" t="str">
        <f>IF(TABLERO!BB60=0,"",TABLERO!BV60)</f>
        <v/>
      </c>
      <c r="AN60" s="272" t="str">
        <f>IF(TABLERO!BB60=0,"",TABLERO!K60)</f>
        <v/>
      </c>
      <c r="AO60" s="312" t="str">
        <f>IF(TABLERO!BB60=0,"",TABLERO!J60)</f>
        <v/>
      </c>
      <c r="AP60" s="272" t="str">
        <f>IF(TABLERO!BB60=0,"",TABLERO!CT60)</f>
        <v/>
      </c>
      <c r="AQ60" s="272" t="str">
        <f>IF(TABLERO!BB60=0,"",TABLERO!CS60)</f>
        <v/>
      </c>
      <c r="AR60" s="272" t="str">
        <f>IF(OR(TABLERO!BB60=0,TABLERO!H60="RE"),"",FIXED(TABLERO!CY60,2))</f>
        <v/>
      </c>
      <c r="AS60" s="312" t="str">
        <f>IF(TABLERO!BB60=0,"",TABLERO!N60)</f>
        <v/>
      </c>
      <c r="AT60" s="1164" t="str">
        <f>IF(TABLERO!BB60=0,"",TABLERO!BX60&amp;" "&amp;TABLERO!ED60&amp;", "&amp;TABLERO!I60)</f>
        <v/>
      </c>
      <c r="AU60" s="1165"/>
      <c r="AV60" s="272" t="str">
        <f>IF(OR(TABLERO!BB60=0,TABLERO!H60="RE"),"",FIXED(TABLERO!BZ60,2))</f>
        <v/>
      </c>
      <c r="AW60" s="312" t="str">
        <f>IF(TABLERO!BB60=0,"",TABLERO!CA60)</f>
        <v/>
      </c>
      <c r="AX60" s="271" t="str">
        <f>IF(TABLERO!BB60=0,"",TABLERO!CB60)</f>
        <v/>
      </c>
      <c r="AY60" s="272" t="str">
        <f>IF(OR(TABLERO!BB60=0,TABLERO!H60="RE"),"",FIXED(TABLERO!DL60,2))</f>
        <v/>
      </c>
      <c r="AZ60" s="310" t="str">
        <f>IF(OR(TABLERO!BB60=0,TABLERO!H60="RE"),"",TABLERO!F60&amp;"P-"&amp;TABLERO!BW60&amp;"A")</f>
        <v/>
      </c>
      <c r="BA60" s="272" t="str">
        <f>IF(TABLERO!$BB60=0,"",IF(TABLERO!CI60="-","     -     ",FIXED(IF(TABLERO!$F$17&lt;&gt;"KVA",TABLERO!CI60,TABLERO!CI60/TABLERO!$F$14),2)))</f>
        <v/>
      </c>
      <c r="BB60" s="272" t="str">
        <f>IF(TABLERO!$BB60=0,"",IF(TABLERO!CJ60="-","     -     ",FIXED(IF(TABLERO!$F$17&lt;&gt;"KVA",TABLERO!CJ60,TABLERO!CJ60/TABLERO!$F$14),2)))</f>
        <v/>
      </c>
      <c r="BC60" s="272" t="str">
        <f>IF(TABLERO!$BB60=0,"",IF(TABLERO!CK60="-","     -     ",FIXED(IF(TABLERO!$F$17&lt;&gt;"KVA",TABLERO!CK60,TABLERO!CK60/TABLERO!$F$14),2)))</f>
        <v/>
      </c>
      <c r="BG60" s="275">
        <f>IF(TABLERO!B60="",0,TABLERO!B60)</f>
        <v>30</v>
      </c>
      <c r="BH60" s="275"/>
      <c r="BI60" s="275"/>
      <c r="BK60" s="275"/>
      <c r="BL60" s="289" t="str" cm="1">
        <f t="array" ref="BL60">[1]!ACAELE_LineaCAD(A60)</f>
        <v>++++++++++++++++++++++++++++++2</v>
      </c>
      <c r="BM60" s="279" t="str">
        <f t="shared" si="4"/>
        <v>30+</v>
      </c>
      <c r="BN60" s="304"/>
      <c r="BO60" s="304"/>
      <c r="BP60" s="304"/>
      <c r="BQ60" s="304"/>
      <c r="BR60" s="304"/>
      <c r="BS60" s="304"/>
      <c r="BT60" s="304"/>
      <c r="BU60" s="304"/>
      <c r="BV60" s="304"/>
      <c r="BW60" s="304"/>
      <c r="BX60" s="304"/>
      <c r="BY60" s="304"/>
      <c r="BZ60" s="304"/>
      <c r="CA60" s="304"/>
      <c r="CB60" s="304"/>
      <c r="CC60" s="304"/>
      <c r="CD60" s="304"/>
      <c r="CE60" s="304"/>
      <c r="CF60" s="304"/>
      <c r="CG60" s="304"/>
      <c r="CH60" s="304"/>
      <c r="CI60" s="304"/>
      <c r="CJ60" s="304"/>
      <c r="CK60" s="304"/>
      <c r="CL60" s="304"/>
      <c r="CM60" s="304"/>
      <c r="CN60" s="304"/>
      <c r="CO60" s="304"/>
      <c r="CP60" s="304"/>
      <c r="CQ60" s="304"/>
      <c r="CR60" s="305" t="str" cm="1">
        <f t="array" ref="CR60">CONCATENATE(BM60,_xlfn.TEXTJOIN("",TRUE,IF(BN$129:CQ$129&lt;&gt;"","+"&amp;D60:AG60,"")))</f>
        <v>30+</v>
      </c>
      <c r="CS60" s="279">
        <f t="shared" si="5"/>
        <v>30</v>
      </c>
      <c r="CT60" s="279" t="str">
        <f t="shared" si="3"/>
        <v>+++++++++++++++++++++++++++++++</v>
      </c>
      <c r="CU60" s="291" t="str">
        <f t="shared" si="7"/>
        <v>30++++++++++++++++++++++++++++++++2</v>
      </c>
      <c r="GB60" s="279" t="s">
        <v>1945</v>
      </c>
    </row>
    <row r="61" spans="1:184">
      <c r="A61" s="275">
        <f>IF(C61&lt;&gt;"",1,IF(AH61="",2,IF(OR(IF(TABLERO!B61="",0,TABLERO!B61)&gt;TABLERO!$M$19,IF(TABLERO!C61="",IF(TABLERO!B61="",0,TABLERO!B61),TABLERO!C61)&gt;TABLERO!$M$19,BI61&gt;TABLERO!$M$19,IF(TABLERO!B61="",0,TABLERO!B61)=0,IF(TABLERO!C61="",BG61,TABLERO!C61)=0,IF(TABLERO!D61="",BG61,TABLERO!D61)=0),2,1)))</f>
        <v>2</v>
      </c>
      <c r="B61" s="276" t="str">
        <f>TABLERO!B61&amp;IF(TABLERO!C61="","",","&amp;TABLERO!C61)&amp;IF(TABLERO!D61="","",","&amp;TABLERO!D61)</f>
        <v>31</v>
      </c>
      <c r="C61" s="269" t="str">
        <f>IF(TABLERO!E61=0,"",TABLERO!E61)</f>
        <v/>
      </c>
      <c r="D61" s="312" t="str">
        <f>IF(OR(TABLERO!X61="",TABLERO!X61=0),"",TABLERO!X61)</f>
        <v/>
      </c>
      <c r="E61" s="312" t="str">
        <f>IF(OR(TABLERO!Y61="",TABLERO!Y61=0),"",TABLERO!Y61)</f>
        <v/>
      </c>
      <c r="F61" s="312" t="str">
        <f>IF(OR(TABLERO!Z61="",TABLERO!Z61=0),"",TABLERO!Z61)</f>
        <v/>
      </c>
      <c r="G61" s="312" t="str">
        <f>IF(OR(TABLERO!AA61="",TABLERO!AA61=0),"",TABLERO!AA61)</f>
        <v/>
      </c>
      <c r="H61" s="312" t="str">
        <f>IF(OR(TABLERO!AB61="",TABLERO!AB61=0),"",TABLERO!AB61)</f>
        <v/>
      </c>
      <c r="I61" s="312" t="str">
        <f>IF(OR(TABLERO!AC61="",TABLERO!AC61=0),"",TABLERO!AC61)</f>
        <v/>
      </c>
      <c r="J61" s="312" t="str">
        <f>IF(OR(TABLERO!AD61="",TABLERO!AD61=0),"",TABLERO!AD61)</f>
        <v/>
      </c>
      <c r="K61" s="312" t="str">
        <f>IF(OR(TABLERO!AE61="",TABLERO!AE61=0),"",TABLERO!AE61)</f>
        <v/>
      </c>
      <c r="L61" s="312" t="str">
        <f>IF(OR(TABLERO!AF61="",TABLERO!AF61=0),"",TABLERO!AF61)</f>
        <v/>
      </c>
      <c r="M61" s="312" t="str">
        <f>IF(OR(TABLERO!AG61="",TABLERO!AG61=0),"",TABLERO!AG61)</f>
        <v/>
      </c>
      <c r="N61" s="312" t="str">
        <f>IF(OR(TABLERO!AH61="",TABLERO!AH61=0),"",TABLERO!AH61)</f>
        <v/>
      </c>
      <c r="O61" s="312" t="str">
        <f>IF(OR(TABLERO!AI61="",TABLERO!AI61=0),"",TABLERO!AI61)</f>
        <v/>
      </c>
      <c r="P61" s="312" t="str">
        <f>IF(OR(TABLERO!AJ61="",TABLERO!AJ61=0),"",TABLERO!AJ61)</f>
        <v/>
      </c>
      <c r="Q61" s="312" t="str">
        <f>IF(OR(TABLERO!AK61="",TABLERO!AK61=0),"",TABLERO!AK61)</f>
        <v/>
      </c>
      <c r="R61" s="312" t="str">
        <f>IF(OR(TABLERO!AL61="",TABLERO!AL61=0),"",TABLERO!AL61)</f>
        <v/>
      </c>
      <c r="S61" s="312" t="str">
        <f>IF(OR(TABLERO!AM61="",TABLERO!AM61=0),"",TABLERO!AM61)</f>
        <v/>
      </c>
      <c r="T61" s="312" t="str">
        <f>IF(OR(TABLERO!AN61="",TABLERO!AN61=0),"",TABLERO!AN61)</f>
        <v/>
      </c>
      <c r="U61" s="312" t="str">
        <f>IF(OR(TABLERO!AO61="",TABLERO!AO61=0),"",TABLERO!AO61)</f>
        <v/>
      </c>
      <c r="V61" s="312" t="str">
        <f>IF(OR(TABLERO!AP61="",TABLERO!AP61=0),"",TABLERO!AP61)</f>
        <v/>
      </c>
      <c r="W61" s="312" t="str">
        <f>IF(OR(TABLERO!AQ61="",TABLERO!AQ61=0),"",TABLERO!AQ61)</f>
        <v/>
      </c>
      <c r="X61" s="312" t="str">
        <f>IF(OR(TABLERO!AR61="",TABLERO!AR61=0),"",TABLERO!AR61)</f>
        <v/>
      </c>
      <c r="Y61" s="312" t="str">
        <f>IF(OR(TABLERO!AS61="",TABLERO!AS61=0),"",TABLERO!AS61)</f>
        <v/>
      </c>
      <c r="Z61" s="312" t="str">
        <f>IF(OR(TABLERO!AT61="",TABLERO!AT61=0),"",TABLERO!AT61)</f>
        <v/>
      </c>
      <c r="AA61" s="312" t="str">
        <f>IF(OR(TABLERO!AU61="",TABLERO!AU61=0),"",TABLERO!AU61)</f>
        <v/>
      </c>
      <c r="AB61" s="312" t="str">
        <f>IF(OR(TABLERO!AV61="",TABLERO!AV61=0),"",TABLERO!AV61)</f>
        <v/>
      </c>
      <c r="AC61" s="312" t="str">
        <f>IF(OR(TABLERO!AW61="",TABLERO!AW61=0),"",TABLERO!AW61)</f>
        <v/>
      </c>
      <c r="AD61" s="312" t="str">
        <f>IF(OR(TABLERO!AX61="",TABLERO!AX61=0),"",TABLERO!AX61)</f>
        <v/>
      </c>
      <c r="AE61" s="312" t="str">
        <f>IF(OR(TABLERO!AY61="",TABLERO!AY61=0),"",TABLERO!AY61)</f>
        <v/>
      </c>
      <c r="AF61" s="312" t="str">
        <f>IF(OR(TABLERO!AZ61="",TABLERO!AZ61=0),"",TABLERO!AZ61)</f>
        <v/>
      </c>
      <c r="AG61" s="312" t="str">
        <f>IF(OR(TABLERO!BA61="",TABLERO!BA61=0),"",TABLERO!BA61)</f>
        <v/>
      </c>
      <c r="AH61" s="277" t="str">
        <f>IF(TABLERO!BB61=0,"",FIXED(IF(TABLERO!$F$17&lt;&gt;"KVA",TABLERO!BB61*1000,TABLERO!BB61*1000/TABLERO!DA61),2))</f>
        <v/>
      </c>
      <c r="AI61" s="277" t="str">
        <f>IF(TABLERO!BB61=0,"",FIXED(IF(TABLERO!$F$17&lt;&gt;"KVA",TABLERO!BT61*1000,TABLERO!BT61*1000/TABLERO!DA61),2))</f>
        <v/>
      </c>
      <c r="AJ61" s="272" t="str">
        <f>IF(OR(TABLERO!BU61="",TABLERO!BU61=0),"",FIXED(TABLERO!BU61,2))</f>
        <v/>
      </c>
      <c r="AK61" s="312" t="str">
        <f>IF(TABLERO!BB61=0,"",TABLERO!F61)</f>
        <v/>
      </c>
      <c r="AL61" s="312" t="str">
        <f>IF(TABLERO!BB61=0,"",TABLERO!G61)</f>
        <v/>
      </c>
      <c r="AM61" s="312" t="str">
        <f>IF(TABLERO!BB61=0,"",TABLERO!BV61)</f>
        <v/>
      </c>
      <c r="AN61" s="272" t="str">
        <f>IF(TABLERO!BB61=0,"",TABLERO!K61)</f>
        <v/>
      </c>
      <c r="AO61" s="312" t="str">
        <f>IF(TABLERO!BB61=0,"",TABLERO!J61)</f>
        <v/>
      </c>
      <c r="AP61" s="272" t="str">
        <f>IF(TABLERO!BB61=0,"",TABLERO!CT61)</f>
        <v/>
      </c>
      <c r="AQ61" s="272" t="str">
        <f>IF(TABLERO!BB61=0,"",TABLERO!CS61)</f>
        <v/>
      </c>
      <c r="AR61" s="272" t="str">
        <f>IF(OR(TABLERO!BB61=0,TABLERO!H61="RE"),"",FIXED(TABLERO!CY61,2))</f>
        <v/>
      </c>
      <c r="AS61" s="312" t="str">
        <f>IF(TABLERO!BB61=0,"",TABLERO!N61)</f>
        <v/>
      </c>
      <c r="AT61" s="1164" t="str">
        <f>IF(TABLERO!BB61=0,"",TABLERO!BX61&amp;" "&amp;TABLERO!ED61&amp;", "&amp;TABLERO!I61)</f>
        <v/>
      </c>
      <c r="AU61" s="1165"/>
      <c r="AV61" s="272" t="str">
        <f>IF(OR(TABLERO!BB61=0,TABLERO!H61="RE"),"",FIXED(TABLERO!BZ61,2))</f>
        <v/>
      </c>
      <c r="AW61" s="312" t="str">
        <f>IF(TABLERO!BB61=0,"",TABLERO!CA61)</f>
        <v/>
      </c>
      <c r="AX61" s="271" t="str">
        <f>IF(TABLERO!BB61=0,"",TABLERO!CB61)</f>
        <v/>
      </c>
      <c r="AY61" s="272" t="str">
        <f>IF(OR(TABLERO!BB61=0,TABLERO!H61="RE"),"",FIXED(TABLERO!DL61,2))</f>
        <v/>
      </c>
      <c r="AZ61" s="310" t="str">
        <f>IF(OR(TABLERO!BB61=0,TABLERO!H61="RE"),"",TABLERO!F61&amp;"P-"&amp;TABLERO!BW61&amp;"A")</f>
        <v/>
      </c>
      <c r="BA61" s="272" t="str">
        <f>IF(TABLERO!$BB61=0,"",IF(TABLERO!CI61="-","     -     ",FIXED(IF(TABLERO!$F$17&lt;&gt;"KVA",TABLERO!CI61,TABLERO!CI61/TABLERO!$F$14),2)))</f>
        <v/>
      </c>
      <c r="BB61" s="272" t="str">
        <f>IF(TABLERO!$BB61=0,"",IF(TABLERO!CJ61="-","     -     ",FIXED(IF(TABLERO!$F$17&lt;&gt;"KVA",TABLERO!CJ61,TABLERO!CJ61/TABLERO!$F$14),2)))</f>
        <v/>
      </c>
      <c r="BC61" s="272" t="str">
        <f>IF(TABLERO!$BB61=0,"",IF(TABLERO!CK61="-","     -     ",FIXED(IF(TABLERO!$F$17&lt;&gt;"KVA",TABLERO!CK61,TABLERO!CK61/TABLERO!$F$14),2)))</f>
        <v/>
      </c>
      <c r="BG61" s="275">
        <f>IF(TABLERO!B61="",0,TABLERO!B61)</f>
        <v>31</v>
      </c>
      <c r="BH61" s="275"/>
      <c r="BI61" s="275"/>
      <c r="BK61" s="275"/>
      <c r="BL61" s="289" t="str" cm="1">
        <f t="array" ref="BL61">[1]!ACAELE_LineaCAD(A61)</f>
        <v>++++++++++++++++++++++++++++++2</v>
      </c>
      <c r="BM61" s="279" t="str">
        <f t="shared" si="4"/>
        <v>31+</v>
      </c>
      <c r="BN61" s="304"/>
      <c r="BO61" s="304"/>
      <c r="BP61" s="304"/>
      <c r="BQ61" s="304"/>
      <c r="BR61" s="304"/>
      <c r="BS61" s="304"/>
      <c r="BT61" s="304"/>
      <c r="BU61" s="304"/>
      <c r="BV61" s="304"/>
      <c r="BW61" s="304"/>
      <c r="BX61" s="304"/>
      <c r="BY61" s="304"/>
      <c r="BZ61" s="304"/>
      <c r="CA61" s="304"/>
      <c r="CB61" s="304"/>
      <c r="CC61" s="304"/>
      <c r="CD61" s="304"/>
      <c r="CE61" s="304"/>
      <c r="CF61" s="304"/>
      <c r="CG61" s="304"/>
      <c r="CH61" s="304"/>
      <c r="CI61" s="304"/>
      <c r="CJ61" s="304"/>
      <c r="CK61" s="304"/>
      <c r="CL61" s="304"/>
      <c r="CM61" s="304"/>
      <c r="CN61" s="304"/>
      <c r="CO61" s="304"/>
      <c r="CP61" s="304"/>
      <c r="CQ61" s="304"/>
      <c r="CR61" s="305" t="str" cm="1">
        <f t="array" ref="CR61">CONCATENATE(BM61,_xlfn.TEXTJOIN("",TRUE,IF(BN$129:CQ$129&lt;&gt;"","+"&amp;D61:AG61,"")))</f>
        <v>31+</v>
      </c>
      <c r="CS61" s="279">
        <f t="shared" si="5"/>
        <v>30</v>
      </c>
      <c r="CT61" s="279" t="str">
        <f t="shared" si="3"/>
        <v>+++++++++++++++++++++++++++++++</v>
      </c>
      <c r="CU61" s="291" t="str">
        <f t="shared" si="7"/>
        <v>31++++++++++++++++++++++++++++++++2</v>
      </c>
      <c r="GB61" s="279" t="s">
        <v>1946</v>
      </c>
    </row>
    <row r="62" spans="1:184">
      <c r="A62" s="275">
        <f>IF(C62&lt;&gt;"",1,IF(AH62="",2,IF(OR(IF(TABLERO!B62="",0,TABLERO!B62)&gt;TABLERO!$M$19,IF(TABLERO!C62="",IF(TABLERO!B62="",0,TABLERO!B62),TABLERO!C62)&gt;TABLERO!$M$19,BI62&gt;TABLERO!$M$19,IF(TABLERO!B62="",0,TABLERO!B62)=0,IF(TABLERO!C62="",BG62,TABLERO!C62)=0,IF(TABLERO!D62="",BG62,TABLERO!D62)=0),2,1)))</f>
        <v>2</v>
      </c>
      <c r="B62" s="276" t="str">
        <f>TABLERO!B62&amp;IF(TABLERO!C62="","",","&amp;TABLERO!C62)&amp;IF(TABLERO!D62="","",","&amp;TABLERO!D62)</f>
        <v>32</v>
      </c>
      <c r="C62" s="269" t="str">
        <f>IF(TABLERO!E62=0,"",TABLERO!E62)</f>
        <v/>
      </c>
      <c r="D62" s="312" t="str">
        <f>IF(OR(TABLERO!X62="",TABLERO!X62=0),"",TABLERO!X62)</f>
        <v/>
      </c>
      <c r="E62" s="312" t="str">
        <f>IF(OR(TABLERO!Y62="",TABLERO!Y62=0),"",TABLERO!Y62)</f>
        <v/>
      </c>
      <c r="F62" s="312" t="str">
        <f>IF(OR(TABLERO!Z62="",TABLERO!Z62=0),"",TABLERO!Z62)</f>
        <v/>
      </c>
      <c r="G62" s="312" t="str">
        <f>IF(OR(TABLERO!AA62="",TABLERO!AA62=0),"",TABLERO!AA62)</f>
        <v/>
      </c>
      <c r="H62" s="312" t="str">
        <f>IF(OR(TABLERO!AB62="",TABLERO!AB62=0),"",TABLERO!AB62)</f>
        <v/>
      </c>
      <c r="I62" s="312" t="str">
        <f>IF(OR(TABLERO!AC62="",TABLERO!AC62=0),"",TABLERO!AC62)</f>
        <v/>
      </c>
      <c r="J62" s="312" t="str">
        <f>IF(OR(TABLERO!AD62="",TABLERO!AD62=0),"",TABLERO!AD62)</f>
        <v/>
      </c>
      <c r="K62" s="312" t="str">
        <f>IF(OR(TABLERO!AE62="",TABLERO!AE62=0),"",TABLERO!AE62)</f>
        <v/>
      </c>
      <c r="L62" s="312" t="str">
        <f>IF(OR(TABLERO!AF62="",TABLERO!AF62=0),"",TABLERO!AF62)</f>
        <v/>
      </c>
      <c r="M62" s="312" t="str">
        <f>IF(OR(TABLERO!AG62="",TABLERO!AG62=0),"",TABLERO!AG62)</f>
        <v/>
      </c>
      <c r="N62" s="312" t="str">
        <f>IF(OR(TABLERO!AH62="",TABLERO!AH62=0),"",TABLERO!AH62)</f>
        <v/>
      </c>
      <c r="O62" s="312" t="str">
        <f>IF(OR(TABLERO!AI62="",TABLERO!AI62=0),"",TABLERO!AI62)</f>
        <v/>
      </c>
      <c r="P62" s="312" t="str">
        <f>IF(OR(TABLERO!AJ62="",TABLERO!AJ62=0),"",TABLERO!AJ62)</f>
        <v/>
      </c>
      <c r="Q62" s="312" t="str">
        <f>IF(OR(TABLERO!AK62="",TABLERO!AK62=0),"",TABLERO!AK62)</f>
        <v/>
      </c>
      <c r="R62" s="312" t="str">
        <f>IF(OR(TABLERO!AL62="",TABLERO!AL62=0),"",TABLERO!AL62)</f>
        <v/>
      </c>
      <c r="S62" s="312" t="str">
        <f>IF(OR(TABLERO!AM62="",TABLERO!AM62=0),"",TABLERO!AM62)</f>
        <v/>
      </c>
      <c r="T62" s="312" t="str">
        <f>IF(OR(TABLERO!AN62="",TABLERO!AN62=0),"",TABLERO!AN62)</f>
        <v/>
      </c>
      <c r="U62" s="312" t="str">
        <f>IF(OR(TABLERO!AO62="",TABLERO!AO62=0),"",TABLERO!AO62)</f>
        <v/>
      </c>
      <c r="V62" s="312" t="str">
        <f>IF(OR(TABLERO!AP62="",TABLERO!AP62=0),"",TABLERO!AP62)</f>
        <v/>
      </c>
      <c r="W62" s="312" t="str">
        <f>IF(OR(TABLERO!AQ62="",TABLERO!AQ62=0),"",TABLERO!AQ62)</f>
        <v/>
      </c>
      <c r="X62" s="312" t="str">
        <f>IF(OR(TABLERO!AR62="",TABLERO!AR62=0),"",TABLERO!AR62)</f>
        <v/>
      </c>
      <c r="Y62" s="312" t="str">
        <f>IF(OR(TABLERO!AS62="",TABLERO!AS62=0),"",TABLERO!AS62)</f>
        <v/>
      </c>
      <c r="Z62" s="312" t="str">
        <f>IF(OR(TABLERO!AT62="",TABLERO!AT62=0),"",TABLERO!AT62)</f>
        <v/>
      </c>
      <c r="AA62" s="312" t="str">
        <f>IF(OR(TABLERO!AU62="",TABLERO!AU62=0),"",TABLERO!AU62)</f>
        <v/>
      </c>
      <c r="AB62" s="312" t="str">
        <f>IF(OR(TABLERO!AV62="",TABLERO!AV62=0),"",TABLERO!AV62)</f>
        <v/>
      </c>
      <c r="AC62" s="312" t="str">
        <f>IF(OR(TABLERO!AW62="",TABLERO!AW62=0),"",TABLERO!AW62)</f>
        <v/>
      </c>
      <c r="AD62" s="312" t="str">
        <f>IF(OR(TABLERO!AX62="",TABLERO!AX62=0),"",TABLERO!AX62)</f>
        <v/>
      </c>
      <c r="AE62" s="312" t="str">
        <f>IF(OR(TABLERO!AY62="",TABLERO!AY62=0),"",TABLERO!AY62)</f>
        <v/>
      </c>
      <c r="AF62" s="312" t="str">
        <f>IF(OR(TABLERO!AZ62="",TABLERO!AZ62=0),"",TABLERO!AZ62)</f>
        <v/>
      </c>
      <c r="AG62" s="312" t="str">
        <f>IF(OR(TABLERO!BA62="",TABLERO!BA62=0),"",TABLERO!BA62)</f>
        <v/>
      </c>
      <c r="AH62" s="277" t="str">
        <f>IF(TABLERO!BB62=0,"",FIXED(IF(TABLERO!$F$17&lt;&gt;"KVA",TABLERO!BB62*1000,TABLERO!BB62*1000/TABLERO!DA62),2))</f>
        <v/>
      </c>
      <c r="AI62" s="277" t="str">
        <f>IF(TABLERO!BB62=0,"",FIXED(IF(TABLERO!$F$17&lt;&gt;"KVA",TABLERO!BT62*1000,TABLERO!BT62*1000/TABLERO!DA62),2))</f>
        <v/>
      </c>
      <c r="AJ62" s="272" t="str">
        <f>IF(OR(TABLERO!BU62="",TABLERO!BU62=0),"",FIXED(TABLERO!BU62,2))</f>
        <v/>
      </c>
      <c r="AK62" s="312" t="str">
        <f>IF(TABLERO!BB62=0,"",TABLERO!F62)</f>
        <v/>
      </c>
      <c r="AL62" s="312" t="str">
        <f>IF(TABLERO!BB62=0,"",TABLERO!G62)</f>
        <v/>
      </c>
      <c r="AM62" s="312" t="str">
        <f>IF(TABLERO!BB62=0,"",TABLERO!BV62)</f>
        <v/>
      </c>
      <c r="AN62" s="272" t="str">
        <f>IF(TABLERO!BB62=0,"",TABLERO!K62)</f>
        <v/>
      </c>
      <c r="AO62" s="312" t="str">
        <f>IF(TABLERO!BB62=0,"",TABLERO!J62)</f>
        <v/>
      </c>
      <c r="AP62" s="272" t="str">
        <f>IF(TABLERO!BB62=0,"",TABLERO!CT62)</f>
        <v/>
      </c>
      <c r="AQ62" s="272" t="str">
        <f>IF(TABLERO!BB62=0,"",TABLERO!CS62)</f>
        <v/>
      </c>
      <c r="AR62" s="272" t="str">
        <f>IF(OR(TABLERO!BB62=0,TABLERO!H62="RE"),"",FIXED(TABLERO!CY62,2))</f>
        <v/>
      </c>
      <c r="AS62" s="312" t="str">
        <f>IF(TABLERO!BB62=0,"",TABLERO!N62)</f>
        <v/>
      </c>
      <c r="AT62" s="1164" t="str">
        <f>IF(TABLERO!BB62=0,"",TABLERO!BX62&amp;" "&amp;TABLERO!ED62&amp;", "&amp;TABLERO!I62)</f>
        <v/>
      </c>
      <c r="AU62" s="1165"/>
      <c r="AV62" s="272" t="str">
        <f>IF(OR(TABLERO!BB62=0,TABLERO!H62="RE"),"",FIXED(TABLERO!BZ62,2))</f>
        <v/>
      </c>
      <c r="AW62" s="312" t="str">
        <f>IF(TABLERO!BB62=0,"",TABLERO!CA62)</f>
        <v/>
      </c>
      <c r="AX62" s="271" t="str">
        <f>IF(TABLERO!BB62=0,"",TABLERO!CB62)</f>
        <v/>
      </c>
      <c r="AY62" s="272" t="str">
        <f>IF(OR(TABLERO!BB62=0,TABLERO!H62="RE"),"",FIXED(TABLERO!DL62,2))</f>
        <v/>
      </c>
      <c r="AZ62" s="310" t="str">
        <f>IF(OR(TABLERO!BB62=0,TABLERO!H62="RE"),"",TABLERO!F62&amp;"P-"&amp;TABLERO!BW62&amp;"A")</f>
        <v/>
      </c>
      <c r="BA62" s="272" t="str">
        <f>IF(TABLERO!$BB62=0,"",IF(TABLERO!CI62="-","     -     ",FIXED(IF(TABLERO!$F$17&lt;&gt;"KVA",TABLERO!CI62,TABLERO!CI62/TABLERO!$F$14),2)))</f>
        <v/>
      </c>
      <c r="BB62" s="272" t="str">
        <f>IF(TABLERO!$BB62=0,"",IF(TABLERO!CJ62="-","     -     ",FIXED(IF(TABLERO!$F$17&lt;&gt;"KVA",TABLERO!CJ62,TABLERO!CJ62/TABLERO!$F$14),2)))</f>
        <v/>
      </c>
      <c r="BC62" s="272" t="str">
        <f>IF(TABLERO!$BB62=0,"",IF(TABLERO!CK62="-","     -     ",FIXED(IF(TABLERO!$F$17&lt;&gt;"KVA",TABLERO!CK62,TABLERO!CK62/TABLERO!$F$14),2)))</f>
        <v/>
      </c>
      <c r="BG62" s="275">
        <f>IF(TABLERO!B62="",0,TABLERO!B62)</f>
        <v>32</v>
      </c>
      <c r="BH62" s="275"/>
      <c r="BI62" s="275"/>
      <c r="BK62" s="275"/>
      <c r="BL62" s="289" t="str" cm="1">
        <f t="array" ref="BL62">[1]!ACAELE_LineaCAD(A62)</f>
        <v>++++++++++++++++++++++++++++++2</v>
      </c>
      <c r="BM62" s="279" t="str">
        <f t="shared" si="4"/>
        <v>32+</v>
      </c>
      <c r="BN62" s="304"/>
      <c r="BO62" s="304"/>
      <c r="BP62" s="304"/>
      <c r="BQ62" s="304"/>
      <c r="BR62" s="304"/>
      <c r="BS62" s="304"/>
      <c r="BT62" s="304"/>
      <c r="BU62" s="304"/>
      <c r="BV62" s="304"/>
      <c r="BW62" s="304"/>
      <c r="BX62" s="304"/>
      <c r="BY62" s="304"/>
      <c r="BZ62" s="304"/>
      <c r="CA62" s="304"/>
      <c r="CB62" s="304"/>
      <c r="CC62" s="304"/>
      <c r="CD62" s="304"/>
      <c r="CE62" s="304"/>
      <c r="CF62" s="304"/>
      <c r="CG62" s="304"/>
      <c r="CH62" s="304"/>
      <c r="CI62" s="304"/>
      <c r="CJ62" s="304"/>
      <c r="CK62" s="304"/>
      <c r="CL62" s="304"/>
      <c r="CM62" s="304"/>
      <c r="CN62" s="304"/>
      <c r="CO62" s="304"/>
      <c r="CP62" s="304"/>
      <c r="CQ62" s="304"/>
      <c r="CR62" s="305" t="str" cm="1">
        <f t="array" ref="CR62">CONCATENATE(BM62,_xlfn.TEXTJOIN("",TRUE,IF(BN$129:CQ$129&lt;&gt;"","+"&amp;D62:AG62,"")))</f>
        <v>32+</v>
      </c>
      <c r="CS62" s="279">
        <f t="shared" si="5"/>
        <v>30</v>
      </c>
      <c r="CT62" s="279" t="str">
        <f t="shared" si="3"/>
        <v>+++++++++++++++++++++++++++++++</v>
      </c>
      <c r="CU62" s="291" t="str">
        <f t="shared" si="7"/>
        <v>32++++++++++++++++++++++++++++++++2</v>
      </c>
      <c r="GB62" s="279" t="s">
        <v>1947</v>
      </c>
    </row>
    <row r="63" spans="1:184">
      <c r="A63" s="275">
        <f>IF(C63&lt;&gt;"",1,IF(AH63="",2,IF(OR(IF(TABLERO!B63="",0,TABLERO!B63)&gt;TABLERO!$M$19,IF(TABLERO!C63="",IF(TABLERO!B63="",0,TABLERO!B63),TABLERO!C63)&gt;TABLERO!$M$19,BI63&gt;TABLERO!$M$19,IF(TABLERO!B63="",0,TABLERO!B63)=0,IF(TABLERO!C63="",BG63,TABLERO!C63)=0,IF(TABLERO!D63="",BG63,TABLERO!D63)=0),2,1)))</f>
        <v>2</v>
      </c>
      <c r="B63" s="276" t="str">
        <f>TABLERO!B63&amp;IF(TABLERO!C63="","",","&amp;TABLERO!C63)&amp;IF(TABLERO!D63="","",","&amp;TABLERO!D63)</f>
        <v>33</v>
      </c>
      <c r="C63" s="269" t="str">
        <f>IF(TABLERO!E63=0,"",TABLERO!E63)</f>
        <v/>
      </c>
      <c r="D63" s="312" t="str">
        <f>IF(OR(TABLERO!X63="",TABLERO!X63=0),"",TABLERO!X63)</f>
        <v/>
      </c>
      <c r="E63" s="312" t="str">
        <f>IF(OR(TABLERO!Y63="",TABLERO!Y63=0),"",TABLERO!Y63)</f>
        <v/>
      </c>
      <c r="F63" s="312" t="str">
        <f>IF(OR(TABLERO!Z63="",TABLERO!Z63=0),"",TABLERO!Z63)</f>
        <v/>
      </c>
      <c r="G63" s="312" t="str">
        <f>IF(OR(TABLERO!AA63="",TABLERO!AA63=0),"",TABLERO!AA63)</f>
        <v/>
      </c>
      <c r="H63" s="312" t="str">
        <f>IF(OR(TABLERO!AB63="",TABLERO!AB63=0),"",TABLERO!AB63)</f>
        <v/>
      </c>
      <c r="I63" s="312" t="str">
        <f>IF(OR(TABLERO!AC63="",TABLERO!AC63=0),"",TABLERO!AC63)</f>
        <v/>
      </c>
      <c r="J63" s="312" t="str">
        <f>IF(OR(TABLERO!AD63="",TABLERO!AD63=0),"",TABLERO!AD63)</f>
        <v/>
      </c>
      <c r="K63" s="312" t="str">
        <f>IF(OR(TABLERO!AE63="",TABLERO!AE63=0),"",TABLERO!AE63)</f>
        <v/>
      </c>
      <c r="L63" s="312" t="str">
        <f>IF(OR(TABLERO!AF63="",TABLERO!AF63=0),"",TABLERO!AF63)</f>
        <v/>
      </c>
      <c r="M63" s="312" t="str">
        <f>IF(OR(TABLERO!AG63="",TABLERO!AG63=0),"",TABLERO!AG63)</f>
        <v/>
      </c>
      <c r="N63" s="312" t="str">
        <f>IF(OR(TABLERO!AH63="",TABLERO!AH63=0),"",TABLERO!AH63)</f>
        <v/>
      </c>
      <c r="O63" s="312" t="str">
        <f>IF(OR(TABLERO!AI63="",TABLERO!AI63=0),"",TABLERO!AI63)</f>
        <v/>
      </c>
      <c r="P63" s="312" t="str">
        <f>IF(OR(TABLERO!AJ63="",TABLERO!AJ63=0),"",TABLERO!AJ63)</f>
        <v/>
      </c>
      <c r="Q63" s="312" t="str">
        <f>IF(OR(TABLERO!AK63="",TABLERO!AK63=0),"",TABLERO!AK63)</f>
        <v/>
      </c>
      <c r="R63" s="312" t="str">
        <f>IF(OR(TABLERO!AL63="",TABLERO!AL63=0),"",TABLERO!AL63)</f>
        <v/>
      </c>
      <c r="S63" s="312" t="str">
        <f>IF(OR(TABLERO!AM63="",TABLERO!AM63=0),"",TABLERO!AM63)</f>
        <v/>
      </c>
      <c r="T63" s="312" t="str">
        <f>IF(OR(TABLERO!AN63="",TABLERO!AN63=0),"",TABLERO!AN63)</f>
        <v/>
      </c>
      <c r="U63" s="312" t="str">
        <f>IF(OR(TABLERO!AO63="",TABLERO!AO63=0),"",TABLERO!AO63)</f>
        <v/>
      </c>
      <c r="V63" s="312" t="str">
        <f>IF(OR(TABLERO!AP63="",TABLERO!AP63=0),"",TABLERO!AP63)</f>
        <v/>
      </c>
      <c r="W63" s="312" t="str">
        <f>IF(OR(TABLERO!AQ63="",TABLERO!AQ63=0),"",TABLERO!AQ63)</f>
        <v/>
      </c>
      <c r="X63" s="312" t="str">
        <f>IF(OR(TABLERO!AR63="",TABLERO!AR63=0),"",TABLERO!AR63)</f>
        <v/>
      </c>
      <c r="Y63" s="312" t="str">
        <f>IF(OR(TABLERO!AS63="",TABLERO!AS63=0),"",TABLERO!AS63)</f>
        <v/>
      </c>
      <c r="Z63" s="312" t="str">
        <f>IF(OR(TABLERO!AT63="",TABLERO!AT63=0),"",TABLERO!AT63)</f>
        <v/>
      </c>
      <c r="AA63" s="312" t="str">
        <f>IF(OR(TABLERO!AU63="",TABLERO!AU63=0),"",TABLERO!AU63)</f>
        <v/>
      </c>
      <c r="AB63" s="312" t="str">
        <f>IF(OR(TABLERO!AV63="",TABLERO!AV63=0),"",TABLERO!AV63)</f>
        <v/>
      </c>
      <c r="AC63" s="312" t="str">
        <f>IF(OR(TABLERO!AW63="",TABLERO!AW63=0),"",TABLERO!AW63)</f>
        <v/>
      </c>
      <c r="AD63" s="312" t="str">
        <f>IF(OR(TABLERO!AX63="",TABLERO!AX63=0),"",TABLERO!AX63)</f>
        <v/>
      </c>
      <c r="AE63" s="312" t="str">
        <f>IF(OR(TABLERO!AY63="",TABLERO!AY63=0),"",TABLERO!AY63)</f>
        <v/>
      </c>
      <c r="AF63" s="312" t="str">
        <f>IF(OR(TABLERO!AZ63="",TABLERO!AZ63=0),"",TABLERO!AZ63)</f>
        <v/>
      </c>
      <c r="AG63" s="312" t="str">
        <f>IF(OR(TABLERO!BA63="",TABLERO!BA63=0),"",TABLERO!BA63)</f>
        <v/>
      </c>
      <c r="AH63" s="277" t="str">
        <f>IF(TABLERO!BB63=0,"",FIXED(IF(TABLERO!$F$17&lt;&gt;"KVA",TABLERO!BB63*1000,TABLERO!BB63*1000/TABLERO!DA63),2))</f>
        <v/>
      </c>
      <c r="AI63" s="277" t="str">
        <f>IF(TABLERO!BB63=0,"",FIXED(IF(TABLERO!$F$17&lt;&gt;"KVA",TABLERO!BT63*1000,TABLERO!BT63*1000/TABLERO!DA63),2))</f>
        <v/>
      </c>
      <c r="AJ63" s="272" t="str">
        <f>IF(OR(TABLERO!BU63="",TABLERO!BU63=0),"",FIXED(TABLERO!BU63,2))</f>
        <v/>
      </c>
      <c r="AK63" s="312" t="str">
        <f>IF(TABLERO!BB63=0,"",TABLERO!F63)</f>
        <v/>
      </c>
      <c r="AL63" s="312" t="str">
        <f>IF(TABLERO!BB63=0,"",TABLERO!G63)</f>
        <v/>
      </c>
      <c r="AM63" s="312" t="str">
        <f>IF(TABLERO!BB63=0,"",TABLERO!BV63)</f>
        <v/>
      </c>
      <c r="AN63" s="272" t="str">
        <f>IF(TABLERO!BB63=0,"",TABLERO!K63)</f>
        <v/>
      </c>
      <c r="AO63" s="312" t="str">
        <f>IF(TABLERO!BB63=0,"",TABLERO!J63)</f>
        <v/>
      </c>
      <c r="AP63" s="272" t="str">
        <f>IF(TABLERO!BB63=0,"",TABLERO!CT63)</f>
        <v/>
      </c>
      <c r="AQ63" s="272" t="str">
        <f>IF(TABLERO!BB63=0,"",TABLERO!CS63)</f>
        <v/>
      </c>
      <c r="AR63" s="272" t="str">
        <f>IF(OR(TABLERO!BB63=0,TABLERO!H63="RE"),"",FIXED(TABLERO!CY63,2))</f>
        <v/>
      </c>
      <c r="AS63" s="312" t="str">
        <f>IF(TABLERO!BB63=0,"",TABLERO!N63)</f>
        <v/>
      </c>
      <c r="AT63" s="1164" t="str">
        <f>IF(TABLERO!BB63=0,"",TABLERO!BX63&amp;" "&amp;TABLERO!ED63&amp;", "&amp;TABLERO!I63)</f>
        <v/>
      </c>
      <c r="AU63" s="1165"/>
      <c r="AV63" s="272" t="str">
        <f>IF(OR(TABLERO!BB63=0,TABLERO!H63="RE"),"",FIXED(TABLERO!BZ63,2))</f>
        <v/>
      </c>
      <c r="AW63" s="312" t="str">
        <f>IF(TABLERO!BB63=0,"",TABLERO!CA63)</f>
        <v/>
      </c>
      <c r="AX63" s="271" t="str">
        <f>IF(TABLERO!BB63=0,"",TABLERO!CB63)</f>
        <v/>
      </c>
      <c r="AY63" s="272" t="str">
        <f>IF(OR(TABLERO!BB63=0,TABLERO!H63="RE"),"",FIXED(TABLERO!DL63,2))</f>
        <v/>
      </c>
      <c r="AZ63" s="310" t="str">
        <f>IF(OR(TABLERO!BB63=0,TABLERO!H63="RE"),"",TABLERO!F63&amp;"P-"&amp;TABLERO!BW63&amp;"A")</f>
        <v/>
      </c>
      <c r="BA63" s="272" t="str">
        <f>IF(TABLERO!$BB63=0,"",IF(TABLERO!CI63="-","     -     ",FIXED(IF(TABLERO!$F$17&lt;&gt;"KVA",TABLERO!CI63,TABLERO!CI63/TABLERO!$F$14),2)))</f>
        <v/>
      </c>
      <c r="BB63" s="272" t="str">
        <f>IF(TABLERO!$BB63=0,"",IF(TABLERO!CJ63="-","     -     ",FIXED(IF(TABLERO!$F$17&lt;&gt;"KVA",TABLERO!CJ63,TABLERO!CJ63/TABLERO!$F$14),2)))</f>
        <v/>
      </c>
      <c r="BC63" s="272" t="str">
        <f>IF(TABLERO!$BB63=0,"",IF(TABLERO!CK63="-","     -     ",FIXED(IF(TABLERO!$F$17&lt;&gt;"KVA",TABLERO!CK63,TABLERO!CK63/TABLERO!$F$14),2)))</f>
        <v/>
      </c>
      <c r="BG63" s="275">
        <f>IF(TABLERO!B63="",0,TABLERO!B63)</f>
        <v>33</v>
      </c>
      <c r="BH63" s="275"/>
      <c r="BI63" s="275"/>
      <c r="BK63" s="275"/>
      <c r="BL63" s="289" t="str" cm="1">
        <f t="array" ref="BL63">[1]!ACAELE_LineaCAD(A63)</f>
        <v>++++++++++++++++++++++++++++++2</v>
      </c>
      <c r="BM63" s="279" t="str">
        <f t="shared" si="4"/>
        <v>33+</v>
      </c>
      <c r="BN63" s="304"/>
      <c r="BO63" s="304"/>
      <c r="BP63" s="304"/>
      <c r="BQ63" s="304"/>
      <c r="BR63" s="304"/>
      <c r="BS63" s="304"/>
      <c r="BT63" s="304"/>
      <c r="BU63" s="304"/>
      <c r="BV63" s="304"/>
      <c r="BW63" s="304"/>
      <c r="BX63" s="304"/>
      <c r="BY63" s="304"/>
      <c r="BZ63" s="304"/>
      <c r="CA63" s="304"/>
      <c r="CB63" s="304"/>
      <c r="CC63" s="304"/>
      <c r="CD63" s="304"/>
      <c r="CE63" s="304"/>
      <c r="CF63" s="304"/>
      <c r="CG63" s="304"/>
      <c r="CH63" s="304"/>
      <c r="CI63" s="304"/>
      <c r="CJ63" s="304"/>
      <c r="CK63" s="304"/>
      <c r="CL63" s="304"/>
      <c r="CM63" s="304"/>
      <c r="CN63" s="304"/>
      <c r="CO63" s="304"/>
      <c r="CP63" s="304"/>
      <c r="CQ63" s="304"/>
      <c r="CR63" s="305" t="str" cm="1">
        <f t="array" ref="CR63">CONCATENATE(BM63,_xlfn.TEXTJOIN("",TRUE,IF(BN$129:CQ$129&lt;&gt;"","+"&amp;D63:AG63,"")))</f>
        <v>33+</v>
      </c>
      <c r="CS63" s="279">
        <f t="shared" si="5"/>
        <v>30</v>
      </c>
      <c r="CT63" s="279" t="str">
        <f t="shared" si="3"/>
        <v>+++++++++++++++++++++++++++++++</v>
      </c>
      <c r="CU63" s="291" t="str">
        <f t="shared" si="7"/>
        <v>33++++++++++++++++++++++++++++++++2</v>
      </c>
      <c r="GB63" s="279" t="s">
        <v>1948</v>
      </c>
    </row>
    <row r="64" spans="1:184">
      <c r="A64" s="275">
        <f>IF(C64&lt;&gt;"",1,IF(AH64="",2,IF(OR(IF(TABLERO!B64="",0,TABLERO!B64)&gt;TABLERO!$M$19,IF(TABLERO!C64="",IF(TABLERO!B64="",0,TABLERO!B64),TABLERO!C64)&gt;TABLERO!$M$19,BI64&gt;TABLERO!$M$19,IF(TABLERO!B64="",0,TABLERO!B64)=0,IF(TABLERO!C64="",BG64,TABLERO!C64)=0,IF(TABLERO!D64="",BG64,TABLERO!D64)=0),2,1)))</f>
        <v>2</v>
      </c>
      <c r="B64" s="276" t="str">
        <f>TABLERO!B64&amp;IF(TABLERO!C64="","",","&amp;TABLERO!C64)&amp;IF(TABLERO!D64="","",","&amp;TABLERO!D64)</f>
        <v>34</v>
      </c>
      <c r="C64" s="269" t="str">
        <f>IF(TABLERO!E64=0,"",TABLERO!E64)</f>
        <v/>
      </c>
      <c r="D64" s="312" t="str">
        <f>IF(OR(TABLERO!X64="",TABLERO!X64=0),"",TABLERO!X64)</f>
        <v/>
      </c>
      <c r="E64" s="312" t="str">
        <f>IF(OR(TABLERO!Y64="",TABLERO!Y64=0),"",TABLERO!Y64)</f>
        <v/>
      </c>
      <c r="F64" s="312" t="str">
        <f>IF(OR(TABLERO!Z64="",TABLERO!Z64=0),"",TABLERO!Z64)</f>
        <v/>
      </c>
      <c r="G64" s="312" t="str">
        <f>IF(OR(TABLERO!AA64="",TABLERO!AA64=0),"",TABLERO!AA64)</f>
        <v/>
      </c>
      <c r="H64" s="312" t="str">
        <f>IF(OR(TABLERO!AB64="",TABLERO!AB64=0),"",TABLERO!AB64)</f>
        <v/>
      </c>
      <c r="I64" s="312" t="str">
        <f>IF(OR(TABLERO!AC64="",TABLERO!AC64=0),"",TABLERO!AC64)</f>
        <v/>
      </c>
      <c r="J64" s="312" t="str">
        <f>IF(OR(TABLERO!AD64="",TABLERO!AD64=0),"",TABLERO!AD64)</f>
        <v/>
      </c>
      <c r="K64" s="312" t="str">
        <f>IF(OR(TABLERO!AE64="",TABLERO!AE64=0),"",TABLERO!AE64)</f>
        <v/>
      </c>
      <c r="L64" s="312" t="str">
        <f>IF(OR(TABLERO!AF64="",TABLERO!AF64=0),"",TABLERO!AF64)</f>
        <v/>
      </c>
      <c r="M64" s="312" t="str">
        <f>IF(OR(TABLERO!AG64="",TABLERO!AG64=0),"",TABLERO!AG64)</f>
        <v/>
      </c>
      <c r="N64" s="312" t="str">
        <f>IF(OR(TABLERO!AH64="",TABLERO!AH64=0),"",TABLERO!AH64)</f>
        <v/>
      </c>
      <c r="O64" s="312" t="str">
        <f>IF(OR(TABLERO!AI64="",TABLERO!AI64=0),"",TABLERO!AI64)</f>
        <v/>
      </c>
      <c r="P64" s="312" t="str">
        <f>IF(OR(TABLERO!AJ64="",TABLERO!AJ64=0),"",TABLERO!AJ64)</f>
        <v/>
      </c>
      <c r="Q64" s="312" t="str">
        <f>IF(OR(TABLERO!AK64="",TABLERO!AK64=0),"",TABLERO!AK64)</f>
        <v/>
      </c>
      <c r="R64" s="312" t="str">
        <f>IF(OR(TABLERO!AL64="",TABLERO!AL64=0),"",TABLERO!AL64)</f>
        <v/>
      </c>
      <c r="S64" s="312" t="str">
        <f>IF(OR(TABLERO!AM64="",TABLERO!AM64=0),"",TABLERO!AM64)</f>
        <v/>
      </c>
      <c r="T64" s="312" t="str">
        <f>IF(OR(TABLERO!AN64="",TABLERO!AN64=0),"",TABLERO!AN64)</f>
        <v/>
      </c>
      <c r="U64" s="312" t="str">
        <f>IF(OR(TABLERO!AO64="",TABLERO!AO64=0),"",TABLERO!AO64)</f>
        <v/>
      </c>
      <c r="V64" s="312" t="str">
        <f>IF(OR(TABLERO!AP64="",TABLERO!AP64=0),"",TABLERO!AP64)</f>
        <v/>
      </c>
      <c r="W64" s="312" t="str">
        <f>IF(OR(TABLERO!AQ64="",TABLERO!AQ64=0),"",TABLERO!AQ64)</f>
        <v/>
      </c>
      <c r="X64" s="312" t="str">
        <f>IF(OR(TABLERO!AR64="",TABLERO!AR64=0),"",TABLERO!AR64)</f>
        <v/>
      </c>
      <c r="Y64" s="312" t="str">
        <f>IF(OR(TABLERO!AS64="",TABLERO!AS64=0),"",TABLERO!AS64)</f>
        <v/>
      </c>
      <c r="Z64" s="312" t="str">
        <f>IF(OR(TABLERO!AT64="",TABLERO!AT64=0),"",TABLERO!AT64)</f>
        <v/>
      </c>
      <c r="AA64" s="312" t="str">
        <f>IF(OR(TABLERO!AU64="",TABLERO!AU64=0),"",TABLERO!AU64)</f>
        <v/>
      </c>
      <c r="AB64" s="312" t="str">
        <f>IF(OR(TABLERO!AV64="",TABLERO!AV64=0),"",TABLERO!AV64)</f>
        <v/>
      </c>
      <c r="AC64" s="312" t="str">
        <f>IF(OR(TABLERO!AW64="",TABLERO!AW64=0),"",TABLERO!AW64)</f>
        <v/>
      </c>
      <c r="AD64" s="312" t="str">
        <f>IF(OR(TABLERO!AX64="",TABLERO!AX64=0),"",TABLERO!AX64)</f>
        <v/>
      </c>
      <c r="AE64" s="312" t="str">
        <f>IF(OR(TABLERO!AY64="",TABLERO!AY64=0),"",TABLERO!AY64)</f>
        <v/>
      </c>
      <c r="AF64" s="312" t="str">
        <f>IF(OR(TABLERO!AZ64="",TABLERO!AZ64=0),"",TABLERO!AZ64)</f>
        <v/>
      </c>
      <c r="AG64" s="312" t="str">
        <f>IF(OR(TABLERO!BA64="",TABLERO!BA64=0),"",TABLERO!BA64)</f>
        <v/>
      </c>
      <c r="AH64" s="277" t="str">
        <f>IF(TABLERO!BB64=0,"",FIXED(IF(TABLERO!$F$17&lt;&gt;"KVA",TABLERO!BB64*1000,TABLERO!BB64*1000/TABLERO!DA64),2))</f>
        <v/>
      </c>
      <c r="AI64" s="277" t="str">
        <f>IF(TABLERO!BB64=0,"",FIXED(IF(TABLERO!$F$17&lt;&gt;"KVA",TABLERO!BT64*1000,TABLERO!BT64*1000/TABLERO!DA64),2))</f>
        <v/>
      </c>
      <c r="AJ64" s="272" t="str">
        <f>IF(OR(TABLERO!BU64="",TABLERO!BU64=0),"",FIXED(TABLERO!BU64,2))</f>
        <v/>
      </c>
      <c r="AK64" s="312" t="str">
        <f>IF(TABLERO!BB64=0,"",TABLERO!F64)</f>
        <v/>
      </c>
      <c r="AL64" s="312" t="str">
        <f>IF(TABLERO!BB64=0,"",TABLERO!G64)</f>
        <v/>
      </c>
      <c r="AM64" s="312" t="str">
        <f>IF(TABLERO!BB64=0,"",TABLERO!BV64)</f>
        <v/>
      </c>
      <c r="AN64" s="272" t="str">
        <f>IF(TABLERO!BB64=0,"",TABLERO!K64)</f>
        <v/>
      </c>
      <c r="AO64" s="312" t="str">
        <f>IF(TABLERO!BB64=0,"",TABLERO!J64)</f>
        <v/>
      </c>
      <c r="AP64" s="272" t="str">
        <f>IF(TABLERO!BB64=0,"",TABLERO!CT64)</f>
        <v/>
      </c>
      <c r="AQ64" s="272" t="str">
        <f>IF(TABLERO!BB64=0,"",TABLERO!CS64)</f>
        <v/>
      </c>
      <c r="AR64" s="272" t="str">
        <f>IF(OR(TABLERO!BB64=0,TABLERO!H64="RE"),"",FIXED(TABLERO!CY64,2))</f>
        <v/>
      </c>
      <c r="AS64" s="312" t="str">
        <f>IF(TABLERO!BB64=0,"",TABLERO!N64)</f>
        <v/>
      </c>
      <c r="AT64" s="1164" t="str">
        <f>IF(TABLERO!BB64=0,"",TABLERO!BX64&amp;" "&amp;TABLERO!ED64&amp;", "&amp;TABLERO!I64)</f>
        <v/>
      </c>
      <c r="AU64" s="1165"/>
      <c r="AV64" s="272" t="str">
        <f>IF(OR(TABLERO!BB64=0,TABLERO!H64="RE"),"",FIXED(TABLERO!BZ64,2))</f>
        <v/>
      </c>
      <c r="AW64" s="312" t="str">
        <f>IF(TABLERO!BB64=0,"",TABLERO!CA64)</f>
        <v/>
      </c>
      <c r="AX64" s="271" t="str">
        <f>IF(TABLERO!BB64=0,"",TABLERO!CB64)</f>
        <v/>
      </c>
      <c r="AY64" s="272" t="str">
        <f>IF(OR(TABLERO!BB64=0,TABLERO!H64="RE"),"",FIXED(TABLERO!DL64,2))</f>
        <v/>
      </c>
      <c r="AZ64" s="310" t="str">
        <f>IF(OR(TABLERO!BB64=0,TABLERO!H64="RE"),"",TABLERO!F64&amp;"P-"&amp;TABLERO!BW64&amp;"A")</f>
        <v/>
      </c>
      <c r="BA64" s="272" t="str">
        <f>IF(TABLERO!$BB64=0,"",IF(TABLERO!CI64="-","     -     ",FIXED(IF(TABLERO!$F$17&lt;&gt;"KVA",TABLERO!CI64,TABLERO!CI64/TABLERO!$F$14),2)))</f>
        <v/>
      </c>
      <c r="BB64" s="272" t="str">
        <f>IF(TABLERO!$BB64=0,"",IF(TABLERO!CJ64="-","     -     ",FIXED(IF(TABLERO!$F$17&lt;&gt;"KVA",TABLERO!CJ64,TABLERO!CJ64/TABLERO!$F$14),2)))</f>
        <v/>
      </c>
      <c r="BC64" s="272" t="str">
        <f>IF(TABLERO!$BB64=0,"",IF(TABLERO!CK64="-","     -     ",FIXED(IF(TABLERO!$F$17&lt;&gt;"KVA",TABLERO!CK64,TABLERO!CK64/TABLERO!$F$14),2)))</f>
        <v/>
      </c>
      <c r="BG64" s="275">
        <f>IF(TABLERO!B64="",0,TABLERO!B64)</f>
        <v>34</v>
      </c>
      <c r="BH64" s="275"/>
      <c r="BI64" s="275"/>
      <c r="BK64" s="275"/>
      <c r="BL64" s="289" t="str" cm="1">
        <f t="array" ref="BL64">[1]!ACAELE_LineaCAD(A64)</f>
        <v>++++++++++++++++++++++++++++++2</v>
      </c>
      <c r="BM64" s="279" t="str">
        <f t="shared" si="4"/>
        <v>34+</v>
      </c>
      <c r="BN64" s="304"/>
      <c r="BO64" s="304"/>
      <c r="BP64" s="304"/>
      <c r="BQ64" s="304"/>
      <c r="BR64" s="304"/>
      <c r="BS64" s="304"/>
      <c r="BT64" s="304"/>
      <c r="BU64" s="304"/>
      <c r="BV64" s="304"/>
      <c r="BW64" s="304"/>
      <c r="BX64" s="304"/>
      <c r="BY64" s="304"/>
      <c r="BZ64" s="304"/>
      <c r="CA64" s="304"/>
      <c r="CB64" s="304"/>
      <c r="CC64" s="304"/>
      <c r="CD64" s="304"/>
      <c r="CE64" s="304"/>
      <c r="CF64" s="304"/>
      <c r="CG64" s="304"/>
      <c r="CH64" s="304"/>
      <c r="CI64" s="304"/>
      <c r="CJ64" s="304"/>
      <c r="CK64" s="304"/>
      <c r="CL64" s="304"/>
      <c r="CM64" s="304"/>
      <c r="CN64" s="304"/>
      <c r="CO64" s="304"/>
      <c r="CP64" s="304"/>
      <c r="CQ64" s="304"/>
      <c r="CR64" s="305" t="str" cm="1">
        <f t="array" ref="CR64">CONCATENATE(BM64,_xlfn.TEXTJOIN("",TRUE,IF(BN$129:CQ$129&lt;&gt;"","+"&amp;D64:AG64,"")))</f>
        <v>34+</v>
      </c>
      <c r="CS64" s="279">
        <f t="shared" si="5"/>
        <v>30</v>
      </c>
      <c r="CT64" s="279" t="str">
        <f t="shared" si="3"/>
        <v>+++++++++++++++++++++++++++++++</v>
      </c>
      <c r="CU64" s="291" t="str">
        <f t="shared" si="7"/>
        <v>34++++++++++++++++++++++++++++++++2</v>
      </c>
      <c r="GB64" s="279" t="s">
        <v>1949</v>
      </c>
    </row>
    <row r="65" spans="1:184">
      <c r="A65" s="275">
        <f>IF(C65&lt;&gt;"",1,IF(AH65="",2,IF(OR(IF(TABLERO!B65="",0,TABLERO!B65)&gt;TABLERO!$M$19,IF(TABLERO!C65="",IF(TABLERO!B65="",0,TABLERO!B65),TABLERO!C65)&gt;TABLERO!$M$19,BI65&gt;TABLERO!$M$19,IF(TABLERO!B65="",0,TABLERO!B65)=0,IF(TABLERO!C65="",BG65,TABLERO!C65)=0,IF(TABLERO!D65="",BG65,TABLERO!D65)=0),2,1)))</f>
        <v>2</v>
      </c>
      <c r="B65" s="276" t="str">
        <f>TABLERO!B65&amp;IF(TABLERO!C65="","",","&amp;TABLERO!C65)&amp;IF(TABLERO!D65="","",","&amp;TABLERO!D65)</f>
        <v>35</v>
      </c>
      <c r="C65" s="269" t="str">
        <f>IF(TABLERO!E65=0,"",TABLERO!E65)</f>
        <v/>
      </c>
      <c r="D65" s="312" t="str">
        <f>IF(OR(TABLERO!X65="",TABLERO!X65=0),"",TABLERO!X65)</f>
        <v/>
      </c>
      <c r="E65" s="312" t="str">
        <f>IF(OR(TABLERO!Y65="",TABLERO!Y65=0),"",TABLERO!Y65)</f>
        <v/>
      </c>
      <c r="F65" s="312" t="str">
        <f>IF(OR(TABLERO!Z65="",TABLERO!Z65=0),"",TABLERO!Z65)</f>
        <v/>
      </c>
      <c r="G65" s="312" t="str">
        <f>IF(OR(TABLERO!AA65="",TABLERO!AA65=0),"",TABLERO!AA65)</f>
        <v/>
      </c>
      <c r="H65" s="312" t="str">
        <f>IF(OR(TABLERO!AB65="",TABLERO!AB65=0),"",TABLERO!AB65)</f>
        <v/>
      </c>
      <c r="I65" s="312" t="str">
        <f>IF(OR(TABLERO!AC65="",TABLERO!AC65=0),"",TABLERO!AC65)</f>
        <v/>
      </c>
      <c r="J65" s="312" t="str">
        <f>IF(OR(TABLERO!AD65="",TABLERO!AD65=0),"",TABLERO!AD65)</f>
        <v/>
      </c>
      <c r="K65" s="312" t="str">
        <f>IF(OR(TABLERO!AE65="",TABLERO!AE65=0),"",TABLERO!AE65)</f>
        <v/>
      </c>
      <c r="L65" s="312" t="str">
        <f>IF(OR(TABLERO!AF65="",TABLERO!AF65=0),"",TABLERO!AF65)</f>
        <v/>
      </c>
      <c r="M65" s="312" t="str">
        <f>IF(OR(TABLERO!AG65="",TABLERO!AG65=0),"",TABLERO!AG65)</f>
        <v/>
      </c>
      <c r="N65" s="312" t="str">
        <f>IF(OR(TABLERO!AH65="",TABLERO!AH65=0),"",TABLERO!AH65)</f>
        <v/>
      </c>
      <c r="O65" s="312" t="str">
        <f>IF(OR(TABLERO!AI65="",TABLERO!AI65=0),"",TABLERO!AI65)</f>
        <v/>
      </c>
      <c r="P65" s="312" t="str">
        <f>IF(OR(TABLERO!AJ65="",TABLERO!AJ65=0),"",TABLERO!AJ65)</f>
        <v/>
      </c>
      <c r="Q65" s="312" t="str">
        <f>IF(OR(TABLERO!AK65="",TABLERO!AK65=0),"",TABLERO!AK65)</f>
        <v/>
      </c>
      <c r="R65" s="312" t="str">
        <f>IF(OR(TABLERO!AL65="",TABLERO!AL65=0),"",TABLERO!AL65)</f>
        <v/>
      </c>
      <c r="S65" s="312" t="str">
        <f>IF(OR(TABLERO!AM65="",TABLERO!AM65=0),"",TABLERO!AM65)</f>
        <v/>
      </c>
      <c r="T65" s="312" t="str">
        <f>IF(OR(TABLERO!AN65="",TABLERO!AN65=0),"",TABLERO!AN65)</f>
        <v/>
      </c>
      <c r="U65" s="312" t="str">
        <f>IF(OR(TABLERO!AO65="",TABLERO!AO65=0),"",TABLERO!AO65)</f>
        <v/>
      </c>
      <c r="V65" s="312" t="str">
        <f>IF(OR(TABLERO!AP65="",TABLERO!AP65=0),"",TABLERO!AP65)</f>
        <v/>
      </c>
      <c r="W65" s="312" t="str">
        <f>IF(OR(TABLERO!AQ65="",TABLERO!AQ65=0),"",TABLERO!AQ65)</f>
        <v/>
      </c>
      <c r="X65" s="312" t="str">
        <f>IF(OR(TABLERO!AR65="",TABLERO!AR65=0),"",TABLERO!AR65)</f>
        <v/>
      </c>
      <c r="Y65" s="312" t="str">
        <f>IF(OR(TABLERO!AS65="",TABLERO!AS65=0),"",TABLERO!AS65)</f>
        <v/>
      </c>
      <c r="Z65" s="312" t="str">
        <f>IF(OR(TABLERO!AT65="",TABLERO!AT65=0),"",TABLERO!AT65)</f>
        <v/>
      </c>
      <c r="AA65" s="312" t="str">
        <f>IF(OR(TABLERO!AU65="",TABLERO!AU65=0),"",TABLERO!AU65)</f>
        <v/>
      </c>
      <c r="AB65" s="312" t="str">
        <f>IF(OR(TABLERO!AV65="",TABLERO!AV65=0),"",TABLERO!AV65)</f>
        <v/>
      </c>
      <c r="AC65" s="312" t="str">
        <f>IF(OR(TABLERO!AW65="",TABLERO!AW65=0),"",TABLERO!AW65)</f>
        <v/>
      </c>
      <c r="AD65" s="312" t="str">
        <f>IF(OR(TABLERO!AX65="",TABLERO!AX65=0),"",TABLERO!AX65)</f>
        <v/>
      </c>
      <c r="AE65" s="312" t="str">
        <f>IF(OR(TABLERO!AY65="",TABLERO!AY65=0),"",TABLERO!AY65)</f>
        <v/>
      </c>
      <c r="AF65" s="312" t="str">
        <f>IF(OR(TABLERO!AZ65="",TABLERO!AZ65=0),"",TABLERO!AZ65)</f>
        <v/>
      </c>
      <c r="AG65" s="312" t="str">
        <f>IF(OR(TABLERO!BA65="",TABLERO!BA65=0),"",TABLERO!BA65)</f>
        <v/>
      </c>
      <c r="AH65" s="277" t="str">
        <f>IF(TABLERO!BB65=0,"",FIXED(IF(TABLERO!$F$17&lt;&gt;"KVA",TABLERO!BB65*1000,TABLERO!BB65*1000/TABLERO!DA65),2))</f>
        <v/>
      </c>
      <c r="AI65" s="277" t="str">
        <f>IF(TABLERO!BB65=0,"",FIXED(IF(TABLERO!$F$17&lt;&gt;"KVA",TABLERO!BT65*1000,TABLERO!BT65*1000/TABLERO!DA65),2))</f>
        <v/>
      </c>
      <c r="AJ65" s="272" t="str">
        <f>IF(OR(TABLERO!BU65="",TABLERO!BU65=0),"",FIXED(TABLERO!BU65,2))</f>
        <v/>
      </c>
      <c r="AK65" s="312" t="str">
        <f>IF(TABLERO!BB65=0,"",TABLERO!F65)</f>
        <v/>
      </c>
      <c r="AL65" s="312" t="str">
        <f>IF(TABLERO!BB65=0,"",TABLERO!G65)</f>
        <v/>
      </c>
      <c r="AM65" s="312" t="str">
        <f>IF(TABLERO!BB65=0,"",TABLERO!BV65)</f>
        <v/>
      </c>
      <c r="AN65" s="272" t="str">
        <f>IF(TABLERO!BB65=0,"",TABLERO!K65)</f>
        <v/>
      </c>
      <c r="AO65" s="312" t="str">
        <f>IF(TABLERO!BB65=0,"",TABLERO!J65)</f>
        <v/>
      </c>
      <c r="AP65" s="272" t="str">
        <f>IF(TABLERO!BB65=0,"",TABLERO!CT65)</f>
        <v/>
      </c>
      <c r="AQ65" s="272" t="str">
        <f>IF(TABLERO!BB65=0,"",TABLERO!CS65)</f>
        <v/>
      </c>
      <c r="AR65" s="272" t="str">
        <f>IF(OR(TABLERO!BB65=0,TABLERO!H65="RE"),"",FIXED(TABLERO!CY65,2))</f>
        <v/>
      </c>
      <c r="AS65" s="312" t="str">
        <f>IF(TABLERO!BB65=0,"",TABLERO!N65)</f>
        <v/>
      </c>
      <c r="AT65" s="1164" t="str">
        <f>IF(TABLERO!BB65=0,"",TABLERO!BX65&amp;" "&amp;TABLERO!ED65&amp;", "&amp;TABLERO!I65)</f>
        <v/>
      </c>
      <c r="AU65" s="1165"/>
      <c r="AV65" s="272" t="str">
        <f>IF(OR(TABLERO!BB65=0,TABLERO!H65="RE"),"",FIXED(TABLERO!BZ65,2))</f>
        <v/>
      </c>
      <c r="AW65" s="312" t="str">
        <f>IF(TABLERO!BB65=0,"",TABLERO!CA65)</f>
        <v/>
      </c>
      <c r="AX65" s="271" t="str">
        <f>IF(TABLERO!BB65=0,"",TABLERO!CB65)</f>
        <v/>
      </c>
      <c r="AY65" s="272" t="str">
        <f>IF(OR(TABLERO!BB65=0,TABLERO!H65="RE"),"",FIXED(TABLERO!DL65,2))</f>
        <v/>
      </c>
      <c r="AZ65" s="310" t="str">
        <f>IF(OR(TABLERO!BB65=0,TABLERO!H65="RE"),"",TABLERO!F65&amp;"P-"&amp;TABLERO!BW65&amp;"A")</f>
        <v/>
      </c>
      <c r="BA65" s="272" t="str">
        <f>IF(TABLERO!$BB65=0,"",IF(TABLERO!CI65="-","     -     ",FIXED(IF(TABLERO!$F$17&lt;&gt;"KVA",TABLERO!CI65,TABLERO!CI65/TABLERO!$F$14),2)))</f>
        <v/>
      </c>
      <c r="BB65" s="272" t="str">
        <f>IF(TABLERO!$BB65=0,"",IF(TABLERO!CJ65="-","     -     ",FIXED(IF(TABLERO!$F$17&lt;&gt;"KVA",TABLERO!CJ65,TABLERO!CJ65/TABLERO!$F$14),2)))</f>
        <v/>
      </c>
      <c r="BC65" s="272" t="str">
        <f>IF(TABLERO!$BB65=0,"",IF(TABLERO!CK65="-","     -     ",FIXED(IF(TABLERO!$F$17&lt;&gt;"KVA",TABLERO!CK65,TABLERO!CK65/TABLERO!$F$14),2)))</f>
        <v/>
      </c>
      <c r="BG65" s="275">
        <f>IF(TABLERO!B65="",0,TABLERO!B65)</f>
        <v>35</v>
      </c>
      <c r="BH65" s="275"/>
      <c r="BI65" s="275"/>
      <c r="BK65" s="275"/>
      <c r="BL65" s="289" t="str" cm="1">
        <f t="array" ref="BL65">[1]!ACAELE_LineaCAD(A65)</f>
        <v>++++++++++++++++++++++++++++++2</v>
      </c>
      <c r="BM65" s="279" t="str">
        <f t="shared" si="4"/>
        <v>35+</v>
      </c>
      <c r="BN65" s="304"/>
      <c r="BO65" s="304"/>
      <c r="BP65" s="304"/>
      <c r="BQ65" s="304"/>
      <c r="BR65" s="304"/>
      <c r="BS65" s="304"/>
      <c r="BT65" s="304"/>
      <c r="BU65" s="304"/>
      <c r="BV65" s="304"/>
      <c r="BW65" s="304"/>
      <c r="BX65" s="304"/>
      <c r="BY65" s="304"/>
      <c r="BZ65" s="304"/>
      <c r="CA65" s="304"/>
      <c r="CB65" s="304"/>
      <c r="CC65" s="304"/>
      <c r="CD65" s="304"/>
      <c r="CE65" s="304"/>
      <c r="CF65" s="304"/>
      <c r="CG65" s="304"/>
      <c r="CH65" s="304"/>
      <c r="CI65" s="304"/>
      <c r="CJ65" s="304"/>
      <c r="CK65" s="304"/>
      <c r="CL65" s="304"/>
      <c r="CM65" s="304"/>
      <c r="CN65" s="304"/>
      <c r="CO65" s="304"/>
      <c r="CP65" s="304"/>
      <c r="CQ65" s="304"/>
      <c r="CR65" s="305" t="str" cm="1">
        <f t="array" ref="CR65">CONCATENATE(BM65,_xlfn.TEXTJOIN("",TRUE,IF(BN$129:CQ$129&lt;&gt;"","+"&amp;D65:AG65,"")))</f>
        <v>35+</v>
      </c>
      <c r="CS65" s="279">
        <f t="shared" si="5"/>
        <v>30</v>
      </c>
      <c r="CT65" s="279" t="str">
        <f t="shared" si="3"/>
        <v>+++++++++++++++++++++++++++++++</v>
      </c>
      <c r="CU65" s="291" t="str">
        <f t="shared" si="7"/>
        <v>35++++++++++++++++++++++++++++++++2</v>
      </c>
      <c r="GB65" s="279" t="s">
        <v>1950</v>
      </c>
    </row>
    <row r="66" spans="1:184">
      <c r="A66" s="275">
        <f>IF(C66&lt;&gt;"",1,IF(AH66="",2,IF(OR(IF(TABLERO!B66="",0,TABLERO!B66)&gt;TABLERO!$M$19,IF(TABLERO!C66="",IF(TABLERO!B66="",0,TABLERO!B66),TABLERO!C66)&gt;TABLERO!$M$19,BI66&gt;TABLERO!$M$19,IF(TABLERO!B66="",0,TABLERO!B66)=0,IF(TABLERO!C66="",BG66,TABLERO!C66)=0,IF(TABLERO!D66="",BG66,TABLERO!D66)=0),2,1)))</f>
        <v>2</v>
      </c>
      <c r="B66" s="276" t="str">
        <f>TABLERO!B66&amp;IF(TABLERO!C66="","",","&amp;TABLERO!C66)&amp;IF(TABLERO!D66="","",","&amp;TABLERO!D66)</f>
        <v>36</v>
      </c>
      <c r="C66" s="269" t="str">
        <f>IF(TABLERO!E66=0,"",TABLERO!E66)</f>
        <v/>
      </c>
      <c r="D66" s="312" t="str">
        <f>IF(OR(TABLERO!X66="",TABLERO!X66=0),"",TABLERO!X66)</f>
        <v/>
      </c>
      <c r="E66" s="312" t="str">
        <f>IF(OR(TABLERO!Y66="",TABLERO!Y66=0),"",TABLERO!Y66)</f>
        <v/>
      </c>
      <c r="F66" s="312" t="str">
        <f>IF(OR(TABLERO!Z66="",TABLERO!Z66=0),"",TABLERO!Z66)</f>
        <v/>
      </c>
      <c r="G66" s="312" t="str">
        <f>IF(OR(TABLERO!AA66="",TABLERO!AA66=0),"",TABLERO!AA66)</f>
        <v/>
      </c>
      <c r="H66" s="312" t="str">
        <f>IF(OR(TABLERO!AB66="",TABLERO!AB66=0),"",TABLERO!AB66)</f>
        <v/>
      </c>
      <c r="I66" s="312" t="str">
        <f>IF(OR(TABLERO!AC66="",TABLERO!AC66=0),"",TABLERO!AC66)</f>
        <v/>
      </c>
      <c r="J66" s="312" t="str">
        <f>IF(OR(TABLERO!AD66="",TABLERO!AD66=0),"",TABLERO!AD66)</f>
        <v/>
      </c>
      <c r="K66" s="312" t="str">
        <f>IF(OR(TABLERO!AE66="",TABLERO!AE66=0),"",TABLERO!AE66)</f>
        <v/>
      </c>
      <c r="L66" s="312" t="str">
        <f>IF(OR(TABLERO!AF66="",TABLERO!AF66=0),"",TABLERO!AF66)</f>
        <v/>
      </c>
      <c r="M66" s="312" t="str">
        <f>IF(OR(TABLERO!AG66="",TABLERO!AG66=0),"",TABLERO!AG66)</f>
        <v/>
      </c>
      <c r="N66" s="312" t="str">
        <f>IF(OR(TABLERO!AH66="",TABLERO!AH66=0),"",TABLERO!AH66)</f>
        <v/>
      </c>
      <c r="O66" s="312" t="str">
        <f>IF(OR(TABLERO!AI66="",TABLERO!AI66=0),"",TABLERO!AI66)</f>
        <v/>
      </c>
      <c r="P66" s="312" t="str">
        <f>IF(OR(TABLERO!AJ66="",TABLERO!AJ66=0),"",TABLERO!AJ66)</f>
        <v/>
      </c>
      <c r="Q66" s="312" t="str">
        <f>IF(OR(TABLERO!AK66="",TABLERO!AK66=0),"",TABLERO!AK66)</f>
        <v/>
      </c>
      <c r="R66" s="312" t="str">
        <f>IF(OR(TABLERO!AL66="",TABLERO!AL66=0),"",TABLERO!AL66)</f>
        <v/>
      </c>
      <c r="S66" s="312" t="str">
        <f>IF(OR(TABLERO!AM66="",TABLERO!AM66=0),"",TABLERO!AM66)</f>
        <v/>
      </c>
      <c r="T66" s="312" t="str">
        <f>IF(OR(TABLERO!AN66="",TABLERO!AN66=0),"",TABLERO!AN66)</f>
        <v/>
      </c>
      <c r="U66" s="312" t="str">
        <f>IF(OR(TABLERO!AO66="",TABLERO!AO66=0),"",TABLERO!AO66)</f>
        <v/>
      </c>
      <c r="V66" s="312" t="str">
        <f>IF(OR(TABLERO!AP66="",TABLERO!AP66=0),"",TABLERO!AP66)</f>
        <v/>
      </c>
      <c r="W66" s="312" t="str">
        <f>IF(OR(TABLERO!AQ66="",TABLERO!AQ66=0),"",TABLERO!AQ66)</f>
        <v/>
      </c>
      <c r="X66" s="312" t="str">
        <f>IF(OR(TABLERO!AR66="",TABLERO!AR66=0),"",TABLERO!AR66)</f>
        <v/>
      </c>
      <c r="Y66" s="312" t="str">
        <f>IF(OR(TABLERO!AS66="",TABLERO!AS66=0),"",TABLERO!AS66)</f>
        <v/>
      </c>
      <c r="Z66" s="312" t="str">
        <f>IF(OR(TABLERO!AT66="",TABLERO!AT66=0),"",TABLERO!AT66)</f>
        <v/>
      </c>
      <c r="AA66" s="312" t="str">
        <f>IF(OR(TABLERO!AU66="",TABLERO!AU66=0),"",TABLERO!AU66)</f>
        <v/>
      </c>
      <c r="AB66" s="312" t="str">
        <f>IF(OR(TABLERO!AV66="",TABLERO!AV66=0),"",TABLERO!AV66)</f>
        <v/>
      </c>
      <c r="AC66" s="312" t="str">
        <f>IF(OR(TABLERO!AW66="",TABLERO!AW66=0),"",TABLERO!AW66)</f>
        <v/>
      </c>
      <c r="AD66" s="312" t="str">
        <f>IF(OR(TABLERO!AX66="",TABLERO!AX66=0),"",TABLERO!AX66)</f>
        <v/>
      </c>
      <c r="AE66" s="312" t="str">
        <f>IF(OR(TABLERO!AY66="",TABLERO!AY66=0),"",TABLERO!AY66)</f>
        <v/>
      </c>
      <c r="AF66" s="312" t="str">
        <f>IF(OR(TABLERO!AZ66="",TABLERO!AZ66=0),"",TABLERO!AZ66)</f>
        <v/>
      </c>
      <c r="AG66" s="312" t="str">
        <f>IF(OR(TABLERO!BA66="",TABLERO!BA66=0),"",TABLERO!BA66)</f>
        <v/>
      </c>
      <c r="AH66" s="277" t="str">
        <f>IF(TABLERO!BB66=0,"",FIXED(IF(TABLERO!$F$17&lt;&gt;"KVA",TABLERO!BB66*1000,TABLERO!BB66*1000/TABLERO!DA66),2))</f>
        <v/>
      </c>
      <c r="AI66" s="277" t="str">
        <f>IF(TABLERO!BB66=0,"",FIXED(IF(TABLERO!$F$17&lt;&gt;"KVA",TABLERO!BT66*1000,TABLERO!BT66*1000/TABLERO!DA66),2))</f>
        <v/>
      </c>
      <c r="AJ66" s="272" t="str">
        <f>IF(OR(TABLERO!BU66="",TABLERO!BU66=0),"",FIXED(TABLERO!BU66,2))</f>
        <v/>
      </c>
      <c r="AK66" s="312" t="str">
        <f>IF(TABLERO!BB66=0,"",TABLERO!F66)</f>
        <v/>
      </c>
      <c r="AL66" s="312" t="str">
        <f>IF(TABLERO!BB66=0,"",TABLERO!G66)</f>
        <v/>
      </c>
      <c r="AM66" s="312" t="str">
        <f>IF(TABLERO!BB66=0,"",TABLERO!BV66)</f>
        <v/>
      </c>
      <c r="AN66" s="272" t="str">
        <f>IF(TABLERO!BB66=0,"",TABLERO!K66)</f>
        <v/>
      </c>
      <c r="AO66" s="312" t="str">
        <f>IF(TABLERO!BB66=0,"",TABLERO!J66)</f>
        <v/>
      </c>
      <c r="AP66" s="272" t="str">
        <f>IF(TABLERO!BB66=0,"",TABLERO!CT66)</f>
        <v/>
      </c>
      <c r="AQ66" s="272" t="str">
        <f>IF(TABLERO!BB66=0,"",TABLERO!CS66)</f>
        <v/>
      </c>
      <c r="AR66" s="272" t="str">
        <f>IF(OR(TABLERO!BB66=0,TABLERO!H66="RE"),"",FIXED(TABLERO!CY66,2))</f>
        <v/>
      </c>
      <c r="AS66" s="312" t="str">
        <f>IF(TABLERO!BB66=0,"",TABLERO!N66)</f>
        <v/>
      </c>
      <c r="AT66" s="1164" t="str">
        <f>IF(TABLERO!BB66=0,"",TABLERO!BX66&amp;" "&amp;TABLERO!ED66&amp;", "&amp;TABLERO!I66)</f>
        <v/>
      </c>
      <c r="AU66" s="1165"/>
      <c r="AV66" s="272" t="str">
        <f>IF(OR(TABLERO!BB66=0,TABLERO!H66="RE"),"",FIXED(TABLERO!BZ66,2))</f>
        <v/>
      </c>
      <c r="AW66" s="312" t="str">
        <f>IF(TABLERO!BB66=0,"",TABLERO!CA66)</f>
        <v/>
      </c>
      <c r="AX66" s="271" t="str">
        <f>IF(TABLERO!BB66=0,"",TABLERO!CB66)</f>
        <v/>
      </c>
      <c r="AY66" s="272" t="str">
        <f>IF(OR(TABLERO!BB66=0,TABLERO!H66="RE"),"",FIXED(TABLERO!DL66,2))</f>
        <v/>
      </c>
      <c r="AZ66" s="310" t="str">
        <f>IF(OR(TABLERO!BB66=0,TABLERO!H66="RE"),"",TABLERO!F66&amp;"P-"&amp;TABLERO!BW66&amp;"A")</f>
        <v/>
      </c>
      <c r="BA66" s="272" t="str">
        <f>IF(TABLERO!$BB66=0,"",IF(TABLERO!CI66="-","     -     ",FIXED(IF(TABLERO!$F$17&lt;&gt;"KVA",TABLERO!CI66,TABLERO!CI66/TABLERO!$F$14),2)))</f>
        <v/>
      </c>
      <c r="BB66" s="272" t="str">
        <f>IF(TABLERO!$BB66=0,"",IF(TABLERO!CJ66="-","     -     ",FIXED(IF(TABLERO!$F$17&lt;&gt;"KVA",TABLERO!CJ66,TABLERO!CJ66/TABLERO!$F$14),2)))</f>
        <v/>
      </c>
      <c r="BC66" s="272" t="str">
        <f>IF(TABLERO!$BB66=0,"",IF(TABLERO!CK66="-","     -     ",FIXED(IF(TABLERO!$F$17&lt;&gt;"KVA",TABLERO!CK66,TABLERO!CK66/TABLERO!$F$14),2)))</f>
        <v/>
      </c>
      <c r="BG66" s="275">
        <f>IF(TABLERO!B66="",0,TABLERO!B66)</f>
        <v>36</v>
      </c>
      <c r="BH66" s="275"/>
      <c r="BI66" s="275"/>
      <c r="BK66" s="275"/>
      <c r="BL66" s="289" t="str" cm="1">
        <f t="array" ref="BL66">[1]!ACAELE_LineaCAD(A66)</f>
        <v>++++++++++++++++++++++++++++++2</v>
      </c>
      <c r="BM66" s="279" t="str">
        <f t="shared" si="4"/>
        <v>36+</v>
      </c>
      <c r="BN66" s="304"/>
      <c r="BO66" s="304"/>
      <c r="BP66" s="304"/>
      <c r="BQ66" s="304"/>
      <c r="BR66" s="304"/>
      <c r="BS66" s="304"/>
      <c r="BT66" s="304"/>
      <c r="BU66" s="304"/>
      <c r="BV66" s="304"/>
      <c r="BW66" s="304"/>
      <c r="BX66" s="304"/>
      <c r="BY66" s="304"/>
      <c r="BZ66" s="304"/>
      <c r="CA66" s="304"/>
      <c r="CB66" s="304"/>
      <c r="CC66" s="304"/>
      <c r="CD66" s="304"/>
      <c r="CE66" s="304"/>
      <c r="CF66" s="304"/>
      <c r="CG66" s="304"/>
      <c r="CH66" s="304"/>
      <c r="CI66" s="304"/>
      <c r="CJ66" s="304"/>
      <c r="CK66" s="304"/>
      <c r="CL66" s="304"/>
      <c r="CM66" s="304"/>
      <c r="CN66" s="304"/>
      <c r="CO66" s="304"/>
      <c r="CP66" s="304"/>
      <c r="CQ66" s="304"/>
      <c r="CR66" s="305" t="str" cm="1">
        <f t="array" ref="CR66">CONCATENATE(BM66,_xlfn.TEXTJOIN("",TRUE,IF(BN$129:CQ$129&lt;&gt;"","+"&amp;D66:AG66,"")))</f>
        <v>36+</v>
      </c>
      <c r="CS66" s="279">
        <f t="shared" si="5"/>
        <v>30</v>
      </c>
      <c r="CT66" s="279" t="str">
        <f t="shared" si="3"/>
        <v>+++++++++++++++++++++++++++++++</v>
      </c>
      <c r="CU66" s="291" t="str">
        <f t="shared" si="7"/>
        <v>36++++++++++++++++++++++++++++++++2</v>
      </c>
      <c r="GB66" s="279" t="s">
        <v>1951</v>
      </c>
    </row>
    <row r="67" spans="1:184">
      <c r="A67" s="275">
        <f>IF(C67&lt;&gt;"",1,IF(AH67="",2,IF(OR(IF(TABLERO!B67="",0,TABLERO!B67)&gt;TABLERO!$M$19,IF(TABLERO!C67="",IF(TABLERO!B67="",0,TABLERO!B67),TABLERO!C67)&gt;TABLERO!$M$19,BI67&gt;TABLERO!$M$19,IF(TABLERO!B67="",0,TABLERO!B67)=0,IF(TABLERO!C67="",BG67,TABLERO!C67)=0,IF(TABLERO!D67="",BG67,TABLERO!D67)=0),2,1)))</f>
        <v>2</v>
      </c>
      <c r="B67" s="276" t="str">
        <f>TABLERO!B67&amp;IF(TABLERO!C67="","",","&amp;TABLERO!C67)&amp;IF(TABLERO!D67="","",","&amp;TABLERO!D67)</f>
        <v>37</v>
      </c>
      <c r="C67" s="269" t="str">
        <f>IF(TABLERO!E67=0,"",TABLERO!E67)</f>
        <v/>
      </c>
      <c r="D67" s="312" t="str">
        <f>IF(OR(TABLERO!X67="",TABLERO!X67=0),"",TABLERO!X67)</f>
        <v/>
      </c>
      <c r="E67" s="312" t="str">
        <f>IF(OR(TABLERO!Y67="",TABLERO!Y67=0),"",TABLERO!Y67)</f>
        <v/>
      </c>
      <c r="F67" s="312" t="str">
        <f>IF(OR(TABLERO!Z67="",TABLERO!Z67=0),"",TABLERO!Z67)</f>
        <v/>
      </c>
      <c r="G67" s="312" t="str">
        <f>IF(OR(TABLERO!AA67="",TABLERO!AA67=0),"",TABLERO!AA67)</f>
        <v/>
      </c>
      <c r="H67" s="312" t="str">
        <f>IF(OR(TABLERO!AB67="",TABLERO!AB67=0),"",TABLERO!AB67)</f>
        <v/>
      </c>
      <c r="I67" s="312" t="str">
        <f>IF(OR(TABLERO!AC67="",TABLERO!AC67=0),"",TABLERO!AC67)</f>
        <v/>
      </c>
      <c r="J67" s="312" t="str">
        <f>IF(OR(TABLERO!AD67="",TABLERO!AD67=0),"",TABLERO!AD67)</f>
        <v/>
      </c>
      <c r="K67" s="312" t="str">
        <f>IF(OR(TABLERO!AE67="",TABLERO!AE67=0),"",TABLERO!AE67)</f>
        <v/>
      </c>
      <c r="L67" s="312" t="str">
        <f>IF(OR(TABLERO!AF67="",TABLERO!AF67=0),"",TABLERO!AF67)</f>
        <v/>
      </c>
      <c r="M67" s="312" t="str">
        <f>IF(OR(TABLERO!AG67="",TABLERO!AG67=0),"",TABLERO!AG67)</f>
        <v/>
      </c>
      <c r="N67" s="312" t="str">
        <f>IF(OR(TABLERO!AH67="",TABLERO!AH67=0),"",TABLERO!AH67)</f>
        <v/>
      </c>
      <c r="O67" s="312" t="str">
        <f>IF(OR(TABLERO!AI67="",TABLERO!AI67=0),"",TABLERO!AI67)</f>
        <v/>
      </c>
      <c r="P67" s="312" t="str">
        <f>IF(OR(TABLERO!AJ67="",TABLERO!AJ67=0),"",TABLERO!AJ67)</f>
        <v/>
      </c>
      <c r="Q67" s="312" t="str">
        <f>IF(OR(TABLERO!AK67="",TABLERO!AK67=0),"",TABLERO!AK67)</f>
        <v/>
      </c>
      <c r="R67" s="312" t="str">
        <f>IF(OR(TABLERO!AL67="",TABLERO!AL67=0),"",TABLERO!AL67)</f>
        <v/>
      </c>
      <c r="S67" s="312" t="str">
        <f>IF(OR(TABLERO!AM67="",TABLERO!AM67=0),"",TABLERO!AM67)</f>
        <v/>
      </c>
      <c r="T67" s="312" t="str">
        <f>IF(OR(TABLERO!AN67="",TABLERO!AN67=0),"",TABLERO!AN67)</f>
        <v/>
      </c>
      <c r="U67" s="312" t="str">
        <f>IF(OR(TABLERO!AO67="",TABLERO!AO67=0),"",TABLERO!AO67)</f>
        <v/>
      </c>
      <c r="V67" s="312" t="str">
        <f>IF(OR(TABLERO!AP67="",TABLERO!AP67=0),"",TABLERO!AP67)</f>
        <v/>
      </c>
      <c r="W67" s="312" t="str">
        <f>IF(OR(TABLERO!AQ67="",TABLERO!AQ67=0),"",TABLERO!AQ67)</f>
        <v/>
      </c>
      <c r="X67" s="312" t="str">
        <f>IF(OR(TABLERO!AR67="",TABLERO!AR67=0),"",TABLERO!AR67)</f>
        <v/>
      </c>
      <c r="Y67" s="312" t="str">
        <f>IF(OR(TABLERO!AS67="",TABLERO!AS67=0),"",TABLERO!AS67)</f>
        <v/>
      </c>
      <c r="Z67" s="312" t="str">
        <f>IF(OR(TABLERO!AT67="",TABLERO!AT67=0),"",TABLERO!AT67)</f>
        <v/>
      </c>
      <c r="AA67" s="312" t="str">
        <f>IF(OR(TABLERO!AU67="",TABLERO!AU67=0),"",TABLERO!AU67)</f>
        <v/>
      </c>
      <c r="AB67" s="312" t="str">
        <f>IF(OR(TABLERO!AV67="",TABLERO!AV67=0),"",TABLERO!AV67)</f>
        <v/>
      </c>
      <c r="AC67" s="312" t="str">
        <f>IF(OR(TABLERO!AW67="",TABLERO!AW67=0),"",TABLERO!AW67)</f>
        <v/>
      </c>
      <c r="AD67" s="312" t="str">
        <f>IF(OR(TABLERO!AX67="",TABLERO!AX67=0),"",TABLERO!AX67)</f>
        <v/>
      </c>
      <c r="AE67" s="312" t="str">
        <f>IF(OR(TABLERO!AY67="",TABLERO!AY67=0),"",TABLERO!AY67)</f>
        <v/>
      </c>
      <c r="AF67" s="312" t="str">
        <f>IF(OR(TABLERO!AZ67="",TABLERO!AZ67=0),"",TABLERO!AZ67)</f>
        <v/>
      </c>
      <c r="AG67" s="312" t="str">
        <f>IF(OR(TABLERO!BA67="",TABLERO!BA67=0),"",TABLERO!BA67)</f>
        <v/>
      </c>
      <c r="AH67" s="277" t="str">
        <f>IF(TABLERO!BB67=0,"",FIXED(IF(TABLERO!$F$17&lt;&gt;"KVA",TABLERO!BB67*1000,TABLERO!BB67*1000/TABLERO!DA67),2))</f>
        <v/>
      </c>
      <c r="AI67" s="277" t="str">
        <f>IF(TABLERO!BB67=0,"",FIXED(IF(TABLERO!$F$17&lt;&gt;"KVA",TABLERO!BT67*1000,TABLERO!BT67*1000/TABLERO!DA67),2))</f>
        <v/>
      </c>
      <c r="AJ67" s="272" t="str">
        <f>IF(OR(TABLERO!BU67="",TABLERO!BU67=0),"",FIXED(TABLERO!BU67,2))</f>
        <v/>
      </c>
      <c r="AK67" s="312" t="str">
        <f>IF(TABLERO!BB67=0,"",TABLERO!F67)</f>
        <v/>
      </c>
      <c r="AL67" s="312" t="str">
        <f>IF(TABLERO!BB67=0,"",TABLERO!G67)</f>
        <v/>
      </c>
      <c r="AM67" s="312" t="str">
        <f>IF(TABLERO!BB67=0,"",TABLERO!BV67)</f>
        <v/>
      </c>
      <c r="AN67" s="272" t="str">
        <f>IF(TABLERO!BB67=0,"",TABLERO!K67)</f>
        <v/>
      </c>
      <c r="AO67" s="312" t="str">
        <f>IF(TABLERO!BB67=0,"",TABLERO!J67)</f>
        <v/>
      </c>
      <c r="AP67" s="272" t="str">
        <f>IF(TABLERO!BB67=0,"",TABLERO!CT67)</f>
        <v/>
      </c>
      <c r="AQ67" s="272" t="str">
        <f>IF(TABLERO!BB67=0,"",TABLERO!CS67)</f>
        <v/>
      </c>
      <c r="AR67" s="272" t="str">
        <f>IF(OR(TABLERO!BB67=0,TABLERO!H67="RE"),"",FIXED(TABLERO!CY67,2))</f>
        <v/>
      </c>
      <c r="AS67" s="312" t="str">
        <f>IF(TABLERO!BB67=0,"",TABLERO!N67)</f>
        <v/>
      </c>
      <c r="AT67" s="1164" t="str">
        <f>IF(TABLERO!BB67=0,"",TABLERO!BX67&amp;" "&amp;TABLERO!ED67&amp;", "&amp;TABLERO!I67)</f>
        <v/>
      </c>
      <c r="AU67" s="1165"/>
      <c r="AV67" s="272" t="str">
        <f>IF(OR(TABLERO!BB67=0,TABLERO!H67="RE"),"",FIXED(TABLERO!BZ67,2))</f>
        <v/>
      </c>
      <c r="AW67" s="312" t="str">
        <f>IF(TABLERO!BB67=0,"",TABLERO!CA67)</f>
        <v/>
      </c>
      <c r="AX67" s="271" t="str">
        <f>IF(TABLERO!BB67=0,"",TABLERO!CB67)</f>
        <v/>
      </c>
      <c r="AY67" s="272" t="str">
        <f>IF(OR(TABLERO!BB67=0,TABLERO!H67="RE"),"",FIXED(TABLERO!DL67,2))</f>
        <v/>
      </c>
      <c r="AZ67" s="310" t="str">
        <f>IF(OR(TABLERO!BB67=0,TABLERO!H67="RE"),"",TABLERO!F67&amp;"P-"&amp;TABLERO!BW67&amp;"A")</f>
        <v/>
      </c>
      <c r="BA67" s="272" t="str">
        <f>IF(TABLERO!$BB67=0,"",IF(TABLERO!CI67="-","     -     ",FIXED(IF(TABLERO!$F$17&lt;&gt;"KVA",TABLERO!CI67,TABLERO!CI67/TABLERO!$F$14),2)))</f>
        <v/>
      </c>
      <c r="BB67" s="272" t="str">
        <f>IF(TABLERO!$BB67=0,"",IF(TABLERO!CJ67="-","     -     ",FIXED(IF(TABLERO!$F$17&lt;&gt;"KVA",TABLERO!CJ67,TABLERO!CJ67/TABLERO!$F$14),2)))</f>
        <v/>
      </c>
      <c r="BC67" s="272" t="str">
        <f>IF(TABLERO!$BB67=0,"",IF(TABLERO!CK67="-","     -     ",FIXED(IF(TABLERO!$F$17&lt;&gt;"KVA",TABLERO!CK67,TABLERO!CK67/TABLERO!$F$14),2)))</f>
        <v/>
      </c>
      <c r="BG67" s="275">
        <f>IF(TABLERO!B67="",0,TABLERO!B67)</f>
        <v>37</v>
      </c>
      <c r="BH67" s="275"/>
      <c r="BI67" s="275"/>
      <c r="BK67" s="275"/>
      <c r="BL67" s="289" t="str" cm="1">
        <f t="array" ref="BL67">[1]!ACAELE_LineaCAD(A67)</f>
        <v>++++++++++++++++++++++++++++++2</v>
      </c>
      <c r="BM67" s="279" t="str">
        <f t="shared" si="4"/>
        <v>37+</v>
      </c>
      <c r="BN67" s="304"/>
      <c r="BO67" s="304"/>
      <c r="BP67" s="304"/>
      <c r="BQ67" s="304"/>
      <c r="BR67" s="304"/>
      <c r="BS67" s="304"/>
      <c r="BT67" s="304"/>
      <c r="BU67" s="304"/>
      <c r="BV67" s="304"/>
      <c r="BW67" s="304"/>
      <c r="BX67" s="304"/>
      <c r="BY67" s="304"/>
      <c r="BZ67" s="304"/>
      <c r="CA67" s="304"/>
      <c r="CB67" s="304"/>
      <c r="CC67" s="304"/>
      <c r="CD67" s="304"/>
      <c r="CE67" s="304"/>
      <c r="CF67" s="304"/>
      <c r="CG67" s="304"/>
      <c r="CH67" s="304"/>
      <c r="CI67" s="304"/>
      <c r="CJ67" s="304"/>
      <c r="CK67" s="304"/>
      <c r="CL67" s="304"/>
      <c r="CM67" s="304"/>
      <c r="CN67" s="304"/>
      <c r="CO67" s="304"/>
      <c r="CP67" s="304"/>
      <c r="CQ67" s="304"/>
      <c r="CR67" s="305" t="str" cm="1">
        <f t="array" ref="CR67">CONCATENATE(BM67,_xlfn.TEXTJOIN("",TRUE,IF(BN$129:CQ$129&lt;&gt;"","+"&amp;D67:AG67,"")))</f>
        <v>37+</v>
      </c>
      <c r="CS67" s="279">
        <f t="shared" si="5"/>
        <v>30</v>
      </c>
      <c r="CT67" s="279" t="str">
        <f t="shared" si="3"/>
        <v>+++++++++++++++++++++++++++++++</v>
      </c>
      <c r="CU67" s="291" t="str">
        <f t="shared" si="7"/>
        <v>37++++++++++++++++++++++++++++++++2</v>
      </c>
      <c r="GB67" s="279" t="s">
        <v>1952</v>
      </c>
    </row>
    <row r="68" spans="1:184">
      <c r="A68" s="275">
        <f>IF(C68&lt;&gt;"",1,IF(AH68="",2,IF(OR(IF(TABLERO!B68="",0,TABLERO!B68)&gt;TABLERO!$M$19,IF(TABLERO!C68="",IF(TABLERO!B68="",0,TABLERO!B68),TABLERO!C68)&gt;TABLERO!$M$19,BI68&gt;TABLERO!$M$19,IF(TABLERO!B68="",0,TABLERO!B68)=0,IF(TABLERO!C68="",BG68,TABLERO!C68)=0,IF(TABLERO!D68="",BG68,TABLERO!D68)=0),2,1)))</f>
        <v>2</v>
      </c>
      <c r="B68" s="276" t="str">
        <f>TABLERO!B68&amp;IF(TABLERO!C68="","",","&amp;TABLERO!C68)&amp;IF(TABLERO!D68="","",","&amp;TABLERO!D68)</f>
        <v>38</v>
      </c>
      <c r="C68" s="269" t="str">
        <f>IF(TABLERO!E68=0,"",TABLERO!E68)</f>
        <v/>
      </c>
      <c r="D68" s="312" t="str">
        <f>IF(OR(TABLERO!X68="",TABLERO!X68=0),"",TABLERO!X68)</f>
        <v/>
      </c>
      <c r="E68" s="312" t="str">
        <f>IF(OR(TABLERO!Y68="",TABLERO!Y68=0),"",TABLERO!Y68)</f>
        <v/>
      </c>
      <c r="F68" s="312" t="str">
        <f>IF(OR(TABLERO!Z68="",TABLERO!Z68=0),"",TABLERO!Z68)</f>
        <v/>
      </c>
      <c r="G68" s="312" t="str">
        <f>IF(OR(TABLERO!AA68="",TABLERO!AA68=0),"",TABLERO!AA68)</f>
        <v/>
      </c>
      <c r="H68" s="312" t="str">
        <f>IF(OR(TABLERO!AB68="",TABLERO!AB68=0),"",TABLERO!AB68)</f>
        <v/>
      </c>
      <c r="I68" s="312" t="str">
        <f>IF(OR(TABLERO!AC68="",TABLERO!AC68=0),"",TABLERO!AC68)</f>
        <v/>
      </c>
      <c r="J68" s="312" t="str">
        <f>IF(OR(TABLERO!AD68="",TABLERO!AD68=0),"",TABLERO!AD68)</f>
        <v/>
      </c>
      <c r="K68" s="312" t="str">
        <f>IF(OR(TABLERO!AE68="",TABLERO!AE68=0),"",TABLERO!AE68)</f>
        <v/>
      </c>
      <c r="L68" s="312" t="str">
        <f>IF(OR(TABLERO!AF68="",TABLERO!AF68=0),"",TABLERO!AF68)</f>
        <v/>
      </c>
      <c r="M68" s="312" t="str">
        <f>IF(OR(TABLERO!AG68="",TABLERO!AG68=0),"",TABLERO!AG68)</f>
        <v/>
      </c>
      <c r="N68" s="312" t="str">
        <f>IF(OR(TABLERO!AH68="",TABLERO!AH68=0),"",TABLERO!AH68)</f>
        <v/>
      </c>
      <c r="O68" s="312" t="str">
        <f>IF(OR(TABLERO!AI68="",TABLERO!AI68=0),"",TABLERO!AI68)</f>
        <v/>
      </c>
      <c r="P68" s="312" t="str">
        <f>IF(OR(TABLERO!AJ68="",TABLERO!AJ68=0),"",TABLERO!AJ68)</f>
        <v/>
      </c>
      <c r="Q68" s="312" t="str">
        <f>IF(OR(TABLERO!AK68="",TABLERO!AK68=0),"",TABLERO!AK68)</f>
        <v/>
      </c>
      <c r="R68" s="312" t="str">
        <f>IF(OR(TABLERO!AL68="",TABLERO!AL68=0),"",TABLERO!AL68)</f>
        <v/>
      </c>
      <c r="S68" s="312" t="str">
        <f>IF(OR(TABLERO!AM68="",TABLERO!AM68=0),"",TABLERO!AM68)</f>
        <v/>
      </c>
      <c r="T68" s="312" t="str">
        <f>IF(OR(TABLERO!AN68="",TABLERO!AN68=0),"",TABLERO!AN68)</f>
        <v/>
      </c>
      <c r="U68" s="312" t="str">
        <f>IF(OR(TABLERO!AO68="",TABLERO!AO68=0),"",TABLERO!AO68)</f>
        <v/>
      </c>
      <c r="V68" s="312" t="str">
        <f>IF(OR(TABLERO!AP68="",TABLERO!AP68=0),"",TABLERO!AP68)</f>
        <v/>
      </c>
      <c r="W68" s="312" t="str">
        <f>IF(OR(TABLERO!AQ68="",TABLERO!AQ68=0),"",TABLERO!AQ68)</f>
        <v/>
      </c>
      <c r="X68" s="312" t="str">
        <f>IF(OR(TABLERO!AR68="",TABLERO!AR68=0),"",TABLERO!AR68)</f>
        <v/>
      </c>
      <c r="Y68" s="312" t="str">
        <f>IF(OR(TABLERO!AS68="",TABLERO!AS68=0),"",TABLERO!AS68)</f>
        <v/>
      </c>
      <c r="Z68" s="312" t="str">
        <f>IF(OR(TABLERO!AT68="",TABLERO!AT68=0),"",TABLERO!AT68)</f>
        <v/>
      </c>
      <c r="AA68" s="312" t="str">
        <f>IF(OR(TABLERO!AU68="",TABLERO!AU68=0),"",TABLERO!AU68)</f>
        <v/>
      </c>
      <c r="AB68" s="312" t="str">
        <f>IF(OR(TABLERO!AV68="",TABLERO!AV68=0),"",TABLERO!AV68)</f>
        <v/>
      </c>
      <c r="AC68" s="312" t="str">
        <f>IF(OR(TABLERO!AW68="",TABLERO!AW68=0),"",TABLERO!AW68)</f>
        <v/>
      </c>
      <c r="AD68" s="312" t="str">
        <f>IF(OR(TABLERO!AX68="",TABLERO!AX68=0),"",TABLERO!AX68)</f>
        <v/>
      </c>
      <c r="AE68" s="312" t="str">
        <f>IF(OR(TABLERO!AY68="",TABLERO!AY68=0),"",TABLERO!AY68)</f>
        <v/>
      </c>
      <c r="AF68" s="312" t="str">
        <f>IF(OR(TABLERO!AZ68="",TABLERO!AZ68=0),"",TABLERO!AZ68)</f>
        <v/>
      </c>
      <c r="AG68" s="312" t="str">
        <f>IF(OR(TABLERO!BA68="",TABLERO!BA68=0),"",TABLERO!BA68)</f>
        <v/>
      </c>
      <c r="AH68" s="277" t="str">
        <f>IF(TABLERO!BB68=0,"",FIXED(IF(TABLERO!$F$17&lt;&gt;"KVA",TABLERO!BB68*1000,TABLERO!BB68*1000/TABLERO!DA68),2))</f>
        <v/>
      </c>
      <c r="AI68" s="277" t="str">
        <f>IF(TABLERO!BB68=0,"",FIXED(IF(TABLERO!$F$17&lt;&gt;"KVA",TABLERO!BT68*1000,TABLERO!BT68*1000/TABLERO!DA68),2))</f>
        <v/>
      </c>
      <c r="AJ68" s="272" t="str">
        <f>IF(OR(TABLERO!BU68="",TABLERO!BU68=0),"",FIXED(TABLERO!BU68,2))</f>
        <v/>
      </c>
      <c r="AK68" s="312" t="str">
        <f>IF(TABLERO!BB68=0,"",TABLERO!F68)</f>
        <v/>
      </c>
      <c r="AL68" s="312" t="str">
        <f>IF(TABLERO!BB68=0,"",TABLERO!G68)</f>
        <v/>
      </c>
      <c r="AM68" s="312" t="str">
        <f>IF(TABLERO!BB68=0,"",TABLERO!BV68)</f>
        <v/>
      </c>
      <c r="AN68" s="272" t="str">
        <f>IF(TABLERO!BB68=0,"",TABLERO!K68)</f>
        <v/>
      </c>
      <c r="AO68" s="312" t="str">
        <f>IF(TABLERO!BB68=0,"",TABLERO!J68)</f>
        <v/>
      </c>
      <c r="AP68" s="272" t="str">
        <f>IF(TABLERO!BB68=0,"",TABLERO!CT68)</f>
        <v/>
      </c>
      <c r="AQ68" s="272" t="str">
        <f>IF(TABLERO!BB68=0,"",TABLERO!CS68)</f>
        <v/>
      </c>
      <c r="AR68" s="272" t="str">
        <f>IF(OR(TABLERO!BB68=0,TABLERO!H68="RE"),"",FIXED(TABLERO!CY68,2))</f>
        <v/>
      </c>
      <c r="AS68" s="312" t="str">
        <f>IF(TABLERO!BB68=0,"",TABLERO!N68)</f>
        <v/>
      </c>
      <c r="AT68" s="1164" t="str">
        <f>IF(TABLERO!BB68=0,"",TABLERO!BX68&amp;" "&amp;TABLERO!ED68&amp;", "&amp;TABLERO!I68)</f>
        <v/>
      </c>
      <c r="AU68" s="1165"/>
      <c r="AV68" s="272" t="str">
        <f>IF(OR(TABLERO!BB68=0,TABLERO!H68="RE"),"",FIXED(TABLERO!BZ68,2))</f>
        <v/>
      </c>
      <c r="AW68" s="312" t="str">
        <f>IF(TABLERO!BB68=0,"",TABLERO!CA68)</f>
        <v/>
      </c>
      <c r="AX68" s="271" t="str">
        <f>IF(TABLERO!BB68=0,"",TABLERO!CB68)</f>
        <v/>
      </c>
      <c r="AY68" s="272" t="str">
        <f>IF(OR(TABLERO!BB68=0,TABLERO!H68="RE"),"",FIXED(TABLERO!DL68,2))</f>
        <v/>
      </c>
      <c r="AZ68" s="310" t="str">
        <f>IF(OR(TABLERO!BB68=0,TABLERO!H68="RE"),"",TABLERO!F68&amp;"P-"&amp;TABLERO!BW68&amp;"A")</f>
        <v/>
      </c>
      <c r="BA68" s="272" t="str">
        <f>IF(TABLERO!$BB68=0,"",IF(TABLERO!CI68="-","     -     ",FIXED(IF(TABLERO!$F$17&lt;&gt;"KVA",TABLERO!CI68,TABLERO!CI68/TABLERO!$F$14),2)))</f>
        <v/>
      </c>
      <c r="BB68" s="272" t="str">
        <f>IF(TABLERO!$BB68=0,"",IF(TABLERO!CJ68="-","     -     ",FIXED(IF(TABLERO!$F$17&lt;&gt;"KVA",TABLERO!CJ68,TABLERO!CJ68/TABLERO!$F$14),2)))</f>
        <v/>
      </c>
      <c r="BC68" s="272" t="str">
        <f>IF(TABLERO!$BB68=0,"",IF(TABLERO!CK68="-","     -     ",FIXED(IF(TABLERO!$F$17&lt;&gt;"KVA",TABLERO!CK68,TABLERO!CK68/TABLERO!$F$14),2)))</f>
        <v/>
      </c>
      <c r="BG68" s="275">
        <f>IF(TABLERO!B68="",0,TABLERO!B68)</f>
        <v>38</v>
      </c>
      <c r="BH68" s="275"/>
      <c r="BI68" s="275"/>
      <c r="BK68" s="275"/>
      <c r="BL68" s="289" t="str" cm="1">
        <f t="array" ref="BL68">[1]!ACAELE_LineaCAD(A68)</f>
        <v>++++++++++++++++++++++++++++++2</v>
      </c>
      <c r="BM68" s="279" t="str">
        <f t="shared" si="4"/>
        <v>38+</v>
      </c>
      <c r="BN68" s="304"/>
      <c r="BO68" s="304"/>
      <c r="BP68" s="304"/>
      <c r="BQ68" s="304"/>
      <c r="BR68" s="304"/>
      <c r="BS68" s="304"/>
      <c r="BT68" s="304"/>
      <c r="BU68" s="304"/>
      <c r="BV68" s="304"/>
      <c r="BW68" s="304"/>
      <c r="BX68" s="304"/>
      <c r="BY68" s="304"/>
      <c r="BZ68" s="304"/>
      <c r="CA68" s="304"/>
      <c r="CB68" s="304"/>
      <c r="CC68" s="304"/>
      <c r="CD68" s="304"/>
      <c r="CE68" s="304"/>
      <c r="CF68" s="304"/>
      <c r="CG68" s="304"/>
      <c r="CH68" s="304"/>
      <c r="CI68" s="304"/>
      <c r="CJ68" s="304"/>
      <c r="CK68" s="304"/>
      <c r="CL68" s="304"/>
      <c r="CM68" s="304"/>
      <c r="CN68" s="304"/>
      <c r="CO68" s="304"/>
      <c r="CP68" s="304"/>
      <c r="CQ68" s="304"/>
      <c r="CR68" s="305" t="str" cm="1">
        <f t="array" ref="CR68">CONCATENATE(BM68,_xlfn.TEXTJOIN("",TRUE,IF(BN$129:CQ$129&lt;&gt;"","+"&amp;D68:AG68,"")))</f>
        <v>38+</v>
      </c>
      <c r="CS68" s="279">
        <f t="shared" si="5"/>
        <v>30</v>
      </c>
      <c r="CT68" s="279" t="str">
        <f t="shared" si="3"/>
        <v>+++++++++++++++++++++++++++++++</v>
      </c>
      <c r="CU68" s="291" t="str">
        <f t="shared" si="7"/>
        <v>38++++++++++++++++++++++++++++++++2</v>
      </c>
      <c r="GB68" s="279" t="s">
        <v>1953</v>
      </c>
    </row>
    <row r="69" spans="1:184">
      <c r="A69" s="275">
        <f>IF(C69&lt;&gt;"",1,IF(AH69="",2,IF(OR(IF(TABLERO!B69="",0,TABLERO!B69)&gt;TABLERO!$M$19,IF(TABLERO!C69="",IF(TABLERO!B69="",0,TABLERO!B69),TABLERO!C69)&gt;TABLERO!$M$19,BI69&gt;TABLERO!$M$19,IF(TABLERO!B69="",0,TABLERO!B69)=0,IF(TABLERO!C69="",BG69,TABLERO!C69)=0,IF(TABLERO!D69="",BG69,TABLERO!D69)=0),2,1)))</f>
        <v>2</v>
      </c>
      <c r="B69" s="276" t="str">
        <f>TABLERO!B69&amp;IF(TABLERO!C69="","",","&amp;TABLERO!C69)&amp;IF(TABLERO!D69="","",","&amp;TABLERO!D69)</f>
        <v>39</v>
      </c>
      <c r="C69" s="269" t="str">
        <f>IF(TABLERO!E69=0,"",TABLERO!E69)</f>
        <v/>
      </c>
      <c r="D69" s="312" t="str">
        <f>IF(OR(TABLERO!X69="",TABLERO!X69=0),"",TABLERO!X69)</f>
        <v/>
      </c>
      <c r="E69" s="312" t="str">
        <f>IF(OR(TABLERO!Y69="",TABLERO!Y69=0),"",TABLERO!Y69)</f>
        <v/>
      </c>
      <c r="F69" s="312" t="str">
        <f>IF(OR(TABLERO!Z69="",TABLERO!Z69=0),"",TABLERO!Z69)</f>
        <v/>
      </c>
      <c r="G69" s="312" t="str">
        <f>IF(OR(TABLERO!AA69="",TABLERO!AA69=0),"",TABLERO!AA69)</f>
        <v/>
      </c>
      <c r="H69" s="312" t="str">
        <f>IF(OR(TABLERO!AB69="",TABLERO!AB69=0),"",TABLERO!AB69)</f>
        <v/>
      </c>
      <c r="I69" s="312" t="str">
        <f>IF(OR(TABLERO!AC69="",TABLERO!AC69=0),"",TABLERO!AC69)</f>
        <v/>
      </c>
      <c r="J69" s="312" t="str">
        <f>IF(OR(TABLERO!AD69="",TABLERO!AD69=0),"",TABLERO!AD69)</f>
        <v/>
      </c>
      <c r="K69" s="312" t="str">
        <f>IF(OR(TABLERO!AE69="",TABLERO!AE69=0),"",TABLERO!AE69)</f>
        <v/>
      </c>
      <c r="L69" s="312" t="str">
        <f>IF(OR(TABLERO!AF69="",TABLERO!AF69=0),"",TABLERO!AF69)</f>
        <v/>
      </c>
      <c r="M69" s="312" t="str">
        <f>IF(OR(TABLERO!AG69="",TABLERO!AG69=0),"",TABLERO!AG69)</f>
        <v/>
      </c>
      <c r="N69" s="312" t="str">
        <f>IF(OR(TABLERO!AH69="",TABLERO!AH69=0),"",TABLERO!AH69)</f>
        <v/>
      </c>
      <c r="O69" s="312" t="str">
        <f>IF(OR(TABLERO!AI69="",TABLERO!AI69=0),"",TABLERO!AI69)</f>
        <v/>
      </c>
      <c r="P69" s="312" t="str">
        <f>IF(OR(TABLERO!AJ69="",TABLERO!AJ69=0),"",TABLERO!AJ69)</f>
        <v/>
      </c>
      <c r="Q69" s="312" t="str">
        <f>IF(OR(TABLERO!AK69="",TABLERO!AK69=0),"",TABLERO!AK69)</f>
        <v/>
      </c>
      <c r="R69" s="312" t="str">
        <f>IF(OR(TABLERO!AL69="",TABLERO!AL69=0),"",TABLERO!AL69)</f>
        <v/>
      </c>
      <c r="S69" s="312" t="str">
        <f>IF(OR(TABLERO!AM69="",TABLERO!AM69=0),"",TABLERO!AM69)</f>
        <v/>
      </c>
      <c r="T69" s="312" t="str">
        <f>IF(OR(TABLERO!AN69="",TABLERO!AN69=0),"",TABLERO!AN69)</f>
        <v/>
      </c>
      <c r="U69" s="312" t="str">
        <f>IF(OR(TABLERO!AO69="",TABLERO!AO69=0),"",TABLERO!AO69)</f>
        <v/>
      </c>
      <c r="V69" s="312" t="str">
        <f>IF(OR(TABLERO!AP69="",TABLERO!AP69=0),"",TABLERO!AP69)</f>
        <v/>
      </c>
      <c r="W69" s="312" t="str">
        <f>IF(OR(TABLERO!AQ69="",TABLERO!AQ69=0),"",TABLERO!AQ69)</f>
        <v/>
      </c>
      <c r="X69" s="312" t="str">
        <f>IF(OR(TABLERO!AR69="",TABLERO!AR69=0),"",TABLERO!AR69)</f>
        <v/>
      </c>
      <c r="Y69" s="312" t="str">
        <f>IF(OR(TABLERO!AS69="",TABLERO!AS69=0),"",TABLERO!AS69)</f>
        <v/>
      </c>
      <c r="Z69" s="312" t="str">
        <f>IF(OR(TABLERO!AT69="",TABLERO!AT69=0),"",TABLERO!AT69)</f>
        <v/>
      </c>
      <c r="AA69" s="312" t="str">
        <f>IF(OR(TABLERO!AU69="",TABLERO!AU69=0),"",TABLERO!AU69)</f>
        <v/>
      </c>
      <c r="AB69" s="312" t="str">
        <f>IF(OR(TABLERO!AV69="",TABLERO!AV69=0),"",TABLERO!AV69)</f>
        <v/>
      </c>
      <c r="AC69" s="312" t="str">
        <f>IF(OR(TABLERO!AW69="",TABLERO!AW69=0),"",TABLERO!AW69)</f>
        <v/>
      </c>
      <c r="AD69" s="312" t="str">
        <f>IF(OR(TABLERO!AX69="",TABLERO!AX69=0),"",TABLERO!AX69)</f>
        <v/>
      </c>
      <c r="AE69" s="312" t="str">
        <f>IF(OR(TABLERO!AY69="",TABLERO!AY69=0),"",TABLERO!AY69)</f>
        <v/>
      </c>
      <c r="AF69" s="312" t="str">
        <f>IF(OR(TABLERO!AZ69="",TABLERO!AZ69=0),"",TABLERO!AZ69)</f>
        <v/>
      </c>
      <c r="AG69" s="312" t="str">
        <f>IF(OR(TABLERO!BA69="",TABLERO!BA69=0),"",TABLERO!BA69)</f>
        <v/>
      </c>
      <c r="AH69" s="277" t="str">
        <f>IF(TABLERO!BB69=0,"",FIXED(IF(TABLERO!$F$17&lt;&gt;"KVA",TABLERO!BB69*1000,TABLERO!BB69*1000/TABLERO!DA69),2))</f>
        <v/>
      </c>
      <c r="AI69" s="277" t="str">
        <f>IF(TABLERO!BB69=0,"",FIXED(IF(TABLERO!$F$17&lt;&gt;"KVA",TABLERO!BT69*1000,TABLERO!BT69*1000/TABLERO!DA69),2))</f>
        <v/>
      </c>
      <c r="AJ69" s="272" t="str">
        <f>IF(OR(TABLERO!BU69="",TABLERO!BU69=0),"",FIXED(TABLERO!BU69,2))</f>
        <v/>
      </c>
      <c r="AK69" s="312" t="str">
        <f>IF(TABLERO!BB69=0,"",TABLERO!F69)</f>
        <v/>
      </c>
      <c r="AL69" s="312" t="str">
        <f>IF(TABLERO!BB69=0,"",TABLERO!G69)</f>
        <v/>
      </c>
      <c r="AM69" s="312" t="str">
        <f>IF(TABLERO!BB69=0,"",TABLERO!BV69)</f>
        <v/>
      </c>
      <c r="AN69" s="272" t="str">
        <f>IF(TABLERO!BB69=0,"",TABLERO!K69)</f>
        <v/>
      </c>
      <c r="AO69" s="312" t="str">
        <f>IF(TABLERO!BB69=0,"",TABLERO!J69)</f>
        <v/>
      </c>
      <c r="AP69" s="272" t="str">
        <f>IF(TABLERO!BB69=0,"",TABLERO!CT69)</f>
        <v/>
      </c>
      <c r="AQ69" s="272" t="str">
        <f>IF(TABLERO!BB69=0,"",TABLERO!CS69)</f>
        <v/>
      </c>
      <c r="AR69" s="272" t="str">
        <f>IF(OR(TABLERO!BB69=0,TABLERO!H69="RE"),"",FIXED(TABLERO!CY69,2))</f>
        <v/>
      </c>
      <c r="AS69" s="312" t="str">
        <f>IF(TABLERO!BB69=0,"",TABLERO!N69)</f>
        <v/>
      </c>
      <c r="AT69" s="1164" t="str">
        <f>IF(TABLERO!BB69=0,"",TABLERO!BX69&amp;" "&amp;TABLERO!ED69&amp;", "&amp;TABLERO!I69)</f>
        <v/>
      </c>
      <c r="AU69" s="1165"/>
      <c r="AV69" s="272" t="str">
        <f>IF(OR(TABLERO!BB69=0,TABLERO!H69="RE"),"",FIXED(TABLERO!BZ69,2))</f>
        <v/>
      </c>
      <c r="AW69" s="312" t="str">
        <f>IF(TABLERO!BB69=0,"",TABLERO!CA69)</f>
        <v/>
      </c>
      <c r="AX69" s="271" t="str">
        <f>IF(TABLERO!BB69=0,"",TABLERO!CB69)</f>
        <v/>
      </c>
      <c r="AY69" s="272" t="str">
        <f>IF(OR(TABLERO!BB69=0,TABLERO!H69="RE"),"",FIXED(TABLERO!DL69,2))</f>
        <v/>
      </c>
      <c r="AZ69" s="310" t="str">
        <f>IF(OR(TABLERO!BB69=0,TABLERO!H69="RE"),"",TABLERO!F69&amp;"P-"&amp;TABLERO!BW69&amp;"A")</f>
        <v/>
      </c>
      <c r="BA69" s="272" t="str">
        <f>IF(TABLERO!$BB69=0,"",IF(TABLERO!CI69="-","     -     ",FIXED(IF(TABLERO!$F$17&lt;&gt;"KVA",TABLERO!CI69,TABLERO!CI69/TABLERO!$F$14),2)))</f>
        <v/>
      </c>
      <c r="BB69" s="272" t="str">
        <f>IF(TABLERO!$BB69=0,"",IF(TABLERO!CJ69="-","     -     ",FIXED(IF(TABLERO!$F$17&lt;&gt;"KVA",TABLERO!CJ69,TABLERO!CJ69/TABLERO!$F$14),2)))</f>
        <v/>
      </c>
      <c r="BC69" s="272" t="str">
        <f>IF(TABLERO!$BB69=0,"",IF(TABLERO!CK69="-","     -     ",FIXED(IF(TABLERO!$F$17&lt;&gt;"KVA",TABLERO!CK69,TABLERO!CK69/TABLERO!$F$14),2)))</f>
        <v/>
      </c>
      <c r="BG69" s="275">
        <f>IF(TABLERO!B69="",0,TABLERO!B69)</f>
        <v>39</v>
      </c>
      <c r="BH69" s="275"/>
      <c r="BI69" s="275"/>
      <c r="BK69" s="275"/>
      <c r="BL69" s="289" t="str" cm="1">
        <f t="array" ref="BL69">[1]!ACAELE_LineaCAD(A69)</f>
        <v>++++++++++++++++++++++++++++++2</v>
      </c>
      <c r="BM69" s="279" t="str">
        <f t="shared" si="4"/>
        <v>39+</v>
      </c>
      <c r="BN69" s="304"/>
      <c r="BO69" s="304"/>
      <c r="BP69" s="304"/>
      <c r="BQ69" s="304"/>
      <c r="BR69" s="304"/>
      <c r="BS69" s="304"/>
      <c r="BT69" s="304"/>
      <c r="BU69" s="304"/>
      <c r="BV69" s="304"/>
      <c r="BW69" s="304"/>
      <c r="BX69" s="304"/>
      <c r="BY69" s="304"/>
      <c r="BZ69" s="304"/>
      <c r="CA69" s="304"/>
      <c r="CB69" s="304"/>
      <c r="CC69" s="304"/>
      <c r="CD69" s="304"/>
      <c r="CE69" s="304"/>
      <c r="CF69" s="304"/>
      <c r="CG69" s="304"/>
      <c r="CH69" s="304"/>
      <c r="CI69" s="304"/>
      <c r="CJ69" s="304"/>
      <c r="CK69" s="304"/>
      <c r="CL69" s="304"/>
      <c r="CM69" s="304"/>
      <c r="CN69" s="304"/>
      <c r="CO69" s="304"/>
      <c r="CP69" s="304"/>
      <c r="CQ69" s="304"/>
      <c r="CR69" s="305" t="str" cm="1">
        <f t="array" ref="CR69">CONCATENATE(BM69,_xlfn.TEXTJOIN("",TRUE,IF(BN$129:CQ$129&lt;&gt;"","+"&amp;D69:AG69,"")))</f>
        <v>39+</v>
      </c>
      <c r="CS69" s="279">
        <f t="shared" si="5"/>
        <v>30</v>
      </c>
      <c r="CT69" s="279" t="str">
        <f t="shared" si="3"/>
        <v>+++++++++++++++++++++++++++++++</v>
      </c>
      <c r="CU69" s="291" t="str">
        <f t="shared" si="7"/>
        <v>39++++++++++++++++++++++++++++++++2</v>
      </c>
      <c r="GB69" s="279" t="s">
        <v>1954</v>
      </c>
    </row>
    <row r="70" spans="1:184">
      <c r="A70" s="275">
        <f>IF(C70&lt;&gt;"",1,IF(AH70="",2,IF(OR(IF(TABLERO!B70="",0,TABLERO!B70)&gt;TABLERO!$M$19,IF(TABLERO!C70="",IF(TABLERO!B70="",0,TABLERO!B70),TABLERO!C70)&gt;TABLERO!$M$19,BI70&gt;TABLERO!$M$19,IF(TABLERO!B70="",0,TABLERO!B70)=0,IF(TABLERO!C70="",BG70,TABLERO!C70)=0,IF(TABLERO!D70="",BG70,TABLERO!D70)=0),2,1)))</f>
        <v>2</v>
      </c>
      <c r="B70" s="276" t="str">
        <f>TABLERO!B70&amp;IF(TABLERO!C70="","",","&amp;TABLERO!C70)&amp;IF(TABLERO!D70="","",","&amp;TABLERO!D70)</f>
        <v>40</v>
      </c>
      <c r="C70" s="269" t="str">
        <f>IF(TABLERO!E70=0,"",TABLERO!E70)</f>
        <v/>
      </c>
      <c r="D70" s="312" t="str">
        <f>IF(OR(TABLERO!X70="",TABLERO!X70=0),"",TABLERO!X70)</f>
        <v/>
      </c>
      <c r="E70" s="312" t="str">
        <f>IF(OR(TABLERO!Y70="",TABLERO!Y70=0),"",TABLERO!Y70)</f>
        <v/>
      </c>
      <c r="F70" s="312" t="str">
        <f>IF(OR(TABLERO!Z70="",TABLERO!Z70=0),"",TABLERO!Z70)</f>
        <v/>
      </c>
      <c r="G70" s="312" t="str">
        <f>IF(OR(TABLERO!AA70="",TABLERO!AA70=0),"",TABLERO!AA70)</f>
        <v/>
      </c>
      <c r="H70" s="312" t="str">
        <f>IF(OR(TABLERO!AB70="",TABLERO!AB70=0),"",TABLERO!AB70)</f>
        <v/>
      </c>
      <c r="I70" s="312" t="str">
        <f>IF(OR(TABLERO!AC70="",TABLERO!AC70=0),"",TABLERO!AC70)</f>
        <v/>
      </c>
      <c r="J70" s="312" t="str">
        <f>IF(OR(TABLERO!AD70="",TABLERO!AD70=0),"",TABLERO!AD70)</f>
        <v/>
      </c>
      <c r="K70" s="312" t="str">
        <f>IF(OR(TABLERO!AE70="",TABLERO!AE70=0),"",TABLERO!AE70)</f>
        <v/>
      </c>
      <c r="L70" s="312" t="str">
        <f>IF(OR(TABLERO!AF70="",TABLERO!AF70=0),"",TABLERO!AF70)</f>
        <v/>
      </c>
      <c r="M70" s="312" t="str">
        <f>IF(OR(TABLERO!AG70="",TABLERO!AG70=0),"",TABLERO!AG70)</f>
        <v/>
      </c>
      <c r="N70" s="312" t="str">
        <f>IF(OR(TABLERO!AH70="",TABLERO!AH70=0),"",TABLERO!AH70)</f>
        <v/>
      </c>
      <c r="O70" s="312" t="str">
        <f>IF(OR(TABLERO!AI70="",TABLERO!AI70=0),"",TABLERO!AI70)</f>
        <v/>
      </c>
      <c r="P70" s="312" t="str">
        <f>IF(OR(TABLERO!AJ70="",TABLERO!AJ70=0),"",TABLERO!AJ70)</f>
        <v/>
      </c>
      <c r="Q70" s="312" t="str">
        <f>IF(OR(TABLERO!AK70="",TABLERO!AK70=0),"",TABLERO!AK70)</f>
        <v/>
      </c>
      <c r="R70" s="312" t="str">
        <f>IF(OR(TABLERO!AL70="",TABLERO!AL70=0),"",TABLERO!AL70)</f>
        <v/>
      </c>
      <c r="S70" s="312" t="str">
        <f>IF(OR(TABLERO!AM70="",TABLERO!AM70=0),"",TABLERO!AM70)</f>
        <v/>
      </c>
      <c r="T70" s="312" t="str">
        <f>IF(OR(TABLERO!AN70="",TABLERO!AN70=0),"",TABLERO!AN70)</f>
        <v/>
      </c>
      <c r="U70" s="312" t="str">
        <f>IF(OR(TABLERO!AO70="",TABLERO!AO70=0),"",TABLERO!AO70)</f>
        <v/>
      </c>
      <c r="V70" s="312" t="str">
        <f>IF(OR(TABLERO!AP70="",TABLERO!AP70=0),"",TABLERO!AP70)</f>
        <v/>
      </c>
      <c r="W70" s="312" t="str">
        <f>IF(OR(TABLERO!AQ70="",TABLERO!AQ70=0),"",TABLERO!AQ70)</f>
        <v/>
      </c>
      <c r="X70" s="312" t="str">
        <f>IF(OR(TABLERO!AR70="",TABLERO!AR70=0),"",TABLERO!AR70)</f>
        <v/>
      </c>
      <c r="Y70" s="312" t="str">
        <f>IF(OR(TABLERO!AS70="",TABLERO!AS70=0),"",TABLERO!AS70)</f>
        <v/>
      </c>
      <c r="Z70" s="312" t="str">
        <f>IF(OR(TABLERO!AT70="",TABLERO!AT70=0),"",TABLERO!AT70)</f>
        <v/>
      </c>
      <c r="AA70" s="312" t="str">
        <f>IF(OR(TABLERO!AU70="",TABLERO!AU70=0),"",TABLERO!AU70)</f>
        <v/>
      </c>
      <c r="AB70" s="312" t="str">
        <f>IF(OR(TABLERO!AV70="",TABLERO!AV70=0),"",TABLERO!AV70)</f>
        <v/>
      </c>
      <c r="AC70" s="312" t="str">
        <f>IF(OR(TABLERO!AW70="",TABLERO!AW70=0),"",TABLERO!AW70)</f>
        <v/>
      </c>
      <c r="AD70" s="312" t="str">
        <f>IF(OR(TABLERO!AX70="",TABLERO!AX70=0),"",TABLERO!AX70)</f>
        <v/>
      </c>
      <c r="AE70" s="312" t="str">
        <f>IF(OR(TABLERO!AY70="",TABLERO!AY70=0),"",TABLERO!AY70)</f>
        <v/>
      </c>
      <c r="AF70" s="312" t="str">
        <f>IF(OR(TABLERO!AZ70="",TABLERO!AZ70=0),"",TABLERO!AZ70)</f>
        <v/>
      </c>
      <c r="AG70" s="312" t="str">
        <f>IF(OR(TABLERO!BA70="",TABLERO!BA70=0),"",TABLERO!BA70)</f>
        <v/>
      </c>
      <c r="AH70" s="277" t="str">
        <f>IF(TABLERO!BB70=0,"",FIXED(IF(TABLERO!$F$17&lt;&gt;"KVA",TABLERO!BB70*1000,TABLERO!BB70*1000/TABLERO!DA70),2))</f>
        <v/>
      </c>
      <c r="AI70" s="277" t="str">
        <f>IF(TABLERO!BB70=0,"",FIXED(IF(TABLERO!$F$17&lt;&gt;"KVA",TABLERO!BT70*1000,TABLERO!BT70*1000/TABLERO!DA70),2))</f>
        <v/>
      </c>
      <c r="AJ70" s="272" t="str">
        <f>IF(OR(TABLERO!BU70="",TABLERO!BU70=0),"",FIXED(TABLERO!BU70,2))</f>
        <v/>
      </c>
      <c r="AK70" s="312" t="str">
        <f>IF(TABLERO!BB70=0,"",TABLERO!F70)</f>
        <v/>
      </c>
      <c r="AL70" s="312" t="str">
        <f>IF(TABLERO!BB70=0,"",TABLERO!G70)</f>
        <v/>
      </c>
      <c r="AM70" s="312" t="str">
        <f>IF(TABLERO!BB70=0,"",TABLERO!BV70)</f>
        <v/>
      </c>
      <c r="AN70" s="272" t="str">
        <f>IF(TABLERO!BB70=0,"",TABLERO!K70)</f>
        <v/>
      </c>
      <c r="AO70" s="312" t="str">
        <f>IF(TABLERO!BB70=0,"",TABLERO!J70)</f>
        <v/>
      </c>
      <c r="AP70" s="272" t="str">
        <f>IF(TABLERO!BB70=0,"",TABLERO!CT70)</f>
        <v/>
      </c>
      <c r="AQ70" s="272" t="str">
        <f>IF(TABLERO!BB70=0,"",TABLERO!CS70)</f>
        <v/>
      </c>
      <c r="AR70" s="272" t="str">
        <f>IF(OR(TABLERO!BB70=0,TABLERO!H70="RE"),"",FIXED(TABLERO!CY70,2))</f>
        <v/>
      </c>
      <c r="AS70" s="312" t="str">
        <f>IF(TABLERO!BB70=0,"",TABLERO!N70)</f>
        <v/>
      </c>
      <c r="AT70" s="1164" t="str">
        <f>IF(TABLERO!BB70=0,"",TABLERO!BX70&amp;" "&amp;TABLERO!ED70&amp;", "&amp;TABLERO!I70)</f>
        <v/>
      </c>
      <c r="AU70" s="1165"/>
      <c r="AV70" s="272" t="str">
        <f>IF(OR(TABLERO!BB70=0,TABLERO!H70="RE"),"",FIXED(TABLERO!BZ70,2))</f>
        <v/>
      </c>
      <c r="AW70" s="312" t="str">
        <f>IF(TABLERO!BB70=0,"",TABLERO!CA70)</f>
        <v/>
      </c>
      <c r="AX70" s="271" t="str">
        <f>IF(TABLERO!BB70=0,"",TABLERO!CB70)</f>
        <v/>
      </c>
      <c r="AY70" s="272" t="str">
        <f>IF(OR(TABLERO!BB70=0,TABLERO!H70="RE"),"",FIXED(TABLERO!DL70,2))</f>
        <v/>
      </c>
      <c r="AZ70" s="310" t="str">
        <f>IF(OR(TABLERO!BB70=0,TABLERO!H70="RE"),"",TABLERO!F70&amp;"P-"&amp;TABLERO!BW70&amp;"A")</f>
        <v/>
      </c>
      <c r="BA70" s="272" t="str">
        <f>IF(TABLERO!$BB70=0,"",IF(TABLERO!CI70="-","     -     ",FIXED(IF(TABLERO!$F$17&lt;&gt;"KVA",TABLERO!CI70,TABLERO!CI70/TABLERO!$F$14),2)))</f>
        <v/>
      </c>
      <c r="BB70" s="272" t="str">
        <f>IF(TABLERO!$BB70=0,"",IF(TABLERO!CJ70="-","     -     ",FIXED(IF(TABLERO!$F$17&lt;&gt;"KVA",TABLERO!CJ70,TABLERO!CJ70/TABLERO!$F$14),2)))</f>
        <v/>
      </c>
      <c r="BC70" s="272" t="str">
        <f>IF(TABLERO!$BB70=0,"",IF(TABLERO!CK70="-","     -     ",FIXED(IF(TABLERO!$F$17&lt;&gt;"KVA",TABLERO!CK70,TABLERO!CK70/TABLERO!$F$14),2)))</f>
        <v/>
      </c>
      <c r="BG70" s="275">
        <f>IF(TABLERO!B70="",0,TABLERO!B70)</f>
        <v>40</v>
      </c>
      <c r="BH70" s="275"/>
      <c r="BI70" s="275"/>
      <c r="BK70" s="275"/>
      <c r="BL70" s="289" t="str" cm="1">
        <f t="array" ref="BL70">[1]!ACAELE_LineaCAD(A70)</f>
        <v>++++++++++++++++++++++++++++++2</v>
      </c>
      <c r="BM70" s="279" t="str">
        <f t="shared" si="4"/>
        <v>40+</v>
      </c>
      <c r="BN70" s="304"/>
      <c r="BO70" s="304"/>
      <c r="BP70" s="304"/>
      <c r="BQ70" s="304"/>
      <c r="BR70" s="304"/>
      <c r="BS70" s="304"/>
      <c r="BT70" s="304"/>
      <c r="BU70" s="304"/>
      <c r="BV70" s="304"/>
      <c r="BW70" s="304"/>
      <c r="BX70" s="304"/>
      <c r="BY70" s="304"/>
      <c r="BZ70" s="304"/>
      <c r="CA70" s="304"/>
      <c r="CB70" s="304"/>
      <c r="CC70" s="304"/>
      <c r="CD70" s="304"/>
      <c r="CE70" s="304"/>
      <c r="CF70" s="304"/>
      <c r="CG70" s="304"/>
      <c r="CH70" s="304"/>
      <c r="CI70" s="304"/>
      <c r="CJ70" s="304"/>
      <c r="CK70" s="304"/>
      <c r="CL70" s="304"/>
      <c r="CM70" s="304"/>
      <c r="CN70" s="304"/>
      <c r="CO70" s="304"/>
      <c r="CP70" s="304"/>
      <c r="CQ70" s="304"/>
      <c r="CR70" s="305" t="str" cm="1">
        <f t="array" ref="CR70">CONCATENATE(BM70,_xlfn.TEXTJOIN("",TRUE,IF(BN$129:CQ$129&lt;&gt;"","+"&amp;D70:AG70,"")))</f>
        <v>40+</v>
      </c>
      <c r="CS70" s="279">
        <f t="shared" si="5"/>
        <v>30</v>
      </c>
      <c r="CT70" s="279" t="str">
        <f t="shared" si="3"/>
        <v>+++++++++++++++++++++++++++++++</v>
      </c>
      <c r="CU70" s="291" t="str">
        <f t="shared" si="7"/>
        <v>40++++++++++++++++++++++++++++++++2</v>
      </c>
      <c r="GB70" s="279" t="s">
        <v>1955</v>
      </c>
    </row>
    <row r="71" spans="1:184">
      <c r="A71" s="275">
        <f>IF(C71&lt;&gt;"",1,IF(AH71="",2,IF(OR(IF(TABLERO!B71="",0,TABLERO!B71)&gt;TABLERO!$M$19,IF(TABLERO!C71="",IF(TABLERO!B71="",0,TABLERO!B71),TABLERO!C71)&gt;TABLERO!$M$19,BI71&gt;TABLERO!$M$19,IF(TABLERO!B71="",0,TABLERO!B71)=0,IF(TABLERO!C71="",BG71,TABLERO!C71)=0,IF(TABLERO!D71="",BG71,TABLERO!D71)=0),2,1)))</f>
        <v>2</v>
      </c>
      <c r="B71" s="276" t="str">
        <f>TABLERO!B71&amp;IF(TABLERO!C71="","",","&amp;TABLERO!C71)&amp;IF(TABLERO!D71="","",","&amp;TABLERO!D71)</f>
        <v>41</v>
      </c>
      <c r="C71" s="269" t="str">
        <f>IF(TABLERO!E71=0,"",TABLERO!E71)</f>
        <v/>
      </c>
      <c r="D71" s="312" t="str">
        <f>IF(OR(TABLERO!X71="",TABLERO!X71=0),"",TABLERO!X71)</f>
        <v/>
      </c>
      <c r="E71" s="312" t="str">
        <f>IF(OR(TABLERO!Y71="",TABLERO!Y71=0),"",TABLERO!Y71)</f>
        <v/>
      </c>
      <c r="F71" s="312" t="str">
        <f>IF(OR(TABLERO!Z71="",TABLERO!Z71=0),"",TABLERO!Z71)</f>
        <v/>
      </c>
      <c r="G71" s="312" t="str">
        <f>IF(OR(TABLERO!AA71="",TABLERO!AA71=0),"",TABLERO!AA71)</f>
        <v/>
      </c>
      <c r="H71" s="312" t="str">
        <f>IF(OR(TABLERO!AB71="",TABLERO!AB71=0),"",TABLERO!AB71)</f>
        <v/>
      </c>
      <c r="I71" s="312" t="str">
        <f>IF(OR(TABLERO!AC71="",TABLERO!AC71=0),"",TABLERO!AC71)</f>
        <v/>
      </c>
      <c r="J71" s="312" t="str">
        <f>IF(OR(TABLERO!AD71="",TABLERO!AD71=0),"",TABLERO!AD71)</f>
        <v/>
      </c>
      <c r="K71" s="312" t="str">
        <f>IF(OR(TABLERO!AE71="",TABLERO!AE71=0),"",TABLERO!AE71)</f>
        <v/>
      </c>
      <c r="L71" s="312" t="str">
        <f>IF(OR(TABLERO!AF71="",TABLERO!AF71=0),"",TABLERO!AF71)</f>
        <v/>
      </c>
      <c r="M71" s="312" t="str">
        <f>IF(OR(TABLERO!AG71="",TABLERO!AG71=0),"",TABLERO!AG71)</f>
        <v/>
      </c>
      <c r="N71" s="312" t="str">
        <f>IF(OR(TABLERO!AH71="",TABLERO!AH71=0),"",TABLERO!AH71)</f>
        <v/>
      </c>
      <c r="O71" s="312" t="str">
        <f>IF(OR(TABLERO!AI71="",TABLERO!AI71=0),"",TABLERO!AI71)</f>
        <v/>
      </c>
      <c r="P71" s="312" t="str">
        <f>IF(OR(TABLERO!AJ71="",TABLERO!AJ71=0),"",TABLERO!AJ71)</f>
        <v/>
      </c>
      <c r="Q71" s="312" t="str">
        <f>IF(OR(TABLERO!AK71="",TABLERO!AK71=0),"",TABLERO!AK71)</f>
        <v/>
      </c>
      <c r="R71" s="312" t="str">
        <f>IF(OR(TABLERO!AL71="",TABLERO!AL71=0),"",TABLERO!AL71)</f>
        <v/>
      </c>
      <c r="S71" s="312" t="str">
        <f>IF(OR(TABLERO!AM71="",TABLERO!AM71=0),"",TABLERO!AM71)</f>
        <v/>
      </c>
      <c r="T71" s="312" t="str">
        <f>IF(OR(TABLERO!AN71="",TABLERO!AN71=0),"",TABLERO!AN71)</f>
        <v/>
      </c>
      <c r="U71" s="312" t="str">
        <f>IF(OR(TABLERO!AO71="",TABLERO!AO71=0),"",TABLERO!AO71)</f>
        <v/>
      </c>
      <c r="V71" s="312" t="str">
        <f>IF(OR(TABLERO!AP71="",TABLERO!AP71=0),"",TABLERO!AP71)</f>
        <v/>
      </c>
      <c r="W71" s="312" t="str">
        <f>IF(OR(TABLERO!AQ71="",TABLERO!AQ71=0),"",TABLERO!AQ71)</f>
        <v/>
      </c>
      <c r="X71" s="312" t="str">
        <f>IF(OR(TABLERO!AR71="",TABLERO!AR71=0),"",TABLERO!AR71)</f>
        <v/>
      </c>
      <c r="Y71" s="312" t="str">
        <f>IF(OR(TABLERO!AS71="",TABLERO!AS71=0),"",TABLERO!AS71)</f>
        <v/>
      </c>
      <c r="Z71" s="312" t="str">
        <f>IF(OR(TABLERO!AT71="",TABLERO!AT71=0),"",TABLERO!AT71)</f>
        <v/>
      </c>
      <c r="AA71" s="312" t="str">
        <f>IF(OR(TABLERO!AU71="",TABLERO!AU71=0),"",TABLERO!AU71)</f>
        <v/>
      </c>
      <c r="AB71" s="312" t="str">
        <f>IF(OR(TABLERO!AV71="",TABLERO!AV71=0),"",TABLERO!AV71)</f>
        <v/>
      </c>
      <c r="AC71" s="312" t="str">
        <f>IF(OR(TABLERO!AW71="",TABLERO!AW71=0),"",TABLERO!AW71)</f>
        <v/>
      </c>
      <c r="AD71" s="312" t="str">
        <f>IF(OR(TABLERO!AX71="",TABLERO!AX71=0),"",TABLERO!AX71)</f>
        <v/>
      </c>
      <c r="AE71" s="312" t="str">
        <f>IF(OR(TABLERO!AY71="",TABLERO!AY71=0),"",TABLERO!AY71)</f>
        <v/>
      </c>
      <c r="AF71" s="312" t="str">
        <f>IF(OR(TABLERO!AZ71="",TABLERO!AZ71=0),"",TABLERO!AZ71)</f>
        <v/>
      </c>
      <c r="AG71" s="312" t="str">
        <f>IF(OR(TABLERO!BA71="",TABLERO!BA71=0),"",TABLERO!BA71)</f>
        <v/>
      </c>
      <c r="AH71" s="277" t="str">
        <f>IF(TABLERO!BB71=0,"",FIXED(IF(TABLERO!$F$17&lt;&gt;"KVA",TABLERO!BB71*1000,TABLERO!BB71*1000/TABLERO!DA71),2))</f>
        <v/>
      </c>
      <c r="AI71" s="277" t="str">
        <f>IF(TABLERO!BB71=0,"",FIXED(IF(TABLERO!$F$17&lt;&gt;"KVA",TABLERO!BT71*1000,TABLERO!BT71*1000/TABLERO!DA71),2))</f>
        <v/>
      </c>
      <c r="AJ71" s="272" t="str">
        <f>IF(OR(TABLERO!BU71="",TABLERO!BU71=0),"",FIXED(TABLERO!BU71,2))</f>
        <v/>
      </c>
      <c r="AK71" s="312" t="str">
        <f>IF(TABLERO!BB71=0,"",TABLERO!F71)</f>
        <v/>
      </c>
      <c r="AL71" s="312" t="str">
        <f>IF(TABLERO!BB71=0,"",TABLERO!G71)</f>
        <v/>
      </c>
      <c r="AM71" s="312" t="str">
        <f>IF(TABLERO!BB71=0,"",TABLERO!BV71)</f>
        <v/>
      </c>
      <c r="AN71" s="272" t="str">
        <f>IF(TABLERO!BB71=0,"",TABLERO!K71)</f>
        <v/>
      </c>
      <c r="AO71" s="312" t="str">
        <f>IF(TABLERO!BB71=0,"",TABLERO!J71)</f>
        <v/>
      </c>
      <c r="AP71" s="272" t="str">
        <f>IF(TABLERO!BB71=0,"",TABLERO!CT71)</f>
        <v/>
      </c>
      <c r="AQ71" s="272" t="str">
        <f>IF(TABLERO!BB71=0,"",TABLERO!CS71)</f>
        <v/>
      </c>
      <c r="AR71" s="272" t="str">
        <f>IF(OR(TABLERO!BB71=0,TABLERO!H71="RE"),"",FIXED(TABLERO!CY71,2))</f>
        <v/>
      </c>
      <c r="AS71" s="312" t="str">
        <f>IF(TABLERO!BB71=0,"",TABLERO!N71)</f>
        <v/>
      </c>
      <c r="AT71" s="1164" t="str">
        <f>IF(TABLERO!BB71=0,"",TABLERO!BX71&amp;" "&amp;TABLERO!ED71&amp;", "&amp;TABLERO!I71)</f>
        <v/>
      </c>
      <c r="AU71" s="1165"/>
      <c r="AV71" s="272" t="str">
        <f>IF(OR(TABLERO!BB71=0,TABLERO!H71="RE"),"",FIXED(TABLERO!BZ71,2))</f>
        <v/>
      </c>
      <c r="AW71" s="312" t="str">
        <f>IF(TABLERO!BB71=0,"",TABLERO!CA71)</f>
        <v/>
      </c>
      <c r="AX71" s="271" t="str">
        <f>IF(TABLERO!BB71=0,"",TABLERO!CB71)</f>
        <v/>
      </c>
      <c r="AY71" s="272" t="str">
        <f>IF(OR(TABLERO!BB71=0,TABLERO!H71="RE"),"",FIXED(TABLERO!DL71,2))</f>
        <v/>
      </c>
      <c r="AZ71" s="310" t="str">
        <f>IF(OR(TABLERO!BB71=0,TABLERO!H71="RE"),"",TABLERO!F71&amp;"P-"&amp;TABLERO!BW71&amp;"A")</f>
        <v/>
      </c>
      <c r="BA71" s="272" t="str">
        <f>IF(TABLERO!$BB71=0,"",IF(TABLERO!CI71="-","     -     ",FIXED(IF(TABLERO!$F$17&lt;&gt;"KVA",TABLERO!CI71,TABLERO!CI71/TABLERO!$F$14),2)))</f>
        <v/>
      </c>
      <c r="BB71" s="272" t="str">
        <f>IF(TABLERO!$BB71=0,"",IF(TABLERO!CJ71="-","     -     ",FIXED(IF(TABLERO!$F$17&lt;&gt;"KVA",TABLERO!CJ71,TABLERO!CJ71/TABLERO!$F$14),2)))</f>
        <v/>
      </c>
      <c r="BC71" s="272" t="str">
        <f>IF(TABLERO!$BB71=0,"",IF(TABLERO!CK71="-","     -     ",FIXED(IF(TABLERO!$F$17&lt;&gt;"KVA",TABLERO!CK71,TABLERO!CK71/TABLERO!$F$14),2)))</f>
        <v/>
      </c>
      <c r="BG71" s="275">
        <f>IF(TABLERO!B71="",0,TABLERO!B71)</f>
        <v>41</v>
      </c>
      <c r="BH71" s="275"/>
      <c r="BI71" s="275"/>
      <c r="BK71" s="275"/>
      <c r="BL71" s="289" t="str" cm="1">
        <f t="array" ref="BL71">[1]!ACAELE_LineaCAD(A71)</f>
        <v>++++++++++++++++++++++++++++++2</v>
      </c>
      <c r="BM71" s="279" t="str">
        <f t="shared" si="4"/>
        <v>41+</v>
      </c>
      <c r="BN71" s="304"/>
      <c r="BO71" s="304"/>
      <c r="BP71" s="304"/>
      <c r="BQ71" s="304"/>
      <c r="BR71" s="304"/>
      <c r="BS71" s="304"/>
      <c r="BT71" s="304"/>
      <c r="BU71" s="304"/>
      <c r="BV71" s="304"/>
      <c r="BW71" s="304"/>
      <c r="BX71" s="304"/>
      <c r="BY71" s="304"/>
      <c r="BZ71" s="304"/>
      <c r="CA71" s="304"/>
      <c r="CB71" s="304"/>
      <c r="CC71" s="304"/>
      <c r="CD71" s="304"/>
      <c r="CE71" s="304"/>
      <c r="CF71" s="304"/>
      <c r="CG71" s="304"/>
      <c r="CH71" s="304"/>
      <c r="CI71" s="304"/>
      <c r="CJ71" s="304"/>
      <c r="CK71" s="304"/>
      <c r="CL71" s="304"/>
      <c r="CM71" s="304"/>
      <c r="CN71" s="304"/>
      <c r="CO71" s="304"/>
      <c r="CP71" s="304"/>
      <c r="CQ71" s="304"/>
      <c r="CR71" s="305" t="str" cm="1">
        <f t="array" ref="CR71">CONCATENATE(BM71,_xlfn.TEXTJOIN("",TRUE,IF(BN$129:CQ$129&lt;&gt;"","+"&amp;D71:AG71,"")))</f>
        <v>41+</v>
      </c>
      <c r="CS71" s="279">
        <f t="shared" si="5"/>
        <v>30</v>
      </c>
      <c r="CT71" s="279" t="str">
        <f t="shared" si="3"/>
        <v>+++++++++++++++++++++++++++++++</v>
      </c>
      <c r="CU71" s="291" t="str">
        <f t="shared" si="7"/>
        <v>41++++++++++++++++++++++++++++++++2</v>
      </c>
      <c r="GB71" s="279" t="s">
        <v>1956</v>
      </c>
    </row>
    <row r="72" spans="1:184">
      <c r="A72" s="275">
        <f>IF(C72&lt;&gt;"",1,IF(AH72="",2,IF(OR(IF(TABLERO!B72="",0,TABLERO!B72)&gt;TABLERO!$M$19,IF(TABLERO!C72="",IF(TABLERO!B72="",0,TABLERO!B72),TABLERO!C72)&gt;TABLERO!$M$19,BI72&gt;TABLERO!$M$19,IF(TABLERO!B72="",0,TABLERO!B72)=0,IF(TABLERO!C72="",BG72,TABLERO!C72)=0,IF(TABLERO!D72="",BG72,TABLERO!D72)=0),2,1)))</f>
        <v>2</v>
      </c>
      <c r="B72" s="276" t="str">
        <f>TABLERO!B72&amp;IF(TABLERO!C72="","",","&amp;TABLERO!C72)&amp;IF(TABLERO!D72="","",","&amp;TABLERO!D72)</f>
        <v>42</v>
      </c>
      <c r="C72" s="269" t="str">
        <f>IF(TABLERO!E72=0,"",TABLERO!E72)</f>
        <v/>
      </c>
      <c r="D72" s="312" t="str">
        <f>IF(OR(TABLERO!X72="",TABLERO!X72=0),"",TABLERO!X72)</f>
        <v/>
      </c>
      <c r="E72" s="312" t="str">
        <f>IF(OR(TABLERO!Y72="",TABLERO!Y72=0),"",TABLERO!Y72)</f>
        <v/>
      </c>
      <c r="F72" s="312" t="str">
        <f>IF(OR(TABLERO!Z72="",TABLERO!Z72=0),"",TABLERO!Z72)</f>
        <v/>
      </c>
      <c r="G72" s="312" t="str">
        <f>IF(OR(TABLERO!AA72="",TABLERO!AA72=0),"",TABLERO!AA72)</f>
        <v/>
      </c>
      <c r="H72" s="312" t="str">
        <f>IF(OR(TABLERO!AB72="",TABLERO!AB72=0),"",TABLERO!AB72)</f>
        <v/>
      </c>
      <c r="I72" s="312" t="str">
        <f>IF(OR(TABLERO!AC72="",TABLERO!AC72=0),"",TABLERO!AC72)</f>
        <v/>
      </c>
      <c r="J72" s="312" t="str">
        <f>IF(OR(TABLERO!AD72="",TABLERO!AD72=0),"",TABLERO!AD72)</f>
        <v/>
      </c>
      <c r="K72" s="312" t="str">
        <f>IF(OR(TABLERO!AE72="",TABLERO!AE72=0),"",TABLERO!AE72)</f>
        <v/>
      </c>
      <c r="L72" s="312" t="str">
        <f>IF(OR(TABLERO!AF72="",TABLERO!AF72=0),"",TABLERO!AF72)</f>
        <v/>
      </c>
      <c r="M72" s="312" t="str">
        <f>IF(OR(TABLERO!AG72="",TABLERO!AG72=0),"",TABLERO!AG72)</f>
        <v/>
      </c>
      <c r="N72" s="312" t="str">
        <f>IF(OR(TABLERO!AH72="",TABLERO!AH72=0),"",TABLERO!AH72)</f>
        <v/>
      </c>
      <c r="O72" s="312" t="str">
        <f>IF(OR(TABLERO!AI72="",TABLERO!AI72=0),"",TABLERO!AI72)</f>
        <v/>
      </c>
      <c r="P72" s="312" t="str">
        <f>IF(OR(TABLERO!AJ72="",TABLERO!AJ72=0),"",TABLERO!AJ72)</f>
        <v/>
      </c>
      <c r="Q72" s="312" t="str">
        <f>IF(OR(TABLERO!AK72="",TABLERO!AK72=0),"",TABLERO!AK72)</f>
        <v/>
      </c>
      <c r="R72" s="312" t="str">
        <f>IF(OR(TABLERO!AL72="",TABLERO!AL72=0),"",TABLERO!AL72)</f>
        <v/>
      </c>
      <c r="S72" s="312" t="str">
        <f>IF(OR(TABLERO!AM72="",TABLERO!AM72=0),"",TABLERO!AM72)</f>
        <v/>
      </c>
      <c r="T72" s="312" t="str">
        <f>IF(OR(TABLERO!AN72="",TABLERO!AN72=0),"",TABLERO!AN72)</f>
        <v/>
      </c>
      <c r="U72" s="312" t="str">
        <f>IF(OR(TABLERO!AO72="",TABLERO!AO72=0),"",TABLERO!AO72)</f>
        <v/>
      </c>
      <c r="V72" s="312" t="str">
        <f>IF(OR(TABLERO!AP72="",TABLERO!AP72=0),"",TABLERO!AP72)</f>
        <v/>
      </c>
      <c r="W72" s="312" t="str">
        <f>IF(OR(TABLERO!AQ72="",TABLERO!AQ72=0),"",TABLERO!AQ72)</f>
        <v/>
      </c>
      <c r="X72" s="312" t="str">
        <f>IF(OR(TABLERO!AR72="",TABLERO!AR72=0),"",TABLERO!AR72)</f>
        <v/>
      </c>
      <c r="Y72" s="312" t="str">
        <f>IF(OR(TABLERO!AS72="",TABLERO!AS72=0),"",TABLERO!AS72)</f>
        <v/>
      </c>
      <c r="Z72" s="312" t="str">
        <f>IF(OR(TABLERO!AT72="",TABLERO!AT72=0),"",TABLERO!AT72)</f>
        <v/>
      </c>
      <c r="AA72" s="312" t="str">
        <f>IF(OR(TABLERO!AU72="",TABLERO!AU72=0),"",TABLERO!AU72)</f>
        <v/>
      </c>
      <c r="AB72" s="312" t="str">
        <f>IF(OR(TABLERO!AV72="",TABLERO!AV72=0),"",TABLERO!AV72)</f>
        <v/>
      </c>
      <c r="AC72" s="312" t="str">
        <f>IF(OR(TABLERO!AW72="",TABLERO!AW72=0),"",TABLERO!AW72)</f>
        <v/>
      </c>
      <c r="AD72" s="312" t="str">
        <f>IF(OR(TABLERO!AX72="",TABLERO!AX72=0),"",TABLERO!AX72)</f>
        <v/>
      </c>
      <c r="AE72" s="312" t="str">
        <f>IF(OR(TABLERO!AY72="",TABLERO!AY72=0),"",TABLERO!AY72)</f>
        <v/>
      </c>
      <c r="AF72" s="312" t="str">
        <f>IF(OR(TABLERO!AZ72="",TABLERO!AZ72=0),"",TABLERO!AZ72)</f>
        <v/>
      </c>
      <c r="AG72" s="312" t="str">
        <f>IF(OR(TABLERO!BA72="",TABLERO!BA72=0),"",TABLERO!BA72)</f>
        <v/>
      </c>
      <c r="AH72" s="277" t="str">
        <f>IF(TABLERO!BB72=0,"",FIXED(IF(TABLERO!$F$17&lt;&gt;"KVA",TABLERO!BB72*1000,TABLERO!BB72*1000/TABLERO!DA72),2))</f>
        <v/>
      </c>
      <c r="AI72" s="277" t="str">
        <f>IF(TABLERO!BB72=0,"",FIXED(IF(TABLERO!$F$17&lt;&gt;"KVA",TABLERO!BT72*1000,TABLERO!BT72*1000/TABLERO!DA72),2))</f>
        <v/>
      </c>
      <c r="AJ72" s="272" t="str">
        <f>IF(OR(TABLERO!BU72="",TABLERO!BU72=0),"",FIXED(TABLERO!BU72,2))</f>
        <v/>
      </c>
      <c r="AK72" s="312" t="str">
        <f>IF(TABLERO!BB72=0,"",TABLERO!F72)</f>
        <v/>
      </c>
      <c r="AL72" s="312" t="str">
        <f>IF(TABLERO!BB72=0,"",TABLERO!G72)</f>
        <v/>
      </c>
      <c r="AM72" s="312" t="str">
        <f>IF(TABLERO!BB72=0,"",TABLERO!BV72)</f>
        <v/>
      </c>
      <c r="AN72" s="272" t="str">
        <f>IF(TABLERO!BB72=0,"",TABLERO!K72)</f>
        <v/>
      </c>
      <c r="AO72" s="312" t="str">
        <f>IF(TABLERO!BB72=0,"",TABLERO!J72)</f>
        <v/>
      </c>
      <c r="AP72" s="272" t="str">
        <f>IF(TABLERO!BB72=0,"",TABLERO!CT72)</f>
        <v/>
      </c>
      <c r="AQ72" s="272" t="str">
        <f>IF(TABLERO!BB72=0,"",TABLERO!CS72)</f>
        <v/>
      </c>
      <c r="AR72" s="272" t="str">
        <f>IF(OR(TABLERO!BB72=0,TABLERO!H72="RE"),"",FIXED(TABLERO!CY72,2))</f>
        <v/>
      </c>
      <c r="AS72" s="312" t="str">
        <f>IF(TABLERO!BB72=0,"",TABLERO!N72)</f>
        <v/>
      </c>
      <c r="AT72" s="1164" t="str">
        <f>IF(TABLERO!BB72=0,"",TABLERO!BX72&amp;" "&amp;TABLERO!ED72&amp;", "&amp;TABLERO!I72)</f>
        <v/>
      </c>
      <c r="AU72" s="1165"/>
      <c r="AV72" s="272" t="str">
        <f>IF(OR(TABLERO!BB72=0,TABLERO!H72="RE"),"",FIXED(TABLERO!BZ72,2))</f>
        <v/>
      </c>
      <c r="AW72" s="312" t="str">
        <f>IF(TABLERO!BB72=0,"",TABLERO!CA72)</f>
        <v/>
      </c>
      <c r="AX72" s="271" t="str">
        <f>IF(TABLERO!BB72=0,"",TABLERO!CB72)</f>
        <v/>
      </c>
      <c r="AY72" s="272" t="str">
        <f>IF(OR(TABLERO!BB72=0,TABLERO!H72="RE"),"",FIXED(TABLERO!DL72,2))</f>
        <v/>
      </c>
      <c r="AZ72" s="310" t="str">
        <f>IF(OR(TABLERO!BB72=0,TABLERO!H72="RE"),"",TABLERO!F72&amp;"P-"&amp;TABLERO!BW72&amp;"A")</f>
        <v/>
      </c>
      <c r="BA72" s="272" t="str">
        <f>IF(TABLERO!$BB72=0,"",IF(TABLERO!CI72="-","     -     ",FIXED(IF(TABLERO!$F$17&lt;&gt;"KVA",TABLERO!CI72,TABLERO!CI72/TABLERO!$F$14),2)))</f>
        <v/>
      </c>
      <c r="BB72" s="272" t="str">
        <f>IF(TABLERO!$BB72=0,"",IF(TABLERO!CJ72="-","     -     ",FIXED(IF(TABLERO!$F$17&lt;&gt;"KVA",TABLERO!CJ72,TABLERO!CJ72/TABLERO!$F$14),2)))</f>
        <v/>
      </c>
      <c r="BC72" s="272" t="str">
        <f>IF(TABLERO!$BB72=0,"",IF(TABLERO!CK72="-","     -     ",FIXED(IF(TABLERO!$F$17&lt;&gt;"KVA",TABLERO!CK72,TABLERO!CK72/TABLERO!$F$14),2)))</f>
        <v/>
      </c>
      <c r="BG72" s="275">
        <f>IF(TABLERO!B72="",0,TABLERO!B72)</f>
        <v>42</v>
      </c>
      <c r="BH72" s="275"/>
      <c r="BI72" s="275"/>
      <c r="BK72" s="275"/>
      <c r="BL72" s="289" t="str" cm="1">
        <f t="array" ref="BL72">[1]!ACAELE_LineaCAD(A72)</f>
        <v>++++++++++++++++++++++++++++++2</v>
      </c>
      <c r="BM72" s="279" t="str">
        <f t="shared" si="4"/>
        <v>42+</v>
      </c>
      <c r="BN72" s="304"/>
      <c r="BO72" s="304"/>
      <c r="BP72" s="304"/>
      <c r="BQ72" s="304"/>
      <c r="BR72" s="304"/>
      <c r="BS72" s="304"/>
      <c r="BT72" s="304"/>
      <c r="BU72" s="304"/>
      <c r="BV72" s="304"/>
      <c r="BW72" s="304"/>
      <c r="BX72" s="304"/>
      <c r="BY72" s="304"/>
      <c r="BZ72" s="304"/>
      <c r="CA72" s="304"/>
      <c r="CB72" s="304"/>
      <c r="CC72" s="304"/>
      <c r="CD72" s="304"/>
      <c r="CE72" s="304"/>
      <c r="CF72" s="304"/>
      <c r="CG72" s="304"/>
      <c r="CH72" s="304"/>
      <c r="CI72" s="304"/>
      <c r="CJ72" s="304"/>
      <c r="CK72" s="304"/>
      <c r="CL72" s="304"/>
      <c r="CM72" s="304"/>
      <c r="CN72" s="304"/>
      <c r="CO72" s="304"/>
      <c r="CP72" s="304"/>
      <c r="CQ72" s="304"/>
      <c r="CR72" s="305" t="str" cm="1">
        <f t="array" ref="CR72">CONCATENATE(BM72,_xlfn.TEXTJOIN("",TRUE,IF(BN$129:CQ$129&lt;&gt;"","+"&amp;D72:AG72,"")))</f>
        <v>42+</v>
      </c>
      <c r="CS72" s="279">
        <f t="shared" si="5"/>
        <v>30</v>
      </c>
      <c r="CT72" s="279" t="str">
        <f t="shared" si="3"/>
        <v>+++++++++++++++++++++++++++++++</v>
      </c>
      <c r="CU72" s="291" t="str">
        <f t="shared" si="7"/>
        <v>42++++++++++++++++++++++++++++++++2</v>
      </c>
      <c r="GB72" s="279" t="s">
        <v>1957</v>
      </c>
    </row>
    <row r="73" spans="1:184">
      <c r="A73" s="275">
        <f>IF(C73&lt;&gt;"",1,IF(AH73="",2,IF(OR(IF(TABLERO!B73="",0,TABLERO!B73)&gt;TABLERO!$M$19,IF(TABLERO!C73="",IF(TABLERO!B73="",0,TABLERO!B73),TABLERO!C73)&gt;TABLERO!$M$19,BI73&gt;TABLERO!$M$19,IF(TABLERO!B73="",0,TABLERO!B73)=0,IF(TABLERO!C73="",BG73,TABLERO!C73)=0,IF(TABLERO!D73="",BG73,TABLERO!D73)=0),2,1)))</f>
        <v>2</v>
      </c>
      <c r="B73" s="276" t="str">
        <f>TABLERO!B73&amp;IF(TABLERO!C73="","",","&amp;TABLERO!C73)&amp;IF(TABLERO!D73="","",","&amp;TABLERO!D73)</f>
        <v>43</v>
      </c>
      <c r="C73" s="269" t="str">
        <f>IF(TABLERO!E73=0,"",TABLERO!E73)</f>
        <v/>
      </c>
      <c r="D73" s="312" t="str">
        <f>IF(OR(TABLERO!X73="",TABLERO!X73=0),"",TABLERO!X73)</f>
        <v/>
      </c>
      <c r="E73" s="312" t="str">
        <f>IF(OR(TABLERO!Y73="",TABLERO!Y73=0),"",TABLERO!Y73)</f>
        <v/>
      </c>
      <c r="F73" s="312" t="str">
        <f>IF(OR(TABLERO!Z73="",TABLERO!Z73=0),"",TABLERO!Z73)</f>
        <v/>
      </c>
      <c r="G73" s="312" t="str">
        <f>IF(OR(TABLERO!AA73="",TABLERO!AA73=0),"",TABLERO!AA73)</f>
        <v/>
      </c>
      <c r="H73" s="312" t="str">
        <f>IF(OR(TABLERO!AB73="",TABLERO!AB73=0),"",TABLERO!AB73)</f>
        <v/>
      </c>
      <c r="I73" s="312" t="str">
        <f>IF(OR(TABLERO!AC73="",TABLERO!AC73=0),"",TABLERO!AC73)</f>
        <v/>
      </c>
      <c r="J73" s="312" t="str">
        <f>IF(OR(TABLERO!AD73="",TABLERO!AD73=0),"",TABLERO!AD73)</f>
        <v/>
      </c>
      <c r="K73" s="312" t="str">
        <f>IF(OR(TABLERO!AE73="",TABLERO!AE73=0),"",TABLERO!AE73)</f>
        <v/>
      </c>
      <c r="L73" s="312" t="str">
        <f>IF(OR(TABLERO!AF73="",TABLERO!AF73=0),"",TABLERO!AF73)</f>
        <v/>
      </c>
      <c r="M73" s="312" t="str">
        <f>IF(OR(TABLERO!AG73="",TABLERO!AG73=0),"",TABLERO!AG73)</f>
        <v/>
      </c>
      <c r="N73" s="312" t="str">
        <f>IF(OR(TABLERO!AH73="",TABLERO!AH73=0),"",TABLERO!AH73)</f>
        <v/>
      </c>
      <c r="O73" s="312" t="str">
        <f>IF(OR(TABLERO!AI73="",TABLERO!AI73=0),"",TABLERO!AI73)</f>
        <v/>
      </c>
      <c r="P73" s="312" t="str">
        <f>IF(OR(TABLERO!AJ73="",TABLERO!AJ73=0),"",TABLERO!AJ73)</f>
        <v/>
      </c>
      <c r="Q73" s="312" t="str">
        <f>IF(OR(TABLERO!AK73="",TABLERO!AK73=0),"",TABLERO!AK73)</f>
        <v/>
      </c>
      <c r="R73" s="312" t="str">
        <f>IF(OR(TABLERO!AL73="",TABLERO!AL73=0),"",TABLERO!AL73)</f>
        <v/>
      </c>
      <c r="S73" s="312" t="str">
        <f>IF(OR(TABLERO!AM73="",TABLERO!AM73=0),"",TABLERO!AM73)</f>
        <v/>
      </c>
      <c r="T73" s="312" t="str">
        <f>IF(OR(TABLERO!AN73="",TABLERO!AN73=0),"",TABLERO!AN73)</f>
        <v/>
      </c>
      <c r="U73" s="312" t="str">
        <f>IF(OR(TABLERO!AO73="",TABLERO!AO73=0),"",TABLERO!AO73)</f>
        <v/>
      </c>
      <c r="V73" s="312" t="str">
        <f>IF(OR(TABLERO!AP73="",TABLERO!AP73=0),"",TABLERO!AP73)</f>
        <v/>
      </c>
      <c r="W73" s="312" t="str">
        <f>IF(OR(TABLERO!AQ73="",TABLERO!AQ73=0),"",TABLERO!AQ73)</f>
        <v/>
      </c>
      <c r="X73" s="312" t="str">
        <f>IF(OR(TABLERO!AR73="",TABLERO!AR73=0),"",TABLERO!AR73)</f>
        <v/>
      </c>
      <c r="Y73" s="312" t="str">
        <f>IF(OR(TABLERO!AS73="",TABLERO!AS73=0),"",TABLERO!AS73)</f>
        <v/>
      </c>
      <c r="Z73" s="312" t="str">
        <f>IF(OR(TABLERO!AT73="",TABLERO!AT73=0),"",TABLERO!AT73)</f>
        <v/>
      </c>
      <c r="AA73" s="312" t="str">
        <f>IF(OR(TABLERO!AU73="",TABLERO!AU73=0),"",TABLERO!AU73)</f>
        <v/>
      </c>
      <c r="AB73" s="312" t="str">
        <f>IF(OR(TABLERO!AV73="",TABLERO!AV73=0),"",TABLERO!AV73)</f>
        <v/>
      </c>
      <c r="AC73" s="312" t="str">
        <f>IF(OR(TABLERO!AW73="",TABLERO!AW73=0),"",TABLERO!AW73)</f>
        <v/>
      </c>
      <c r="AD73" s="312" t="str">
        <f>IF(OR(TABLERO!AX73="",TABLERO!AX73=0),"",TABLERO!AX73)</f>
        <v/>
      </c>
      <c r="AE73" s="312" t="str">
        <f>IF(OR(TABLERO!AY73="",TABLERO!AY73=0),"",TABLERO!AY73)</f>
        <v/>
      </c>
      <c r="AF73" s="312" t="str">
        <f>IF(OR(TABLERO!AZ73="",TABLERO!AZ73=0),"",TABLERO!AZ73)</f>
        <v/>
      </c>
      <c r="AG73" s="312" t="str">
        <f>IF(OR(TABLERO!BA73="",TABLERO!BA73=0),"",TABLERO!BA73)</f>
        <v/>
      </c>
      <c r="AH73" s="277" t="str">
        <f>IF(TABLERO!BB73=0,"",FIXED(IF(TABLERO!$F$17&lt;&gt;"KVA",TABLERO!BB73*1000,TABLERO!BB73*1000/TABLERO!DA73),2))</f>
        <v/>
      </c>
      <c r="AI73" s="277" t="str">
        <f>IF(TABLERO!BB73=0,"",FIXED(IF(TABLERO!$F$17&lt;&gt;"KVA",TABLERO!BT73*1000,TABLERO!BT73*1000/TABLERO!DA73),2))</f>
        <v/>
      </c>
      <c r="AJ73" s="272" t="str">
        <f>IF(OR(TABLERO!BU73="",TABLERO!BU73=0),"",FIXED(TABLERO!BU73,2))</f>
        <v/>
      </c>
      <c r="AK73" s="312" t="str">
        <f>IF(TABLERO!BB73=0,"",TABLERO!F73)</f>
        <v/>
      </c>
      <c r="AL73" s="312" t="str">
        <f>IF(TABLERO!BB73=0,"",TABLERO!G73)</f>
        <v/>
      </c>
      <c r="AM73" s="312" t="str">
        <f>IF(TABLERO!BB73=0,"",TABLERO!BV73)</f>
        <v/>
      </c>
      <c r="AN73" s="272" t="str">
        <f>IF(TABLERO!BB73=0,"",TABLERO!K73)</f>
        <v/>
      </c>
      <c r="AO73" s="312" t="str">
        <f>IF(TABLERO!BB73=0,"",TABLERO!J73)</f>
        <v/>
      </c>
      <c r="AP73" s="272" t="str">
        <f>IF(TABLERO!BB73=0,"",TABLERO!CT73)</f>
        <v/>
      </c>
      <c r="AQ73" s="272" t="str">
        <f>IF(TABLERO!BB73=0,"",TABLERO!CS73)</f>
        <v/>
      </c>
      <c r="AR73" s="272" t="str">
        <f>IF(OR(TABLERO!BB73=0,TABLERO!H73="RE"),"",FIXED(TABLERO!CY73,2))</f>
        <v/>
      </c>
      <c r="AS73" s="312" t="str">
        <f>IF(TABLERO!BB73=0,"",TABLERO!N73)</f>
        <v/>
      </c>
      <c r="AT73" s="1164" t="str">
        <f>IF(TABLERO!BB73=0,"",TABLERO!BX73&amp;" "&amp;TABLERO!ED73&amp;", "&amp;TABLERO!I73)</f>
        <v/>
      </c>
      <c r="AU73" s="1165"/>
      <c r="AV73" s="272" t="str">
        <f>IF(OR(TABLERO!BB73=0,TABLERO!H73="RE"),"",FIXED(TABLERO!BZ73,2))</f>
        <v/>
      </c>
      <c r="AW73" s="312" t="str">
        <f>IF(TABLERO!BB73=0,"",TABLERO!CA73)</f>
        <v/>
      </c>
      <c r="AX73" s="271" t="str">
        <f>IF(TABLERO!BB73=0,"",TABLERO!CB73)</f>
        <v/>
      </c>
      <c r="AY73" s="272" t="str">
        <f>IF(OR(TABLERO!BB73=0,TABLERO!H73="RE"),"",FIXED(TABLERO!DL73,2))</f>
        <v/>
      </c>
      <c r="AZ73" s="310" t="str">
        <f>IF(OR(TABLERO!BB73=0,TABLERO!H73="RE"),"",TABLERO!F73&amp;"P-"&amp;TABLERO!BW73&amp;"A")</f>
        <v/>
      </c>
      <c r="BA73" s="272" t="str">
        <f>IF(TABLERO!$BB73=0,"",IF(TABLERO!CI73="-","     -     ",FIXED(IF(TABLERO!$F$17&lt;&gt;"KVA",TABLERO!CI73,TABLERO!CI73/TABLERO!$F$14),2)))</f>
        <v/>
      </c>
      <c r="BB73" s="272" t="str">
        <f>IF(TABLERO!$BB73=0,"",IF(TABLERO!CJ73="-","     -     ",FIXED(IF(TABLERO!$F$17&lt;&gt;"KVA",TABLERO!CJ73,TABLERO!CJ73/TABLERO!$F$14),2)))</f>
        <v/>
      </c>
      <c r="BC73" s="272" t="str">
        <f>IF(TABLERO!$BB73=0,"",IF(TABLERO!CK73="-","     -     ",FIXED(IF(TABLERO!$F$17&lt;&gt;"KVA",TABLERO!CK73,TABLERO!CK73/TABLERO!$F$14),2)))</f>
        <v/>
      </c>
      <c r="BG73" s="275">
        <f>IF(TABLERO!B73="",0,TABLERO!B73)</f>
        <v>43</v>
      </c>
      <c r="BH73" s="275"/>
      <c r="BI73" s="275"/>
      <c r="BK73" s="275"/>
      <c r="BL73" s="289" t="str" cm="1">
        <f t="array" ref="BL73">[1]!ACAELE_LineaCAD(A73)</f>
        <v>++++++++++++++++++++++++++++++2</v>
      </c>
      <c r="BM73" s="279" t="str">
        <f t="shared" si="4"/>
        <v>43+</v>
      </c>
      <c r="BN73" s="304"/>
      <c r="BO73" s="304"/>
      <c r="BP73" s="304"/>
      <c r="BQ73" s="304"/>
      <c r="BR73" s="304"/>
      <c r="BS73" s="304"/>
      <c r="BT73" s="304"/>
      <c r="BU73" s="304"/>
      <c r="BV73" s="304"/>
      <c r="BW73" s="304"/>
      <c r="BX73" s="304"/>
      <c r="BY73" s="304"/>
      <c r="BZ73" s="304"/>
      <c r="CA73" s="304"/>
      <c r="CB73" s="304"/>
      <c r="CC73" s="304"/>
      <c r="CD73" s="304"/>
      <c r="CE73" s="304"/>
      <c r="CF73" s="304"/>
      <c r="CG73" s="304"/>
      <c r="CH73" s="304"/>
      <c r="CI73" s="304"/>
      <c r="CJ73" s="304"/>
      <c r="CK73" s="304"/>
      <c r="CL73" s="304"/>
      <c r="CM73" s="304"/>
      <c r="CN73" s="304"/>
      <c r="CO73" s="304"/>
      <c r="CP73" s="304"/>
      <c r="CQ73" s="304"/>
      <c r="CR73" s="305" t="str" cm="1">
        <f t="array" ref="CR73">CONCATENATE(BM73,_xlfn.TEXTJOIN("",TRUE,IF(BN$129:CQ$129&lt;&gt;"","+"&amp;D73:AG73,"")))</f>
        <v>43+</v>
      </c>
      <c r="CS73" s="279">
        <f t="shared" si="5"/>
        <v>30</v>
      </c>
      <c r="CT73" s="279" t="str">
        <f t="shared" si="3"/>
        <v>+++++++++++++++++++++++++++++++</v>
      </c>
      <c r="CU73" s="291" t="str">
        <f t="shared" si="7"/>
        <v>43++++++++++++++++++++++++++++++++2</v>
      </c>
      <c r="GB73" s="279" t="s">
        <v>1958</v>
      </c>
    </row>
    <row r="74" spans="1:184">
      <c r="A74" s="275">
        <f>IF(C74&lt;&gt;"",1,IF(AH74="",2,IF(OR(IF(TABLERO!B74="",0,TABLERO!B74)&gt;TABLERO!$M$19,IF(TABLERO!C74="",IF(TABLERO!B74="",0,TABLERO!B74),TABLERO!C74)&gt;TABLERO!$M$19,BI74&gt;TABLERO!$M$19,IF(TABLERO!B74="",0,TABLERO!B74)=0,IF(TABLERO!C74="",BG74,TABLERO!C74)=0,IF(TABLERO!D74="",BG74,TABLERO!D74)=0),2,1)))</f>
        <v>2</v>
      </c>
      <c r="B74" s="276" t="str">
        <f>TABLERO!B74&amp;IF(TABLERO!C74="","",","&amp;TABLERO!C74)&amp;IF(TABLERO!D74="","",","&amp;TABLERO!D74)</f>
        <v>44</v>
      </c>
      <c r="C74" s="269" t="str">
        <f>IF(TABLERO!E74=0,"",TABLERO!E74)</f>
        <v/>
      </c>
      <c r="D74" s="312" t="str">
        <f>IF(OR(TABLERO!X74="",TABLERO!X74=0),"",TABLERO!X74)</f>
        <v/>
      </c>
      <c r="E74" s="312" t="str">
        <f>IF(OR(TABLERO!Y74="",TABLERO!Y74=0),"",TABLERO!Y74)</f>
        <v/>
      </c>
      <c r="F74" s="312" t="str">
        <f>IF(OR(TABLERO!Z74="",TABLERO!Z74=0),"",TABLERO!Z74)</f>
        <v/>
      </c>
      <c r="G74" s="312" t="str">
        <f>IF(OR(TABLERO!AA74="",TABLERO!AA74=0),"",TABLERO!AA74)</f>
        <v/>
      </c>
      <c r="H74" s="312" t="str">
        <f>IF(OR(TABLERO!AB74="",TABLERO!AB74=0),"",TABLERO!AB74)</f>
        <v/>
      </c>
      <c r="I74" s="312" t="str">
        <f>IF(OR(TABLERO!AC74="",TABLERO!AC74=0),"",TABLERO!AC74)</f>
        <v/>
      </c>
      <c r="J74" s="312" t="str">
        <f>IF(OR(TABLERO!AD74="",TABLERO!AD74=0),"",TABLERO!AD74)</f>
        <v/>
      </c>
      <c r="K74" s="312" t="str">
        <f>IF(OR(TABLERO!AE74="",TABLERO!AE74=0),"",TABLERO!AE74)</f>
        <v/>
      </c>
      <c r="L74" s="312" t="str">
        <f>IF(OR(TABLERO!AF74="",TABLERO!AF74=0),"",TABLERO!AF74)</f>
        <v/>
      </c>
      <c r="M74" s="312" t="str">
        <f>IF(OR(TABLERO!AG74="",TABLERO!AG74=0),"",TABLERO!AG74)</f>
        <v/>
      </c>
      <c r="N74" s="312" t="str">
        <f>IF(OR(TABLERO!AH74="",TABLERO!AH74=0),"",TABLERO!AH74)</f>
        <v/>
      </c>
      <c r="O74" s="312" t="str">
        <f>IF(OR(TABLERO!AI74="",TABLERO!AI74=0),"",TABLERO!AI74)</f>
        <v/>
      </c>
      <c r="P74" s="312" t="str">
        <f>IF(OR(TABLERO!AJ74="",TABLERO!AJ74=0),"",TABLERO!AJ74)</f>
        <v/>
      </c>
      <c r="Q74" s="312" t="str">
        <f>IF(OR(TABLERO!AK74="",TABLERO!AK74=0),"",TABLERO!AK74)</f>
        <v/>
      </c>
      <c r="R74" s="312" t="str">
        <f>IF(OR(TABLERO!AL74="",TABLERO!AL74=0),"",TABLERO!AL74)</f>
        <v/>
      </c>
      <c r="S74" s="312" t="str">
        <f>IF(OR(TABLERO!AM74="",TABLERO!AM74=0),"",TABLERO!AM74)</f>
        <v/>
      </c>
      <c r="T74" s="312" t="str">
        <f>IF(OR(TABLERO!AN74="",TABLERO!AN74=0),"",TABLERO!AN74)</f>
        <v/>
      </c>
      <c r="U74" s="312" t="str">
        <f>IF(OR(TABLERO!AO74="",TABLERO!AO74=0),"",TABLERO!AO74)</f>
        <v/>
      </c>
      <c r="V74" s="312" t="str">
        <f>IF(OR(TABLERO!AP74="",TABLERO!AP74=0),"",TABLERO!AP74)</f>
        <v/>
      </c>
      <c r="W74" s="312" t="str">
        <f>IF(OR(TABLERO!AQ74="",TABLERO!AQ74=0),"",TABLERO!AQ74)</f>
        <v/>
      </c>
      <c r="X74" s="312" t="str">
        <f>IF(OR(TABLERO!AR74="",TABLERO!AR74=0),"",TABLERO!AR74)</f>
        <v/>
      </c>
      <c r="Y74" s="312" t="str">
        <f>IF(OR(TABLERO!AS74="",TABLERO!AS74=0),"",TABLERO!AS74)</f>
        <v/>
      </c>
      <c r="Z74" s="312" t="str">
        <f>IF(OR(TABLERO!AT74="",TABLERO!AT74=0),"",TABLERO!AT74)</f>
        <v/>
      </c>
      <c r="AA74" s="312" t="str">
        <f>IF(OR(TABLERO!AU74="",TABLERO!AU74=0),"",TABLERO!AU74)</f>
        <v/>
      </c>
      <c r="AB74" s="312" t="str">
        <f>IF(OR(TABLERO!AV74="",TABLERO!AV74=0),"",TABLERO!AV74)</f>
        <v/>
      </c>
      <c r="AC74" s="312" t="str">
        <f>IF(OR(TABLERO!AW74="",TABLERO!AW74=0),"",TABLERO!AW74)</f>
        <v/>
      </c>
      <c r="AD74" s="312" t="str">
        <f>IF(OR(TABLERO!AX74="",TABLERO!AX74=0),"",TABLERO!AX74)</f>
        <v/>
      </c>
      <c r="AE74" s="312" t="str">
        <f>IF(OR(TABLERO!AY74="",TABLERO!AY74=0),"",TABLERO!AY74)</f>
        <v/>
      </c>
      <c r="AF74" s="312" t="str">
        <f>IF(OR(TABLERO!AZ74="",TABLERO!AZ74=0),"",TABLERO!AZ74)</f>
        <v/>
      </c>
      <c r="AG74" s="312" t="str">
        <f>IF(OR(TABLERO!BA74="",TABLERO!BA74=0),"",TABLERO!BA74)</f>
        <v/>
      </c>
      <c r="AH74" s="277" t="str">
        <f>IF(TABLERO!BB74=0,"",FIXED(IF(TABLERO!$F$17&lt;&gt;"KVA",TABLERO!BB74*1000,TABLERO!BB74*1000/TABLERO!DA74),2))</f>
        <v/>
      </c>
      <c r="AI74" s="277" t="str">
        <f>IF(TABLERO!BB74=0,"",FIXED(IF(TABLERO!$F$17&lt;&gt;"KVA",TABLERO!BT74*1000,TABLERO!BT74*1000/TABLERO!DA74),2))</f>
        <v/>
      </c>
      <c r="AJ74" s="272" t="str">
        <f>IF(OR(TABLERO!BU74="",TABLERO!BU74=0),"",FIXED(TABLERO!BU74,2))</f>
        <v/>
      </c>
      <c r="AK74" s="312" t="str">
        <f>IF(TABLERO!BB74=0,"",TABLERO!F74)</f>
        <v/>
      </c>
      <c r="AL74" s="312" t="str">
        <f>IF(TABLERO!BB74=0,"",TABLERO!G74)</f>
        <v/>
      </c>
      <c r="AM74" s="312" t="str">
        <f>IF(TABLERO!BB74=0,"",TABLERO!BV74)</f>
        <v/>
      </c>
      <c r="AN74" s="272" t="str">
        <f>IF(TABLERO!BB74=0,"",TABLERO!K74)</f>
        <v/>
      </c>
      <c r="AO74" s="312" t="str">
        <f>IF(TABLERO!BB74=0,"",TABLERO!J74)</f>
        <v/>
      </c>
      <c r="AP74" s="272" t="str">
        <f>IF(TABLERO!BB74=0,"",TABLERO!CT74)</f>
        <v/>
      </c>
      <c r="AQ74" s="272" t="str">
        <f>IF(TABLERO!BB74=0,"",TABLERO!CS74)</f>
        <v/>
      </c>
      <c r="AR74" s="272" t="str">
        <f>IF(OR(TABLERO!BB74=0,TABLERO!H74="RE"),"",FIXED(TABLERO!CY74,2))</f>
        <v/>
      </c>
      <c r="AS74" s="312" t="str">
        <f>IF(TABLERO!BB74=0,"",TABLERO!N74)</f>
        <v/>
      </c>
      <c r="AT74" s="1164" t="str">
        <f>IF(TABLERO!BB74=0,"",TABLERO!BX74&amp;" "&amp;TABLERO!ED74&amp;", "&amp;TABLERO!I74)</f>
        <v/>
      </c>
      <c r="AU74" s="1165"/>
      <c r="AV74" s="272" t="str">
        <f>IF(OR(TABLERO!BB74=0,TABLERO!H74="RE"),"",FIXED(TABLERO!BZ74,2))</f>
        <v/>
      </c>
      <c r="AW74" s="312" t="str">
        <f>IF(TABLERO!BB74=0,"",TABLERO!CA74)</f>
        <v/>
      </c>
      <c r="AX74" s="271" t="str">
        <f>IF(TABLERO!BB74=0,"",TABLERO!CB74)</f>
        <v/>
      </c>
      <c r="AY74" s="272" t="str">
        <f>IF(OR(TABLERO!BB74=0,TABLERO!H74="RE"),"",FIXED(TABLERO!DL74,2))</f>
        <v/>
      </c>
      <c r="AZ74" s="310" t="str">
        <f>IF(OR(TABLERO!BB74=0,TABLERO!H74="RE"),"",TABLERO!F74&amp;"P-"&amp;TABLERO!BW74&amp;"A")</f>
        <v/>
      </c>
      <c r="BA74" s="272" t="str">
        <f>IF(TABLERO!$BB74=0,"",IF(TABLERO!CI74="-","     -     ",FIXED(IF(TABLERO!$F$17&lt;&gt;"KVA",TABLERO!CI74,TABLERO!CI74/TABLERO!$F$14),2)))</f>
        <v/>
      </c>
      <c r="BB74" s="272" t="str">
        <f>IF(TABLERO!$BB74=0,"",IF(TABLERO!CJ74="-","     -     ",FIXED(IF(TABLERO!$F$17&lt;&gt;"KVA",TABLERO!CJ74,TABLERO!CJ74/TABLERO!$F$14),2)))</f>
        <v/>
      </c>
      <c r="BC74" s="272" t="str">
        <f>IF(TABLERO!$BB74=0,"",IF(TABLERO!CK74="-","     -     ",FIXED(IF(TABLERO!$F$17&lt;&gt;"KVA",TABLERO!CK74,TABLERO!CK74/TABLERO!$F$14),2)))</f>
        <v/>
      </c>
      <c r="BG74" s="275">
        <f>IF(TABLERO!B74="",0,TABLERO!B74)</f>
        <v>44</v>
      </c>
      <c r="BH74" s="275"/>
      <c r="BI74" s="275"/>
      <c r="BK74" s="275"/>
      <c r="BL74" s="289" t="str" cm="1">
        <f t="array" ref="BL74">[1]!ACAELE_LineaCAD(A74)</f>
        <v>++++++++++++++++++++++++++++++2</v>
      </c>
      <c r="BM74" s="279" t="str">
        <f t="shared" si="4"/>
        <v>44+</v>
      </c>
      <c r="BN74" s="304"/>
      <c r="BO74" s="304"/>
      <c r="BP74" s="304"/>
      <c r="BQ74" s="304"/>
      <c r="BR74" s="304"/>
      <c r="BS74" s="304"/>
      <c r="BT74" s="304"/>
      <c r="BU74" s="304"/>
      <c r="BV74" s="304"/>
      <c r="BW74" s="304"/>
      <c r="BX74" s="304"/>
      <c r="BY74" s="304"/>
      <c r="BZ74" s="304"/>
      <c r="CA74" s="304"/>
      <c r="CB74" s="304"/>
      <c r="CC74" s="304"/>
      <c r="CD74" s="304"/>
      <c r="CE74" s="304"/>
      <c r="CF74" s="304"/>
      <c r="CG74" s="304"/>
      <c r="CH74" s="304"/>
      <c r="CI74" s="304"/>
      <c r="CJ74" s="304"/>
      <c r="CK74" s="304"/>
      <c r="CL74" s="304"/>
      <c r="CM74" s="304"/>
      <c r="CN74" s="304"/>
      <c r="CO74" s="304"/>
      <c r="CP74" s="304"/>
      <c r="CQ74" s="304"/>
      <c r="CR74" s="305" t="str" cm="1">
        <f t="array" ref="CR74">CONCATENATE(BM74,_xlfn.TEXTJOIN("",TRUE,IF(BN$129:CQ$129&lt;&gt;"","+"&amp;D74:AG74,"")))</f>
        <v>44+</v>
      </c>
      <c r="CS74" s="279">
        <f t="shared" si="5"/>
        <v>30</v>
      </c>
      <c r="CT74" s="279" t="str">
        <f t="shared" si="3"/>
        <v>+++++++++++++++++++++++++++++++</v>
      </c>
      <c r="CU74" s="291" t="str">
        <f t="shared" si="7"/>
        <v>44++++++++++++++++++++++++++++++++2</v>
      </c>
      <c r="GB74" s="279" t="s">
        <v>1959</v>
      </c>
    </row>
    <row r="75" spans="1:184">
      <c r="A75" s="275">
        <f>IF(C75&lt;&gt;"",1,IF(AH75="",2,IF(OR(IF(TABLERO!B75="",0,TABLERO!B75)&gt;TABLERO!$M$19,IF(TABLERO!C75="",IF(TABLERO!B75="",0,TABLERO!B75),TABLERO!C75)&gt;TABLERO!$M$19,BI75&gt;TABLERO!$M$19,IF(TABLERO!B75="",0,TABLERO!B75)=0,IF(TABLERO!C75="",BG75,TABLERO!C75)=0,IF(TABLERO!D75="",BG75,TABLERO!D75)=0),2,1)))</f>
        <v>2</v>
      </c>
      <c r="B75" s="276" t="str">
        <f>TABLERO!B75&amp;IF(TABLERO!C75="","",","&amp;TABLERO!C75)&amp;IF(TABLERO!D75="","",","&amp;TABLERO!D75)</f>
        <v>45</v>
      </c>
      <c r="C75" s="269" t="str">
        <f>IF(TABLERO!E75=0,"",TABLERO!E75)</f>
        <v/>
      </c>
      <c r="D75" s="312" t="str">
        <f>IF(OR(TABLERO!X75="",TABLERO!X75=0),"",TABLERO!X75)</f>
        <v/>
      </c>
      <c r="E75" s="312" t="str">
        <f>IF(OR(TABLERO!Y75="",TABLERO!Y75=0),"",TABLERO!Y75)</f>
        <v/>
      </c>
      <c r="F75" s="312" t="str">
        <f>IF(OR(TABLERO!Z75="",TABLERO!Z75=0),"",TABLERO!Z75)</f>
        <v/>
      </c>
      <c r="G75" s="312" t="str">
        <f>IF(OR(TABLERO!AA75="",TABLERO!AA75=0),"",TABLERO!AA75)</f>
        <v/>
      </c>
      <c r="H75" s="312" t="str">
        <f>IF(OR(TABLERO!AB75="",TABLERO!AB75=0),"",TABLERO!AB75)</f>
        <v/>
      </c>
      <c r="I75" s="312" t="str">
        <f>IF(OR(TABLERO!AC75="",TABLERO!AC75=0),"",TABLERO!AC75)</f>
        <v/>
      </c>
      <c r="J75" s="312" t="str">
        <f>IF(OR(TABLERO!AD75="",TABLERO!AD75=0),"",TABLERO!AD75)</f>
        <v/>
      </c>
      <c r="K75" s="312" t="str">
        <f>IF(OR(TABLERO!AE75="",TABLERO!AE75=0),"",TABLERO!AE75)</f>
        <v/>
      </c>
      <c r="L75" s="312" t="str">
        <f>IF(OR(TABLERO!AF75="",TABLERO!AF75=0),"",TABLERO!AF75)</f>
        <v/>
      </c>
      <c r="M75" s="312" t="str">
        <f>IF(OR(TABLERO!AG75="",TABLERO!AG75=0),"",TABLERO!AG75)</f>
        <v/>
      </c>
      <c r="N75" s="312" t="str">
        <f>IF(OR(TABLERO!AH75="",TABLERO!AH75=0),"",TABLERO!AH75)</f>
        <v/>
      </c>
      <c r="O75" s="312" t="str">
        <f>IF(OR(TABLERO!AI75="",TABLERO!AI75=0),"",TABLERO!AI75)</f>
        <v/>
      </c>
      <c r="P75" s="312" t="str">
        <f>IF(OR(TABLERO!AJ75="",TABLERO!AJ75=0),"",TABLERO!AJ75)</f>
        <v/>
      </c>
      <c r="Q75" s="312" t="str">
        <f>IF(OR(TABLERO!AK75="",TABLERO!AK75=0),"",TABLERO!AK75)</f>
        <v/>
      </c>
      <c r="R75" s="312" t="str">
        <f>IF(OR(TABLERO!AL75="",TABLERO!AL75=0),"",TABLERO!AL75)</f>
        <v/>
      </c>
      <c r="S75" s="312" t="str">
        <f>IF(OR(TABLERO!AM75="",TABLERO!AM75=0),"",TABLERO!AM75)</f>
        <v/>
      </c>
      <c r="T75" s="312" t="str">
        <f>IF(OR(TABLERO!AN75="",TABLERO!AN75=0),"",TABLERO!AN75)</f>
        <v/>
      </c>
      <c r="U75" s="312" t="str">
        <f>IF(OR(TABLERO!AO75="",TABLERO!AO75=0),"",TABLERO!AO75)</f>
        <v/>
      </c>
      <c r="V75" s="312" t="str">
        <f>IF(OR(TABLERO!AP75="",TABLERO!AP75=0),"",TABLERO!AP75)</f>
        <v/>
      </c>
      <c r="W75" s="312" t="str">
        <f>IF(OR(TABLERO!AQ75="",TABLERO!AQ75=0),"",TABLERO!AQ75)</f>
        <v/>
      </c>
      <c r="X75" s="312" t="str">
        <f>IF(OR(TABLERO!AR75="",TABLERO!AR75=0),"",TABLERO!AR75)</f>
        <v/>
      </c>
      <c r="Y75" s="312" t="str">
        <f>IF(OR(TABLERO!AS75="",TABLERO!AS75=0),"",TABLERO!AS75)</f>
        <v/>
      </c>
      <c r="Z75" s="312" t="str">
        <f>IF(OR(TABLERO!AT75="",TABLERO!AT75=0),"",TABLERO!AT75)</f>
        <v/>
      </c>
      <c r="AA75" s="312" t="str">
        <f>IF(OR(TABLERO!AU75="",TABLERO!AU75=0),"",TABLERO!AU75)</f>
        <v/>
      </c>
      <c r="AB75" s="312" t="str">
        <f>IF(OR(TABLERO!AV75="",TABLERO!AV75=0),"",TABLERO!AV75)</f>
        <v/>
      </c>
      <c r="AC75" s="312" t="str">
        <f>IF(OR(TABLERO!AW75="",TABLERO!AW75=0),"",TABLERO!AW75)</f>
        <v/>
      </c>
      <c r="AD75" s="312" t="str">
        <f>IF(OR(TABLERO!AX75="",TABLERO!AX75=0),"",TABLERO!AX75)</f>
        <v/>
      </c>
      <c r="AE75" s="312" t="str">
        <f>IF(OR(TABLERO!AY75="",TABLERO!AY75=0),"",TABLERO!AY75)</f>
        <v/>
      </c>
      <c r="AF75" s="312" t="str">
        <f>IF(OR(TABLERO!AZ75="",TABLERO!AZ75=0),"",TABLERO!AZ75)</f>
        <v/>
      </c>
      <c r="AG75" s="312" t="str">
        <f>IF(OR(TABLERO!BA75="",TABLERO!BA75=0),"",TABLERO!BA75)</f>
        <v/>
      </c>
      <c r="AH75" s="277" t="str">
        <f>IF(TABLERO!BB75=0,"",FIXED(IF(TABLERO!$F$17&lt;&gt;"KVA",TABLERO!BB75*1000,TABLERO!BB75*1000/TABLERO!DA75),2))</f>
        <v/>
      </c>
      <c r="AI75" s="277" t="str">
        <f>IF(TABLERO!BB75=0,"",FIXED(IF(TABLERO!$F$17&lt;&gt;"KVA",TABLERO!BT75*1000,TABLERO!BT75*1000/TABLERO!DA75),2))</f>
        <v/>
      </c>
      <c r="AJ75" s="272" t="str">
        <f>IF(OR(TABLERO!BU75="",TABLERO!BU75=0),"",FIXED(TABLERO!BU75,2))</f>
        <v/>
      </c>
      <c r="AK75" s="312" t="str">
        <f>IF(TABLERO!BB75=0,"",TABLERO!F75)</f>
        <v/>
      </c>
      <c r="AL75" s="312" t="str">
        <f>IF(TABLERO!BB75=0,"",TABLERO!G75)</f>
        <v/>
      </c>
      <c r="AM75" s="312" t="str">
        <f>IF(TABLERO!BB75=0,"",TABLERO!BV75)</f>
        <v/>
      </c>
      <c r="AN75" s="272" t="str">
        <f>IF(TABLERO!BB75=0,"",TABLERO!K75)</f>
        <v/>
      </c>
      <c r="AO75" s="312" t="str">
        <f>IF(TABLERO!BB75=0,"",TABLERO!J75)</f>
        <v/>
      </c>
      <c r="AP75" s="272" t="str">
        <f>IF(TABLERO!BB75=0,"",TABLERO!CT75)</f>
        <v/>
      </c>
      <c r="AQ75" s="272" t="str">
        <f>IF(TABLERO!BB75=0,"",TABLERO!CS75)</f>
        <v/>
      </c>
      <c r="AR75" s="272" t="str">
        <f>IF(OR(TABLERO!BB75=0,TABLERO!H75="RE"),"",FIXED(TABLERO!CY75,2))</f>
        <v/>
      </c>
      <c r="AS75" s="312" t="str">
        <f>IF(TABLERO!BB75=0,"",TABLERO!N75)</f>
        <v/>
      </c>
      <c r="AT75" s="1164" t="str">
        <f>IF(TABLERO!BB75=0,"",TABLERO!BX75&amp;" "&amp;TABLERO!ED75&amp;", "&amp;TABLERO!I75)</f>
        <v/>
      </c>
      <c r="AU75" s="1165"/>
      <c r="AV75" s="272" t="str">
        <f>IF(OR(TABLERO!BB75=0,TABLERO!H75="RE"),"",FIXED(TABLERO!BZ75,2))</f>
        <v/>
      </c>
      <c r="AW75" s="312" t="str">
        <f>IF(TABLERO!BB75=0,"",TABLERO!CA75)</f>
        <v/>
      </c>
      <c r="AX75" s="271" t="str">
        <f>IF(TABLERO!BB75=0,"",TABLERO!CB75)</f>
        <v/>
      </c>
      <c r="AY75" s="272" t="str">
        <f>IF(OR(TABLERO!BB75=0,TABLERO!H75="RE"),"",FIXED(TABLERO!DL75,2))</f>
        <v/>
      </c>
      <c r="AZ75" s="310" t="str">
        <f>IF(OR(TABLERO!BB75=0,TABLERO!H75="RE"),"",TABLERO!F75&amp;"P-"&amp;TABLERO!BW75&amp;"A")</f>
        <v/>
      </c>
      <c r="BA75" s="272" t="str">
        <f>IF(TABLERO!$BB75=0,"",IF(TABLERO!CI75="-","     -     ",FIXED(IF(TABLERO!$F$17&lt;&gt;"KVA",TABLERO!CI75,TABLERO!CI75/TABLERO!$F$14),2)))</f>
        <v/>
      </c>
      <c r="BB75" s="272" t="str">
        <f>IF(TABLERO!$BB75=0,"",IF(TABLERO!CJ75="-","     -     ",FIXED(IF(TABLERO!$F$17&lt;&gt;"KVA",TABLERO!CJ75,TABLERO!CJ75/TABLERO!$F$14),2)))</f>
        <v/>
      </c>
      <c r="BC75" s="272" t="str">
        <f>IF(TABLERO!$BB75=0,"",IF(TABLERO!CK75="-","     -     ",FIXED(IF(TABLERO!$F$17&lt;&gt;"KVA",TABLERO!CK75,TABLERO!CK75/TABLERO!$F$14),2)))</f>
        <v/>
      </c>
      <c r="BG75" s="275">
        <f>IF(TABLERO!B75="",0,TABLERO!B75)</f>
        <v>45</v>
      </c>
      <c r="BH75" s="275"/>
      <c r="BI75" s="275"/>
      <c r="BK75" s="275"/>
      <c r="BL75" s="289" t="str" cm="1">
        <f t="array" ref="BL75">[1]!ACAELE_LineaCAD(A75)</f>
        <v>++++++++++++++++++++++++++++++2</v>
      </c>
      <c r="BM75" s="279" t="str">
        <f t="shared" si="4"/>
        <v>45+</v>
      </c>
      <c r="BN75" s="304"/>
      <c r="BO75" s="304"/>
      <c r="BP75" s="304"/>
      <c r="BQ75" s="304"/>
      <c r="BR75" s="304"/>
      <c r="BS75" s="304"/>
      <c r="BT75" s="304"/>
      <c r="BU75" s="304"/>
      <c r="BV75" s="304"/>
      <c r="BW75" s="304"/>
      <c r="BX75" s="304"/>
      <c r="BY75" s="304"/>
      <c r="BZ75" s="304"/>
      <c r="CA75" s="304"/>
      <c r="CB75" s="304"/>
      <c r="CC75" s="304"/>
      <c r="CD75" s="304"/>
      <c r="CE75" s="304"/>
      <c r="CF75" s="304"/>
      <c r="CG75" s="304"/>
      <c r="CH75" s="304"/>
      <c r="CI75" s="304"/>
      <c r="CJ75" s="304"/>
      <c r="CK75" s="304"/>
      <c r="CL75" s="304"/>
      <c r="CM75" s="304"/>
      <c r="CN75" s="304"/>
      <c r="CO75" s="304"/>
      <c r="CP75" s="304"/>
      <c r="CQ75" s="304"/>
      <c r="CR75" s="305" t="str" cm="1">
        <f t="array" ref="CR75">CONCATENATE(BM75,_xlfn.TEXTJOIN("",TRUE,IF(BN$129:CQ$129&lt;&gt;"","+"&amp;D75:AG75,"")))</f>
        <v>45+</v>
      </c>
      <c r="CS75" s="279">
        <f t="shared" si="5"/>
        <v>30</v>
      </c>
      <c r="CT75" s="279" t="str">
        <f t="shared" si="3"/>
        <v>+++++++++++++++++++++++++++++++</v>
      </c>
      <c r="CU75" s="291" t="str">
        <f t="shared" si="7"/>
        <v>45++++++++++++++++++++++++++++++++2</v>
      </c>
      <c r="GB75" s="279" t="s">
        <v>1960</v>
      </c>
    </row>
    <row r="76" spans="1:184">
      <c r="A76" s="275">
        <f>IF(C76&lt;&gt;"",1,IF(AH76="",2,IF(OR(IF(TABLERO!B76="",0,TABLERO!B76)&gt;TABLERO!$M$19,IF(TABLERO!C76="",IF(TABLERO!B76="",0,TABLERO!B76),TABLERO!C76)&gt;TABLERO!$M$19,BI76&gt;TABLERO!$M$19,IF(TABLERO!B76="",0,TABLERO!B76)=0,IF(TABLERO!C76="",BG76,TABLERO!C76)=0,IF(TABLERO!D76="",BG76,TABLERO!D76)=0),2,1)))</f>
        <v>2</v>
      </c>
      <c r="B76" s="276" t="str">
        <f>TABLERO!B76&amp;IF(TABLERO!C76="","",","&amp;TABLERO!C76)&amp;IF(TABLERO!D76="","",","&amp;TABLERO!D76)</f>
        <v>46</v>
      </c>
      <c r="C76" s="269" t="str">
        <f>IF(TABLERO!E76=0,"",TABLERO!E76)</f>
        <v/>
      </c>
      <c r="D76" s="312" t="str">
        <f>IF(OR(TABLERO!X76="",TABLERO!X76=0),"",TABLERO!X76)</f>
        <v/>
      </c>
      <c r="E76" s="312" t="str">
        <f>IF(OR(TABLERO!Y76="",TABLERO!Y76=0),"",TABLERO!Y76)</f>
        <v/>
      </c>
      <c r="F76" s="312" t="str">
        <f>IF(OR(TABLERO!Z76="",TABLERO!Z76=0),"",TABLERO!Z76)</f>
        <v/>
      </c>
      <c r="G76" s="312" t="str">
        <f>IF(OR(TABLERO!AA76="",TABLERO!AA76=0),"",TABLERO!AA76)</f>
        <v/>
      </c>
      <c r="H76" s="312" t="str">
        <f>IF(OR(TABLERO!AB76="",TABLERO!AB76=0),"",TABLERO!AB76)</f>
        <v/>
      </c>
      <c r="I76" s="312" t="str">
        <f>IF(OR(TABLERO!AC76="",TABLERO!AC76=0),"",TABLERO!AC76)</f>
        <v/>
      </c>
      <c r="J76" s="312" t="str">
        <f>IF(OR(TABLERO!AD76="",TABLERO!AD76=0),"",TABLERO!AD76)</f>
        <v/>
      </c>
      <c r="K76" s="312" t="str">
        <f>IF(OR(TABLERO!AE76="",TABLERO!AE76=0),"",TABLERO!AE76)</f>
        <v/>
      </c>
      <c r="L76" s="312" t="str">
        <f>IF(OR(TABLERO!AF76="",TABLERO!AF76=0),"",TABLERO!AF76)</f>
        <v/>
      </c>
      <c r="M76" s="312" t="str">
        <f>IF(OR(TABLERO!AG76="",TABLERO!AG76=0),"",TABLERO!AG76)</f>
        <v/>
      </c>
      <c r="N76" s="312" t="str">
        <f>IF(OR(TABLERO!AH76="",TABLERO!AH76=0),"",TABLERO!AH76)</f>
        <v/>
      </c>
      <c r="O76" s="312" t="str">
        <f>IF(OR(TABLERO!AI76="",TABLERO!AI76=0),"",TABLERO!AI76)</f>
        <v/>
      </c>
      <c r="P76" s="312" t="str">
        <f>IF(OR(TABLERO!AJ76="",TABLERO!AJ76=0),"",TABLERO!AJ76)</f>
        <v/>
      </c>
      <c r="Q76" s="312" t="str">
        <f>IF(OR(TABLERO!AK76="",TABLERO!AK76=0),"",TABLERO!AK76)</f>
        <v/>
      </c>
      <c r="R76" s="312" t="str">
        <f>IF(OR(TABLERO!AL76="",TABLERO!AL76=0),"",TABLERO!AL76)</f>
        <v/>
      </c>
      <c r="S76" s="312" t="str">
        <f>IF(OR(TABLERO!AM76="",TABLERO!AM76=0),"",TABLERO!AM76)</f>
        <v/>
      </c>
      <c r="T76" s="312" t="str">
        <f>IF(OR(TABLERO!AN76="",TABLERO!AN76=0),"",TABLERO!AN76)</f>
        <v/>
      </c>
      <c r="U76" s="312" t="str">
        <f>IF(OR(TABLERO!AO76="",TABLERO!AO76=0),"",TABLERO!AO76)</f>
        <v/>
      </c>
      <c r="V76" s="312" t="str">
        <f>IF(OR(TABLERO!AP76="",TABLERO!AP76=0),"",TABLERO!AP76)</f>
        <v/>
      </c>
      <c r="W76" s="312" t="str">
        <f>IF(OR(TABLERO!AQ76="",TABLERO!AQ76=0),"",TABLERO!AQ76)</f>
        <v/>
      </c>
      <c r="X76" s="312" t="str">
        <f>IF(OR(TABLERO!AR76="",TABLERO!AR76=0),"",TABLERO!AR76)</f>
        <v/>
      </c>
      <c r="Y76" s="312" t="str">
        <f>IF(OR(TABLERO!AS76="",TABLERO!AS76=0),"",TABLERO!AS76)</f>
        <v/>
      </c>
      <c r="Z76" s="312" t="str">
        <f>IF(OR(TABLERO!AT76="",TABLERO!AT76=0),"",TABLERO!AT76)</f>
        <v/>
      </c>
      <c r="AA76" s="312" t="str">
        <f>IF(OR(TABLERO!AU76="",TABLERO!AU76=0),"",TABLERO!AU76)</f>
        <v/>
      </c>
      <c r="AB76" s="312" t="str">
        <f>IF(OR(TABLERO!AV76="",TABLERO!AV76=0),"",TABLERO!AV76)</f>
        <v/>
      </c>
      <c r="AC76" s="312" t="str">
        <f>IF(OR(TABLERO!AW76="",TABLERO!AW76=0),"",TABLERO!AW76)</f>
        <v/>
      </c>
      <c r="AD76" s="312" t="str">
        <f>IF(OR(TABLERO!AX76="",TABLERO!AX76=0),"",TABLERO!AX76)</f>
        <v/>
      </c>
      <c r="AE76" s="312" t="str">
        <f>IF(OR(TABLERO!AY76="",TABLERO!AY76=0),"",TABLERO!AY76)</f>
        <v/>
      </c>
      <c r="AF76" s="312" t="str">
        <f>IF(OR(TABLERO!AZ76="",TABLERO!AZ76=0),"",TABLERO!AZ76)</f>
        <v/>
      </c>
      <c r="AG76" s="312" t="str">
        <f>IF(OR(TABLERO!BA76="",TABLERO!BA76=0),"",TABLERO!BA76)</f>
        <v/>
      </c>
      <c r="AH76" s="277" t="str">
        <f>IF(TABLERO!BB76=0,"",FIXED(IF(TABLERO!$F$17&lt;&gt;"KVA",TABLERO!BB76*1000,TABLERO!BB76*1000/TABLERO!DA76),2))</f>
        <v/>
      </c>
      <c r="AI76" s="277" t="str">
        <f>IF(TABLERO!BB76=0,"",FIXED(IF(TABLERO!$F$17&lt;&gt;"KVA",TABLERO!BT76*1000,TABLERO!BT76*1000/TABLERO!DA76),2))</f>
        <v/>
      </c>
      <c r="AJ76" s="272" t="str">
        <f>IF(OR(TABLERO!BU76="",TABLERO!BU76=0),"",FIXED(TABLERO!BU76,2))</f>
        <v/>
      </c>
      <c r="AK76" s="312" t="str">
        <f>IF(TABLERO!BB76=0,"",TABLERO!F76)</f>
        <v/>
      </c>
      <c r="AL76" s="312" t="str">
        <f>IF(TABLERO!BB76=0,"",TABLERO!G76)</f>
        <v/>
      </c>
      <c r="AM76" s="312" t="str">
        <f>IF(TABLERO!BB76=0,"",TABLERO!BV76)</f>
        <v/>
      </c>
      <c r="AN76" s="272" t="str">
        <f>IF(TABLERO!BB76=0,"",TABLERO!K76)</f>
        <v/>
      </c>
      <c r="AO76" s="312" t="str">
        <f>IF(TABLERO!BB76=0,"",TABLERO!J76)</f>
        <v/>
      </c>
      <c r="AP76" s="272" t="str">
        <f>IF(TABLERO!BB76=0,"",TABLERO!CT76)</f>
        <v/>
      </c>
      <c r="AQ76" s="272" t="str">
        <f>IF(TABLERO!BB76=0,"",TABLERO!CS76)</f>
        <v/>
      </c>
      <c r="AR76" s="272" t="str">
        <f>IF(OR(TABLERO!BB76=0,TABLERO!H76="RE"),"",FIXED(TABLERO!CY76,2))</f>
        <v/>
      </c>
      <c r="AS76" s="312" t="str">
        <f>IF(TABLERO!BB76=0,"",TABLERO!N76)</f>
        <v/>
      </c>
      <c r="AT76" s="1164" t="str">
        <f>IF(TABLERO!BB76=0,"",TABLERO!BX76&amp;" "&amp;TABLERO!ED76&amp;", "&amp;TABLERO!I76)</f>
        <v/>
      </c>
      <c r="AU76" s="1165"/>
      <c r="AV76" s="272" t="str">
        <f>IF(OR(TABLERO!BB76=0,TABLERO!H76="RE"),"",FIXED(TABLERO!BZ76,2))</f>
        <v/>
      </c>
      <c r="AW76" s="312" t="str">
        <f>IF(TABLERO!BB76=0,"",TABLERO!CA76)</f>
        <v/>
      </c>
      <c r="AX76" s="271" t="str">
        <f>IF(TABLERO!BB76=0,"",TABLERO!CB76)</f>
        <v/>
      </c>
      <c r="AY76" s="272" t="str">
        <f>IF(OR(TABLERO!BB76=0,TABLERO!H76="RE"),"",FIXED(TABLERO!DL76,2))</f>
        <v/>
      </c>
      <c r="AZ76" s="310" t="str">
        <f>IF(OR(TABLERO!BB76=0,TABLERO!H76="RE"),"",TABLERO!F76&amp;"P-"&amp;TABLERO!BW76&amp;"A")</f>
        <v/>
      </c>
      <c r="BA76" s="272" t="str">
        <f>IF(TABLERO!$BB76=0,"",IF(TABLERO!CI76="-","     -     ",FIXED(IF(TABLERO!$F$17&lt;&gt;"KVA",TABLERO!CI76,TABLERO!CI76/TABLERO!$F$14),2)))</f>
        <v/>
      </c>
      <c r="BB76" s="272" t="str">
        <f>IF(TABLERO!$BB76=0,"",IF(TABLERO!CJ76="-","     -     ",FIXED(IF(TABLERO!$F$17&lt;&gt;"KVA",TABLERO!CJ76,TABLERO!CJ76/TABLERO!$F$14),2)))</f>
        <v/>
      </c>
      <c r="BC76" s="272" t="str">
        <f>IF(TABLERO!$BB76=0,"",IF(TABLERO!CK76="-","     -     ",FIXED(IF(TABLERO!$F$17&lt;&gt;"KVA",TABLERO!CK76,TABLERO!CK76/TABLERO!$F$14),2)))</f>
        <v/>
      </c>
      <c r="BG76" s="275">
        <f>IF(TABLERO!B76="",0,TABLERO!B76)</f>
        <v>46</v>
      </c>
      <c r="BH76" s="275"/>
      <c r="BI76" s="275"/>
      <c r="BK76" s="275"/>
      <c r="BL76" s="289" t="str" cm="1">
        <f t="array" ref="BL76">[1]!ACAELE_LineaCAD(A76)</f>
        <v>++++++++++++++++++++++++++++++2</v>
      </c>
      <c r="BM76" s="279" t="str">
        <f t="shared" si="4"/>
        <v>46+</v>
      </c>
      <c r="BN76" s="304"/>
      <c r="BO76" s="304"/>
      <c r="BP76" s="304"/>
      <c r="BQ76" s="304"/>
      <c r="BR76" s="304"/>
      <c r="BS76" s="304"/>
      <c r="BT76" s="304"/>
      <c r="BU76" s="304"/>
      <c r="BV76" s="304"/>
      <c r="BW76" s="304"/>
      <c r="BX76" s="304"/>
      <c r="BY76" s="304"/>
      <c r="BZ76" s="304"/>
      <c r="CA76" s="304"/>
      <c r="CB76" s="304"/>
      <c r="CC76" s="304"/>
      <c r="CD76" s="304"/>
      <c r="CE76" s="304"/>
      <c r="CF76" s="304"/>
      <c r="CG76" s="304"/>
      <c r="CH76" s="304"/>
      <c r="CI76" s="304"/>
      <c r="CJ76" s="304"/>
      <c r="CK76" s="304"/>
      <c r="CL76" s="304"/>
      <c r="CM76" s="304"/>
      <c r="CN76" s="304"/>
      <c r="CO76" s="304"/>
      <c r="CP76" s="304"/>
      <c r="CQ76" s="304"/>
      <c r="CR76" s="305" t="str" cm="1">
        <f t="array" ref="CR76">CONCATENATE(BM76,_xlfn.TEXTJOIN("",TRUE,IF(BN$129:CQ$129&lt;&gt;"","+"&amp;D76:AG76,"")))</f>
        <v>46+</v>
      </c>
      <c r="CS76" s="279">
        <f t="shared" si="5"/>
        <v>30</v>
      </c>
      <c r="CT76" s="279" t="str">
        <f t="shared" si="3"/>
        <v>+++++++++++++++++++++++++++++++</v>
      </c>
      <c r="CU76" s="291" t="str">
        <f t="shared" si="7"/>
        <v>46++++++++++++++++++++++++++++++++2</v>
      </c>
      <c r="GB76" s="279" t="s">
        <v>1961</v>
      </c>
    </row>
    <row r="77" spans="1:184">
      <c r="A77" s="275">
        <f>IF(C77&lt;&gt;"",1,IF(AH77="",2,IF(OR(IF(TABLERO!B77="",0,TABLERO!B77)&gt;TABLERO!$M$19,IF(TABLERO!C77="",IF(TABLERO!B77="",0,TABLERO!B77),TABLERO!C77)&gt;TABLERO!$M$19,BI77&gt;TABLERO!$M$19,IF(TABLERO!B77="",0,TABLERO!B77)=0,IF(TABLERO!C77="",BG77,TABLERO!C77)=0,IF(TABLERO!D77="",BG77,TABLERO!D77)=0),2,1)))</f>
        <v>2</v>
      </c>
      <c r="B77" s="276" t="str">
        <f>TABLERO!B77&amp;IF(TABLERO!C77="","",","&amp;TABLERO!C77)&amp;IF(TABLERO!D77="","",","&amp;TABLERO!D77)</f>
        <v>47</v>
      </c>
      <c r="C77" s="269" t="str">
        <f>IF(TABLERO!E77=0,"",TABLERO!E77)</f>
        <v/>
      </c>
      <c r="D77" s="312" t="str">
        <f>IF(OR(TABLERO!X77="",TABLERO!X77=0),"",TABLERO!X77)</f>
        <v/>
      </c>
      <c r="E77" s="312" t="str">
        <f>IF(OR(TABLERO!Y77="",TABLERO!Y77=0),"",TABLERO!Y77)</f>
        <v/>
      </c>
      <c r="F77" s="312" t="str">
        <f>IF(OR(TABLERO!Z77="",TABLERO!Z77=0),"",TABLERO!Z77)</f>
        <v/>
      </c>
      <c r="G77" s="312" t="str">
        <f>IF(OR(TABLERO!AA77="",TABLERO!AA77=0),"",TABLERO!AA77)</f>
        <v/>
      </c>
      <c r="H77" s="312" t="str">
        <f>IF(OR(TABLERO!AB77="",TABLERO!AB77=0),"",TABLERO!AB77)</f>
        <v/>
      </c>
      <c r="I77" s="312" t="str">
        <f>IF(OR(TABLERO!AC77="",TABLERO!AC77=0),"",TABLERO!AC77)</f>
        <v/>
      </c>
      <c r="J77" s="312" t="str">
        <f>IF(OR(TABLERO!AD77="",TABLERO!AD77=0),"",TABLERO!AD77)</f>
        <v/>
      </c>
      <c r="K77" s="312" t="str">
        <f>IF(OR(TABLERO!AE77="",TABLERO!AE77=0),"",TABLERO!AE77)</f>
        <v/>
      </c>
      <c r="L77" s="312" t="str">
        <f>IF(OR(TABLERO!AF77="",TABLERO!AF77=0),"",TABLERO!AF77)</f>
        <v/>
      </c>
      <c r="M77" s="312" t="str">
        <f>IF(OR(TABLERO!AG77="",TABLERO!AG77=0),"",TABLERO!AG77)</f>
        <v/>
      </c>
      <c r="N77" s="312" t="str">
        <f>IF(OR(TABLERO!AH77="",TABLERO!AH77=0),"",TABLERO!AH77)</f>
        <v/>
      </c>
      <c r="O77" s="312" t="str">
        <f>IF(OR(TABLERO!AI77="",TABLERO!AI77=0),"",TABLERO!AI77)</f>
        <v/>
      </c>
      <c r="P77" s="312" t="str">
        <f>IF(OR(TABLERO!AJ77="",TABLERO!AJ77=0),"",TABLERO!AJ77)</f>
        <v/>
      </c>
      <c r="Q77" s="312" t="str">
        <f>IF(OR(TABLERO!AK77="",TABLERO!AK77=0),"",TABLERO!AK77)</f>
        <v/>
      </c>
      <c r="R77" s="312" t="str">
        <f>IF(OR(TABLERO!AL77="",TABLERO!AL77=0),"",TABLERO!AL77)</f>
        <v/>
      </c>
      <c r="S77" s="312" t="str">
        <f>IF(OR(TABLERO!AM77="",TABLERO!AM77=0),"",TABLERO!AM77)</f>
        <v/>
      </c>
      <c r="T77" s="312" t="str">
        <f>IF(OR(TABLERO!AN77="",TABLERO!AN77=0),"",TABLERO!AN77)</f>
        <v/>
      </c>
      <c r="U77" s="312" t="str">
        <f>IF(OR(TABLERO!AO77="",TABLERO!AO77=0),"",TABLERO!AO77)</f>
        <v/>
      </c>
      <c r="V77" s="312" t="str">
        <f>IF(OR(TABLERO!AP77="",TABLERO!AP77=0),"",TABLERO!AP77)</f>
        <v/>
      </c>
      <c r="W77" s="312" t="str">
        <f>IF(OR(TABLERO!AQ77="",TABLERO!AQ77=0),"",TABLERO!AQ77)</f>
        <v/>
      </c>
      <c r="X77" s="312" t="str">
        <f>IF(OR(TABLERO!AR77="",TABLERO!AR77=0),"",TABLERO!AR77)</f>
        <v/>
      </c>
      <c r="Y77" s="312" t="str">
        <f>IF(OR(TABLERO!AS77="",TABLERO!AS77=0),"",TABLERO!AS77)</f>
        <v/>
      </c>
      <c r="Z77" s="312" t="str">
        <f>IF(OR(TABLERO!AT77="",TABLERO!AT77=0),"",TABLERO!AT77)</f>
        <v/>
      </c>
      <c r="AA77" s="312" t="str">
        <f>IF(OR(TABLERO!AU77="",TABLERO!AU77=0),"",TABLERO!AU77)</f>
        <v/>
      </c>
      <c r="AB77" s="312" t="str">
        <f>IF(OR(TABLERO!AV77="",TABLERO!AV77=0),"",TABLERO!AV77)</f>
        <v/>
      </c>
      <c r="AC77" s="312" t="str">
        <f>IF(OR(TABLERO!AW77="",TABLERO!AW77=0),"",TABLERO!AW77)</f>
        <v/>
      </c>
      <c r="AD77" s="312" t="str">
        <f>IF(OR(TABLERO!AX77="",TABLERO!AX77=0),"",TABLERO!AX77)</f>
        <v/>
      </c>
      <c r="AE77" s="312" t="str">
        <f>IF(OR(TABLERO!AY77="",TABLERO!AY77=0),"",TABLERO!AY77)</f>
        <v/>
      </c>
      <c r="AF77" s="312" t="str">
        <f>IF(OR(TABLERO!AZ77="",TABLERO!AZ77=0),"",TABLERO!AZ77)</f>
        <v/>
      </c>
      <c r="AG77" s="312" t="str">
        <f>IF(OR(TABLERO!BA77="",TABLERO!BA77=0),"",TABLERO!BA77)</f>
        <v/>
      </c>
      <c r="AH77" s="277" t="str">
        <f>IF(TABLERO!BB77=0,"",FIXED(IF(TABLERO!$F$17&lt;&gt;"KVA",TABLERO!BB77*1000,TABLERO!BB77*1000/TABLERO!DA77),2))</f>
        <v/>
      </c>
      <c r="AI77" s="277" t="str">
        <f>IF(TABLERO!BB77=0,"",FIXED(IF(TABLERO!$F$17&lt;&gt;"KVA",TABLERO!BT77*1000,TABLERO!BT77*1000/TABLERO!DA77),2))</f>
        <v/>
      </c>
      <c r="AJ77" s="272" t="str">
        <f>IF(OR(TABLERO!BU77="",TABLERO!BU77=0),"",FIXED(TABLERO!BU77,2))</f>
        <v/>
      </c>
      <c r="AK77" s="312" t="str">
        <f>IF(TABLERO!BB77=0,"",TABLERO!F77)</f>
        <v/>
      </c>
      <c r="AL77" s="312" t="str">
        <f>IF(TABLERO!BB77=0,"",TABLERO!G77)</f>
        <v/>
      </c>
      <c r="AM77" s="312" t="str">
        <f>IF(TABLERO!BB77=0,"",TABLERO!BV77)</f>
        <v/>
      </c>
      <c r="AN77" s="272" t="str">
        <f>IF(TABLERO!BB77=0,"",TABLERO!K77)</f>
        <v/>
      </c>
      <c r="AO77" s="312" t="str">
        <f>IF(TABLERO!BB77=0,"",TABLERO!J77)</f>
        <v/>
      </c>
      <c r="AP77" s="272" t="str">
        <f>IF(TABLERO!BB77=0,"",TABLERO!CT77)</f>
        <v/>
      </c>
      <c r="AQ77" s="272" t="str">
        <f>IF(TABLERO!BB77=0,"",TABLERO!CS77)</f>
        <v/>
      </c>
      <c r="AR77" s="272" t="str">
        <f>IF(OR(TABLERO!BB77=0,TABLERO!H77="RE"),"",FIXED(TABLERO!CY77,2))</f>
        <v/>
      </c>
      <c r="AS77" s="312" t="str">
        <f>IF(TABLERO!BB77=0,"",TABLERO!N77)</f>
        <v/>
      </c>
      <c r="AT77" s="1164" t="str">
        <f>IF(TABLERO!BB77=0,"",TABLERO!BX77&amp;" "&amp;TABLERO!ED77&amp;", "&amp;TABLERO!I77)</f>
        <v/>
      </c>
      <c r="AU77" s="1165"/>
      <c r="AV77" s="272" t="str">
        <f>IF(OR(TABLERO!BB77=0,TABLERO!H77="RE"),"",FIXED(TABLERO!BZ77,2))</f>
        <v/>
      </c>
      <c r="AW77" s="312" t="str">
        <f>IF(TABLERO!BB77=0,"",TABLERO!CA77)</f>
        <v/>
      </c>
      <c r="AX77" s="271" t="str">
        <f>IF(TABLERO!BB77=0,"",TABLERO!CB77)</f>
        <v/>
      </c>
      <c r="AY77" s="272" t="str">
        <f>IF(OR(TABLERO!BB77=0,TABLERO!H77="RE"),"",FIXED(TABLERO!DL77,2))</f>
        <v/>
      </c>
      <c r="AZ77" s="310" t="str">
        <f>IF(OR(TABLERO!BB77=0,TABLERO!H77="RE"),"",TABLERO!F77&amp;"P-"&amp;TABLERO!BW77&amp;"A")</f>
        <v/>
      </c>
      <c r="BA77" s="272" t="str">
        <f>IF(TABLERO!$BB77=0,"",IF(TABLERO!CI77="-","     -     ",FIXED(IF(TABLERO!$F$17&lt;&gt;"KVA",TABLERO!CI77,TABLERO!CI77/TABLERO!$F$14),2)))</f>
        <v/>
      </c>
      <c r="BB77" s="272" t="str">
        <f>IF(TABLERO!$BB77=0,"",IF(TABLERO!CJ77="-","     -     ",FIXED(IF(TABLERO!$F$17&lt;&gt;"KVA",TABLERO!CJ77,TABLERO!CJ77/TABLERO!$F$14),2)))</f>
        <v/>
      </c>
      <c r="BC77" s="272" t="str">
        <f>IF(TABLERO!$BB77=0,"",IF(TABLERO!CK77="-","     -     ",FIXED(IF(TABLERO!$F$17&lt;&gt;"KVA",TABLERO!CK77,TABLERO!CK77/TABLERO!$F$14),2)))</f>
        <v/>
      </c>
      <c r="BG77" s="275">
        <f>IF(TABLERO!B77="",0,TABLERO!B77)</f>
        <v>47</v>
      </c>
      <c r="BH77" s="275"/>
      <c r="BI77" s="275"/>
      <c r="BK77" s="275"/>
      <c r="BL77" s="289" t="str" cm="1">
        <f t="array" ref="BL77">[1]!ACAELE_LineaCAD(A77)</f>
        <v>++++++++++++++++++++++++++++++2</v>
      </c>
      <c r="BM77" s="279" t="str">
        <f t="shared" si="4"/>
        <v>47+</v>
      </c>
      <c r="BN77" s="304"/>
      <c r="BO77" s="304"/>
      <c r="BP77" s="304"/>
      <c r="BQ77" s="304"/>
      <c r="BR77" s="304"/>
      <c r="BS77" s="304"/>
      <c r="BT77" s="304"/>
      <c r="BU77" s="304"/>
      <c r="BV77" s="304"/>
      <c r="BW77" s="304"/>
      <c r="BX77" s="304"/>
      <c r="BY77" s="304"/>
      <c r="BZ77" s="304"/>
      <c r="CA77" s="304"/>
      <c r="CB77" s="304"/>
      <c r="CC77" s="304"/>
      <c r="CD77" s="304"/>
      <c r="CE77" s="304"/>
      <c r="CF77" s="304"/>
      <c r="CG77" s="304"/>
      <c r="CH77" s="304"/>
      <c r="CI77" s="304"/>
      <c r="CJ77" s="304"/>
      <c r="CK77" s="304"/>
      <c r="CL77" s="304"/>
      <c r="CM77" s="304"/>
      <c r="CN77" s="304"/>
      <c r="CO77" s="304"/>
      <c r="CP77" s="304"/>
      <c r="CQ77" s="304"/>
      <c r="CR77" s="305" t="str" cm="1">
        <f t="array" ref="CR77">CONCATENATE(BM77,_xlfn.TEXTJOIN("",TRUE,IF(BN$129:CQ$129&lt;&gt;"","+"&amp;D77:AG77,"")))</f>
        <v>47+</v>
      </c>
      <c r="CS77" s="279">
        <f t="shared" si="5"/>
        <v>30</v>
      </c>
      <c r="CT77" s="279" t="str">
        <f t="shared" si="3"/>
        <v>+++++++++++++++++++++++++++++++</v>
      </c>
      <c r="CU77" s="291" t="str">
        <f t="shared" si="7"/>
        <v>47++++++++++++++++++++++++++++++++2</v>
      </c>
      <c r="GB77" s="279" t="s">
        <v>1962</v>
      </c>
    </row>
    <row r="78" spans="1:184">
      <c r="A78" s="275">
        <f>IF(C78&lt;&gt;"",1,IF(AH78="",2,IF(OR(IF(TABLERO!B78="",0,TABLERO!B78)&gt;TABLERO!$M$19,IF(TABLERO!C78="",IF(TABLERO!B78="",0,TABLERO!B78),TABLERO!C78)&gt;TABLERO!$M$19,BI78&gt;TABLERO!$M$19,IF(TABLERO!B78="",0,TABLERO!B78)=0,IF(TABLERO!C78="",BG78,TABLERO!C78)=0,IF(TABLERO!D78="",BG78,TABLERO!D78)=0),2,1)))</f>
        <v>2</v>
      </c>
      <c r="B78" s="276" t="str">
        <f>TABLERO!B78&amp;IF(TABLERO!C78="","",","&amp;TABLERO!C78)&amp;IF(TABLERO!D78="","",","&amp;TABLERO!D78)</f>
        <v>48</v>
      </c>
      <c r="C78" s="269" t="str">
        <f>IF(TABLERO!E78=0,"",TABLERO!E78)</f>
        <v/>
      </c>
      <c r="D78" s="312" t="str">
        <f>IF(OR(TABLERO!X78="",TABLERO!X78=0),"",TABLERO!X78)</f>
        <v/>
      </c>
      <c r="E78" s="312" t="str">
        <f>IF(OR(TABLERO!Y78="",TABLERO!Y78=0),"",TABLERO!Y78)</f>
        <v/>
      </c>
      <c r="F78" s="312" t="str">
        <f>IF(OR(TABLERO!Z78="",TABLERO!Z78=0),"",TABLERO!Z78)</f>
        <v/>
      </c>
      <c r="G78" s="312" t="str">
        <f>IF(OR(TABLERO!AA78="",TABLERO!AA78=0),"",TABLERO!AA78)</f>
        <v/>
      </c>
      <c r="H78" s="312" t="str">
        <f>IF(OR(TABLERO!AB78="",TABLERO!AB78=0),"",TABLERO!AB78)</f>
        <v/>
      </c>
      <c r="I78" s="312" t="str">
        <f>IF(OR(TABLERO!AC78="",TABLERO!AC78=0),"",TABLERO!AC78)</f>
        <v/>
      </c>
      <c r="J78" s="312" t="str">
        <f>IF(OR(TABLERO!AD78="",TABLERO!AD78=0),"",TABLERO!AD78)</f>
        <v/>
      </c>
      <c r="K78" s="312" t="str">
        <f>IF(OR(TABLERO!AE78="",TABLERO!AE78=0),"",TABLERO!AE78)</f>
        <v/>
      </c>
      <c r="L78" s="312" t="str">
        <f>IF(OR(TABLERO!AF78="",TABLERO!AF78=0),"",TABLERO!AF78)</f>
        <v/>
      </c>
      <c r="M78" s="312" t="str">
        <f>IF(OR(TABLERO!AG78="",TABLERO!AG78=0),"",TABLERO!AG78)</f>
        <v/>
      </c>
      <c r="N78" s="312" t="str">
        <f>IF(OR(TABLERO!AH78="",TABLERO!AH78=0),"",TABLERO!AH78)</f>
        <v/>
      </c>
      <c r="O78" s="312" t="str">
        <f>IF(OR(TABLERO!AI78="",TABLERO!AI78=0),"",TABLERO!AI78)</f>
        <v/>
      </c>
      <c r="P78" s="312" t="str">
        <f>IF(OR(TABLERO!AJ78="",TABLERO!AJ78=0),"",TABLERO!AJ78)</f>
        <v/>
      </c>
      <c r="Q78" s="312" t="str">
        <f>IF(OR(TABLERO!AK78="",TABLERO!AK78=0),"",TABLERO!AK78)</f>
        <v/>
      </c>
      <c r="R78" s="312" t="str">
        <f>IF(OR(TABLERO!AL78="",TABLERO!AL78=0),"",TABLERO!AL78)</f>
        <v/>
      </c>
      <c r="S78" s="312" t="str">
        <f>IF(OR(TABLERO!AM78="",TABLERO!AM78=0),"",TABLERO!AM78)</f>
        <v/>
      </c>
      <c r="T78" s="312" t="str">
        <f>IF(OR(TABLERO!AN78="",TABLERO!AN78=0),"",TABLERO!AN78)</f>
        <v/>
      </c>
      <c r="U78" s="312" t="str">
        <f>IF(OR(TABLERO!AO78="",TABLERO!AO78=0),"",TABLERO!AO78)</f>
        <v/>
      </c>
      <c r="V78" s="312" t="str">
        <f>IF(OR(TABLERO!AP78="",TABLERO!AP78=0),"",TABLERO!AP78)</f>
        <v/>
      </c>
      <c r="W78" s="312" t="str">
        <f>IF(OR(TABLERO!AQ78="",TABLERO!AQ78=0),"",TABLERO!AQ78)</f>
        <v/>
      </c>
      <c r="X78" s="312" t="str">
        <f>IF(OR(TABLERO!AR78="",TABLERO!AR78=0),"",TABLERO!AR78)</f>
        <v/>
      </c>
      <c r="Y78" s="312" t="str">
        <f>IF(OR(TABLERO!AS78="",TABLERO!AS78=0),"",TABLERO!AS78)</f>
        <v/>
      </c>
      <c r="Z78" s="312" t="str">
        <f>IF(OR(TABLERO!AT78="",TABLERO!AT78=0),"",TABLERO!AT78)</f>
        <v/>
      </c>
      <c r="AA78" s="312" t="str">
        <f>IF(OR(TABLERO!AU78="",TABLERO!AU78=0),"",TABLERO!AU78)</f>
        <v/>
      </c>
      <c r="AB78" s="312" t="str">
        <f>IF(OR(TABLERO!AV78="",TABLERO!AV78=0),"",TABLERO!AV78)</f>
        <v/>
      </c>
      <c r="AC78" s="312" t="str">
        <f>IF(OR(TABLERO!AW78="",TABLERO!AW78=0),"",TABLERO!AW78)</f>
        <v/>
      </c>
      <c r="AD78" s="312" t="str">
        <f>IF(OR(TABLERO!AX78="",TABLERO!AX78=0),"",TABLERO!AX78)</f>
        <v/>
      </c>
      <c r="AE78" s="312" t="str">
        <f>IF(OR(TABLERO!AY78="",TABLERO!AY78=0),"",TABLERO!AY78)</f>
        <v/>
      </c>
      <c r="AF78" s="312" t="str">
        <f>IF(OR(TABLERO!AZ78="",TABLERO!AZ78=0),"",TABLERO!AZ78)</f>
        <v/>
      </c>
      <c r="AG78" s="312" t="str">
        <f>IF(OR(TABLERO!BA78="",TABLERO!BA78=0),"",TABLERO!BA78)</f>
        <v/>
      </c>
      <c r="AH78" s="277" t="str">
        <f>IF(TABLERO!BB78=0,"",FIXED(IF(TABLERO!$F$17&lt;&gt;"KVA",TABLERO!BB78*1000,TABLERO!BB78*1000/TABLERO!DA78),2))</f>
        <v/>
      </c>
      <c r="AI78" s="277" t="str">
        <f>IF(TABLERO!BB78=0,"",FIXED(IF(TABLERO!$F$17&lt;&gt;"KVA",TABLERO!BT78*1000,TABLERO!BT78*1000/TABLERO!DA78),2))</f>
        <v/>
      </c>
      <c r="AJ78" s="272" t="str">
        <f>IF(OR(TABLERO!BU78="",TABLERO!BU78=0),"",FIXED(TABLERO!BU78,2))</f>
        <v/>
      </c>
      <c r="AK78" s="312" t="str">
        <f>IF(TABLERO!BB78=0,"",TABLERO!F78)</f>
        <v/>
      </c>
      <c r="AL78" s="312" t="str">
        <f>IF(TABLERO!BB78=0,"",TABLERO!G78)</f>
        <v/>
      </c>
      <c r="AM78" s="312" t="str">
        <f>IF(TABLERO!BB78=0,"",TABLERO!BV78)</f>
        <v/>
      </c>
      <c r="AN78" s="272" t="str">
        <f>IF(TABLERO!BB78=0,"",TABLERO!K78)</f>
        <v/>
      </c>
      <c r="AO78" s="312" t="str">
        <f>IF(TABLERO!BB78=0,"",TABLERO!J78)</f>
        <v/>
      </c>
      <c r="AP78" s="272" t="str">
        <f>IF(TABLERO!BB78=0,"",TABLERO!CT78)</f>
        <v/>
      </c>
      <c r="AQ78" s="272" t="str">
        <f>IF(TABLERO!BB78=0,"",TABLERO!CS78)</f>
        <v/>
      </c>
      <c r="AR78" s="272" t="str">
        <f>IF(OR(TABLERO!BB78=0,TABLERO!H78="RE"),"",FIXED(TABLERO!CY78,2))</f>
        <v/>
      </c>
      <c r="AS78" s="312" t="str">
        <f>IF(TABLERO!BB78=0,"",TABLERO!N78)</f>
        <v/>
      </c>
      <c r="AT78" s="1164" t="str">
        <f>IF(TABLERO!BB78=0,"",TABLERO!BX78&amp;" "&amp;TABLERO!ED78&amp;", "&amp;TABLERO!I78)</f>
        <v/>
      </c>
      <c r="AU78" s="1165"/>
      <c r="AV78" s="272" t="str">
        <f>IF(OR(TABLERO!BB78=0,TABLERO!H78="RE"),"",FIXED(TABLERO!BZ78,2))</f>
        <v/>
      </c>
      <c r="AW78" s="312" t="str">
        <f>IF(TABLERO!BB78=0,"",TABLERO!CA78)</f>
        <v/>
      </c>
      <c r="AX78" s="271" t="str">
        <f>IF(TABLERO!BB78=0,"",TABLERO!CB78)</f>
        <v/>
      </c>
      <c r="AY78" s="272" t="str">
        <f>IF(OR(TABLERO!BB78=0,TABLERO!H78="RE"),"",FIXED(TABLERO!DL78,2))</f>
        <v/>
      </c>
      <c r="AZ78" s="310" t="str">
        <f>IF(OR(TABLERO!BB78=0,TABLERO!H78="RE"),"",TABLERO!F78&amp;"P-"&amp;TABLERO!BW78&amp;"A")</f>
        <v/>
      </c>
      <c r="BA78" s="272" t="str">
        <f>IF(TABLERO!$BB78=0,"",IF(TABLERO!CI78="-","     -     ",FIXED(IF(TABLERO!$F$17&lt;&gt;"KVA",TABLERO!CI78,TABLERO!CI78/TABLERO!$F$14),2)))</f>
        <v/>
      </c>
      <c r="BB78" s="272" t="str">
        <f>IF(TABLERO!$BB78=0,"",IF(TABLERO!CJ78="-","     -     ",FIXED(IF(TABLERO!$F$17&lt;&gt;"KVA",TABLERO!CJ78,TABLERO!CJ78/TABLERO!$F$14),2)))</f>
        <v/>
      </c>
      <c r="BC78" s="272" t="str">
        <f>IF(TABLERO!$BB78=0,"",IF(TABLERO!CK78="-","     -     ",FIXED(IF(TABLERO!$F$17&lt;&gt;"KVA",TABLERO!CK78,TABLERO!CK78/TABLERO!$F$14),2)))</f>
        <v/>
      </c>
      <c r="BG78" s="275">
        <f>IF(TABLERO!B78="",0,TABLERO!B78)</f>
        <v>48</v>
      </c>
      <c r="BH78" s="275"/>
      <c r="BI78" s="275"/>
      <c r="BK78" s="275"/>
      <c r="BL78" s="289" t="str" cm="1">
        <f t="array" ref="BL78">[1]!ACAELE_LineaCAD(A78)</f>
        <v>++++++++++++++++++++++++++++++2</v>
      </c>
      <c r="BM78" s="279" t="str">
        <f t="shared" si="4"/>
        <v>48+</v>
      </c>
      <c r="BN78" s="304"/>
      <c r="BO78" s="304"/>
      <c r="BP78" s="304"/>
      <c r="BQ78" s="304"/>
      <c r="BR78" s="304"/>
      <c r="BS78" s="304"/>
      <c r="BT78" s="304"/>
      <c r="BU78" s="304"/>
      <c r="BV78" s="304"/>
      <c r="BW78" s="304"/>
      <c r="BX78" s="304"/>
      <c r="BY78" s="304"/>
      <c r="BZ78" s="304"/>
      <c r="CA78" s="304"/>
      <c r="CB78" s="304"/>
      <c r="CC78" s="304"/>
      <c r="CD78" s="304"/>
      <c r="CE78" s="304"/>
      <c r="CF78" s="304"/>
      <c r="CG78" s="304"/>
      <c r="CH78" s="304"/>
      <c r="CI78" s="304"/>
      <c r="CJ78" s="304"/>
      <c r="CK78" s="304"/>
      <c r="CL78" s="304"/>
      <c r="CM78" s="304"/>
      <c r="CN78" s="304"/>
      <c r="CO78" s="304"/>
      <c r="CP78" s="304"/>
      <c r="CQ78" s="304"/>
      <c r="CR78" s="305" t="str" cm="1">
        <f t="array" ref="CR78">CONCATENATE(BM78,_xlfn.TEXTJOIN("",TRUE,IF(BN$129:CQ$129&lt;&gt;"","+"&amp;D78:AG78,"")))</f>
        <v>48+</v>
      </c>
      <c r="CS78" s="279">
        <f t="shared" si="5"/>
        <v>30</v>
      </c>
      <c r="CT78" s="279" t="str">
        <f t="shared" si="3"/>
        <v>+++++++++++++++++++++++++++++++</v>
      </c>
      <c r="CU78" s="291" t="str">
        <f t="shared" si="7"/>
        <v>48++++++++++++++++++++++++++++++++2</v>
      </c>
      <c r="GB78" s="279" t="s">
        <v>1963</v>
      </c>
    </row>
    <row r="79" spans="1:184">
      <c r="A79" s="275">
        <f>IF(C79&lt;&gt;"",1,IF(AH79="",2,IF(OR(IF(TABLERO!B79="",0,TABLERO!B79)&gt;TABLERO!$M$19,IF(TABLERO!C79="",IF(TABLERO!B79="",0,TABLERO!B79),TABLERO!C79)&gt;TABLERO!$M$19,BI79&gt;TABLERO!$M$19,IF(TABLERO!B79="",0,TABLERO!B79)=0,IF(TABLERO!C79="",BG79,TABLERO!C79)=0,IF(TABLERO!D79="",BG79,TABLERO!D79)=0),2,1)))</f>
        <v>2</v>
      </c>
      <c r="B79" s="276" t="str">
        <f>TABLERO!B79&amp;IF(TABLERO!C79="","",","&amp;TABLERO!C79)&amp;IF(TABLERO!D79="","",","&amp;TABLERO!D79)</f>
        <v>49</v>
      </c>
      <c r="C79" s="269" t="str">
        <f>IF(TABLERO!E79=0,"",TABLERO!E79)</f>
        <v/>
      </c>
      <c r="D79" s="312" t="str">
        <f>IF(OR(TABLERO!X79="",TABLERO!X79=0),"",TABLERO!X79)</f>
        <v/>
      </c>
      <c r="E79" s="312" t="str">
        <f>IF(OR(TABLERO!Y79="",TABLERO!Y79=0),"",TABLERO!Y79)</f>
        <v/>
      </c>
      <c r="F79" s="312" t="str">
        <f>IF(OR(TABLERO!Z79="",TABLERO!Z79=0),"",TABLERO!Z79)</f>
        <v/>
      </c>
      <c r="G79" s="312" t="str">
        <f>IF(OR(TABLERO!AA79="",TABLERO!AA79=0),"",TABLERO!AA79)</f>
        <v/>
      </c>
      <c r="H79" s="312" t="str">
        <f>IF(OR(TABLERO!AB79="",TABLERO!AB79=0),"",TABLERO!AB79)</f>
        <v/>
      </c>
      <c r="I79" s="312" t="str">
        <f>IF(OR(TABLERO!AC79="",TABLERO!AC79=0),"",TABLERO!AC79)</f>
        <v/>
      </c>
      <c r="J79" s="312" t="str">
        <f>IF(OR(TABLERO!AD79="",TABLERO!AD79=0),"",TABLERO!AD79)</f>
        <v/>
      </c>
      <c r="K79" s="312" t="str">
        <f>IF(OR(TABLERO!AE79="",TABLERO!AE79=0),"",TABLERO!AE79)</f>
        <v/>
      </c>
      <c r="L79" s="312" t="str">
        <f>IF(OR(TABLERO!AF79="",TABLERO!AF79=0),"",TABLERO!AF79)</f>
        <v/>
      </c>
      <c r="M79" s="312" t="str">
        <f>IF(OR(TABLERO!AG79="",TABLERO!AG79=0),"",TABLERO!AG79)</f>
        <v/>
      </c>
      <c r="N79" s="312" t="str">
        <f>IF(OR(TABLERO!AH79="",TABLERO!AH79=0),"",TABLERO!AH79)</f>
        <v/>
      </c>
      <c r="O79" s="312" t="str">
        <f>IF(OR(TABLERO!AI79="",TABLERO!AI79=0),"",TABLERO!AI79)</f>
        <v/>
      </c>
      <c r="P79" s="312" t="str">
        <f>IF(OR(TABLERO!AJ79="",TABLERO!AJ79=0),"",TABLERO!AJ79)</f>
        <v/>
      </c>
      <c r="Q79" s="312" t="str">
        <f>IF(OR(TABLERO!AK79="",TABLERO!AK79=0),"",TABLERO!AK79)</f>
        <v/>
      </c>
      <c r="R79" s="312" t="str">
        <f>IF(OR(TABLERO!AL79="",TABLERO!AL79=0),"",TABLERO!AL79)</f>
        <v/>
      </c>
      <c r="S79" s="312" t="str">
        <f>IF(OR(TABLERO!AM79="",TABLERO!AM79=0),"",TABLERO!AM79)</f>
        <v/>
      </c>
      <c r="T79" s="312" t="str">
        <f>IF(OR(TABLERO!AN79="",TABLERO!AN79=0),"",TABLERO!AN79)</f>
        <v/>
      </c>
      <c r="U79" s="312" t="str">
        <f>IF(OR(TABLERO!AO79="",TABLERO!AO79=0),"",TABLERO!AO79)</f>
        <v/>
      </c>
      <c r="V79" s="312" t="str">
        <f>IF(OR(TABLERO!AP79="",TABLERO!AP79=0),"",TABLERO!AP79)</f>
        <v/>
      </c>
      <c r="W79" s="312" t="str">
        <f>IF(OR(TABLERO!AQ79="",TABLERO!AQ79=0),"",TABLERO!AQ79)</f>
        <v/>
      </c>
      <c r="X79" s="312" t="str">
        <f>IF(OR(TABLERO!AR79="",TABLERO!AR79=0),"",TABLERO!AR79)</f>
        <v/>
      </c>
      <c r="Y79" s="312" t="str">
        <f>IF(OR(TABLERO!AS79="",TABLERO!AS79=0),"",TABLERO!AS79)</f>
        <v/>
      </c>
      <c r="Z79" s="312" t="str">
        <f>IF(OR(TABLERO!AT79="",TABLERO!AT79=0),"",TABLERO!AT79)</f>
        <v/>
      </c>
      <c r="AA79" s="312" t="str">
        <f>IF(OR(TABLERO!AU79="",TABLERO!AU79=0),"",TABLERO!AU79)</f>
        <v/>
      </c>
      <c r="AB79" s="312" t="str">
        <f>IF(OR(TABLERO!AV79="",TABLERO!AV79=0),"",TABLERO!AV79)</f>
        <v/>
      </c>
      <c r="AC79" s="312" t="str">
        <f>IF(OR(TABLERO!AW79="",TABLERO!AW79=0),"",TABLERO!AW79)</f>
        <v/>
      </c>
      <c r="AD79" s="312" t="str">
        <f>IF(OR(TABLERO!AX79="",TABLERO!AX79=0),"",TABLERO!AX79)</f>
        <v/>
      </c>
      <c r="AE79" s="312" t="str">
        <f>IF(OR(TABLERO!AY79="",TABLERO!AY79=0),"",TABLERO!AY79)</f>
        <v/>
      </c>
      <c r="AF79" s="312" t="str">
        <f>IF(OR(TABLERO!AZ79="",TABLERO!AZ79=0),"",TABLERO!AZ79)</f>
        <v/>
      </c>
      <c r="AG79" s="312" t="str">
        <f>IF(OR(TABLERO!BA79="",TABLERO!BA79=0),"",TABLERO!BA79)</f>
        <v/>
      </c>
      <c r="AH79" s="277" t="str">
        <f>IF(TABLERO!BB79=0,"",FIXED(IF(TABLERO!$F$17&lt;&gt;"KVA",TABLERO!BB79*1000,TABLERO!BB79*1000/TABLERO!DA79),2))</f>
        <v/>
      </c>
      <c r="AI79" s="277" t="str">
        <f>IF(TABLERO!BB79=0,"",FIXED(IF(TABLERO!$F$17&lt;&gt;"KVA",TABLERO!BT79*1000,TABLERO!BT79*1000/TABLERO!DA79),2))</f>
        <v/>
      </c>
      <c r="AJ79" s="272" t="str">
        <f>IF(OR(TABLERO!BU79="",TABLERO!BU79=0),"",FIXED(TABLERO!BU79,2))</f>
        <v/>
      </c>
      <c r="AK79" s="312" t="str">
        <f>IF(TABLERO!BB79=0,"",TABLERO!F79)</f>
        <v/>
      </c>
      <c r="AL79" s="312" t="str">
        <f>IF(TABLERO!BB79=0,"",TABLERO!G79)</f>
        <v/>
      </c>
      <c r="AM79" s="312" t="str">
        <f>IF(TABLERO!BB79=0,"",TABLERO!BV79)</f>
        <v/>
      </c>
      <c r="AN79" s="272" t="str">
        <f>IF(TABLERO!BB79=0,"",TABLERO!K79)</f>
        <v/>
      </c>
      <c r="AO79" s="312" t="str">
        <f>IF(TABLERO!BB79=0,"",TABLERO!J79)</f>
        <v/>
      </c>
      <c r="AP79" s="272" t="str">
        <f>IF(TABLERO!BB79=0,"",TABLERO!CT79)</f>
        <v/>
      </c>
      <c r="AQ79" s="272" t="str">
        <f>IF(TABLERO!BB79=0,"",TABLERO!CS79)</f>
        <v/>
      </c>
      <c r="AR79" s="272" t="str">
        <f>IF(OR(TABLERO!BB79=0,TABLERO!H79="RE"),"",FIXED(TABLERO!CY79,2))</f>
        <v/>
      </c>
      <c r="AS79" s="312" t="str">
        <f>IF(TABLERO!BB79=0,"",TABLERO!N79)</f>
        <v/>
      </c>
      <c r="AT79" s="1164" t="str">
        <f>IF(TABLERO!BB79=0,"",TABLERO!BX79&amp;" "&amp;TABLERO!ED79&amp;", "&amp;TABLERO!I79)</f>
        <v/>
      </c>
      <c r="AU79" s="1165"/>
      <c r="AV79" s="272" t="str">
        <f>IF(OR(TABLERO!BB79=0,TABLERO!H79="RE"),"",FIXED(TABLERO!BZ79,2))</f>
        <v/>
      </c>
      <c r="AW79" s="312" t="str">
        <f>IF(TABLERO!BB79=0,"",TABLERO!CA79)</f>
        <v/>
      </c>
      <c r="AX79" s="271" t="str">
        <f>IF(TABLERO!BB79=0,"",TABLERO!CB79)</f>
        <v/>
      </c>
      <c r="AY79" s="272" t="str">
        <f>IF(OR(TABLERO!BB79=0,TABLERO!H79="RE"),"",FIXED(TABLERO!DL79,2))</f>
        <v/>
      </c>
      <c r="AZ79" s="310" t="str">
        <f>IF(OR(TABLERO!BB79=0,TABLERO!H79="RE"),"",TABLERO!F79&amp;"P-"&amp;TABLERO!BW79&amp;"A")</f>
        <v/>
      </c>
      <c r="BA79" s="272" t="str">
        <f>IF(TABLERO!$BB79=0,"",IF(TABLERO!CI79="-","     -     ",FIXED(IF(TABLERO!$F$17&lt;&gt;"KVA",TABLERO!CI79,TABLERO!CI79/TABLERO!$F$14),2)))</f>
        <v/>
      </c>
      <c r="BB79" s="272" t="str">
        <f>IF(TABLERO!$BB79=0,"",IF(TABLERO!CJ79="-","     -     ",FIXED(IF(TABLERO!$F$17&lt;&gt;"KVA",TABLERO!CJ79,TABLERO!CJ79/TABLERO!$F$14),2)))</f>
        <v/>
      </c>
      <c r="BC79" s="272" t="str">
        <f>IF(TABLERO!$BB79=0,"",IF(TABLERO!CK79="-","     -     ",FIXED(IF(TABLERO!$F$17&lt;&gt;"KVA",TABLERO!CK79,TABLERO!CK79/TABLERO!$F$14),2)))</f>
        <v/>
      </c>
      <c r="BG79" s="275">
        <f>IF(TABLERO!B79="",0,TABLERO!B79)</f>
        <v>49</v>
      </c>
      <c r="BH79" s="275"/>
      <c r="BI79" s="275"/>
      <c r="BK79" s="275"/>
      <c r="BL79" s="289" t="str" cm="1">
        <f t="array" ref="BL79">[1]!ACAELE_LineaCAD(A79)</f>
        <v>++++++++++++++++++++++++++++++2</v>
      </c>
      <c r="BM79" s="279" t="str">
        <f t="shared" si="4"/>
        <v>49+</v>
      </c>
      <c r="BN79" s="304"/>
      <c r="BO79" s="304"/>
      <c r="BP79" s="304"/>
      <c r="BQ79" s="304"/>
      <c r="BR79" s="304"/>
      <c r="BS79" s="304"/>
      <c r="BT79" s="304"/>
      <c r="BU79" s="304"/>
      <c r="BV79" s="304"/>
      <c r="BW79" s="304"/>
      <c r="BX79" s="304"/>
      <c r="BY79" s="304"/>
      <c r="BZ79" s="304"/>
      <c r="CA79" s="304"/>
      <c r="CB79" s="304"/>
      <c r="CC79" s="304"/>
      <c r="CD79" s="304"/>
      <c r="CE79" s="304"/>
      <c r="CF79" s="304"/>
      <c r="CG79" s="304"/>
      <c r="CH79" s="304"/>
      <c r="CI79" s="304"/>
      <c r="CJ79" s="304"/>
      <c r="CK79" s="304"/>
      <c r="CL79" s="304"/>
      <c r="CM79" s="304"/>
      <c r="CN79" s="304"/>
      <c r="CO79" s="304"/>
      <c r="CP79" s="304"/>
      <c r="CQ79" s="304"/>
      <c r="CR79" s="305" t="str" cm="1">
        <f t="array" ref="CR79">CONCATENATE(BM79,_xlfn.TEXTJOIN("",TRUE,IF(BN$129:CQ$129&lt;&gt;"","+"&amp;D79:AG79,"")))</f>
        <v>49+</v>
      </c>
      <c r="CS79" s="279">
        <f t="shared" si="5"/>
        <v>30</v>
      </c>
      <c r="CT79" s="279" t="str">
        <f t="shared" si="3"/>
        <v>+++++++++++++++++++++++++++++++</v>
      </c>
      <c r="CU79" s="291" t="str">
        <f t="shared" si="7"/>
        <v>49++++++++++++++++++++++++++++++++2</v>
      </c>
      <c r="GB79" s="279" t="s">
        <v>1964</v>
      </c>
    </row>
    <row r="80" spans="1:184">
      <c r="A80" s="275">
        <f>IF(C80&lt;&gt;"",1,IF(AH80="",2,IF(OR(IF(TABLERO!B80="",0,TABLERO!B80)&gt;TABLERO!$M$19,IF(TABLERO!C80="",IF(TABLERO!B80="",0,TABLERO!B80),TABLERO!C80)&gt;TABLERO!$M$19,BI80&gt;TABLERO!$M$19,IF(TABLERO!B80="",0,TABLERO!B80)=0,IF(TABLERO!C80="",BG80,TABLERO!C80)=0,IF(TABLERO!D80="",BG80,TABLERO!D80)=0),2,1)))</f>
        <v>2</v>
      </c>
      <c r="B80" s="276" t="str">
        <f>TABLERO!B80&amp;IF(TABLERO!C80="","",","&amp;TABLERO!C80)&amp;IF(TABLERO!D80="","",","&amp;TABLERO!D80)</f>
        <v>50</v>
      </c>
      <c r="C80" s="269" t="str">
        <f>IF(TABLERO!E80=0,"",TABLERO!E80)</f>
        <v/>
      </c>
      <c r="D80" s="312" t="str">
        <f>IF(OR(TABLERO!X80="",TABLERO!X80=0),"",TABLERO!X80)</f>
        <v/>
      </c>
      <c r="E80" s="312" t="str">
        <f>IF(OR(TABLERO!Y80="",TABLERO!Y80=0),"",TABLERO!Y80)</f>
        <v/>
      </c>
      <c r="F80" s="312" t="str">
        <f>IF(OR(TABLERO!Z80="",TABLERO!Z80=0),"",TABLERO!Z80)</f>
        <v/>
      </c>
      <c r="G80" s="312" t="str">
        <f>IF(OR(TABLERO!AA80="",TABLERO!AA80=0),"",TABLERO!AA80)</f>
        <v/>
      </c>
      <c r="H80" s="312" t="str">
        <f>IF(OR(TABLERO!AB80="",TABLERO!AB80=0),"",TABLERO!AB80)</f>
        <v/>
      </c>
      <c r="I80" s="312" t="str">
        <f>IF(OR(TABLERO!AC80="",TABLERO!AC80=0),"",TABLERO!AC80)</f>
        <v/>
      </c>
      <c r="J80" s="312" t="str">
        <f>IF(OR(TABLERO!AD80="",TABLERO!AD80=0),"",TABLERO!AD80)</f>
        <v/>
      </c>
      <c r="K80" s="312" t="str">
        <f>IF(OR(TABLERO!AE80="",TABLERO!AE80=0),"",TABLERO!AE80)</f>
        <v/>
      </c>
      <c r="L80" s="312" t="str">
        <f>IF(OR(TABLERO!AF80="",TABLERO!AF80=0),"",TABLERO!AF80)</f>
        <v/>
      </c>
      <c r="M80" s="312" t="str">
        <f>IF(OR(TABLERO!AG80="",TABLERO!AG80=0),"",TABLERO!AG80)</f>
        <v/>
      </c>
      <c r="N80" s="312" t="str">
        <f>IF(OR(TABLERO!AH80="",TABLERO!AH80=0),"",TABLERO!AH80)</f>
        <v/>
      </c>
      <c r="O80" s="312" t="str">
        <f>IF(OR(TABLERO!AI80="",TABLERO!AI80=0),"",TABLERO!AI80)</f>
        <v/>
      </c>
      <c r="P80" s="312" t="str">
        <f>IF(OR(TABLERO!AJ80="",TABLERO!AJ80=0),"",TABLERO!AJ80)</f>
        <v/>
      </c>
      <c r="Q80" s="312" t="str">
        <f>IF(OR(TABLERO!AK80="",TABLERO!AK80=0),"",TABLERO!AK80)</f>
        <v/>
      </c>
      <c r="R80" s="312" t="str">
        <f>IF(OR(TABLERO!AL80="",TABLERO!AL80=0),"",TABLERO!AL80)</f>
        <v/>
      </c>
      <c r="S80" s="312" t="str">
        <f>IF(OR(TABLERO!AM80="",TABLERO!AM80=0),"",TABLERO!AM80)</f>
        <v/>
      </c>
      <c r="T80" s="312" t="str">
        <f>IF(OR(TABLERO!AN80="",TABLERO!AN80=0),"",TABLERO!AN80)</f>
        <v/>
      </c>
      <c r="U80" s="312" t="str">
        <f>IF(OR(TABLERO!AO80="",TABLERO!AO80=0),"",TABLERO!AO80)</f>
        <v/>
      </c>
      <c r="V80" s="312" t="str">
        <f>IF(OR(TABLERO!AP80="",TABLERO!AP80=0),"",TABLERO!AP80)</f>
        <v/>
      </c>
      <c r="W80" s="312" t="str">
        <f>IF(OR(TABLERO!AQ80="",TABLERO!AQ80=0),"",TABLERO!AQ80)</f>
        <v/>
      </c>
      <c r="X80" s="312" t="str">
        <f>IF(OR(TABLERO!AR80="",TABLERO!AR80=0),"",TABLERO!AR80)</f>
        <v/>
      </c>
      <c r="Y80" s="312" t="str">
        <f>IF(OR(TABLERO!AS80="",TABLERO!AS80=0),"",TABLERO!AS80)</f>
        <v/>
      </c>
      <c r="Z80" s="312" t="str">
        <f>IF(OR(TABLERO!AT80="",TABLERO!AT80=0),"",TABLERO!AT80)</f>
        <v/>
      </c>
      <c r="AA80" s="312" t="str">
        <f>IF(OR(TABLERO!AU80="",TABLERO!AU80=0),"",TABLERO!AU80)</f>
        <v/>
      </c>
      <c r="AB80" s="312" t="str">
        <f>IF(OR(TABLERO!AV80="",TABLERO!AV80=0),"",TABLERO!AV80)</f>
        <v/>
      </c>
      <c r="AC80" s="312" t="str">
        <f>IF(OR(TABLERO!AW80="",TABLERO!AW80=0),"",TABLERO!AW80)</f>
        <v/>
      </c>
      <c r="AD80" s="312" t="str">
        <f>IF(OR(TABLERO!AX80="",TABLERO!AX80=0),"",TABLERO!AX80)</f>
        <v/>
      </c>
      <c r="AE80" s="312" t="str">
        <f>IF(OR(TABLERO!AY80="",TABLERO!AY80=0),"",TABLERO!AY80)</f>
        <v/>
      </c>
      <c r="AF80" s="312" t="str">
        <f>IF(OR(TABLERO!AZ80="",TABLERO!AZ80=0),"",TABLERO!AZ80)</f>
        <v/>
      </c>
      <c r="AG80" s="312" t="str">
        <f>IF(OR(TABLERO!BA80="",TABLERO!BA80=0),"",TABLERO!BA80)</f>
        <v/>
      </c>
      <c r="AH80" s="277" t="str">
        <f>IF(TABLERO!BB80=0,"",FIXED(IF(TABLERO!$F$17&lt;&gt;"KVA",TABLERO!BB80*1000,TABLERO!BB80*1000/TABLERO!DA80),2))</f>
        <v/>
      </c>
      <c r="AI80" s="277" t="str">
        <f>IF(TABLERO!BB80=0,"",FIXED(IF(TABLERO!$F$17&lt;&gt;"KVA",TABLERO!BT80*1000,TABLERO!BT80*1000/TABLERO!DA80),2))</f>
        <v/>
      </c>
      <c r="AJ80" s="272" t="str">
        <f>IF(OR(TABLERO!BU80="",TABLERO!BU80=0),"",FIXED(TABLERO!BU80,2))</f>
        <v/>
      </c>
      <c r="AK80" s="312" t="str">
        <f>IF(TABLERO!BB80=0,"",TABLERO!F80)</f>
        <v/>
      </c>
      <c r="AL80" s="312" t="str">
        <f>IF(TABLERO!BB80=0,"",TABLERO!G80)</f>
        <v/>
      </c>
      <c r="AM80" s="312" t="str">
        <f>IF(TABLERO!BB80=0,"",TABLERO!BV80)</f>
        <v/>
      </c>
      <c r="AN80" s="272" t="str">
        <f>IF(TABLERO!BB80=0,"",TABLERO!K80)</f>
        <v/>
      </c>
      <c r="AO80" s="312" t="str">
        <f>IF(TABLERO!BB80=0,"",TABLERO!J80)</f>
        <v/>
      </c>
      <c r="AP80" s="272" t="str">
        <f>IF(TABLERO!BB80=0,"",TABLERO!CT80)</f>
        <v/>
      </c>
      <c r="AQ80" s="272" t="str">
        <f>IF(TABLERO!BB80=0,"",TABLERO!CS80)</f>
        <v/>
      </c>
      <c r="AR80" s="272" t="str">
        <f>IF(OR(TABLERO!BB80=0,TABLERO!H80="RE"),"",FIXED(TABLERO!CY80,2))</f>
        <v/>
      </c>
      <c r="AS80" s="312" t="str">
        <f>IF(TABLERO!BB80=0,"",TABLERO!N80)</f>
        <v/>
      </c>
      <c r="AT80" s="1164" t="str">
        <f>IF(TABLERO!BB80=0,"",TABLERO!BX80&amp;" "&amp;TABLERO!ED80&amp;", "&amp;TABLERO!I80)</f>
        <v/>
      </c>
      <c r="AU80" s="1165"/>
      <c r="AV80" s="272" t="str">
        <f>IF(OR(TABLERO!BB80=0,TABLERO!H80="RE"),"",FIXED(TABLERO!BZ80,2))</f>
        <v/>
      </c>
      <c r="AW80" s="312" t="str">
        <f>IF(TABLERO!BB80=0,"",TABLERO!CA80)</f>
        <v/>
      </c>
      <c r="AX80" s="271" t="str">
        <f>IF(TABLERO!BB80=0,"",TABLERO!CB80)</f>
        <v/>
      </c>
      <c r="AY80" s="272" t="str">
        <f>IF(OR(TABLERO!BB80=0,TABLERO!H80="RE"),"",FIXED(TABLERO!DL80,2))</f>
        <v/>
      </c>
      <c r="AZ80" s="310" t="str">
        <f>IF(OR(TABLERO!BB80=0,TABLERO!H80="RE"),"",TABLERO!F80&amp;"P-"&amp;TABLERO!BW80&amp;"A")</f>
        <v/>
      </c>
      <c r="BA80" s="272" t="str">
        <f>IF(TABLERO!$BB80=0,"",IF(TABLERO!CI80="-","     -     ",FIXED(IF(TABLERO!$F$17&lt;&gt;"KVA",TABLERO!CI80,TABLERO!CI80/TABLERO!$F$14),2)))</f>
        <v/>
      </c>
      <c r="BB80" s="272" t="str">
        <f>IF(TABLERO!$BB80=0,"",IF(TABLERO!CJ80="-","     -     ",FIXED(IF(TABLERO!$F$17&lt;&gt;"KVA",TABLERO!CJ80,TABLERO!CJ80/TABLERO!$F$14),2)))</f>
        <v/>
      </c>
      <c r="BC80" s="272" t="str">
        <f>IF(TABLERO!$BB80=0,"",IF(TABLERO!CK80="-","     -     ",FIXED(IF(TABLERO!$F$17&lt;&gt;"KVA",TABLERO!CK80,TABLERO!CK80/TABLERO!$F$14),2)))</f>
        <v/>
      </c>
      <c r="BG80" s="275">
        <f>IF(TABLERO!B80="",0,TABLERO!B80)</f>
        <v>50</v>
      </c>
      <c r="BH80" s="275"/>
      <c r="BI80" s="275"/>
      <c r="BK80" s="275"/>
      <c r="BL80" s="289" t="str" cm="1">
        <f t="array" ref="BL80">[1]!ACAELE_LineaCAD(A80)</f>
        <v>++++++++++++++++++++++++++++++2</v>
      </c>
      <c r="BM80" s="279" t="str">
        <f t="shared" si="4"/>
        <v>50+</v>
      </c>
      <c r="BN80" s="304"/>
      <c r="BO80" s="304"/>
      <c r="BP80" s="304"/>
      <c r="BQ80" s="304"/>
      <c r="BR80" s="304"/>
      <c r="BS80" s="304"/>
      <c r="BT80" s="304"/>
      <c r="BU80" s="304"/>
      <c r="BV80" s="304"/>
      <c r="BW80" s="304"/>
      <c r="BX80" s="304"/>
      <c r="BY80" s="304"/>
      <c r="BZ80" s="304"/>
      <c r="CA80" s="304"/>
      <c r="CB80" s="304"/>
      <c r="CC80" s="304"/>
      <c r="CD80" s="304"/>
      <c r="CE80" s="304"/>
      <c r="CF80" s="304"/>
      <c r="CG80" s="304"/>
      <c r="CH80" s="304"/>
      <c r="CI80" s="304"/>
      <c r="CJ80" s="304"/>
      <c r="CK80" s="304"/>
      <c r="CL80" s="304"/>
      <c r="CM80" s="304"/>
      <c r="CN80" s="304"/>
      <c r="CO80" s="304"/>
      <c r="CP80" s="304"/>
      <c r="CQ80" s="304"/>
      <c r="CR80" s="305" t="str" cm="1">
        <f t="array" ref="CR80">CONCATENATE(BM80,_xlfn.TEXTJOIN("",TRUE,IF(BN$129:CQ$129&lt;&gt;"","+"&amp;D80:AG80,"")))</f>
        <v>50+</v>
      </c>
      <c r="CS80" s="279">
        <f t="shared" si="5"/>
        <v>30</v>
      </c>
      <c r="CT80" s="279" t="str">
        <f t="shared" si="3"/>
        <v>+++++++++++++++++++++++++++++++</v>
      </c>
      <c r="CU80" s="291" t="str">
        <f t="shared" si="7"/>
        <v>50++++++++++++++++++++++++++++++++2</v>
      </c>
      <c r="GB80" s="279" t="s">
        <v>1965</v>
      </c>
    </row>
    <row r="81" spans="1:184">
      <c r="A81" s="275">
        <f>IF(C81&lt;&gt;"",1,IF(AH81="",2,IF(OR(IF(TABLERO!B81="",0,TABLERO!B81)&gt;TABLERO!$M$19,IF(TABLERO!C81="",IF(TABLERO!B81="",0,TABLERO!B81),TABLERO!C81)&gt;TABLERO!$M$19,BI81&gt;TABLERO!$M$19,IF(TABLERO!B81="",0,TABLERO!B81)=0,IF(TABLERO!C81="",BG81,TABLERO!C81)=0,IF(TABLERO!D81="",BG81,TABLERO!D81)=0),2,1)))</f>
        <v>2</v>
      </c>
      <c r="B81" s="276" t="str">
        <f>TABLERO!B81&amp;IF(TABLERO!C81="","",","&amp;TABLERO!C81)&amp;IF(TABLERO!D81="","",","&amp;TABLERO!D81)</f>
        <v>51</v>
      </c>
      <c r="C81" s="269" t="str">
        <f>IF(TABLERO!E81=0,"",TABLERO!E81)</f>
        <v/>
      </c>
      <c r="D81" s="312" t="str">
        <f>IF(OR(TABLERO!X81="",TABLERO!X81=0),"",TABLERO!X81)</f>
        <v/>
      </c>
      <c r="E81" s="312" t="str">
        <f>IF(OR(TABLERO!Y81="",TABLERO!Y81=0),"",TABLERO!Y81)</f>
        <v/>
      </c>
      <c r="F81" s="312" t="str">
        <f>IF(OR(TABLERO!Z81="",TABLERO!Z81=0),"",TABLERO!Z81)</f>
        <v/>
      </c>
      <c r="G81" s="312" t="str">
        <f>IF(OR(TABLERO!AA81="",TABLERO!AA81=0),"",TABLERO!AA81)</f>
        <v/>
      </c>
      <c r="H81" s="312" t="str">
        <f>IF(OR(TABLERO!AB81="",TABLERO!AB81=0),"",TABLERO!AB81)</f>
        <v/>
      </c>
      <c r="I81" s="312" t="str">
        <f>IF(OR(TABLERO!AC81="",TABLERO!AC81=0),"",TABLERO!AC81)</f>
        <v/>
      </c>
      <c r="J81" s="312" t="str">
        <f>IF(OR(TABLERO!AD81="",TABLERO!AD81=0),"",TABLERO!AD81)</f>
        <v/>
      </c>
      <c r="K81" s="312" t="str">
        <f>IF(OR(TABLERO!AE81="",TABLERO!AE81=0),"",TABLERO!AE81)</f>
        <v/>
      </c>
      <c r="L81" s="312" t="str">
        <f>IF(OR(TABLERO!AF81="",TABLERO!AF81=0),"",TABLERO!AF81)</f>
        <v/>
      </c>
      <c r="M81" s="312" t="str">
        <f>IF(OR(TABLERO!AG81="",TABLERO!AG81=0),"",TABLERO!AG81)</f>
        <v/>
      </c>
      <c r="N81" s="312" t="str">
        <f>IF(OR(TABLERO!AH81="",TABLERO!AH81=0),"",TABLERO!AH81)</f>
        <v/>
      </c>
      <c r="O81" s="312" t="str">
        <f>IF(OR(TABLERO!AI81="",TABLERO!AI81=0),"",TABLERO!AI81)</f>
        <v/>
      </c>
      <c r="P81" s="312" t="str">
        <f>IF(OR(TABLERO!AJ81="",TABLERO!AJ81=0),"",TABLERO!AJ81)</f>
        <v/>
      </c>
      <c r="Q81" s="312" t="str">
        <f>IF(OR(TABLERO!AK81="",TABLERO!AK81=0),"",TABLERO!AK81)</f>
        <v/>
      </c>
      <c r="R81" s="312" t="str">
        <f>IF(OR(TABLERO!AL81="",TABLERO!AL81=0),"",TABLERO!AL81)</f>
        <v/>
      </c>
      <c r="S81" s="312" t="str">
        <f>IF(OR(TABLERO!AM81="",TABLERO!AM81=0),"",TABLERO!AM81)</f>
        <v/>
      </c>
      <c r="T81" s="312" t="str">
        <f>IF(OR(TABLERO!AN81="",TABLERO!AN81=0),"",TABLERO!AN81)</f>
        <v/>
      </c>
      <c r="U81" s="312" t="str">
        <f>IF(OR(TABLERO!AO81="",TABLERO!AO81=0),"",TABLERO!AO81)</f>
        <v/>
      </c>
      <c r="V81" s="312" t="str">
        <f>IF(OR(TABLERO!AP81="",TABLERO!AP81=0),"",TABLERO!AP81)</f>
        <v/>
      </c>
      <c r="W81" s="312" t="str">
        <f>IF(OR(TABLERO!AQ81="",TABLERO!AQ81=0),"",TABLERO!AQ81)</f>
        <v/>
      </c>
      <c r="X81" s="312" t="str">
        <f>IF(OR(TABLERO!AR81="",TABLERO!AR81=0),"",TABLERO!AR81)</f>
        <v/>
      </c>
      <c r="Y81" s="312" t="str">
        <f>IF(OR(TABLERO!AS81="",TABLERO!AS81=0),"",TABLERO!AS81)</f>
        <v/>
      </c>
      <c r="Z81" s="312" t="str">
        <f>IF(OR(TABLERO!AT81="",TABLERO!AT81=0),"",TABLERO!AT81)</f>
        <v/>
      </c>
      <c r="AA81" s="312" t="str">
        <f>IF(OR(TABLERO!AU81="",TABLERO!AU81=0),"",TABLERO!AU81)</f>
        <v/>
      </c>
      <c r="AB81" s="312" t="str">
        <f>IF(OR(TABLERO!AV81="",TABLERO!AV81=0),"",TABLERO!AV81)</f>
        <v/>
      </c>
      <c r="AC81" s="312" t="str">
        <f>IF(OR(TABLERO!AW81="",TABLERO!AW81=0),"",TABLERO!AW81)</f>
        <v/>
      </c>
      <c r="AD81" s="312" t="str">
        <f>IF(OR(TABLERO!AX81="",TABLERO!AX81=0),"",TABLERO!AX81)</f>
        <v/>
      </c>
      <c r="AE81" s="312" t="str">
        <f>IF(OR(TABLERO!AY81="",TABLERO!AY81=0),"",TABLERO!AY81)</f>
        <v/>
      </c>
      <c r="AF81" s="312" t="str">
        <f>IF(OR(TABLERO!AZ81="",TABLERO!AZ81=0),"",TABLERO!AZ81)</f>
        <v/>
      </c>
      <c r="AG81" s="312" t="str">
        <f>IF(OR(TABLERO!BA81="",TABLERO!BA81=0),"",TABLERO!BA81)</f>
        <v/>
      </c>
      <c r="AH81" s="277" t="str">
        <f>IF(TABLERO!BB81=0,"",FIXED(IF(TABLERO!$F$17&lt;&gt;"KVA",TABLERO!BB81*1000,TABLERO!BB81*1000/TABLERO!DA81),2))</f>
        <v/>
      </c>
      <c r="AI81" s="277" t="str">
        <f>IF(TABLERO!BB81=0,"",FIXED(IF(TABLERO!$F$17&lt;&gt;"KVA",TABLERO!BT81*1000,TABLERO!BT81*1000/TABLERO!DA81),2))</f>
        <v/>
      </c>
      <c r="AJ81" s="272" t="str">
        <f>IF(OR(TABLERO!BU81="",TABLERO!BU81=0),"",FIXED(TABLERO!BU81,2))</f>
        <v/>
      </c>
      <c r="AK81" s="312" t="str">
        <f>IF(TABLERO!BB81=0,"",TABLERO!F81)</f>
        <v/>
      </c>
      <c r="AL81" s="312" t="str">
        <f>IF(TABLERO!BB81=0,"",TABLERO!G81)</f>
        <v/>
      </c>
      <c r="AM81" s="312" t="str">
        <f>IF(TABLERO!BB81=0,"",TABLERO!BV81)</f>
        <v/>
      </c>
      <c r="AN81" s="272" t="str">
        <f>IF(TABLERO!BB81=0,"",TABLERO!K81)</f>
        <v/>
      </c>
      <c r="AO81" s="312" t="str">
        <f>IF(TABLERO!BB81=0,"",TABLERO!J81)</f>
        <v/>
      </c>
      <c r="AP81" s="272" t="str">
        <f>IF(TABLERO!BB81=0,"",TABLERO!CT81)</f>
        <v/>
      </c>
      <c r="AQ81" s="272" t="str">
        <f>IF(TABLERO!BB81=0,"",TABLERO!CS81)</f>
        <v/>
      </c>
      <c r="AR81" s="272" t="str">
        <f>IF(OR(TABLERO!BB81=0,TABLERO!H81="RE"),"",FIXED(TABLERO!CY81,2))</f>
        <v/>
      </c>
      <c r="AS81" s="312" t="str">
        <f>IF(TABLERO!BB81=0,"",TABLERO!N81)</f>
        <v/>
      </c>
      <c r="AT81" s="1164" t="str">
        <f>IF(TABLERO!BB81=0,"",TABLERO!BX81&amp;" "&amp;TABLERO!ED81&amp;", "&amp;TABLERO!I81)</f>
        <v/>
      </c>
      <c r="AU81" s="1165"/>
      <c r="AV81" s="272" t="str">
        <f>IF(OR(TABLERO!BB81=0,TABLERO!H81="RE"),"",FIXED(TABLERO!BZ81,2))</f>
        <v/>
      </c>
      <c r="AW81" s="312" t="str">
        <f>IF(TABLERO!BB81=0,"",TABLERO!CA81)</f>
        <v/>
      </c>
      <c r="AX81" s="271" t="str">
        <f>IF(TABLERO!BB81=0,"",TABLERO!CB81)</f>
        <v/>
      </c>
      <c r="AY81" s="272" t="str">
        <f>IF(OR(TABLERO!BB81=0,TABLERO!H81="RE"),"",FIXED(TABLERO!DL81,2))</f>
        <v/>
      </c>
      <c r="AZ81" s="310" t="str">
        <f>IF(OR(TABLERO!BB81=0,TABLERO!H81="RE"),"",TABLERO!F81&amp;"P-"&amp;TABLERO!BW81&amp;"A")</f>
        <v/>
      </c>
      <c r="BA81" s="272" t="str">
        <f>IF(TABLERO!$BB81=0,"",IF(TABLERO!CI81="-","     -     ",FIXED(IF(TABLERO!$F$17&lt;&gt;"KVA",TABLERO!CI81,TABLERO!CI81/TABLERO!$F$14),2)))</f>
        <v/>
      </c>
      <c r="BB81" s="272" t="str">
        <f>IF(TABLERO!$BB81=0,"",IF(TABLERO!CJ81="-","     -     ",FIXED(IF(TABLERO!$F$17&lt;&gt;"KVA",TABLERO!CJ81,TABLERO!CJ81/TABLERO!$F$14),2)))</f>
        <v/>
      </c>
      <c r="BC81" s="272" t="str">
        <f>IF(TABLERO!$BB81=0,"",IF(TABLERO!CK81="-","     -     ",FIXED(IF(TABLERO!$F$17&lt;&gt;"KVA",TABLERO!CK81,TABLERO!CK81/TABLERO!$F$14),2)))</f>
        <v/>
      </c>
      <c r="BG81" s="275">
        <f>IF(TABLERO!B81="",0,TABLERO!B81)</f>
        <v>51</v>
      </c>
      <c r="BH81" s="275"/>
      <c r="BI81" s="275"/>
      <c r="BK81" s="275"/>
      <c r="BL81" s="289" t="str" cm="1">
        <f t="array" ref="BL81">[1]!ACAELE_LineaCAD(A81)</f>
        <v>++++++++++++++++++++++++++++++2</v>
      </c>
      <c r="BM81" s="279" t="str">
        <f t="shared" si="4"/>
        <v>51+</v>
      </c>
      <c r="BN81" s="304"/>
      <c r="BO81" s="304"/>
      <c r="BP81" s="304"/>
      <c r="BQ81" s="304"/>
      <c r="BR81" s="304"/>
      <c r="BS81" s="304"/>
      <c r="BT81" s="304"/>
      <c r="BU81" s="304"/>
      <c r="BV81" s="304"/>
      <c r="BW81" s="304"/>
      <c r="BX81" s="304"/>
      <c r="BY81" s="304"/>
      <c r="BZ81" s="304"/>
      <c r="CA81" s="304"/>
      <c r="CB81" s="304"/>
      <c r="CC81" s="304"/>
      <c r="CD81" s="304"/>
      <c r="CE81" s="304"/>
      <c r="CF81" s="304"/>
      <c r="CG81" s="304"/>
      <c r="CH81" s="304"/>
      <c r="CI81" s="304"/>
      <c r="CJ81" s="304"/>
      <c r="CK81" s="304"/>
      <c r="CL81" s="304"/>
      <c r="CM81" s="304"/>
      <c r="CN81" s="304"/>
      <c r="CO81" s="304"/>
      <c r="CP81" s="304"/>
      <c r="CQ81" s="304"/>
      <c r="CR81" s="305" t="str" cm="1">
        <f t="array" ref="CR81">CONCATENATE(BM81,_xlfn.TEXTJOIN("",TRUE,IF(BN$129:CQ$129&lt;&gt;"","+"&amp;D81:AG81,"")))</f>
        <v>51+</v>
      </c>
      <c r="CS81" s="279">
        <f t="shared" si="5"/>
        <v>30</v>
      </c>
      <c r="CT81" s="279" t="str">
        <f t="shared" si="3"/>
        <v>+++++++++++++++++++++++++++++++</v>
      </c>
      <c r="CU81" s="291" t="str">
        <f t="shared" si="7"/>
        <v>51++++++++++++++++++++++++++++++++2</v>
      </c>
      <c r="GB81" s="279" t="s">
        <v>1966</v>
      </c>
    </row>
    <row r="82" spans="1:184">
      <c r="A82" s="275">
        <f>IF(C82&lt;&gt;"",1,IF(AH82="",2,IF(OR(IF(TABLERO!B82="",0,TABLERO!B82)&gt;TABLERO!$M$19,IF(TABLERO!C82="",IF(TABLERO!B82="",0,TABLERO!B82),TABLERO!C82)&gt;TABLERO!$M$19,BI82&gt;TABLERO!$M$19,IF(TABLERO!B82="",0,TABLERO!B82)=0,IF(TABLERO!C82="",BG82,TABLERO!C82)=0,IF(TABLERO!D82="",BG82,TABLERO!D82)=0),2,1)))</f>
        <v>2</v>
      </c>
      <c r="B82" s="276" t="str">
        <f>TABLERO!B82&amp;IF(TABLERO!C82="","",","&amp;TABLERO!C82)&amp;IF(TABLERO!D82="","",","&amp;TABLERO!D82)</f>
        <v>52</v>
      </c>
      <c r="C82" s="269" t="str">
        <f>IF(TABLERO!E82=0,"",TABLERO!E82)</f>
        <v/>
      </c>
      <c r="D82" s="312" t="str">
        <f>IF(OR(TABLERO!X82="",TABLERO!X82=0),"",TABLERO!X82)</f>
        <v/>
      </c>
      <c r="E82" s="312" t="str">
        <f>IF(OR(TABLERO!Y82="",TABLERO!Y82=0),"",TABLERO!Y82)</f>
        <v/>
      </c>
      <c r="F82" s="312" t="str">
        <f>IF(OR(TABLERO!Z82="",TABLERO!Z82=0),"",TABLERO!Z82)</f>
        <v/>
      </c>
      <c r="G82" s="312" t="str">
        <f>IF(OR(TABLERO!AA82="",TABLERO!AA82=0),"",TABLERO!AA82)</f>
        <v/>
      </c>
      <c r="H82" s="312" t="str">
        <f>IF(OR(TABLERO!AB82="",TABLERO!AB82=0),"",TABLERO!AB82)</f>
        <v/>
      </c>
      <c r="I82" s="312" t="str">
        <f>IF(OR(TABLERO!AC82="",TABLERO!AC82=0),"",TABLERO!AC82)</f>
        <v/>
      </c>
      <c r="J82" s="312" t="str">
        <f>IF(OR(TABLERO!AD82="",TABLERO!AD82=0),"",TABLERO!AD82)</f>
        <v/>
      </c>
      <c r="K82" s="312" t="str">
        <f>IF(OR(TABLERO!AE82="",TABLERO!AE82=0),"",TABLERO!AE82)</f>
        <v/>
      </c>
      <c r="L82" s="312" t="str">
        <f>IF(OR(TABLERO!AF82="",TABLERO!AF82=0),"",TABLERO!AF82)</f>
        <v/>
      </c>
      <c r="M82" s="312" t="str">
        <f>IF(OR(TABLERO!AG82="",TABLERO!AG82=0),"",TABLERO!AG82)</f>
        <v/>
      </c>
      <c r="N82" s="312" t="str">
        <f>IF(OR(TABLERO!AH82="",TABLERO!AH82=0),"",TABLERO!AH82)</f>
        <v/>
      </c>
      <c r="O82" s="312" t="str">
        <f>IF(OR(TABLERO!AI82="",TABLERO!AI82=0),"",TABLERO!AI82)</f>
        <v/>
      </c>
      <c r="P82" s="312" t="str">
        <f>IF(OR(TABLERO!AJ82="",TABLERO!AJ82=0),"",TABLERO!AJ82)</f>
        <v/>
      </c>
      <c r="Q82" s="312" t="str">
        <f>IF(OR(TABLERO!AK82="",TABLERO!AK82=0),"",TABLERO!AK82)</f>
        <v/>
      </c>
      <c r="R82" s="312" t="str">
        <f>IF(OR(TABLERO!AL82="",TABLERO!AL82=0),"",TABLERO!AL82)</f>
        <v/>
      </c>
      <c r="S82" s="312" t="str">
        <f>IF(OR(TABLERO!AM82="",TABLERO!AM82=0),"",TABLERO!AM82)</f>
        <v/>
      </c>
      <c r="T82" s="312" t="str">
        <f>IF(OR(TABLERO!AN82="",TABLERO!AN82=0),"",TABLERO!AN82)</f>
        <v/>
      </c>
      <c r="U82" s="312" t="str">
        <f>IF(OR(TABLERO!AO82="",TABLERO!AO82=0),"",TABLERO!AO82)</f>
        <v/>
      </c>
      <c r="V82" s="312" t="str">
        <f>IF(OR(TABLERO!AP82="",TABLERO!AP82=0),"",TABLERO!AP82)</f>
        <v/>
      </c>
      <c r="W82" s="312" t="str">
        <f>IF(OR(TABLERO!AQ82="",TABLERO!AQ82=0),"",TABLERO!AQ82)</f>
        <v/>
      </c>
      <c r="X82" s="312" t="str">
        <f>IF(OR(TABLERO!AR82="",TABLERO!AR82=0),"",TABLERO!AR82)</f>
        <v/>
      </c>
      <c r="Y82" s="312" t="str">
        <f>IF(OR(TABLERO!AS82="",TABLERO!AS82=0),"",TABLERO!AS82)</f>
        <v/>
      </c>
      <c r="Z82" s="312" t="str">
        <f>IF(OR(TABLERO!AT82="",TABLERO!AT82=0),"",TABLERO!AT82)</f>
        <v/>
      </c>
      <c r="AA82" s="312" t="str">
        <f>IF(OR(TABLERO!AU82="",TABLERO!AU82=0),"",TABLERO!AU82)</f>
        <v/>
      </c>
      <c r="AB82" s="312" t="str">
        <f>IF(OR(TABLERO!AV82="",TABLERO!AV82=0),"",TABLERO!AV82)</f>
        <v/>
      </c>
      <c r="AC82" s="312" t="str">
        <f>IF(OR(TABLERO!AW82="",TABLERO!AW82=0),"",TABLERO!AW82)</f>
        <v/>
      </c>
      <c r="AD82" s="312" t="str">
        <f>IF(OR(TABLERO!AX82="",TABLERO!AX82=0),"",TABLERO!AX82)</f>
        <v/>
      </c>
      <c r="AE82" s="312" t="str">
        <f>IF(OR(TABLERO!AY82="",TABLERO!AY82=0),"",TABLERO!AY82)</f>
        <v/>
      </c>
      <c r="AF82" s="312" t="str">
        <f>IF(OR(TABLERO!AZ82="",TABLERO!AZ82=0),"",TABLERO!AZ82)</f>
        <v/>
      </c>
      <c r="AG82" s="312" t="str">
        <f>IF(OR(TABLERO!BA82="",TABLERO!BA82=0),"",TABLERO!BA82)</f>
        <v/>
      </c>
      <c r="AH82" s="277" t="str">
        <f>IF(TABLERO!BB82=0,"",FIXED(IF(TABLERO!$F$17&lt;&gt;"KVA",TABLERO!BB82*1000,TABLERO!BB82*1000/TABLERO!DA82),2))</f>
        <v/>
      </c>
      <c r="AI82" s="277" t="str">
        <f>IF(TABLERO!BB82=0,"",FIXED(IF(TABLERO!$F$17&lt;&gt;"KVA",TABLERO!BT82*1000,TABLERO!BT82*1000/TABLERO!DA82),2))</f>
        <v/>
      </c>
      <c r="AJ82" s="272" t="str">
        <f>IF(OR(TABLERO!BU82="",TABLERO!BU82=0),"",FIXED(TABLERO!BU82,2))</f>
        <v/>
      </c>
      <c r="AK82" s="312" t="str">
        <f>IF(TABLERO!BB82=0,"",TABLERO!F82)</f>
        <v/>
      </c>
      <c r="AL82" s="312" t="str">
        <f>IF(TABLERO!BB82=0,"",TABLERO!G82)</f>
        <v/>
      </c>
      <c r="AM82" s="312" t="str">
        <f>IF(TABLERO!BB82=0,"",TABLERO!BV82)</f>
        <v/>
      </c>
      <c r="AN82" s="272" t="str">
        <f>IF(TABLERO!BB82=0,"",TABLERO!K82)</f>
        <v/>
      </c>
      <c r="AO82" s="312" t="str">
        <f>IF(TABLERO!BB82=0,"",TABLERO!J82)</f>
        <v/>
      </c>
      <c r="AP82" s="272" t="str">
        <f>IF(TABLERO!BB82=0,"",TABLERO!CT82)</f>
        <v/>
      </c>
      <c r="AQ82" s="272" t="str">
        <f>IF(TABLERO!BB82=0,"",TABLERO!CS82)</f>
        <v/>
      </c>
      <c r="AR82" s="272" t="str">
        <f>IF(OR(TABLERO!BB82=0,TABLERO!H82="RE"),"",FIXED(TABLERO!CY82,2))</f>
        <v/>
      </c>
      <c r="AS82" s="312" t="str">
        <f>IF(TABLERO!BB82=0,"",TABLERO!N82)</f>
        <v/>
      </c>
      <c r="AT82" s="1164" t="str">
        <f>IF(TABLERO!BB82=0,"",TABLERO!BX82&amp;" "&amp;TABLERO!ED82&amp;", "&amp;TABLERO!I82)</f>
        <v/>
      </c>
      <c r="AU82" s="1165"/>
      <c r="AV82" s="272" t="str">
        <f>IF(OR(TABLERO!BB82=0,TABLERO!H82="RE"),"",FIXED(TABLERO!BZ82,2))</f>
        <v/>
      </c>
      <c r="AW82" s="312" t="str">
        <f>IF(TABLERO!BB82=0,"",TABLERO!CA82)</f>
        <v/>
      </c>
      <c r="AX82" s="271" t="str">
        <f>IF(TABLERO!BB82=0,"",TABLERO!CB82)</f>
        <v/>
      </c>
      <c r="AY82" s="272" t="str">
        <f>IF(OR(TABLERO!BB82=0,TABLERO!H82="RE"),"",FIXED(TABLERO!DL82,2))</f>
        <v/>
      </c>
      <c r="AZ82" s="310" t="str">
        <f>IF(OR(TABLERO!BB82=0,TABLERO!H82="RE"),"",TABLERO!F82&amp;"P-"&amp;TABLERO!BW82&amp;"A")</f>
        <v/>
      </c>
      <c r="BA82" s="272" t="str">
        <f>IF(TABLERO!$BB82=0,"",IF(TABLERO!CI82="-","     -     ",FIXED(IF(TABLERO!$F$17&lt;&gt;"KVA",TABLERO!CI82,TABLERO!CI82/TABLERO!$F$14),2)))</f>
        <v/>
      </c>
      <c r="BB82" s="272" t="str">
        <f>IF(TABLERO!$BB82=0,"",IF(TABLERO!CJ82="-","     -     ",FIXED(IF(TABLERO!$F$17&lt;&gt;"KVA",TABLERO!CJ82,TABLERO!CJ82/TABLERO!$F$14),2)))</f>
        <v/>
      </c>
      <c r="BC82" s="272" t="str">
        <f>IF(TABLERO!$BB82=0,"",IF(TABLERO!CK82="-","     -     ",FIXED(IF(TABLERO!$F$17&lt;&gt;"KVA",TABLERO!CK82,TABLERO!CK82/TABLERO!$F$14),2)))</f>
        <v/>
      </c>
      <c r="BG82" s="275">
        <f>IF(TABLERO!B82="",0,TABLERO!B82)</f>
        <v>52</v>
      </c>
      <c r="BH82" s="275"/>
      <c r="BI82" s="275"/>
      <c r="BK82" s="275"/>
      <c r="BL82" s="289" t="str" cm="1">
        <f t="array" ref="BL82">[1]!ACAELE_LineaCAD(A82)</f>
        <v>++++++++++++++++++++++++++++++2</v>
      </c>
      <c r="BM82" s="279" t="str">
        <f t="shared" si="4"/>
        <v>52+</v>
      </c>
      <c r="BN82" s="304"/>
      <c r="BO82" s="304"/>
      <c r="BP82" s="304"/>
      <c r="BQ82" s="304"/>
      <c r="BR82" s="304"/>
      <c r="BS82" s="304"/>
      <c r="BT82" s="304"/>
      <c r="BU82" s="304"/>
      <c r="BV82" s="304"/>
      <c r="BW82" s="304"/>
      <c r="BX82" s="304"/>
      <c r="BY82" s="304"/>
      <c r="BZ82" s="304"/>
      <c r="CA82" s="304"/>
      <c r="CB82" s="304"/>
      <c r="CC82" s="304"/>
      <c r="CD82" s="304"/>
      <c r="CE82" s="304"/>
      <c r="CF82" s="304"/>
      <c r="CG82" s="304"/>
      <c r="CH82" s="304"/>
      <c r="CI82" s="304"/>
      <c r="CJ82" s="304"/>
      <c r="CK82" s="304"/>
      <c r="CL82" s="304"/>
      <c r="CM82" s="304"/>
      <c r="CN82" s="304"/>
      <c r="CO82" s="304"/>
      <c r="CP82" s="304"/>
      <c r="CQ82" s="304"/>
      <c r="CR82" s="305" t="str" cm="1">
        <f t="array" ref="CR82">CONCATENATE(BM82,_xlfn.TEXTJOIN("",TRUE,IF(BN$129:CQ$129&lt;&gt;"","+"&amp;D82:AG82,"")))</f>
        <v>52+</v>
      </c>
      <c r="CS82" s="279">
        <f t="shared" si="5"/>
        <v>30</v>
      </c>
      <c r="CT82" s="279" t="str">
        <f t="shared" si="3"/>
        <v>+++++++++++++++++++++++++++++++</v>
      </c>
      <c r="CU82" s="291" t="str">
        <f t="shared" si="7"/>
        <v>52++++++++++++++++++++++++++++++++2</v>
      </c>
      <c r="GB82" s="279" t="s">
        <v>1967</v>
      </c>
    </row>
    <row r="83" spans="1:184">
      <c r="A83" s="275">
        <f>IF(C83&lt;&gt;"",1,IF(AH83="",2,IF(OR(IF(TABLERO!B83="",0,TABLERO!B83)&gt;TABLERO!$M$19,IF(TABLERO!C83="",IF(TABLERO!B83="",0,TABLERO!B83),TABLERO!C83)&gt;TABLERO!$M$19,BI83&gt;TABLERO!$M$19,IF(TABLERO!B83="",0,TABLERO!B83)=0,IF(TABLERO!C83="",BG83,TABLERO!C83)=0,IF(TABLERO!D83="",BG83,TABLERO!D83)=0),2,1)))</f>
        <v>2</v>
      </c>
      <c r="B83" s="276" t="str">
        <f>TABLERO!B83&amp;IF(TABLERO!C83="","",","&amp;TABLERO!C83)&amp;IF(TABLERO!D83="","",","&amp;TABLERO!D83)</f>
        <v>53</v>
      </c>
      <c r="C83" s="269" t="str">
        <f>IF(TABLERO!E83=0,"",TABLERO!E83)</f>
        <v/>
      </c>
      <c r="D83" s="312" t="str">
        <f>IF(OR(TABLERO!X83="",TABLERO!X83=0),"",TABLERO!X83)</f>
        <v/>
      </c>
      <c r="E83" s="312" t="str">
        <f>IF(OR(TABLERO!Y83="",TABLERO!Y83=0),"",TABLERO!Y83)</f>
        <v/>
      </c>
      <c r="F83" s="312" t="str">
        <f>IF(OR(TABLERO!Z83="",TABLERO!Z83=0),"",TABLERO!Z83)</f>
        <v/>
      </c>
      <c r="G83" s="312" t="str">
        <f>IF(OR(TABLERO!AA83="",TABLERO!AA83=0),"",TABLERO!AA83)</f>
        <v/>
      </c>
      <c r="H83" s="312" t="str">
        <f>IF(OR(TABLERO!AB83="",TABLERO!AB83=0),"",TABLERO!AB83)</f>
        <v/>
      </c>
      <c r="I83" s="312" t="str">
        <f>IF(OR(TABLERO!AC83="",TABLERO!AC83=0),"",TABLERO!AC83)</f>
        <v/>
      </c>
      <c r="J83" s="312" t="str">
        <f>IF(OR(TABLERO!AD83="",TABLERO!AD83=0),"",TABLERO!AD83)</f>
        <v/>
      </c>
      <c r="K83" s="312" t="str">
        <f>IF(OR(TABLERO!AE83="",TABLERO!AE83=0),"",TABLERO!AE83)</f>
        <v/>
      </c>
      <c r="L83" s="312" t="str">
        <f>IF(OR(TABLERO!AF83="",TABLERO!AF83=0),"",TABLERO!AF83)</f>
        <v/>
      </c>
      <c r="M83" s="312" t="str">
        <f>IF(OR(TABLERO!AG83="",TABLERO!AG83=0),"",TABLERO!AG83)</f>
        <v/>
      </c>
      <c r="N83" s="312" t="str">
        <f>IF(OR(TABLERO!AH83="",TABLERO!AH83=0),"",TABLERO!AH83)</f>
        <v/>
      </c>
      <c r="O83" s="312" t="str">
        <f>IF(OR(TABLERO!AI83="",TABLERO!AI83=0),"",TABLERO!AI83)</f>
        <v/>
      </c>
      <c r="P83" s="312" t="str">
        <f>IF(OR(TABLERO!AJ83="",TABLERO!AJ83=0),"",TABLERO!AJ83)</f>
        <v/>
      </c>
      <c r="Q83" s="312" t="str">
        <f>IF(OR(TABLERO!AK83="",TABLERO!AK83=0),"",TABLERO!AK83)</f>
        <v/>
      </c>
      <c r="R83" s="312" t="str">
        <f>IF(OR(TABLERO!AL83="",TABLERO!AL83=0),"",TABLERO!AL83)</f>
        <v/>
      </c>
      <c r="S83" s="312" t="str">
        <f>IF(OR(TABLERO!AM83="",TABLERO!AM83=0),"",TABLERO!AM83)</f>
        <v/>
      </c>
      <c r="T83" s="312" t="str">
        <f>IF(OR(TABLERO!AN83="",TABLERO!AN83=0),"",TABLERO!AN83)</f>
        <v/>
      </c>
      <c r="U83" s="312" t="str">
        <f>IF(OR(TABLERO!AO83="",TABLERO!AO83=0),"",TABLERO!AO83)</f>
        <v/>
      </c>
      <c r="V83" s="312" t="str">
        <f>IF(OR(TABLERO!AP83="",TABLERO!AP83=0),"",TABLERO!AP83)</f>
        <v/>
      </c>
      <c r="W83" s="312" t="str">
        <f>IF(OR(TABLERO!AQ83="",TABLERO!AQ83=0),"",TABLERO!AQ83)</f>
        <v/>
      </c>
      <c r="X83" s="312" t="str">
        <f>IF(OR(TABLERO!AR83="",TABLERO!AR83=0),"",TABLERO!AR83)</f>
        <v/>
      </c>
      <c r="Y83" s="312" t="str">
        <f>IF(OR(TABLERO!AS83="",TABLERO!AS83=0),"",TABLERO!AS83)</f>
        <v/>
      </c>
      <c r="Z83" s="312" t="str">
        <f>IF(OR(TABLERO!AT83="",TABLERO!AT83=0),"",TABLERO!AT83)</f>
        <v/>
      </c>
      <c r="AA83" s="312" t="str">
        <f>IF(OR(TABLERO!AU83="",TABLERO!AU83=0),"",TABLERO!AU83)</f>
        <v/>
      </c>
      <c r="AB83" s="312" t="str">
        <f>IF(OR(TABLERO!AV83="",TABLERO!AV83=0),"",TABLERO!AV83)</f>
        <v/>
      </c>
      <c r="AC83" s="312" t="str">
        <f>IF(OR(TABLERO!AW83="",TABLERO!AW83=0),"",TABLERO!AW83)</f>
        <v/>
      </c>
      <c r="AD83" s="312" t="str">
        <f>IF(OR(TABLERO!AX83="",TABLERO!AX83=0),"",TABLERO!AX83)</f>
        <v/>
      </c>
      <c r="AE83" s="312" t="str">
        <f>IF(OR(TABLERO!AY83="",TABLERO!AY83=0),"",TABLERO!AY83)</f>
        <v/>
      </c>
      <c r="AF83" s="312" t="str">
        <f>IF(OR(TABLERO!AZ83="",TABLERO!AZ83=0),"",TABLERO!AZ83)</f>
        <v/>
      </c>
      <c r="AG83" s="312" t="str">
        <f>IF(OR(TABLERO!BA83="",TABLERO!BA83=0),"",TABLERO!BA83)</f>
        <v/>
      </c>
      <c r="AH83" s="277" t="str">
        <f>IF(TABLERO!BB83=0,"",FIXED(IF(TABLERO!$F$17&lt;&gt;"KVA",TABLERO!BB83*1000,TABLERO!BB83*1000/TABLERO!DA83),2))</f>
        <v/>
      </c>
      <c r="AI83" s="277" t="str">
        <f>IF(TABLERO!BB83=0,"",FIXED(IF(TABLERO!$F$17&lt;&gt;"KVA",TABLERO!BT83*1000,TABLERO!BT83*1000/TABLERO!DA83),2))</f>
        <v/>
      </c>
      <c r="AJ83" s="272" t="str">
        <f>IF(OR(TABLERO!BU83="",TABLERO!BU83=0),"",FIXED(TABLERO!BU83,2))</f>
        <v/>
      </c>
      <c r="AK83" s="312" t="str">
        <f>IF(TABLERO!BB83=0,"",TABLERO!F83)</f>
        <v/>
      </c>
      <c r="AL83" s="312" t="str">
        <f>IF(TABLERO!BB83=0,"",TABLERO!G83)</f>
        <v/>
      </c>
      <c r="AM83" s="312" t="str">
        <f>IF(TABLERO!BB83=0,"",TABLERO!BV83)</f>
        <v/>
      </c>
      <c r="AN83" s="272" t="str">
        <f>IF(TABLERO!BB83=0,"",TABLERO!K83)</f>
        <v/>
      </c>
      <c r="AO83" s="312" t="str">
        <f>IF(TABLERO!BB83=0,"",TABLERO!J83)</f>
        <v/>
      </c>
      <c r="AP83" s="272" t="str">
        <f>IF(TABLERO!BB83=0,"",TABLERO!CT83)</f>
        <v/>
      </c>
      <c r="AQ83" s="272" t="str">
        <f>IF(TABLERO!BB83=0,"",TABLERO!CS83)</f>
        <v/>
      </c>
      <c r="AR83" s="272" t="str">
        <f>IF(OR(TABLERO!BB83=0,TABLERO!H83="RE"),"",FIXED(TABLERO!CY83,2))</f>
        <v/>
      </c>
      <c r="AS83" s="312" t="str">
        <f>IF(TABLERO!BB83=0,"",TABLERO!N83)</f>
        <v/>
      </c>
      <c r="AT83" s="1164" t="str">
        <f>IF(TABLERO!BB83=0,"",TABLERO!BX83&amp;" "&amp;TABLERO!ED83&amp;", "&amp;TABLERO!I83)</f>
        <v/>
      </c>
      <c r="AU83" s="1165"/>
      <c r="AV83" s="272" t="str">
        <f>IF(OR(TABLERO!BB83=0,TABLERO!H83="RE"),"",FIXED(TABLERO!BZ83,2))</f>
        <v/>
      </c>
      <c r="AW83" s="312" t="str">
        <f>IF(TABLERO!BB83=0,"",TABLERO!CA83)</f>
        <v/>
      </c>
      <c r="AX83" s="271" t="str">
        <f>IF(TABLERO!BB83=0,"",TABLERO!CB83)</f>
        <v/>
      </c>
      <c r="AY83" s="272" t="str">
        <f>IF(OR(TABLERO!BB83=0,TABLERO!H83="RE"),"",FIXED(TABLERO!DL83,2))</f>
        <v/>
      </c>
      <c r="AZ83" s="310" t="str">
        <f>IF(OR(TABLERO!BB83=0,TABLERO!H83="RE"),"",TABLERO!F83&amp;"P-"&amp;TABLERO!BW83&amp;"A")</f>
        <v/>
      </c>
      <c r="BA83" s="272" t="str">
        <f>IF(TABLERO!$BB83=0,"",IF(TABLERO!CI83="-","     -     ",FIXED(IF(TABLERO!$F$17&lt;&gt;"KVA",TABLERO!CI83,TABLERO!CI83/TABLERO!$F$14),2)))</f>
        <v/>
      </c>
      <c r="BB83" s="272" t="str">
        <f>IF(TABLERO!$BB83=0,"",IF(TABLERO!CJ83="-","     -     ",FIXED(IF(TABLERO!$F$17&lt;&gt;"KVA",TABLERO!CJ83,TABLERO!CJ83/TABLERO!$F$14),2)))</f>
        <v/>
      </c>
      <c r="BC83" s="272" t="str">
        <f>IF(TABLERO!$BB83=0,"",IF(TABLERO!CK83="-","     -     ",FIXED(IF(TABLERO!$F$17&lt;&gt;"KVA",TABLERO!CK83,TABLERO!CK83/TABLERO!$F$14),2)))</f>
        <v/>
      </c>
      <c r="BG83" s="275">
        <f>IF(TABLERO!B83="",0,TABLERO!B83)</f>
        <v>53</v>
      </c>
      <c r="BH83" s="275"/>
      <c r="BI83" s="275"/>
      <c r="BK83" s="275"/>
      <c r="BL83" s="289" t="str" cm="1">
        <f t="array" ref="BL83">[1]!ACAELE_LineaCAD(A83)</f>
        <v>++++++++++++++++++++++++++++++2</v>
      </c>
      <c r="BM83" s="279" t="str">
        <f t="shared" si="4"/>
        <v>53+</v>
      </c>
      <c r="BN83" s="304"/>
      <c r="BO83" s="304"/>
      <c r="BP83" s="304"/>
      <c r="BQ83" s="304"/>
      <c r="BR83" s="304"/>
      <c r="BS83" s="304"/>
      <c r="BT83" s="304"/>
      <c r="BU83" s="304"/>
      <c r="BV83" s="304"/>
      <c r="BW83" s="304"/>
      <c r="BX83" s="304"/>
      <c r="BY83" s="304"/>
      <c r="BZ83" s="304"/>
      <c r="CA83" s="304"/>
      <c r="CB83" s="304"/>
      <c r="CC83" s="304"/>
      <c r="CD83" s="304"/>
      <c r="CE83" s="304"/>
      <c r="CF83" s="304"/>
      <c r="CG83" s="304"/>
      <c r="CH83" s="304"/>
      <c r="CI83" s="304"/>
      <c r="CJ83" s="304"/>
      <c r="CK83" s="304"/>
      <c r="CL83" s="304"/>
      <c r="CM83" s="304"/>
      <c r="CN83" s="304"/>
      <c r="CO83" s="304"/>
      <c r="CP83" s="304"/>
      <c r="CQ83" s="304"/>
      <c r="CR83" s="305" t="str" cm="1">
        <f t="array" ref="CR83">CONCATENATE(BM83,_xlfn.TEXTJOIN("",TRUE,IF(BN$129:CQ$129&lt;&gt;"","+"&amp;D83:AG83,"")))</f>
        <v>53+</v>
      </c>
      <c r="CS83" s="279">
        <f t="shared" si="5"/>
        <v>30</v>
      </c>
      <c r="CT83" s="279" t="str">
        <f t="shared" si="3"/>
        <v>+++++++++++++++++++++++++++++++</v>
      </c>
      <c r="CU83" s="291" t="str">
        <f t="shared" si="7"/>
        <v>53++++++++++++++++++++++++++++++++2</v>
      </c>
      <c r="GB83" s="279" t="s">
        <v>1968</v>
      </c>
    </row>
    <row r="84" spans="1:184">
      <c r="A84" s="275">
        <f>IF(C84&lt;&gt;"",1,IF(AH84="",2,IF(OR(IF(TABLERO!B84="",0,TABLERO!B84)&gt;TABLERO!$M$19,IF(TABLERO!C84="",IF(TABLERO!B84="",0,TABLERO!B84),TABLERO!C84)&gt;TABLERO!$M$19,BI84&gt;TABLERO!$M$19,IF(TABLERO!B84="",0,TABLERO!B84)=0,IF(TABLERO!C84="",BG84,TABLERO!C84)=0,IF(TABLERO!D84="",BG84,TABLERO!D84)=0),2,1)))</f>
        <v>2</v>
      </c>
      <c r="B84" s="276" t="str">
        <f>TABLERO!B84&amp;IF(TABLERO!C84="","",","&amp;TABLERO!C84)&amp;IF(TABLERO!D84="","",","&amp;TABLERO!D84)</f>
        <v>54</v>
      </c>
      <c r="C84" s="269" t="str">
        <f>IF(TABLERO!E84=0,"",TABLERO!E84)</f>
        <v/>
      </c>
      <c r="D84" s="312" t="str">
        <f>IF(OR(TABLERO!X84="",TABLERO!X84=0),"",TABLERO!X84)</f>
        <v/>
      </c>
      <c r="E84" s="312" t="str">
        <f>IF(OR(TABLERO!Y84="",TABLERO!Y84=0),"",TABLERO!Y84)</f>
        <v/>
      </c>
      <c r="F84" s="312" t="str">
        <f>IF(OR(TABLERO!Z84="",TABLERO!Z84=0),"",TABLERO!Z84)</f>
        <v/>
      </c>
      <c r="G84" s="312" t="str">
        <f>IF(OR(TABLERO!AA84="",TABLERO!AA84=0),"",TABLERO!AA84)</f>
        <v/>
      </c>
      <c r="H84" s="312" t="str">
        <f>IF(OR(TABLERO!AB84="",TABLERO!AB84=0),"",TABLERO!AB84)</f>
        <v/>
      </c>
      <c r="I84" s="312" t="str">
        <f>IF(OR(TABLERO!AC84="",TABLERO!AC84=0),"",TABLERO!AC84)</f>
        <v/>
      </c>
      <c r="J84" s="312" t="str">
        <f>IF(OR(TABLERO!AD84="",TABLERO!AD84=0),"",TABLERO!AD84)</f>
        <v/>
      </c>
      <c r="K84" s="312" t="str">
        <f>IF(OR(TABLERO!AE84="",TABLERO!AE84=0),"",TABLERO!AE84)</f>
        <v/>
      </c>
      <c r="L84" s="312" t="str">
        <f>IF(OR(TABLERO!AF84="",TABLERO!AF84=0),"",TABLERO!AF84)</f>
        <v/>
      </c>
      <c r="M84" s="312" t="str">
        <f>IF(OR(TABLERO!AG84="",TABLERO!AG84=0),"",TABLERO!AG84)</f>
        <v/>
      </c>
      <c r="N84" s="312" t="str">
        <f>IF(OR(TABLERO!AH84="",TABLERO!AH84=0),"",TABLERO!AH84)</f>
        <v/>
      </c>
      <c r="O84" s="312" t="str">
        <f>IF(OR(TABLERO!AI84="",TABLERO!AI84=0),"",TABLERO!AI84)</f>
        <v/>
      </c>
      <c r="P84" s="312" t="str">
        <f>IF(OR(TABLERO!AJ84="",TABLERO!AJ84=0),"",TABLERO!AJ84)</f>
        <v/>
      </c>
      <c r="Q84" s="312" t="str">
        <f>IF(OR(TABLERO!AK84="",TABLERO!AK84=0),"",TABLERO!AK84)</f>
        <v/>
      </c>
      <c r="R84" s="312" t="str">
        <f>IF(OR(TABLERO!AL84="",TABLERO!AL84=0),"",TABLERO!AL84)</f>
        <v/>
      </c>
      <c r="S84" s="312" t="str">
        <f>IF(OR(TABLERO!AM84="",TABLERO!AM84=0),"",TABLERO!AM84)</f>
        <v/>
      </c>
      <c r="T84" s="312" t="str">
        <f>IF(OR(TABLERO!AN84="",TABLERO!AN84=0),"",TABLERO!AN84)</f>
        <v/>
      </c>
      <c r="U84" s="312" t="str">
        <f>IF(OR(TABLERO!AO84="",TABLERO!AO84=0),"",TABLERO!AO84)</f>
        <v/>
      </c>
      <c r="V84" s="312" t="str">
        <f>IF(OR(TABLERO!AP84="",TABLERO!AP84=0),"",TABLERO!AP84)</f>
        <v/>
      </c>
      <c r="W84" s="312" t="str">
        <f>IF(OR(TABLERO!AQ84="",TABLERO!AQ84=0),"",TABLERO!AQ84)</f>
        <v/>
      </c>
      <c r="X84" s="312" t="str">
        <f>IF(OR(TABLERO!AR84="",TABLERO!AR84=0),"",TABLERO!AR84)</f>
        <v/>
      </c>
      <c r="Y84" s="312" t="str">
        <f>IF(OR(TABLERO!AS84="",TABLERO!AS84=0),"",TABLERO!AS84)</f>
        <v/>
      </c>
      <c r="Z84" s="312" t="str">
        <f>IF(OR(TABLERO!AT84="",TABLERO!AT84=0),"",TABLERO!AT84)</f>
        <v/>
      </c>
      <c r="AA84" s="312" t="str">
        <f>IF(OR(TABLERO!AU84="",TABLERO!AU84=0),"",TABLERO!AU84)</f>
        <v/>
      </c>
      <c r="AB84" s="312" t="str">
        <f>IF(OR(TABLERO!AV84="",TABLERO!AV84=0),"",TABLERO!AV84)</f>
        <v/>
      </c>
      <c r="AC84" s="312" t="str">
        <f>IF(OR(TABLERO!AW84="",TABLERO!AW84=0),"",TABLERO!AW84)</f>
        <v/>
      </c>
      <c r="AD84" s="312" t="str">
        <f>IF(OR(TABLERO!AX84="",TABLERO!AX84=0),"",TABLERO!AX84)</f>
        <v/>
      </c>
      <c r="AE84" s="312" t="str">
        <f>IF(OR(TABLERO!AY84="",TABLERO!AY84=0),"",TABLERO!AY84)</f>
        <v/>
      </c>
      <c r="AF84" s="312" t="str">
        <f>IF(OR(TABLERO!AZ84="",TABLERO!AZ84=0),"",TABLERO!AZ84)</f>
        <v/>
      </c>
      <c r="AG84" s="312" t="str">
        <f>IF(OR(TABLERO!BA84="",TABLERO!BA84=0),"",TABLERO!BA84)</f>
        <v/>
      </c>
      <c r="AH84" s="277" t="str">
        <f>IF(TABLERO!BB84=0,"",FIXED(IF(TABLERO!$F$17&lt;&gt;"KVA",TABLERO!BB84*1000,TABLERO!BB84*1000/TABLERO!DA84),2))</f>
        <v/>
      </c>
      <c r="AI84" s="277" t="str">
        <f>IF(TABLERO!BB84=0,"",FIXED(IF(TABLERO!$F$17&lt;&gt;"KVA",TABLERO!BT84*1000,TABLERO!BT84*1000/TABLERO!DA84),2))</f>
        <v/>
      </c>
      <c r="AJ84" s="272" t="str">
        <f>IF(OR(TABLERO!BU84="",TABLERO!BU84=0),"",FIXED(TABLERO!BU84,2))</f>
        <v/>
      </c>
      <c r="AK84" s="312" t="str">
        <f>IF(TABLERO!BB84=0,"",TABLERO!F84)</f>
        <v/>
      </c>
      <c r="AL84" s="312" t="str">
        <f>IF(TABLERO!BB84=0,"",TABLERO!G84)</f>
        <v/>
      </c>
      <c r="AM84" s="312" t="str">
        <f>IF(TABLERO!BB84=0,"",TABLERO!BV84)</f>
        <v/>
      </c>
      <c r="AN84" s="272" t="str">
        <f>IF(TABLERO!BB84=0,"",TABLERO!K84)</f>
        <v/>
      </c>
      <c r="AO84" s="312" t="str">
        <f>IF(TABLERO!BB84=0,"",TABLERO!J84)</f>
        <v/>
      </c>
      <c r="AP84" s="272" t="str">
        <f>IF(TABLERO!BB84=0,"",TABLERO!CT84)</f>
        <v/>
      </c>
      <c r="AQ84" s="272" t="str">
        <f>IF(TABLERO!BB84=0,"",TABLERO!CS84)</f>
        <v/>
      </c>
      <c r="AR84" s="272" t="str">
        <f>IF(OR(TABLERO!BB84=0,TABLERO!H84="RE"),"",FIXED(TABLERO!CY84,2))</f>
        <v/>
      </c>
      <c r="AS84" s="312" t="str">
        <f>IF(TABLERO!BB84=0,"",TABLERO!N84)</f>
        <v/>
      </c>
      <c r="AT84" s="1164" t="str">
        <f>IF(TABLERO!BB84=0,"",TABLERO!BX84&amp;" "&amp;TABLERO!ED84&amp;", "&amp;TABLERO!I84)</f>
        <v/>
      </c>
      <c r="AU84" s="1165"/>
      <c r="AV84" s="272" t="str">
        <f>IF(OR(TABLERO!BB84=0,TABLERO!H84="RE"),"",FIXED(TABLERO!BZ84,2))</f>
        <v/>
      </c>
      <c r="AW84" s="312" t="str">
        <f>IF(TABLERO!BB84=0,"",TABLERO!CA84)</f>
        <v/>
      </c>
      <c r="AX84" s="271" t="str">
        <f>IF(TABLERO!BB84=0,"",TABLERO!CB84)</f>
        <v/>
      </c>
      <c r="AY84" s="272" t="str">
        <f>IF(OR(TABLERO!BB84=0,TABLERO!H84="RE"),"",FIXED(TABLERO!DL84,2))</f>
        <v/>
      </c>
      <c r="AZ84" s="310" t="str">
        <f>IF(OR(TABLERO!BB84=0,TABLERO!H84="RE"),"",TABLERO!F84&amp;"P-"&amp;TABLERO!BW84&amp;"A")</f>
        <v/>
      </c>
      <c r="BA84" s="272" t="str">
        <f>IF(TABLERO!$BB84=0,"",IF(TABLERO!CI84="-","     -     ",FIXED(IF(TABLERO!$F$17&lt;&gt;"KVA",TABLERO!CI84,TABLERO!CI84/TABLERO!$F$14),2)))</f>
        <v/>
      </c>
      <c r="BB84" s="272" t="str">
        <f>IF(TABLERO!$BB84=0,"",IF(TABLERO!CJ84="-","     -     ",FIXED(IF(TABLERO!$F$17&lt;&gt;"KVA",TABLERO!CJ84,TABLERO!CJ84/TABLERO!$F$14),2)))</f>
        <v/>
      </c>
      <c r="BC84" s="272" t="str">
        <f>IF(TABLERO!$BB84=0,"",IF(TABLERO!CK84="-","     -     ",FIXED(IF(TABLERO!$F$17&lt;&gt;"KVA",TABLERO!CK84,TABLERO!CK84/TABLERO!$F$14),2)))</f>
        <v/>
      </c>
      <c r="BG84" s="275">
        <f>IF(TABLERO!B84="",0,TABLERO!B84)</f>
        <v>54</v>
      </c>
      <c r="BH84" s="275"/>
      <c r="BI84" s="275"/>
      <c r="BK84" s="275"/>
      <c r="BL84" s="289" t="str" cm="1">
        <f t="array" ref="BL84">[1]!ACAELE_LineaCAD(A84)</f>
        <v>++++++++++++++++++++++++++++++2</v>
      </c>
      <c r="BM84" s="279" t="str">
        <f t="shared" si="4"/>
        <v>54+</v>
      </c>
      <c r="BN84" s="304"/>
      <c r="BO84" s="304"/>
      <c r="BP84" s="304"/>
      <c r="BQ84" s="304"/>
      <c r="BR84" s="304"/>
      <c r="BS84" s="304"/>
      <c r="BT84" s="304"/>
      <c r="BU84" s="304"/>
      <c r="BV84" s="304"/>
      <c r="BW84" s="304"/>
      <c r="BX84" s="304"/>
      <c r="BY84" s="304"/>
      <c r="BZ84" s="304"/>
      <c r="CA84" s="304"/>
      <c r="CB84" s="304"/>
      <c r="CC84" s="304"/>
      <c r="CD84" s="304"/>
      <c r="CE84" s="304"/>
      <c r="CF84" s="304"/>
      <c r="CG84" s="304"/>
      <c r="CH84" s="304"/>
      <c r="CI84" s="304"/>
      <c r="CJ84" s="304"/>
      <c r="CK84" s="304"/>
      <c r="CL84" s="304"/>
      <c r="CM84" s="304"/>
      <c r="CN84" s="304"/>
      <c r="CO84" s="304"/>
      <c r="CP84" s="304"/>
      <c r="CQ84" s="304"/>
      <c r="CR84" s="305" t="str" cm="1">
        <f t="array" ref="CR84">CONCATENATE(BM84,_xlfn.TEXTJOIN("",TRUE,IF(BN$129:CQ$129&lt;&gt;"","+"&amp;D84:AG84,"")))</f>
        <v>54+</v>
      </c>
      <c r="CS84" s="279">
        <f t="shared" si="5"/>
        <v>30</v>
      </c>
      <c r="CT84" s="279" t="str">
        <f t="shared" si="3"/>
        <v>+++++++++++++++++++++++++++++++</v>
      </c>
      <c r="CU84" s="291" t="str">
        <f t="shared" si="7"/>
        <v>54++++++++++++++++++++++++++++++++2</v>
      </c>
      <c r="GB84" s="279" t="s">
        <v>1969</v>
      </c>
    </row>
    <row r="85" spans="1:184">
      <c r="A85" s="275">
        <f>IF(C85&lt;&gt;"",1,IF(AH85="",2,IF(OR(IF(TABLERO!B85="",0,TABLERO!B85)&gt;TABLERO!$M$19,IF(TABLERO!C85="",IF(TABLERO!B85="",0,TABLERO!B85),TABLERO!C85)&gt;TABLERO!$M$19,BI85&gt;TABLERO!$M$19,IF(TABLERO!B85="",0,TABLERO!B85)=0,IF(TABLERO!C85="",BG85,TABLERO!C85)=0,IF(TABLERO!D85="",BG85,TABLERO!D85)=0),2,1)))</f>
        <v>2</v>
      </c>
      <c r="B85" s="276" t="str">
        <f>TABLERO!B85&amp;IF(TABLERO!C85="","",","&amp;TABLERO!C85)&amp;IF(TABLERO!D85="","",","&amp;TABLERO!D85)</f>
        <v>55</v>
      </c>
      <c r="C85" s="269" t="str">
        <f>IF(TABLERO!E85=0,"",TABLERO!E85)</f>
        <v/>
      </c>
      <c r="D85" s="312" t="str">
        <f>IF(OR(TABLERO!X85="",TABLERO!X85=0),"",TABLERO!X85)</f>
        <v/>
      </c>
      <c r="E85" s="312" t="str">
        <f>IF(OR(TABLERO!Y85="",TABLERO!Y85=0),"",TABLERO!Y85)</f>
        <v/>
      </c>
      <c r="F85" s="312" t="str">
        <f>IF(OR(TABLERO!Z85="",TABLERO!Z85=0),"",TABLERO!Z85)</f>
        <v/>
      </c>
      <c r="G85" s="312" t="str">
        <f>IF(OR(TABLERO!AA85="",TABLERO!AA85=0),"",TABLERO!AA85)</f>
        <v/>
      </c>
      <c r="H85" s="312" t="str">
        <f>IF(OR(TABLERO!AB85="",TABLERO!AB85=0),"",TABLERO!AB85)</f>
        <v/>
      </c>
      <c r="I85" s="312" t="str">
        <f>IF(OR(TABLERO!AC85="",TABLERO!AC85=0),"",TABLERO!AC85)</f>
        <v/>
      </c>
      <c r="J85" s="312" t="str">
        <f>IF(OR(TABLERO!AD85="",TABLERO!AD85=0),"",TABLERO!AD85)</f>
        <v/>
      </c>
      <c r="K85" s="312" t="str">
        <f>IF(OR(TABLERO!AE85="",TABLERO!AE85=0),"",TABLERO!AE85)</f>
        <v/>
      </c>
      <c r="L85" s="312" t="str">
        <f>IF(OR(TABLERO!AF85="",TABLERO!AF85=0),"",TABLERO!AF85)</f>
        <v/>
      </c>
      <c r="M85" s="312" t="str">
        <f>IF(OR(TABLERO!AG85="",TABLERO!AG85=0),"",TABLERO!AG85)</f>
        <v/>
      </c>
      <c r="N85" s="312" t="str">
        <f>IF(OR(TABLERO!AH85="",TABLERO!AH85=0),"",TABLERO!AH85)</f>
        <v/>
      </c>
      <c r="O85" s="312" t="str">
        <f>IF(OR(TABLERO!AI85="",TABLERO!AI85=0),"",TABLERO!AI85)</f>
        <v/>
      </c>
      <c r="P85" s="312" t="str">
        <f>IF(OR(TABLERO!AJ85="",TABLERO!AJ85=0),"",TABLERO!AJ85)</f>
        <v/>
      </c>
      <c r="Q85" s="312" t="str">
        <f>IF(OR(TABLERO!AK85="",TABLERO!AK85=0),"",TABLERO!AK85)</f>
        <v/>
      </c>
      <c r="R85" s="312" t="str">
        <f>IF(OR(TABLERO!AL85="",TABLERO!AL85=0),"",TABLERO!AL85)</f>
        <v/>
      </c>
      <c r="S85" s="312" t="str">
        <f>IF(OR(TABLERO!AM85="",TABLERO!AM85=0),"",TABLERO!AM85)</f>
        <v/>
      </c>
      <c r="T85" s="312" t="str">
        <f>IF(OR(TABLERO!AN85="",TABLERO!AN85=0),"",TABLERO!AN85)</f>
        <v/>
      </c>
      <c r="U85" s="312" t="str">
        <f>IF(OR(TABLERO!AO85="",TABLERO!AO85=0),"",TABLERO!AO85)</f>
        <v/>
      </c>
      <c r="V85" s="312" t="str">
        <f>IF(OR(TABLERO!AP85="",TABLERO!AP85=0),"",TABLERO!AP85)</f>
        <v/>
      </c>
      <c r="W85" s="312" t="str">
        <f>IF(OR(TABLERO!AQ85="",TABLERO!AQ85=0),"",TABLERO!AQ85)</f>
        <v/>
      </c>
      <c r="X85" s="312" t="str">
        <f>IF(OR(TABLERO!AR85="",TABLERO!AR85=0),"",TABLERO!AR85)</f>
        <v/>
      </c>
      <c r="Y85" s="312" t="str">
        <f>IF(OR(TABLERO!AS85="",TABLERO!AS85=0),"",TABLERO!AS85)</f>
        <v/>
      </c>
      <c r="Z85" s="312" t="str">
        <f>IF(OR(TABLERO!AT85="",TABLERO!AT85=0),"",TABLERO!AT85)</f>
        <v/>
      </c>
      <c r="AA85" s="312" t="str">
        <f>IF(OR(TABLERO!AU85="",TABLERO!AU85=0),"",TABLERO!AU85)</f>
        <v/>
      </c>
      <c r="AB85" s="312" t="str">
        <f>IF(OR(TABLERO!AV85="",TABLERO!AV85=0),"",TABLERO!AV85)</f>
        <v/>
      </c>
      <c r="AC85" s="312" t="str">
        <f>IF(OR(TABLERO!AW85="",TABLERO!AW85=0),"",TABLERO!AW85)</f>
        <v/>
      </c>
      <c r="AD85" s="312" t="str">
        <f>IF(OR(TABLERO!AX85="",TABLERO!AX85=0),"",TABLERO!AX85)</f>
        <v/>
      </c>
      <c r="AE85" s="312" t="str">
        <f>IF(OR(TABLERO!AY85="",TABLERO!AY85=0),"",TABLERO!AY85)</f>
        <v/>
      </c>
      <c r="AF85" s="312" t="str">
        <f>IF(OR(TABLERO!AZ85="",TABLERO!AZ85=0),"",TABLERO!AZ85)</f>
        <v/>
      </c>
      <c r="AG85" s="312" t="str">
        <f>IF(OR(TABLERO!BA85="",TABLERO!BA85=0),"",TABLERO!BA85)</f>
        <v/>
      </c>
      <c r="AH85" s="277" t="str">
        <f>IF(TABLERO!BB85=0,"",FIXED(IF(TABLERO!$F$17&lt;&gt;"KVA",TABLERO!BB85*1000,TABLERO!BB85*1000/TABLERO!DA85),2))</f>
        <v/>
      </c>
      <c r="AI85" s="277" t="str">
        <f>IF(TABLERO!BB85=0,"",FIXED(IF(TABLERO!$F$17&lt;&gt;"KVA",TABLERO!BT85*1000,TABLERO!BT85*1000/TABLERO!DA85),2))</f>
        <v/>
      </c>
      <c r="AJ85" s="272" t="str">
        <f>IF(OR(TABLERO!BU85="",TABLERO!BU85=0),"",FIXED(TABLERO!BU85,2))</f>
        <v/>
      </c>
      <c r="AK85" s="312" t="str">
        <f>IF(TABLERO!BB85=0,"",TABLERO!F85)</f>
        <v/>
      </c>
      <c r="AL85" s="312" t="str">
        <f>IF(TABLERO!BB85=0,"",TABLERO!G85)</f>
        <v/>
      </c>
      <c r="AM85" s="312" t="str">
        <f>IF(TABLERO!BB85=0,"",TABLERO!BV85)</f>
        <v/>
      </c>
      <c r="AN85" s="272" t="str">
        <f>IF(TABLERO!BB85=0,"",TABLERO!K85)</f>
        <v/>
      </c>
      <c r="AO85" s="312" t="str">
        <f>IF(TABLERO!BB85=0,"",TABLERO!J85)</f>
        <v/>
      </c>
      <c r="AP85" s="272" t="str">
        <f>IF(TABLERO!BB85=0,"",TABLERO!CT85)</f>
        <v/>
      </c>
      <c r="AQ85" s="272" t="str">
        <f>IF(TABLERO!BB85=0,"",TABLERO!CS85)</f>
        <v/>
      </c>
      <c r="AR85" s="272" t="str">
        <f>IF(OR(TABLERO!BB85=0,TABLERO!H85="RE"),"",FIXED(TABLERO!CY85,2))</f>
        <v/>
      </c>
      <c r="AS85" s="312" t="str">
        <f>IF(TABLERO!BB85=0,"",TABLERO!N85)</f>
        <v/>
      </c>
      <c r="AT85" s="1164" t="str">
        <f>IF(TABLERO!BB85=0,"",TABLERO!BX85&amp;" "&amp;TABLERO!ED85&amp;", "&amp;TABLERO!I85)</f>
        <v/>
      </c>
      <c r="AU85" s="1165"/>
      <c r="AV85" s="272" t="str">
        <f>IF(OR(TABLERO!BB85=0,TABLERO!H85="RE"),"",FIXED(TABLERO!BZ85,2))</f>
        <v/>
      </c>
      <c r="AW85" s="312" t="str">
        <f>IF(TABLERO!BB85=0,"",TABLERO!CA85)</f>
        <v/>
      </c>
      <c r="AX85" s="271" t="str">
        <f>IF(TABLERO!BB85=0,"",TABLERO!CB85)</f>
        <v/>
      </c>
      <c r="AY85" s="272" t="str">
        <f>IF(OR(TABLERO!BB85=0,TABLERO!H85="RE"),"",FIXED(TABLERO!DL85,2))</f>
        <v/>
      </c>
      <c r="AZ85" s="310" t="str">
        <f>IF(OR(TABLERO!BB85=0,TABLERO!H85="RE"),"",TABLERO!F85&amp;"P-"&amp;TABLERO!BW85&amp;"A")</f>
        <v/>
      </c>
      <c r="BA85" s="272" t="str">
        <f>IF(TABLERO!$BB85=0,"",IF(TABLERO!CI85="-","     -     ",FIXED(IF(TABLERO!$F$17&lt;&gt;"KVA",TABLERO!CI85,TABLERO!CI85/TABLERO!$F$14),2)))</f>
        <v/>
      </c>
      <c r="BB85" s="272" t="str">
        <f>IF(TABLERO!$BB85=0,"",IF(TABLERO!CJ85="-","     -     ",FIXED(IF(TABLERO!$F$17&lt;&gt;"KVA",TABLERO!CJ85,TABLERO!CJ85/TABLERO!$F$14),2)))</f>
        <v/>
      </c>
      <c r="BC85" s="272" t="str">
        <f>IF(TABLERO!$BB85=0,"",IF(TABLERO!CK85="-","     -     ",FIXED(IF(TABLERO!$F$17&lt;&gt;"KVA",TABLERO!CK85,TABLERO!CK85/TABLERO!$F$14),2)))</f>
        <v/>
      </c>
      <c r="BG85" s="275">
        <f>IF(TABLERO!B85="",0,TABLERO!B85)</f>
        <v>55</v>
      </c>
      <c r="BH85" s="275"/>
      <c r="BI85" s="275"/>
      <c r="BK85" s="275"/>
      <c r="BL85" s="289" t="str" cm="1">
        <f t="array" ref="BL85">[1]!ACAELE_LineaCAD(A85)</f>
        <v>++++++++++++++++++++++++++++++2</v>
      </c>
      <c r="BM85" s="279" t="str">
        <f t="shared" si="4"/>
        <v>55+</v>
      </c>
      <c r="BN85" s="304"/>
      <c r="BO85" s="304"/>
      <c r="BP85" s="304"/>
      <c r="BQ85" s="304"/>
      <c r="BR85" s="304"/>
      <c r="BS85" s="304"/>
      <c r="BT85" s="304"/>
      <c r="BU85" s="304"/>
      <c r="BV85" s="304"/>
      <c r="BW85" s="304"/>
      <c r="BX85" s="304"/>
      <c r="BY85" s="304"/>
      <c r="BZ85" s="304"/>
      <c r="CA85" s="304"/>
      <c r="CB85" s="304"/>
      <c r="CC85" s="304"/>
      <c r="CD85" s="304"/>
      <c r="CE85" s="304"/>
      <c r="CF85" s="304"/>
      <c r="CG85" s="304"/>
      <c r="CH85" s="304"/>
      <c r="CI85" s="304"/>
      <c r="CJ85" s="304"/>
      <c r="CK85" s="304"/>
      <c r="CL85" s="304"/>
      <c r="CM85" s="304"/>
      <c r="CN85" s="304"/>
      <c r="CO85" s="304"/>
      <c r="CP85" s="304"/>
      <c r="CQ85" s="304"/>
      <c r="CR85" s="305" t="str" cm="1">
        <f t="array" ref="CR85">CONCATENATE(BM85,_xlfn.TEXTJOIN("",TRUE,IF(BN$129:CQ$129&lt;&gt;"","+"&amp;D85:AG85,"")))</f>
        <v>55+</v>
      </c>
      <c r="CS85" s="279">
        <f t="shared" si="5"/>
        <v>30</v>
      </c>
      <c r="CT85" s="279" t="str">
        <f t="shared" si="3"/>
        <v>+++++++++++++++++++++++++++++++</v>
      </c>
      <c r="CU85" s="291" t="str">
        <f t="shared" si="7"/>
        <v>55++++++++++++++++++++++++++++++++2</v>
      </c>
      <c r="GB85" s="279" t="s">
        <v>1970</v>
      </c>
    </row>
    <row r="86" spans="1:184">
      <c r="A86" s="275">
        <f>IF(C86&lt;&gt;"",1,IF(AH86="",2,IF(OR(IF(TABLERO!B86="",0,TABLERO!B86)&gt;TABLERO!$M$19,IF(TABLERO!C86="",IF(TABLERO!B86="",0,TABLERO!B86),TABLERO!C86)&gt;TABLERO!$M$19,BI86&gt;TABLERO!$M$19,IF(TABLERO!B86="",0,TABLERO!B86)=0,IF(TABLERO!C86="",BG86,TABLERO!C86)=0,IF(TABLERO!D86="",BG86,TABLERO!D86)=0),2,1)))</f>
        <v>2</v>
      </c>
      <c r="B86" s="276" t="str">
        <f>TABLERO!B86&amp;IF(TABLERO!C86="","",","&amp;TABLERO!C86)&amp;IF(TABLERO!D86="","",","&amp;TABLERO!D86)</f>
        <v>56</v>
      </c>
      <c r="C86" s="269" t="str">
        <f>IF(TABLERO!E86=0,"",TABLERO!E86)</f>
        <v/>
      </c>
      <c r="D86" s="312" t="str">
        <f>IF(OR(TABLERO!X86="",TABLERO!X86=0),"",TABLERO!X86)</f>
        <v/>
      </c>
      <c r="E86" s="312" t="str">
        <f>IF(OR(TABLERO!Y86="",TABLERO!Y86=0),"",TABLERO!Y86)</f>
        <v/>
      </c>
      <c r="F86" s="312" t="str">
        <f>IF(OR(TABLERO!Z86="",TABLERO!Z86=0),"",TABLERO!Z86)</f>
        <v/>
      </c>
      <c r="G86" s="312" t="str">
        <f>IF(OR(TABLERO!AA86="",TABLERO!AA86=0),"",TABLERO!AA86)</f>
        <v/>
      </c>
      <c r="H86" s="312" t="str">
        <f>IF(OR(TABLERO!AB86="",TABLERO!AB86=0),"",TABLERO!AB86)</f>
        <v/>
      </c>
      <c r="I86" s="312" t="str">
        <f>IF(OR(TABLERO!AC86="",TABLERO!AC86=0),"",TABLERO!AC86)</f>
        <v/>
      </c>
      <c r="J86" s="312" t="str">
        <f>IF(OR(TABLERO!AD86="",TABLERO!AD86=0),"",TABLERO!AD86)</f>
        <v/>
      </c>
      <c r="K86" s="312" t="str">
        <f>IF(OR(TABLERO!AE86="",TABLERO!AE86=0),"",TABLERO!AE86)</f>
        <v/>
      </c>
      <c r="L86" s="312" t="str">
        <f>IF(OR(TABLERO!AF86="",TABLERO!AF86=0),"",TABLERO!AF86)</f>
        <v/>
      </c>
      <c r="M86" s="312" t="str">
        <f>IF(OR(TABLERO!AG86="",TABLERO!AG86=0),"",TABLERO!AG86)</f>
        <v/>
      </c>
      <c r="N86" s="312" t="str">
        <f>IF(OR(TABLERO!AH86="",TABLERO!AH86=0),"",TABLERO!AH86)</f>
        <v/>
      </c>
      <c r="O86" s="312" t="str">
        <f>IF(OR(TABLERO!AI86="",TABLERO!AI86=0),"",TABLERO!AI86)</f>
        <v/>
      </c>
      <c r="P86" s="312" t="str">
        <f>IF(OR(TABLERO!AJ86="",TABLERO!AJ86=0),"",TABLERO!AJ86)</f>
        <v/>
      </c>
      <c r="Q86" s="312" t="str">
        <f>IF(OR(TABLERO!AK86="",TABLERO!AK86=0),"",TABLERO!AK86)</f>
        <v/>
      </c>
      <c r="R86" s="312" t="str">
        <f>IF(OR(TABLERO!AL86="",TABLERO!AL86=0),"",TABLERO!AL86)</f>
        <v/>
      </c>
      <c r="S86" s="312" t="str">
        <f>IF(OR(TABLERO!AM86="",TABLERO!AM86=0),"",TABLERO!AM86)</f>
        <v/>
      </c>
      <c r="T86" s="312" t="str">
        <f>IF(OR(TABLERO!AN86="",TABLERO!AN86=0),"",TABLERO!AN86)</f>
        <v/>
      </c>
      <c r="U86" s="312" t="str">
        <f>IF(OR(TABLERO!AO86="",TABLERO!AO86=0),"",TABLERO!AO86)</f>
        <v/>
      </c>
      <c r="V86" s="312" t="str">
        <f>IF(OR(TABLERO!AP86="",TABLERO!AP86=0),"",TABLERO!AP86)</f>
        <v/>
      </c>
      <c r="W86" s="312" t="str">
        <f>IF(OR(TABLERO!AQ86="",TABLERO!AQ86=0),"",TABLERO!AQ86)</f>
        <v/>
      </c>
      <c r="X86" s="312" t="str">
        <f>IF(OR(TABLERO!AR86="",TABLERO!AR86=0),"",TABLERO!AR86)</f>
        <v/>
      </c>
      <c r="Y86" s="312" t="str">
        <f>IF(OR(TABLERO!AS86="",TABLERO!AS86=0),"",TABLERO!AS86)</f>
        <v/>
      </c>
      <c r="Z86" s="312" t="str">
        <f>IF(OR(TABLERO!AT86="",TABLERO!AT86=0),"",TABLERO!AT86)</f>
        <v/>
      </c>
      <c r="AA86" s="312" t="str">
        <f>IF(OR(TABLERO!AU86="",TABLERO!AU86=0),"",TABLERO!AU86)</f>
        <v/>
      </c>
      <c r="AB86" s="312" t="str">
        <f>IF(OR(TABLERO!AV86="",TABLERO!AV86=0),"",TABLERO!AV86)</f>
        <v/>
      </c>
      <c r="AC86" s="312" t="str">
        <f>IF(OR(TABLERO!AW86="",TABLERO!AW86=0),"",TABLERO!AW86)</f>
        <v/>
      </c>
      <c r="AD86" s="312" t="str">
        <f>IF(OR(TABLERO!AX86="",TABLERO!AX86=0),"",TABLERO!AX86)</f>
        <v/>
      </c>
      <c r="AE86" s="312" t="str">
        <f>IF(OR(TABLERO!AY86="",TABLERO!AY86=0),"",TABLERO!AY86)</f>
        <v/>
      </c>
      <c r="AF86" s="312" t="str">
        <f>IF(OR(TABLERO!AZ86="",TABLERO!AZ86=0),"",TABLERO!AZ86)</f>
        <v/>
      </c>
      <c r="AG86" s="312" t="str">
        <f>IF(OR(TABLERO!BA86="",TABLERO!BA86=0),"",TABLERO!BA86)</f>
        <v/>
      </c>
      <c r="AH86" s="277" t="str">
        <f>IF(TABLERO!BB86=0,"",FIXED(IF(TABLERO!$F$17&lt;&gt;"KVA",TABLERO!BB86*1000,TABLERO!BB86*1000/TABLERO!DA86),2))</f>
        <v/>
      </c>
      <c r="AI86" s="277" t="str">
        <f>IF(TABLERO!BB86=0,"",FIXED(IF(TABLERO!$F$17&lt;&gt;"KVA",TABLERO!BT86*1000,TABLERO!BT86*1000/TABLERO!DA86),2))</f>
        <v/>
      </c>
      <c r="AJ86" s="272" t="str">
        <f>IF(OR(TABLERO!BU86="",TABLERO!BU86=0),"",FIXED(TABLERO!BU86,2))</f>
        <v/>
      </c>
      <c r="AK86" s="312" t="str">
        <f>IF(TABLERO!BB86=0,"",TABLERO!F86)</f>
        <v/>
      </c>
      <c r="AL86" s="312" t="str">
        <f>IF(TABLERO!BB86=0,"",TABLERO!G86)</f>
        <v/>
      </c>
      <c r="AM86" s="312" t="str">
        <f>IF(TABLERO!BB86=0,"",TABLERO!BV86)</f>
        <v/>
      </c>
      <c r="AN86" s="272" t="str">
        <f>IF(TABLERO!BB86=0,"",TABLERO!K86)</f>
        <v/>
      </c>
      <c r="AO86" s="312" t="str">
        <f>IF(TABLERO!BB86=0,"",TABLERO!J86)</f>
        <v/>
      </c>
      <c r="AP86" s="272" t="str">
        <f>IF(TABLERO!BB86=0,"",TABLERO!CT86)</f>
        <v/>
      </c>
      <c r="AQ86" s="272" t="str">
        <f>IF(TABLERO!BB86=0,"",TABLERO!CS86)</f>
        <v/>
      </c>
      <c r="AR86" s="272" t="str">
        <f>IF(OR(TABLERO!BB86=0,TABLERO!H86="RE"),"",FIXED(TABLERO!CY86,2))</f>
        <v/>
      </c>
      <c r="AS86" s="312" t="str">
        <f>IF(TABLERO!BB86=0,"",TABLERO!N86)</f>
        <v/>
      </c>
      <c r="AT86" s="1164" t="str">
        <f>IF(TABLERO!BB86=0,"",TABLERO!BX86&amp;" "&amp;TABLERO!ED86&amp;", "&amp;TABLERO!I86)</f>
        <v/>
      </c>
      <c r="AU86" s="1165"/>
      <c r="AV86" s="272" t="str">
        <f>IF(OR(TABLERO!BB86=0,TABLERO!H86="RE"),"",FIXED(TABLERO!BZ86,2))</f>
        <v/>
      </c>
      <c r="AW86" s="312" t="str">
        <f>IF(TABLERO!BB86=0,"",TABLERO!CA86)</f>
        <v/>
      </c>
      <c r="AX86" s="271" t="str">
        <f>IF(TABLERO!BB86=0,"",TABLERO!CB86)</f>
        <v/>
      </c>
      <c r="AY86" s="272" t="str">
        <f>IF(OR(TABLERO!BB86=0,TABLERO!H86="RE"),"",FIXED(TABLERO!DL86,2))</f>
        <v/>
      </c>
      <c r="AZ86" s="310" t="str">
        <f>IF(OR(TABLERO!BB86=0,TABLERO!H86="RE"),"",TABLERO!F86&amp;"P-"&amp;TABLERO!BW86&amp;"A")</f>
        <v/>
      </c>
      <c r="BA86" s="272" t="str">
        <f>IF(TABLERO!$BB86=0,"",IF(TABLERO!CI86="-","     -     ",FIXED(IF(TABLERO!$F$17&lt;&gt;"KVA",TABLERO!CI86,TABLERO!CI86/TABLERO!$F$14),2)))</f>
        <v/>
      </c>
      <c r="BB86" s="272" t="str">
        <f>IF(TABLERO!$BB86=0,"",IF(TABLERO!CJ86="-","     -     ",FIXED(IF(TABLERO!$F$17&lt;&gt;"KVA",TABLERO!CJ86,TABLERO!CJ86/TABLERO!$F$14),2)))</f>
        <v/>
      </c>
      <c r="BC86" s="272" t="str">
        <f>IF(TABLERO!$BB86=0,"",IF(TABLERO!CK86="-","     -     ",FIXED(IF(TABLERO!$F$17&lt;&gt;"KVA",TABLERO!CK86,TABLERO!CK86/TABLERO!$F$14),2)))</f>
        <v/>
      </c>
      <c r="BG86" s="275">
        <f>IF(TABLERO!B86="",0,TABLERO!B86)</f>
        <v>56</v>
      </c>
      <c r="BH86" s="275"/>
      <c r="BI86" s="275"/>
      <c r="BK86" s="275"/>
      <c r="BL86" s="289" t="str" cm="1">
        <f t="array" ref="BL86">[1]!ACAELE_LineaCAD(A86)</f>
        <v>++++++++++++++++++++++++++++++2</v>
      </c>
      <c r="BM86" s="279" t="str">
        <f t="shared" si="4"/>
        <v>56+</v>
      </c>
      <c r="BN86" s="304"/>
      <c r="BO86" s="304"/>
      <c r="BP86" s="304"/>
      <c r="BQ86" s="304"/>
      <c r="BR86" s="304"/>
      <c r="BS86" s="304"/>
      <c r="BT86" s="304"/>
      <c r="BU86" s="304"/>
      <c r="BV86" s="304"/>
      <c r="BW86" s="304"/>
      <c r="BX86" s="304"/>
      <c r="BY86" s="304"/>
      <c r="BZ86" s="304"/>
      <c r="CA86" s="304"/>
      <c r="CB86" s="304"/>
      <c r="CC86" s="304"/>
      <c r="CD86" s="304"/>
      <c r="CE86" s="304"/>
      <c r="CF86" s="304"/>
      <c r="CG86" s="304"/>
      <c r="CH86" s="304"/>
      <c r="CI86" s="304"/>
      <c r="CJ86" s="304"/>
      <c r="CK86" s="304"/>
      <c r="CL86" s="304"/>
      <c r="CM86" s="304"/>
      <c r="CN86" s="304"/>
      <c r="CO86" s="304"/>
      <c r="CP86" s="304"/>
      <c r="CQ86" s="304"/>
      <c r="CR86" s="305" t="str" cm="1">
        <f t="array" ref="CR86">CONCATENATE(BM86,_xlfn.TEXTJOIN("",TRUE,IF(BN$129:CQ$129&lt;&gt;"","+"&amp;D86:AG86,"")))</f>
        <v>56+</v>
      </c>
      <c r="CS86" s="279">
        <f t="shared" si="5"/>
        <v>30</v>
      </c>
      <c r="CT86" s="279" t="str">
        <f t="shared" si="3"/>
        <v>+++++++++++++++++++++++++++++++</v>
      </c>
      <c r="CU86" s="291" t="str">
        <f t="shared" si="7"/>
        <v>56++++++++++++++++++++++++++++++++2</v>
      </c>
      <c r="GB86" s="279" t="s">
        <v>1971</v>
      </c>
    </row>
    <row r="87" spans="1:184">
      <c r="A87" s="275">
        <f>IF(C87&lt;&gt;"",1,IF(AH87="",2,IF(OR(IF(TABLERO!B87="",0,TABLERO!B87)&gt;TABLERO!$M$19,IF(TABLERO!C87="",IF(TABLERO!B87="",0,TABLERO!B87),TABLERO!C87)&gt;TABLERO!$M$19,BI87&gt;TABLERO!$M$19,IF(TABLERO!B87="",0,TABLERO!B87)=0,IF(TABLERO!C87="",BG87,TABLERO!C87)=0,IF(TABLERO!D87="",BG87,TABLERO!D87)=0),2,1)))</f>
        <v>2</v>
      </c>
      <c r="B87" s="276" t="str">
        <f>TABLERO!B87&amp;IF(TABLERO!C87="","",","&amp;TABLERO!C87)&amp;IF(TABLERO!D87="","",","&amp;TABLERO!D87)</f>
        <v>57</v>
      </c>
      <c r="C87" s="269" t="str">
        <f>IF(TABLERO!E87=0,"",TABLERO!E87)</f>
        <v/>
      </c>
      <c r="D87" s="312" t="str">
        <f>IF(OR(TABLERO!X87="",TABLERO!X87=0),"",TABLERO!X87)</f>
        <v/>
      </c>
      <c r="E87" s="312" t="str">
        <f>IF(OR(TABLERO!Y87="",TABLERO!Y87=0),"",TABLERO!Y87)</f>
        <v/>
      </c>
      <c r="F87" s="312" t="str">
        <f>IF(OR(TABLERO!Z87="",TABLERO!Z87=0),"",TABLERO!Z87)</f>
        <v/>
      </c>
      <c r="G87" s="312" t="str">
        <f>IF(OR(TABLERO!AA87="",TABLERO!AA87=0),"",TABLERO!AA87)</f>
        <v/>
      </c>
      <c r="H87" s="312" t="str">
        <f>IF(OR(TABLERO!AB87="",TABLERO!AB87=0),"",TABLERO!AB87)</f>
        <v/>
      </c>
      <c r="I87" s="312" t="str">
        <f>IF(OR(TABLERO!AC87="",TABLERO!AC87=0),"",TABLERO!AC87)</f>
        <v/>
      </c>
      <c r="J87" s="312" t="str">
        <f>IF(OR(TABLERO!AD87="",TABLERO!AD87=0),"",TABLERO!AD87)</f>
        <v/>
      </c>
      <c r="K87" s="312" t="str">
        <f>IF(OR(TABLERO!AE87="",TABLERO!AE87=0),"",TABLERO!AE87)</f>
        <v/>
      </c>
      <c r="L87" s="312" t="str">
        <f>IF(OR(TABLERO!AF87="",TABLERO!AF87=0),"",TABLERO!AF87)</f>
        <v/>
      </c>
      <c r="M87" s="312" t="str">
        <f>IF(OR(TABLERO!AG87="",TABLERO!AG87=0),"",TABLERO!AG87)</f>
        <v/>
      </c>
      <c r="N87" s="312" t="str">
        <f>IF(OR(TABLERO!AH87="",TABLERO!AH87=0),"",TABLERO!AH87)</f>
        <v/>
      </c>
      <c r="O87" s="312" t="str">
        <f>IF(OR(TABLERO!AI87="",TABLERO!AI87=0),"",TABLERO!AI87)</f>
        <v/>
      </c>
      <c r="P87" s="312" t="str">
        <f>IF(OR(TABLERO!AJ87="",TABLERO!AJ87=0),"",TABLERO!AJ87)</f>
        <v/>
      </c>
      <c r="Q87" s="312" t="str">
        <f>IF(OR(TABLERO!AK87="",TABLERO!AK87=0),"",TABLERO!AK87)</f>
        <v/>
      </c>
      <c r="R87" s="312" t="str">
        <f>IF(OR(TABLERO!AL87="",TABLERO!AL87=0),"",TABLERO!AL87)</f>
        <v/>
      </c>
      <c r="S87" s="312" t="str">
        <f>IF(OR(TABLERO!AM87="",TABLERO!AM87=0),"",TABLERO!AM87)</f>
        <v/>
      </c>
      <c r="T87" s="312" t="str">
        <f>IF(OR(TABLERO!AN87="",TABLERO!AN87=0),"",TABLERO!AN87)</f>
        <v/>
      </c>
      <c r="U87" s="312" t="str">
        <f>IF(OR(TABLERO!AO87="",TABLERO!AO87=0),"",TABLERO!AO87)</f>
        <v/>
      </c>
      <c r="V87" s="312" t="str">
        <f>IF(OR(TABLERO!AP87="",TABLERO!AP87=0),"",TABLERO!AP87)</f>
        <v/>
      </c>
      <c r="W87" s="312" t="str">
        <f>IF(OR(TABLERO!AQ87="",TABLERO!AQ87=0),"",TABLERO!AQ87)</f>
        <v/>
      </c>
      <c r="X87" s="312" t="str">
        <f>IF(OR(TABLERO!AR87="",TABLERO!AR87=0),"",TABLERO!AR87)</f>
        <v/>
      </c>
      <c r="Y87" s="312" t="str">
        <f>IF(OR(TABLERO!AS87="",TABLERO!AS87=0),"",TABLERO!AS87)</f>
        <v/>
      </c>
      <c r="Z87" s="312" t="str">
        <f>IF(OR(TABLERO!AT87="",TABLERO!AT87=0),"",TABLERO!AT87)</f>
        <v/>
      </c>
      <c r="AA87" s="312" t="str">
        <f>IF(OR(TABLERO!AU87="",TABLERO!AU87=0),"",TABLERO!AU87)</f>
        <v/>
      </c>
      <c r="AB87" s="312" t="str">
        <f>IF(OR(TABLERO!AV87="",TABLERO!AV87=0),"",TABLERO!AV87)</f>
        <v/>
      </c>
      <c r="AC87" s="312" t="str">
        <f>IF(OR(TABLERO!AW87="",TABLERO!AW87=0),"",TABLERO!AW87)</f>
        <v/>
      </c>
      <c r="AD87" s="312" t="str">
        <f>IF(OR(TABLERO!AX87="",TABLERO!AX87=0),"",TABLERO!AX87)</f>
        <v/>
      </c>
      <c r="AE87" s="312" t="str">
        <f>IF(OR(TABLERO!AY87="",TABLERO!AY87=0),"",TABLERO!AY87)</f>
        <v/>
      </c>
      <c r="AF87" s="312" t="str">
        <f>IF(OR(TABLERO!AZ87="",TABLERO!AZ87=0),"",TABLERO!AZ87)</f>
        <v/>
      </c>
      <c r="AG87" s="312" t="str">
        <f>IF(OR(TABLERO!BA87="",TABLERO!BA87=0),"",TABLERO!BA87)</f>
        <v/>
      </c>
      <c r="AH87" s="277" t="str">
        <f>IF(TABLERO!BB87=0,"",FIXED(IF(TABLERO!$F$17&lt;&gt;"KVA",TABLERO!BB87*1000,TABLERO!BB87*1000/TABLERO!DA87),2))</f>
        <v/>
      </c>
      <c r="AI87" s="277" t="str">
        <f>IF(TABLERO!BB87=0,"",FIXED(IF(TABLERO!$F$17&lt;&gt;"KVA",TABLERO!BT87*1000,TABLERO!BT87*1000/TABLERO!DA87),2))</f>
        <v/>
      </c>
      <c r="AJ87" s="272" t="str">
        <f>IF(OR(TABLERO!BU87="",TABLERO!BU87=0),"",FIXED(TABLERO!BU87,2))</f>
        <v/>
      </c>
      <c r="AK87" s="312" t="str">
        <f>IF(TABLERO!BB87=0,"",TABLERO!F87)</f>
        <v/>
      </c>
      <c r="AL87" s="312" t="str">
        <f>IF(TABLERO!BB87=0,"",TABLERO!G87)</f>
        <v/>
      </c>
      <c r="AM87" s="312" t="str">
        <f>IF(TABLERO!BB87=0,"",TABLERO!BV87)</f>
        <v/>
      </c>
      <c r="AN87" s="272" t="str">
        <f>IF(TABLERO!BB87=0,"",TABLERO!K87)</f>
        <v/>
      </c>
      <c r="AO87" s="312" t="str">
        <f>IF(TABLERO!BB87=0,"",TABLERO!J87)</f>
        <v/>
      </c>
      <c r="AP87" s="272" t="str">
        <f>IF(TABLERO!BB87=0,"",TABLERO!CT87)</f>
        <v/>
      </c>
      <c r="AQ87" s="272" t="str">
        <f>IF(TABLERO!BB87=0,"",TABLERO!CS87)</f>
        <v/>
      </c>
      <c r="AR87" s="272" t="str">
        <f>IF(OR(TABLERO!BB87=0,TABLERO!H87="RE"),"",FIXED(TABLERO!CY87,2))</f>
        <v/>
      </c>
      <c r="AS87" s="312" t="str">
        <f>IF(TABLERO!BB87=0,"",TABLERO!N87)</f>
        <v/>
      </c>
      <c r="AT87" s="1164" t="str">
        <f>IF(TABLERO!BB87=0,"",TABLERO!BX87&amp;" "&amp;TABLERO!ED87&amp;", "&amp;TABLERO!I87)</f>
        <v/>
      </c>
      <c r="AU87" s="1165"/>
      <c r="AV87" s="272" t="str">
        <f>IF(OR(TABLERO!BB87=0,TABLERO!H87="RE"),"",FIXED(TABLERO!BZ87,2))</f>
        <v/>
      </c>
      <c r="AW87" s="312" t="str">
        <f>IF(TABLERO!BB87=0,"",TABLERO!CA87)</f>
        <v/>
      </c>
      <c r="AX87" s="271" t="str">
        <f>IF(TABLERO!BB87=0,"",TABLERO!CB87)</f>
        <v/>
      </c>
      <c r="AY87" s="272" t="str">
        <f>IF(OR(TABLERO!BB87=0,TABLERO!H87="RE"),"",FIXED(TABLERO!DL87,2))</f>
        <v/>
      </c>
      <c r="AZ87" s="310" t="str">
        <f>IF(OR(TABLERO!BB87=0,TABLERO!H87="RE"),"",TABLERO!F87&amp;"P-"&amp;TABLERO!BW87&amp;"A")</f>
        <v/>
      </c>
      <c r="BA87" s="272" t="str">
        <f>IF(TABLERO!$BB87=0,"",IF(TABLERO!CI87="-","     -     ",FIXED(IF(TABLERO!$F$17&lt;&gt;"KVA",TABLERO!CI87,TABLERO!CI87/TABLERO!$F$14),2)))</f>
        <v/>
      </c>
      <c r="BB87" s="272" t="str">
        <f>IF(TABLERO!$BB87=0,"",IF(TABLERO!CJ87="-","     -     ",FIXED(IF(TABLERO!$F$17&lt;&gt;"KVA",TABLERO!CJ87,TABLERO!CJ87/TABLERO!$F$14),2)))</f>
        <v/>
      </c>
      <c r="BC87" s="272" t="str">
        <f>IF(TABLERO!$BB87=0,"",IF(TABLERO!CK87="-","     -     ",FIXED(IF(TABLERO!$F$17&lt;&gt;"KVA",TABLERO!CK87,TABLERO!CK87/TABLERO!$F$14),2)))</f>
        <v/>
      </c>
      <c r="BG87" s="275">
        <f>IF(TABLERO!B87="",0,TABLERO!B87)</f>
        <v>57</v>
      </c>
      <c r="BH87" s="275"/>
      <c r="BI87" s="275"/>
      <c r="BK87" s="275"/>
      <c r="BL87" s="289" t="str" cm="1">
        <f t="array" ref="BL87">[1]!ACAELE_LineaCAD(A87)</f>
        <v>++++++++++++++++++++++++++++++2</v>
      </c>
      <c r="BM87" s="279" t="str">
        <f t="shared" si="4"/>
        <v>57+</v>
      </c>
      <c r="BN87" s="304"/>
      <c r="BO87" s="304"/>
      <c r="BP87" s="304"/>
      <c r="BQ87" s="304"/>
      <c r="BR87" s="304"/>
      <c r="BS87" s="304"/>
      <c r="BT87" s="304"/>
      <c r="BU87" s="304"/>
      <c r="BV87" s="304"/>
      <c r="BW87" s="304"/>
      <c r="BX87" s="304"/>
      <c r="BY87" s="304"/>
      <c r="BZ87" s="304"/>
      <c r="CA87" s="304"/>
      <c r="CB87" s="304"/>
      <c r="CC87" s="304"/>
      <c r="CD87" s="304"/>
      <c r="CE87" s="304"/>
      <c r="CF87" s="304"/>
      <c r="CG87" s="304"/>
      <c r="CH87" s="304"/>
      <c r="CI87" s="304"/>
      <c r="CJ87" s="304"/>
      <c r="CK87" s="304"/>
      <c r="CL87" s="304"/>
      <c r="CM87" s="304"/>
      <c r="CN87" s="304"/>
      <c r="CO87" s="304"/>
      <c r="CP87" s="304"/>
      <c r="CQ87" s="304"/>
      <c r="CR87" s="305" t="str" cm="1">
        <f t="array" ref="CR87">CONCATENATE(BM87,_xlfn.TEXTJOIN("",TRUE,IF(BN$129:CQ$129&lt;&gt;"","+"&amp;D87:AG87,"")))</f>
        <v>57+</v>
      </c>
      <c r="CS87" s="279">
        <f t="shared" si="5"/>
        <v>30</v>
      </c>
      <c r="CT87" s="279" t="str">
        <f t="shared" ref="CT87:CT130" si="8">VLOOKUP(CS87,$CS$135:$CT$165,2)</f>
        <v>+++++++++++++++++++++++++++++++</v>
      </c>
      <c r="CU87" s="291" t="str">
        <f t="shared" si="7"/>
        <v>57++++++++++++++++++++++++++++++++2</v>
      </c>
      <c r="GB87" s="279" t="s">
        <v>1972</v>
      </c>
    </row>
    <row r="88" spans="1:184">
      <c r="A88" s="275">
        <f>IF(C88&lt;&gt;"",1,IF(AH88="",2,IF(OR(IF(TABLERO!B88="",0,TABLERO!B88)&gt;TABLERO!$M$19,IF(TABLERO!C88="",IF(TABLERO!B88="",0,TABLERO!B88),TABLERO!C88)&gt;TABLERO!$M$19,BI88&gt;TABLERO!$M$19,IF(TABLERO!B88="",0,TABLERO!B88)=0,IF(TABLERO!C88="",BG88,TABLERO!C88)=0,IF(TABLERO!D88="",BG88,TABLERO!D88)=0),2,1)))</f>
        <v>2</v>
      </c>
      <c r="B88" s="276" t="str">
        <f>TABLERO!B88&amp;IF(TABLERO!C88="","",","&amp;TABLERO!C88)&amp;IF(TABLERO!D88="","",","&amp;TABLERO!D88)</f>
        <v>58</v>
      </c>
      <c r="C88" s="269" t="str">
        <f>IF(TABLERO!E88=0,"",TABLERO!E88)</f>
        <v/>
      </c>
      <c r="D88" s="312" t="str">
        <f>IF(OR(TABLERO!X88="",TABLERO!X88=0),"",TABLERO!X88)</f>
        <v/>
      </c>
      <c r="E88" s="312" t="str">
        <f>IF(OR(TABLERO!Y88="",TABLERO!Y88=0),"",TABLERO!Y88)</f>
        <v/>
      </c>
      <c r="F88" s="312" t="str">
        <f>IF(OR(TABLERO!Z88="",TABLERO!Z88=0),"",TABLERO!Z88)</f>
        <v/>
      </c>
      <c r="G88" s="312" t="str">
        <f>IF(OR(TABLERO!AA88="",TABLERO!AA88=0),"",TABLERO!AA88)</f>
        <v/>
      </c>
      <c r="H88" s="312" t="str">
        <f>IF(OR(TABLERO!AB88="",TABLERO!AB88=0),"",TABLERO!AB88)</f>
        <v/>
      </c>
      <c r="I88" s="312" t="str">
        <f>IF(OR(TABLERO!AC88="",TABLERO!AC88=0),"",TABLERO!AC88)</f>
        <v/>
      </c>
      <c r="J88" s="312" t="str">
        <f>IF(OR(TABLERO!AD88="",TABLERO!AD88=0),"",TABLERO!AD88)</f>
        <v/>
      </c>
      <c r="K88" s="312" t="str">
        <f>IF(OR(TABLERO!AE88="",TABLERO!AE88=0),"",TABLERO!AE88)</f>
        <v/>
      </c>
      <c r="L88" s="312" t="str">
        <f>IF(OR(TABLERO!AF88="",TABLERO!AF88=0),"",TABLERO!AF88)</f>
        <v/>
      </c>
      <c r="M88" s="312" t="str">
        <f>IF(OR(TABLERO!AG88="",TABLERO!AG88=0),"",TABLERO!AG88)</f>
        <v/>
      </c>
      <c r="N88" s="312" t="str">
        <f>IF(OR(TABLERO!AH88="",TABLERO!AH88=0),"",TABLERO!AH88)</f>
        <v/>
      </c>
      <c r="O88" s="312" t="str">
        <f>IF(OR(TABLERO!AI88="",TABLERO!AI88=0),"",TABLERO!AI88)</f>
        <v/>
      </c>
      <c r="P88" s="312" t="str">
        <f>IF(OR(TABLERO!AJ88="",TABLERO!AJ88=0),"",TABLERO!AJ88)</f>
        <v/>
      </c>
      <c r="Q88" s="312" t="str">
        <f>IF(OR(TABLERO!AK88="",TABLERO!AK88=0),"",TABLERO!AK88)</f>
        <v/>
      </c>
      <c r="R88" s="312" t="str">
        <f>IF(OR(TABLERO!AL88="",TABLERO!AL88=0),"",TABLERO!AL88)</f>
        <v/>
      </c>
      <c r="S88" s="312" t="str">
        <f>IF(OR(TABLERO!AM88="",TABLERO!AM88=0),"",TABLERO!AM88)</f>
        <v/>
      </c>
      <c r="T88" s="312" t="str">
        <f>IF(OR(TABLERO!AN88="",TABLERO!AN88=0),"",TABLERO!AN88)</f>
        <v/>
      </c>
      <c r="U88" s="312" t="str">
        <f>IF(OR(TABLERO!AO88="",TABLERO!AO88=0),"",TABLERO!AO88)</f>
        <v/>
      </c>
      <c r="V88" s="312" t="str">
        <f>IF(OR(TABLERO!AP88="",TABLERO!AP88=0),"",TABLERO!AP88)</f>
        <v/>
      </c>
      <c r="W88" s="312" t="str">
        <f>IF(OR(TABLERO!AQ88="",TABLERO!AQ88=0),"",TABLERO!AQ88)</f>
        <v/>
      </c>
      <c r="X88" s="312" t="str">
        <f>IF(OR(TABLERO!AR88="",TABLERO!AR88=0),"",TABLERO!AR88)</f>
        <v/>
      </c>
      <c r="Y88" s="312" t="str">
        <f>IF(OR(TABLERO!AS88="",TABLERO!AS88=0),"",TABLERO!AS88)</f>
        <v/>
      </c>
      <c r="Z88" s="312" t="str">
        <f>IF(OR(TABLERO!AT88="",TABLERO!AT88=0),"",TABLERO!AT88)</f>
        <v/>
      </c>
      <c r="AA88" s="312" t="str">
        <f>IF(OR(TABLERO!AU88="",TABLERO!AU88=0),"",TABLERO!AU88)</f>
        <v/>
      </c>
      <c r="AB88" s="312" t="str">
        <f>IF(OR(TABLERO!AV88="",TABLERO!AV88=0),"",TABLERO!AV88)</f>
        <v/>
      </c>
      <c r="AC88" s="312" t="str">
        <f>IF(OR(TABLERO!AW88="",TABLERO!AW88=0),"",TABLERO!AW88)</f>
        <v/>
      </c>
      <c r="AD88" s="312" t="str">
        <f>IF(OR(TABLERO!AX88="",TABLERO!AX88=0),"",TABLERO!AX88)</f>
        <v/>
      </c>
      <c r="AE88" s="312" t="str">
        <f>IF(OR(TABLERO!AY88="",TABLERO!AY88=0),"",TABLERO!AY88)</f>
        <v/>
      </c>
      <c r="AF88" s="312" t="str">
        <f>IF(OR(TABLERO!AZ88="",TABLERO!AZ88=0),"",TABLERO!AZ88)</f>
        <v/>
      </c>
      <c r="AG88" s="312" t="str">
        <f>IF(OR(TABLERO!BA88="",TABLERO!BA88=0),"",TABLERO!BA88)</f>
        <v/>
      </c>
      <c r="AH88" s="277" t="str">
        <f>IF(TABLERO!BB88=0,"",FIXED(IF(TABLERO!$F$17&lt;&gt;"KVA",TABLERO!BB88*1000,TABLERO!BB88*1000/TABLERO!DA88),2))</f>
        <v/>
      </c>
      <c r="AI88" s="277" t="str">
        <f>IF(TABLERO!BB88=0,"",FIXED(IF(TABLERO!$F$17&lt;&gt;"KVA",TABLERO!BT88*1000,TABLERO!BT88*1000/TABLERO!DA88),2))</f>
        <v/>
      </c>
      <c r="AJ88" s="272" t="str">
        <f>IF(OR(TABLERO!BU88="",TABLERO!BU88=0),"",FIXED(TABLERO!BU88,2))</f>
        <v/>
      </c>
      <c r="AK88" s="312" t="str">
        <f>IF(TABLERO!BB88=0,"",TABLERO!F88)</f>
        <v/>
      </c>
      <c r="AL88" s="312" t="str">
        <f>IF(TABLERO!BB88=0,"",TABLERO!G88)</f>
        <v/>
      </c>
      <c r="AM88" s="312" t="str">
        <f>IF(TABLERO!BB88=0,"",TABLERO!BV88)</f>
        <v/>
      </c>
      <c r="AN88" s="272" t="str">
        <f>IF(TABLERO!BB88=0,"",TABLERO!K88)</f>
        <v/>
      </c>
      <c r="AO88" s="312" t="str">
        <f>IF(TABLERO!BB88=0,"",TABLERO!J88)</f>
        <v/>
      </c>
      <c r="AP88" s="272" t="str">
        <f>IF(TABLERO!BB88=0,"",TABLERO!CT88)</f>
        <v/>
      </c>
      <c r="AQ88" s="272" t="str">
        <f>IF(TABLERO!BB88=0,"",TABLERO!CS88)</f>
        <v/>
      </c>
      <c r="AR88" s="272" t="str">
        <f>IF(OR(TABLERO!BB88=0,TABLERO!H88="RE"),"",FIXED(TABLERO!CY88,2))</f>
        <v/>
      </c>
      <c r="AS88" s="312" t="str">
        <f>IF(TABLERO!BB88=0,"",TABLERO!N88)</f>
        <v/>
      </c>
      <c r="AT88" s="1164" t="str">
        <f>IF(TABLERO!BB88=0,"",TABLERO!BX88&amp;" "&amp;TABLERO!ED88&amp;", "&amp;TABLERO!I88)</f>
        <v/>
      </c>
      <c r="AU88" s="1165"/>
      <c r="AV88" s="272" t="str">
        <f>IF(OR(TABLERO!BB88=0,TABLERO!H88="RE"),"",FIXED(TABLERO!BZ88,2))</f>
        <v/>
      </c>
      <c r="AW88" s="312" t="str">
        <f>IF(TABLERO!BB88=0,"",TABLERO!CA88)</f>
        <v/>
      </c>
      <c r="AX88" s="271" t="str">
        <f>IF(TABLERO!BB88=0,"",TABLERO!CB88)</f>
        <v/>
      </c>
      <c r="AY88" s="272" t="str">
        <f>IF(OR(TABLERO!BB88=0,TABLERO!H88="RE"),"",FIXED(TABLERO!DL88,2))</f>
        <v/>
      </c>
      <c r="AZ88" s="310" t="str">
        <f>IF(OR(TABLERO!BB88=0,TABLERO!H88="RE"),"",TABLERO!F88&amp;"P-"&amp;TABLERO!BW88&amp;"A")</f>
        <v/>
      </c>
      <c r="BA88" s="272" t="str">
        <f>IF(TABLERO!$BB88=0,"",IF(TABLERO!CI88="-","     -     ",FIXED(IF(TABLERO!$F$17&lt;&gt;"KVA",TABLERO!CI88,TABLERO!CI88/TABLERO!$F$14),2)))</f>
        <v/>
      </c>
      <c r="BB88" s="272" t="str">
        <f>IF(TABLERO!$BB88=0,"",IF(TABLERO!CJ88="-","     -     ",FIXED(IF(TABLERO!$F$17&lt;&gt;"KVA",TABLERO!CJ88,TABLERO!CJ88/TABLERO!$F$14),2)))</f>
        <v/>
      </c>
      <c r="BC88" s="272" t="str">
        <f>IF(TABLERO!$BB88=0,"",IF(TABLERO!CK88="-","     -     ",FIXED(IF(TABLERO!$F$17&lt;&gt;"KVA",TABLERO!CK88,TABLERO!CK88/TABLERO!$F$14),2)))</f>
        <v/>
      </c>
      <c r="BG88" s="275">
        <f>IF(TABLERO!B88="",0,TABLERO!B88)</f>
        <v>58</v>
      </c>
      <c r="BH88" s="275"/>
      <c r="BI88" s="275"/>
      <c r="BK88" s="275"/>
      <c r="BL88" s="289" t="str" cm="1">
        <f t="array" ref="BL88">[1]!ACAELE_LineaCAD(A88)</f>
        <v>++++++++++++++++++++++++++++++2</v>
      </c>
      <c r="BM88" s="279" t="str">
        <f t="shared" ref="BM88:BM131" si="9">B88&amp;"+"&amp;C88</f>
        <v>58+</v>
      </c>
      <c r="BN88" s="304"/>
      <c r="BO88" s="304"/>
      <c r="BP88" s="304"/>
      <c r="BQ88" s="304"/>
      <c r="BR88" s="304"/>
      <c r="BS88" s="304"/>
      <c r="BT88" s="304"/>
      <c r="BU88" s="304"/>
      <c r="BV88" s="304"/>
      <c r="BW88" s="304"/>
      <c r="BX88" s="304"/>
      <c r="BY88" s="304"/>
      <c r="BZ88" s="304"/>
      <c r="CA88" s="304"/>
      <c r="CB88" s="304"/>
      <c r="CC88" s="304"/>
      <c r="CD88" s="304"/>
      <c r="CE88" s="304"/>
      <c r="CF88" s="304"/>
      <c r="CG88" s="304"/>
      <c r="CH88" s="304"/>
      <c r="CI88" s="304"/>
      <c r="CJ88" s="304"/>
      <c r="CK88" s="304"/>
      <c r="CL88" s="304"/>
      <c r="CM88" s="304"/>
      <c r="CN88" s="304"/>
      <c r="CO88" s="304"/>
      <c r="CP88" s="304"/>
      <c r="CQ88" s="304"/>
      <c r="CR88" s="305" t="str" cm="1">
        <f t="array" ref="CR88">CONCATENATE(BM88,_xlfn.TEXTJOIN("",TRUE,IF(BN$129:CQ$129&lt;&gt;"","+"&amp;D88:AG88,"")))</f>
        <v>58+</v>
      </c>
      <c r="CS88" s="279">
        <f t="shared" si="5"/>
        <v>30</v>
      </c>
      <c r="CT88" s="279" t="str">
        <f t="shared" si="8"/>
        <v>+++++++++++++++++++++++++++++++</v>
      </c>
      <c r="CU88" s="291" t="str">
        <f t="shared" si="7"/>
        <v>58++++++++++++++++++++++++++++++++2</v>
      </c>
      <c r="GB88" s="279" t="s">
        <v>1973</v>
      </c>
    </row>
    <row r="89" spans="1:184">
      <c r="A89" s="275">
        <f>IF(C89&lt;&gt;"",1,IF(AH89="",2,IF(OR(IF(TABLERO!B89="",0,TABLERO!B89)&gt;TABLERO!$M$19,IF(TABLERO!C89="",IF(TABLERO!B89="",0,TABLERO!B89),TABLERO!C89)&gt;TABLERO!$M$19,BI89&gt;TABLERO!$M$19,IF(TABLERO!B89="",0,TABLERO!B89)=0,IF(TABLERO!C89="",BG89,TABLERO!C89)=0,IF(TABLERO!D89="",BG89,TABLERO!D89)=0),2,1)))</f>
        <v>2</v>
      </c>
      <c r="B89" s="276" t="str">
        <f>TABLERO!B89&amp;IF(TABLERO!C89="","",","&amp;TABLERO!C89)&amp;IF(TABLERO!D89="","",","&amp;TABLERO!D89)</f>
        <v>59</v>
      </c>
      <c r="C89" s="269" t="str">
        <f>IF(TABLERO!E89=0,"",TABLERO!E89)</f>
        <v/>
      </c>
      <c r="D89" s="312" t="str">
        <f>IF(OR(TABLERO!X89="",TABLERO!X89=0),"",TABLERO!X89)</f>
        <v/>
      </c>
      <c r="E89" s="312" t="str">
        <f>IF(OR(TABLERO!Y89="",TABLERO!Y89=0),"",TABLERO!Y89)</f>
        <v/>
      </c>
      <c r="F89" s="312" t="str">
        <f>IF(OR(TABLERO!Z89="",TABLERO!Z89=0),"",TABLERO!Z89)</f>
        <v/>
      </c>
      <c r="G89" s="312" t="str">
        <f>IF(OR(TABLERO!AA89="",TABLERO!AA89=0),"",TABLERO!AA89)</f>
        <v/>
      </c>
      <c r="H89" s="312" t="str">
        <f>IF(OR(TABLERO!AB89="",TABLERO!AB89=0),"",TABLERO!AB89)</f>
        <v/>
      </c>
      <c r="I89" s="312" t="str">
        <f>IF(OR(TABLERO!AC89="",TABLERO!AC89=0),"",TABLERO!AC89)</f>
        <v/>
      </c>
      <c r="J89" s="312" t="str">
        <f>IF(OR(TABLERO!AD89="",TABLERO!AD89=0),"",TABLERO!AD89)</f>
        <v/>
      </c>
      <c r="K89" s="312" t="str">
        <f>IF(OR(TABLERO!AE89="",TABLERO!AE89=0),"",TABLERO!AE89)</f>
        <v/>
      </c>
      <c r="L89" s="312" t="str">
        <f>IF(OR(TABLERO!AF89="",TABLERO!AF89=0),"",TABLERO!AF89)</f>
        <v/>
      </c>
      <c r="M89" s="312" t="str">
        <f>IF(OR(TABLERO!AG89="",TABLERO!AG89=0),"",TABLERO!AG89)</f>
        <v/>
      </c>
      <c r="N89" s="312" t="str">
        <f>IF(OR(TABLERO!AH89="",TABLERO!AH89=0),"",TABLERO!AH89)</f>
        <v/>
      </c>
      <c r="O89" s="312" t="str">
        <f>IF(OR(TABLERO!AI89="",TABLERO!AI89=0),"",TABLERO!AI89)</f>
        <v/>
      </c>
      <c r="P89" s="312" t="str">
        <f>IF(OR(TABLERO!AJ89="",TABLERO!AJ89=0),"",TABLERO!AJ89)</f>
        <v/>
      </c>
      <c r="Q89" s="312" t="str">
        <f>IF(OR(TABLERO!AK89="",TABLERO!AK89=0),"",TABLERO!AK89)</f>
        <v/>
      </c>
      <c r="R89" s="312" t="str">
        <f>IF(OR(TABLERO!AL89="",TABLERO!AL89=0),"",TABLERO!AL89)</f>
        <v/>
      </c>
      <c r="S89" s="312" t="str">
        <f>IF(OR(TABLERO!AM89="",TABLERO!AM89=0),"",TABLERO!AM89)</f>
        <v/>
      </c>
      <c r="T89" s="312" t="str">
        <f>IF(OR(TABLERO!AN89="",TABLERO!AN89=0),"",TABLERO!AN89)</f>
        <v/>
      </c>
      <c r="U89" s="312" t="str">
        <f>IF(OR(TABLERO!AO89="",TABLERO!AO89=0),"",TABLERO!AO89)</f>
        <v/>
      </c>
      <c r="V89" s="312" t="str">
        <f>IF(OR(TABLERO!AP89="",TABLERO!AP89=0),"",TABLERO!AP89)</f>
        <v/>
      </c>
      <c r="W89" s="312" t="str">
        <f>IF(OR(TABLERO!AQ89="",TABLERO!AQ89=0),"",TABLERO!AQ89)</f>
        <v/>
      </c>
      <c r="X89" s="312" t="str">
        <f>IF(OR(TABLERO!AR89="",TABLERO!AR89=0),"",TABLERO!AR89)</f>
        <v/>
      </c>
      <c r="Y89" s="312" t="str">
        <f>IF(OR(TABLERO!AS89="",TABLERO!AS89=0),"",TABLERO!AS89)</f>
        <v/>
      </c>
      <c r="Z89" s="312" t="str">
        <f>IF(OR(TABLERO!AT89="",TABLERO!AT89=0),"",TABLERO!AT89)</f>
        <v/>
      </c>
      <c r="AA89" s="312" t="str">
        <f>IF(OR(TABLERO!AU89="",TABLERO!AU89=0),"",TABLERO!AU89)</f>
        <v/>
      </c>
      <c r="AB89" s="312" t="str">
        <f>IF(OR(TABLERO!AV89="",TABLERO!AV89=0),"",TABLERO!AV89)</f>
        <v/>
      </c>
      <c r="AC89" s="312" t="str">
        <f>IF(OR(TABLERO!AW89="",TABLERO!AW89=0),"",TABLERO!AW89)</f>
        <v/>
      </c>
      <c r="AD89" s="312" t="str">
        <f>IF(OR(TABLERO!AX89="",TABLERO!AX89=0),"",TABLERO!AX89)</f>
        <v/>
      </c>
      <c r="AE89" s="312" t="str">
        <f>IF(OR(TABLERO!AY89="",TABLERO!AY89=0),"",TABLERO!AY89)</f>
        <v/>
      </c>
      <c r="AF89" s="312" t="str">
        <f>IF(OR(TABLERO!AZ89="",TABLERO!AZ89=0),"",TABLERO!AZ89)</f>
        <v/>
      </c>
      <c r="AG89" s="312" t="str">
        <f>IF(OR(TABLERO!BA89="",TABLERO!BA89=0),"",TABLERO!BA89)</f>
        <v/>
      </c>
      <c r="AH89" s="277" t="str">
        <f>IF(TABLERO!BB89=0,"",FIXED(IF(TABLERO!$F$17&lt;&gt;"KVA",TABLERO!BB89*1000,TABLERO!BB89*1000/TABLERO!DA89),2))</f>
        <v/>
      </c>
      <c r="AI89" s="277" t="str">
        <f>IF(TABLERO!BB89=0,"",FIXED(IF(TABLERO!$F$17&lt;&gt;"KVA",TABLERO!BT89*1000,TABLERO!BT89*1000/TABLERO!DA89),2))</f>
        <v/>
      </c>
      <c r="AJ89" s="272" t="str">
        <f>IF(OR(TABLERO!BU89="",TABLERO!BU89=0),"",FIXED(TABLERO!BU89,2))</f>
        <v/>
      </c>
      <c r="AK89" s="312" t="str">
        <f>IF(TABLERO!BB89=0,"",TABLERO!F89)</f>
        <v/>
      </c>
      <c r="AL89" s="312" t="str">
        <f>IF(TABLERO!BB89=0,"",TABLERO!G89)</f>
        <v/>
      </c>
      <c r="AM89" s="312" t="str">
        <f>IF(TABLERO!BB89=0,"",TABLERO!BV89)</f>
        <v/>
      </c>
      <c r="AN89" s="272" t="str">
        <f>IF(TABLERO!BB89=0,"",TABLERO!K89)</f>
        <v/>
      </c>
      <c r="AO89" s="312" t="str">
        <f>IF(TABLERO!BB89=0,"",TABLERO!J89)</f>
        <v/>
      </c>
      <c r="AP89" s="272" t="str">
        <f>IF(TABLERO!BB89=0,"",TABLERO!CT89)</f>
        <v/>
      </c>
      <c r="AQ89" s="272" t="str">
        <f>IF(TABLERO!BB89=0,"",TABLERO!CS89)</f>
        <v/>
      </c>
      <c r="AR89" s="272" t="str">
        <f>IF(OR(TABLERO!BB89=0,TABLERO!H89="RE"),"",FIXED(TABLERO!CY89,2))</f>
        <v/>
      </c>
      <c r="AS89" s="312" t="str">
        <f>IF(TABLERO!BB89=0,"",TABLERO!N89)</f>
        <v/>
      </c>
      <c r="AT89" s="1164" t="str">
        <f>IF(TABLERO!BB89=0,"",TABLERO!BX89&amp;" "&amp;TABLERO!ED89&amp;", "&amp;TABLERO!I89)</f>
        <v/>
      </c>
      <c r="AU89" s="1165"/>
      <c r="AV89" s="272" t="str">
        <f>IF(OR(TABLERO!BB89=0,TABLERO!H89="RE"),"",FIXED(TABLERO!BZ89,2))</f>
        <v/>
      </c>
      <c r="AW89" s="312" t="str">
        <f>IF(TABLERO!BB89=0,"",TABLERO!CA89)</f>
        <v/>
      </c>
      <c r="AX89" s="271" t="str">
        <f>IF(TABLERO!BB89=0,"",TABLERO!CB89)</f>
        <v/>
      </c>
      <c r="AY89" s="272" t="str">
        <f>IF(OR(TABLERO!BB89=0,TABLERO!H89="RE"),"",FIXED(TABLERO!DL89,2))</f>
        <v/>
      </c>
      <c r="AZ89" s="310" t="str">
        <f>IF(OR(TABLERO!BB89=0,TABLERO!H89="RE"),"",TABLERO!F89&amp;"P-"&amp;TABLERO!BW89&amp;"A")</f>
        <v/>
      </c>
      <c r="BA89" s="272" t="str">
        <f>IF(TABLERO!$BB89=0,"",IF(TABLERO!CI89="-","     -     ",FIXED(IF(TABLERO!$F$17&lt;&gt;"KVA",TABLERO!CI89,TABLERO!CI89/TABLERO!$F$14),2)))</f>
        <v/>
      </c>
      <c r="BB89" s="272" t="str">
        <f>IF(TABLERO!$BB89=0,"",IF(TABLERO!CJ89="-","     -     ",FIXED(IF(TABLERO!$F$17&lt;&gt;"KVA",TABLERO!CJ89,TABLERO!CJ89/TABLERO!$F$14),2)))</f>
        <v/>
      </c>
      <c r="BC89" s="272" t="str">
        <f>IF(TABLERO!$BB89=0,"",IF(TABLERO!CK89="-","     -     ",FIXED(IF(TABLERO!$F$17&lt;&gt;"KVA",TABLERO!CK89,TABLERO!CK89/TABLERO!$F$14),2)))</f>
        <v/>
      </c>
      <c r="BG89" s="275">
        <f>IF(TABLERO!B89="",0,TABLERO!B89)</f>
        <v>59</v>
      </c>
      <c r="BH89" s="275"/>
      <c r="BI89" s="275"/>
      <c r="BK89" s="275"/>
      <c r="BL89" s="289" t="str" cm="1">
        <f t="array" ref="BL89">[1]!ACAELE_LineaCAD(A89)</f>
        <v>++++++++++++++++++++++++++++++2</v>
      </c>
      <c r="BM89" s="279" t="str">
        <f t="shared" si="9"/>
        <v>59+</v>
      </c>
      <c r="BN89" s="304"/>
      <c r="BO89" s="304"/>
      <c r="BP89" s="304"/>
      <c r="BQ89" s="304"/>
      <c r="BR89" s="304"/>
      <c r="BS89" s="304"/>
      <c r="BT89" s="304"/>
      <c r="BU89" s="304"/>
      <c r="BV89" s="304"/>
      <c r="BW89" s="304"/>
      <c r="BX89" s="304"/>
      <c r="BY89" s="304"/>
      <c r="BZ89" s="304"/>
      <c r="CA89" s="304"/>
      <c r="CB89" s="304"/>
      <c r="CC89" s="304"/>
      <c r="CD89" s="304"/>
      <c r="CE89" s="304"/>
      <c r="CF89" s="304"/>
      <c r="CG89" s="304"/>
      <c r="CH89" s="304"/>
      <c r="CI89" s="304"/>
      <c r="CJ89" s="304"/>
      <c r="CK89" s="304"/>
      <c r="CL89" s="304"/>
      <c r="CM89" s="304"/>
      <c r="CN89" s="304"/>
      <c r="CO89" s="304"/>
      <c r="CP89" s="304"/>
      <c r="CQ89" s="304"/>
      <c r="CR89" s="305" t="str" cm="1">
        <f t="array" ref="CR89">CONCATENATE(BM89,_xlfn.TEXTJOIN("",TRUE,IF(BN$129:CQ$129&lt;&gt;"","+"&amp;D89:AG89,"")))</f>
        <v>59+</v>
      </c>
      <c r="CS89" s="279">
        <f t="shared" si="5"/>
        <v>30</v>
      </c>
      <c r="CT89" s="279" t="str">
        <f t="shared" si="8"/>
        <v>+++++++++++++++++++++++++++++++</v>
      </c>
      <c r="CU89" s="291" t="str">
        <f t="shared" si="7"/>
        <v>59++++++++++++++++++++++++++++++++2</v>
      </c>
      <c r="GB89" s="279" t="s">
        <v>1974</v>
      </c>
    </row>
    <row r="90" spans="1:184">
      <c r="A90" s="275">
        <f>IF(C90&lt;&gt;"",1,IF(AH90="",2,IF(OR(IF(TABLERO!B90="",0,TABLERO!B90)&gt;TABLERO!$M$19,IF(TABLERO!C90="",IF(TABLERO!B90="",0,TABLERO!B90),TABLERO!C90)&gt;TABLERO!$M$19,BI90&gt;TABLERO!$M$19,IF(TABLERO!B90="",0,TABLERO!B90)=0,IF(TABLERO!C90="",BG90,TABLERO!C90)=0,IF(TABLERO!D90="",BG90,TABLERO!D90)=0),2,1)))</f>
        <v>2</v>
      </c>
      <c r="B90" s="276" t="str">
        <f>TABLERO!B90&amp;IF(TABLERO!C90="","",","&amp;TABLERO!C90)&amp;IF(TABLERO!D90="","",","&amp;TABLERO!D90)</f>
        <v>60</v>
      </c>
      <c r="C90" s="269" t="str">
        <f>IF(TABLERO!E90=0,"",TABLERO!E90)</f>
        <v/>
      </c>
      <c r="D90" s="312" t="str">
        <f>IF(OR(TABLERO!X90="",TABLERO!X90=0),"",TABLERO!X90)</f>
        <v/>
      </c>
      <c r="E90" s="312" t="str">
        <f>IF(OR(TABLERO!Y90="",TABLERO!Y90=0),"",TABLERO!Y90)</f>
        <v/>
      </c>
      <c r="F90" s="312" t="str">
        <f>IF(OR(TABLERO!Z90="",TABLERO!Z90=0),"",TABLERO!Z90)</f>
        <v/>
      </c>
      <c r="G90" s="312" t="str">
        <f>IF(OR(TABLERO!AA90="",TABLERO!AA90=0),"",TABLERO!AA90)</f>
        <v/>
      </c>
      <c r="H90" s="312" t="str">
        <f>IF(OR(TABLERO!AB90="",TABLERO!AB90=0),"",TABLERO!AB90)</f>
        <v/>
      </c>
      <c r="I90" s="312" t="str">
        <f>IF(OR(TABLERO!AC90="",TABLERO!AC90=0),"",TABLERO!AC90)</f>
        <v/>
      </c>
      <c r="J90" s="312" t="str">
        <f>IF(OR(TABLERO!AD90="",TABLERO!AD90=0),"",TABLERO!AD90)</f>
        <v/>
      </c>
      <c r="K90" s="312" t="str">
        <f>IF(OR(TABLERO!AE90="",TABLERO!AE90=0),"",TABLERO!AE90)</f>
        <v/>
      </c>
      <c r="L90" s="312" t="str">
        <f>IF(OR(TABLERO!AF90="",TABLERO!AF90=0),"",TABLERO!AF90)</f>
        <v/>
      </c>
      <c r="M90" s="312" t="str">
        <f>IF(OR(TABLERO!AG90="",TABLERO!AG90=0),"",TABLERO!AG90)</f>
        <v/>
      </c>
      <c r="N90" s="312" t="str">
        <f>IF(OR(TABLERO!AH90="",TABLERO!AH90=0),"",TABLERO!AH90)</f>
        <v/>
      </c>
      <c r="O90" s="312" t="str">
        <f>IF(OR(TABLERO!AI90="",TABLERO!AI90=0),"",TABLERO!AI90)</f>
        <v/>
      </c>
      <c r="P90" s="312" t="str">
        <f>IF(OR(TABLERO!AJ90="",TABLERO!AJ90=0),"",TABLERO!AJ90)</f>
        <v/>
      </c>
      <c r="Q90" s="312" t="str">
        <f>IF(OR(TABLERO!AK90="",TABLERO!AK90=0),"",TABLERO!AK90)</f>
        <v/>
      </c>
      <c r="R90" s="312" t="str">
        <f>IF(OR(TABLERO!AL90="",TABLERO!AL90=0),"",TABLERO!AL90)</f>
        <v/>
      </c>
      <c r="S90" s="312" t="str">
        <f>IF(OR(TABLERO!AM90="",TABLERO!AM90=0),"",TABLERO!AM90)</f>
        <v/>
      </c>
      <c r="T90" s="312" t="str">
        <f>IF(OR(TABLERO!AN90="",TABLERO!AN90=0),"",TABLERO!AN90)</f>
        <v/>
      </c>
      <c r="U90" s="312" t="str">
        <f>IF(OR(TABLERO!AO90="",TABLERO!AO90=0),"",TABLERO!AO90)</f>
        <v/>
      </c>
      <c r="V90" s="312" t="str">
        <f>IF(OR(TABLERO!AP90="",TABLERO!AP90=0),"",TABLERO!AP90)</f>
        <v/>
      </c>
      <c r="W90" s="312" t="str">
        <f>IF(OR(TABLERO!AQ90="",TABLERO!AQ90=0),"",TABLERO!AQ90)</f>
        <v/>
      </c>
      <c r="X90" s="312" t="str">
        <f>IF(OR(TABLERO!AR90="",TABLERO!AR90=0),"",TABLERO!AR90)</f>
        <v/>
      </c>
      <c r="Y90" s="312" t="str">
        <f>IF(OR(TABLERO!AS90="",TABLERO!AS90=0),"",TABLERO!AS90)</f>
        <v/>
      </c>
      <c r="Z90" s="312" t="str">
        <f>IF(OR(TABLERO!AT90="",TABLERO!AT90=0),"",TABLERO!AT90)</f>
        <v/>
      </c>
      <c r="AA90" s="312" t="str">
        <f>IF(OR(TABLERO!AU90="",TABLERO!AU90=0),"",TABLERO!AU90)</f>
        <v/>
      </c>
      <c r="AB90" s="312" t="str">
        <f>IF(OR(TABLERO!AV90="",TABLERO!AV90=0),"",TABLERO!AV90)</f>
        <v/>
      </c>
      <c r="AC90" s="312" t="str">
        <f>IF(OR(TABLERO!AW90="",TABLERO!AW90=0),"",TABLERO!AW90)</f>
        <v/>
      </c>
      <c r="AD90" s="312" t="str">
        <f>IF(OR(TABLERO!AX90="",TABLERO!AX90=0),"",TABLERO!AX90)</f>
        <v/>
      </c>
      <c r="AE90" s="312" t="str">
        <f>IF(OR(TABLERO!AY90="",TABLERO!AY90=0),"",TABLERO!AY90)</f>
        <v/>
      </c>
      <c r="AF90" s="312" t="str">
        <f>IF(OR(TABLERO!AZ90="",TABLERO!AZ90=0),"",TABLERO!AZ90)</f>
        <v/>
      </c>
      <c r="AG90" s="312" t="str">
        <f>IF(OR(TABLERO!BA90="",TABLERO!BA90=0),"",TABLERO!BA90)</f>
        <v/>
      </c>
      <c r="AH90" s="277" t="str">
        <f>IF(TABLERO!BB90=0,"",FIXED(IF(TABLERO!$F$17&lt;&gt;"KVA",TABLERO!BB90*1000,TABLERO!BB90*1000/TABLERO!DA90),2))</f>
        <v/>
      </c>
      <c r="AI90" s="277" t="str">
        <f>IF(TABLERO!BB90=0,"",FIXED(IF(TABLERO!$F$17&lt;&gt;"KVA",TABLERO!BT90*1000,TABLERO!BT90*1000/TABLERO!DA90),2))</f>
        <v/>
      </c>
      <c r="AJ90" s="272" t="str">
        <f>IF(OR(TABLERO!BU90="",TABLERO!BU90=0),"",FIXED(TABLERO!BU90,2))</f>
        <v/>
      </c>
      <c r="AK90" s="312" t="str">
        <f>IF(TABLERO!BB90=0,"",TABLERO!F90)</f>
        <v/>
      </c>
      <c r="AL90" s="312" t="str">
        <f>IF(TABLERO!BB90=0,"",TABLERO!G90)</f>
        <v/>
      </c>
      <c r="AM90" s="312" t="str">
        <f>IF(TABLERO!BB90=0,"",TABLERO!BV90)</f>
        <v/>
      </c>
      <c r="AN90" s="272" t="str">
        <f>IF(TABLERO!BB90=0,"",TABLERO!K90)</f>
        <v/>
      </c>
      <c r="AO90" s="312" t="str">
        <f>IF(TABLERO!BB90=0,"",TABLERO!J90)</f>
        <v/>
      </c>
      <c r="AP90" s="272" t="str">
        <f>IF(TABLERO!BB90=0,"",TABLERO!CT90)</f>
        <v/>
      </c>
      <c r="AQ90" s="272" t="str">
        <f>IF(TABLERO!BB90=0,"",TABLERO!CS90)</f>
        <v/>
      </c>
      <c r="AR90" s="272" t="str">
        <f>IF(OR(TABLERO!BB90=0,TABLERO!H90="RE"),"",FIXED(TABLERO!CY90,2))</f>
        <v/>
      </c>
      <c r="AS90" s="312" t="str">
        <f>IF(TABLERO!BB90=0,"",TABLERO!N90)</f>
        <v/>
      </c>
      <c r="AT90" s="1164" t="str">
        <f>IF(TABLERO!BB90=0,"",TABLERO!BX90&amp;" "&amp;TABLERO!ED90&amp;", "&amp;TABLERO!I90)</f>
        <v/>
      </c>
      <c r="AU90" s="1165"/>
      <c r="AV90" s="272" t="str">
        <f>IF(OR(TABLERO!BB90=0,TABLERO!H90="RE"),"",FIXED(TABLERO!BZ90,2))</f>
        <v/>
      </c>
      <c r="AW90" s="312" t="str">
        <f>IF(TABLERO!BB90=0,"",TABLERO!CA90)</f>
        <v/>
      </c>
      <c r="AX90" s="271" t="str">
        <f>IF(TABLERO!BB90=0,"",TABLERO!CB90)</f>
        <v/>
      </c>
      <c r="AY90" s="272" t="str">
        <f>IF(OR(TABLERO!BB90=0,TABLERO!H90="RE"),"",FIXED(TABLERO!DL90,2))</f>
        <v/>
      </c>
      <c r="AZ90" s="310" t="str">
        <f>IF(OR(TABLERO!BB90=0,TABLERO!H90="RE"),"",TABLERO!F90&amp;"P-"&amp;TABLERO!BW90&amp;"A")</f>
        <v/>
      </c>
      <c r="BA90" s="272" t="str">
        <f>IF(TABLERO!$BB90=0,"",IF(TABLERO!CI90="-","     -     ",FIXED(IF(TABLERO!$F$17&lt;&gt;"KVA",TABLERO!CI90,TABLERO!CI90/TABLERO!$F$14),2)))</f>
        <v/>
      </c>
      <c r="BB90" s="272" t="str">
        <f>IF(TABLERO!$BB90=0,"",IF(TABLERO!CJ90="-","     -     ",FIXED(IF(TABLERO!$F$17&lt;&gt;"KVA",TABLERO!CJ90,TABLERO!CJ90/TABLERO!$F$14),2)))</f>
        <v/>
      </c>
      <c r="BC90" s="272" t="str">
        <f>IF(TABLERO!$BB90=0,"",IF(TABLERO!CK90="-","     -     ",FIXED(IF(TABLERO!$F$17&lt;&gt;"KVA",TABLERO!CK90,TABLERO!CK90/TABLERO!$F$14),2)))</f>
        <v/>
      </c>
      <c r="BG90" s="275">
        <f>IF(TABLERO!B90="",0,TABLERO!B90)</f>
        <v>60</v>
      </c>
      <c r="BH90" s="275"/>
      <c r="BI90" s="275"/>
      <c r="BK90" s="275"/>
      <c r="BL90" s="289" t="str" cm="1">
        <f t="array" ref="BL90">[1]!ACAELE_LineaCAD(A90)</f>
        <v>++++++++++++++++++++++++++++++2</v>
      </c>
      <c r="BM90" s="279" t="str">
        <f t="shared" si="9"/>
        <v>60+</v>
      </c>
      <c r="BN90" s="304"/>
      <c r="BO90" s="304"/>
      <c r="BP90" s="304"/>
      <c r="BQ90" s="304"/>
      <c r="BR90" s="304"/>
      <c r="BS90" s="304"/>
      <c r="BT90" s="304"/>
      <c r="BU90" s="304"/>
      <c r="BV90" s="304"/>
      <c r="BW90" s="304"/>
      <c r="BX90" s="304"/>
      <c r="BY90" s="304"/>
      <c r="BZ90" s="304"/>
      <c r="CA90" s="304"/>
      <c r="CB90" s="304"/>
      <c r="CC90" s="304"/>
      <c r="CD90" s="304"/>
      <c r="CE90" s="304"/>
      <c r="CF90" s="304"/>
      <c r="CG90" s="304"/>
      <c r="CH90" s="304"/>
      <c r="CI90" s="304"/>
      <c r="CJ90" s="304"/>
      <c r="CK90" s="304"/>
      <c r="CL90" s="304"/>
      <c r="CM90" s="304"/>
      <c r="CN90" s="304"/>
      <c r="CO90" s="304"/>
      <c r="CP90" s="304"/>
      <c r="CQ90" s="304"/>
      <c r="CR90" s="305" t="str" cm="1">
        <f t="array" ref="CR90">CONCATENATE(BM90,_xlfn.TEXTJOIN("",TRUE,IF(BN$129:CQ$129&lt;&gt;"","+"&amp;D90:AG90,"")))</f>
        <v>60+</v>
      </c>
      <c r="CS90" s="279">
        <f t="shared" si="5"/>
        <v>30</v>
      </c>
      <c r="CT90" s="279" t="str">
        <f t="shared" si="8"/>
        <v>+++++++++++++++++++++++++++++++</v>
      </c>
      <c r="CU90" s="291" t="str">
        <f t="shared" si="7"/>
        <v>60++++++++++++++++++++++++++++++++2</v>
      </c>
      <c r="GB90" s="279" t="s">
        <v>1975</v>
      </c>
    </row>
    <row r="91" spans="1:184">
      <c r="A91" s="275">
        <f>IF(C91&lt;&gt;"",1,IF(AH91="",2,IF(OR(IF(TABLERO!B91="",0,TABLERO!B91)&gt;TABLERO!$M$19,IF(TABLERO!C91="",IF(TABLERO!B91="",0,TABLERO!B91),TABLERO!C91)&gt;TABLERO!$M$19,BI91&gt;TABLERO!$M$19,IF(TABLERO!B91="",0,TABLERO!B91)=0,IF(TABLERO!C91="",BG91,TABLERO!C91)=0,IF(TABLERO!D91="",BG91,TABLERO!D91)=0),2,1)))</f>
        <v>2</v>
      </c>
      <c r="B91" s="276" t="str">
        <f>TABLERO!B91&amp;IF(TABLERO!C91="","",","&amp;TABLERO!C91)&amp;IF(TABLERO!D91="","",","&amp;TABLERO!D91)</f>
        <v>61</v>
      </c>
      <c r="C91" s="269" t="str">
        <f>IF(TABLERO!E91=0,"",TABLERO!E91)</f>
        <v/>
      </c>
      <c r="D91" s="312" t="str">
        <f>IF(OR(TABLERO!X91="",TABLERO!X91=0),"",TABLERO!X91)</f>
        <v/>
      </c>
      <c r="E91" s="312" t="str">
        <f>IF(OR(TABLERO!Y91="",TABLERO!Y91=0),"",TABLERO!Y91)</f>
        <v/>
      </c>
      <c r="F91" s="312" t="str">
        <f>IF(OR(TABLERO!Z91="",TABLERO!Z91=0),"",TABLERO!Z91)</f>
        <v/>
      </c>
      <c r="G91" s="312" t="str">
        <f>IF(OR(TABLERO!AA91="",TABLERO!AA91=0),"",TABLERO!AA91)</f>
        <v/>
      </c>
      <c r="H91" s="312" t="str">
        <f>IF(OR(TABLERO!AB91="",TABLERO!AB91=0),"",TABLERO!AB91)</f>
        <v/>
      </c>
      <c r="I91" s="312" t="str">
        <f>IF(OR(TABLERO!AC91="",TABLERO!AC91=0),"",TABLERO!AC91)</f>
        <v/>
      </c>
      <c r="J91" s="312" t="str">
        <f>IF(OR(TABLERO!AD91="",TABLERO!AD91=0),"",TABLERO!AD91)</f>
        <v/>
      </c>
      <c r="K91" s="312" t="str">
        <f>IF(OR(TABLERO!AE91="",TABLERO!AE91=0),"",TABLERO!AE91)</f>
        <v/>
      </c>
      <c r="L91" s="312" t="str">
        <f>IF(OR(TABLERO!AF91="",TABLERO!AF91=0),"",TABLERO!AF91)</f>
        <v/>
      </c>
      <c r="M91" s="312" t="str">
        <f>IF(OR(TABLERO!AG91="",TABLERO!AG91=0),"",TABLERO!AG91)</f>
        <v/>
      </c>
      <c r="N91" s="312" t="str">
        <f>IF(OR(TABLERO!AH91="",TABLERO!AH91=0),"",TABLERO!AH91)</f>
        <v/>
      </c>
      <c r="O91" s="312" t="str">
        <f>IF(OR(TABLERO!AI91="",TABLERO!AI91=0),"",TABLERO!AI91)</f>
        <v/>
      </c>
      <c r="P91" s="312" t="str">
        <f>IF(OR(TABLERO!AJ91="",TABLERO!AJ91=0),"",TABLERO!AJ91)</f>
        <v/>
      </c>
      <c r="Q91" s="312" t="str">
        <f>IF(OR(TABLERO!AK91="",TABLERO!AK91=0),"",TABLERO!AK91)</f>
        <v/>
      </c>
      <c r="R91" s="312" t="str">
        <f>IF(OR(TABLERO!AL91="",TABLERO!AL91=0),"",TABLERO!AL91)</f>
        <v/>
      </c>
      <c r="S91" s="312" t="str">
        <f>IF(OR(TABLERO!AM91="",TABLERO!AM91=0),"",TABLERO!AM91)</f>
        <v/>
      </c>
      <c r="T91" s="312" t="str">
        <f>IF(OR(TABLERO!AN91="",TABLERO!AN91=0),"",TABLERO!AN91)</f>
        <v/>
      </c>
      <c r="U91" s="312" t="str">
        <f>IF(OR(TABLERO!AO91="",TABLERO!AO91=0),"",TABLERO!AO91)</f>
        <v/>
      </c>
      <c r="V91" s="312" t="str">
        <f>IF(OR(TABLERO!AP91="",TABLERO!AP91=0),"",TABLERO!AP91)</f>
        <v/>
      </c>
      <c r="W91" s="312" t="str">
        <f>IF(OR(TABLERO!AQ91="",TABLERO!AQ91=0),"",TABLERO!AQ91)</f>
        <v/>
      </c>
      <c r="X91" s="312" t="str">
        <f>IF(OR(TABLERO!AR91="",TABLERO!AR91=0),"",TABLERO!AR91)</f>
        <v/>
      </c>
      <c r="Y91" s="312" t="str">
        <f>IF(OR(TABLERO!AS91="",TABLERO!AS91=0),"",TABLERO!AS91)</f>
        <v/>
      </c>
      <c r="Z91" s="312" t="str">
        <f>IF(OR(TABLERO!AT91="",TABLERO!AT91=0),"",TABLERO!AT91)</f>
        <v/>
      </c>
      <c r="AA91" s="312" t="str">
        <f>IF(OR(TABLERO!AU91="",TABLERO!AU91=0),"",TABLERO!AU91)</f>
        <v/>
      </c>
      <c r="AB91" s="312" t="str">
        <f>IF(OR(TABLERO!AV91="",TABLERO!AV91=0),"",TABLERO!AV91)</f>
        <v/>
      </c>
      <c r="AC91" s="312" t="str">
        <f>IF(OR(TABLERO!AW91="",TABLERO!AW91=0),"",TABLERO!AW91)</f>
        <v/>
      </c>
      <c r="AD91" s="312" t="str">
        <f>IF(OR(TABLERO!AX91="",TABLERO!AX91=0),"",TABLERO!AX91)</f>
        <v/>
      </c>
      <c r="AE91" s="312" t="str">
        <f>IF(OR(TABLERO!AY91="",TABLERO!AY91=0),"",TABLERO!AY91)</f>
        <v/>
      </c>
      <c r="AF91" s="312" t="str">
        <f>IF(OR(TABLERO!AZ91="",TABLERO!AZ91=0),"",TABLERO!AZ91)</f>
        <v/>
      </c>
      <c r="AG91" s="312" t="str">
        <f>IF(OR(TABLERO!BA91="",TABLERO!BA91=0),"",TABLERO!BA91)</f>
        <v/>
      </c>
      <c r="AH91" s="277" t="str">
        <f>IF(TABLERO!BB91=0,"",FIXED(IF(TABLERO!$F$17&lt;&gt;"KVA",TABLERO!BB91*1000,TABLERO!BB91*1000/TABLERO!DA91),2))</f>
        <v/>
      </c>
      <c r="AI91" s="277" t="str">
        <f>IF(TABLERO!BB91=0,"",FIXED(IF(TABLERO!$F$17&lt;&gt;"KVA",TABLERO!BT91*1000,TABLERO!BT91*1000/TABLERO!DA91),2))</f>
        <v/>
      </c>
      <c r="AJ91" s="272" t="str">
        <f>IF(OR(TABLERO!BU91="",TABLERO!BU91=0),"",FIXED(TABLERO!BU91,2))</f>
        <v/>
      </c>
      <c r="AK91" s="312" t="str">
        <f>IF(TABLERO!BB91=0,"",TABLERO!F91)</f>
        <v/>
      </c>
      <c r="AL91" s="312" t="str">
        <f>IF(TABLERO!BB91=0,"",TABLERO!G91)</f>
        <v/>
      </c>
      <c r="AM91" s="312" t="str">
        <f>IF(TABLERO!BB91=0,"",TABLERO!BV91)</f>
        <v/>
      </c>
      <c r="AN91" s="272" t="str">
        <f>IF(TABLERO!BB91=0,"",TABLERO!K91)</f>
        <v/>
      </c>
      <c r="AO91" s="312" t="str">
        <f>IF(TABLERO!BB91=0,"",TABLERO!J91)</f>
        <v/>
      </c>
      <c r="AP91" s="272" t="str">
        <f>IF(TABLERO!BB91=0,"",TABLERO!CT91)</f>
        <v/>
      </c>
      <c r="AQ91" s="272" t="str">
        <f>IF(TABLERO!BB91=0,"",TABLERO!CS91)</f>
        <v/>
      </c>
      <c r="AR91" s="272" t="str">
        <f>IF(OR(TABLERO!BB91=0,TABLERO!H91="RE"),"",FIXED(TABLERO!CY91,2))</f>
        <v/>
      </c>
      <c r="AS91" s="312" t="str">
        <f>IF(TABLERO!BB91=0,"",TABLERO!N91)</f>
        <v/>
      </c>
      <c r="AT91" s="1164" t="str">
        <f>IF(TABLERO!BB91=0,"",TABLERO!BX91&amp;" "&amp;TABLERO!ED91&amp;", "&amp;TABLERO!I91)</f>
        <v/>
      </c>
      <c r="AU91" s="1165"/>
      <c r="AV91" s="272" t="str">
        <f>IF(OR(TABLERO!BB91=0,TABLERO!H91="RE"),"",FIXED(TABLERO!BZ91,2))</f>
        <v/>
      </c>
      <c r="AW91" s="312" t="str">
        <f>IF(TABLERO!BB91=0,"",TABLERO!CA91)</f>
        <v/>
      </c>
      <c r="AX91" s="271" t="str">
        <f>IF(TABLERO!BB91=0,"",TABLERO!CB91)</f>
        <v/>
      </c>
      <c r="AY91" s="272" t="str">
        <f>IF(OR(TABLERO!BB91=0,TABLERO!H91="RE"),"",FIXED(TABLERO!DL91,2))</f>
        <v/>
      </c>
      <c r="AZ91" s="310" t="str">
        <f>IF(OR(TABLERO!BB91=0,TABLERO!H91="RE"),"",TABLERO!F91&amp;"P-"&amp;TABLERO!BW91&amp;"A")</f>
        <v/>
      </c>
      <c r="BA91" s="272" t="str">
        <f>IF(TABLERO!$BB91=0,"",IF(TABLERO!CI91="-","     -     ",FIXED(IF(TABLERO!$F$17&lt;&gt;"KVA",TABLERO!CI91,TABLERO!CI91/TABLERO!$F$14),2)))</f>
        <v/>
      </c>
      <c r="BB91" s="272" t="str">
        <f>IF(TABLERO!$BB91=0,"",IF(TABLERO!CJ91="-","     -     ",FIXED(IF(TABLERO!$F$17&lt;&gt;"KVA",TABLERO!CJ91,TABLERO!CJ91/TABLERO!$F$14),2)))</f>
        <v/>
      </c>
      <c r="BC91" s="272" t="str">
        <f>IF(TABLERO!$BB91=0,"",IF(TABLERO!CK91="-","     -     ",FIXED(IF(TABLERO!$F$17&lt;&gt;"KVA",TABLERO!CK91,TABLERO!CK91/TABLERO!$F$14),2)))</f>
        <v/>
      </c>
      <c r="BG91" s="275">
        <f>IF(TABLERO!B91="",0,TABLERO!B91)</f>
        <v>61</v>
      </c>
      <c r="BH91" s="275"/>
      <c r="BI91" s="275"/>
      <c r="BK91" s="275"/>
      <c r="BL91" s="289" t="str" cm="1">
        <f t="array" ref="BL91">[1]!ACAELE_LineaCAD(A91)</f>
        <v>++++++++++++++++++++++++++++++2</v>
      </c>
      <c r="BM91" s="279" t="str">
        <f t="shared" si="9"/>
        <v>61+</v>
      </c>
      <c r="BN91" s="304"/>
      <c r="BO91" s="304"/>
      <c r="BP91" s="304"/>
      <c r="BQ91" s="304"/>
      <c r="BR91" s="304"/>
      <c r="BS91" s="304"/>
      <c r="BT91" s="304"/>
      <c r="BU91" s="304"/>
      <c r="BV91" s="304"/>
      <c r="BW91" s="304"/>
      <c r="BX91" s="304"/>
      <c r="BY91" s="304"/>
      <c r="BZ91" s="304"/>
      <c r="CA91" s="304"/>
      <c r="CB91" s="304"/>
      <c r="CC91" s="304"/>
      <c r="CD91" s="304"/>
      <c r="CE91" s="304"/>
      <c r="CF91" s="304"/>
      <c r="CG91" s="304"/>
      <c r="CH91" s="304"/>
      <c r="CI91" s="304"/>
      <c r="CJ91" s="304"/>
      <c r="CK91" s="304"/>
      <c r="CL91" s="304"/>
      <c r="CM91" s="304"/>
      <c r="CN91" s="304"/>
      <c r="CO91" s="304"/>
      <c r="CP91" s="304"/>
      <c r="CQ91" s="304"/>
      <c r="CR91" s="305" t="str" cm="1">
        <f t="array" ref="CR91">CONCATENATE(BM91,_xlfn.TEXTJOIN("",TRUE,IF(BN$129:CQ$129&lt;&gt;"","+"&amp;D91:AG91,"")))</f>
        <v>61+</v>
      </c>
      <c r="CS91" s="279">
        <f t="shared" si="5"/>
        <v>30</v>
      </c>
      <c r="CT91" s="279" t="str">
        <f t="shared" si="8"/>
        <v>+++++++++++++++++++++++++++++++</v>
      </c>
      <c r="CU91" s="291" t="str">
        <f t="shared" si="7"/>
        <v>61++++++++++++++++++++++++++++++++2</v>
      </c>
      <c r="GB91" s="279" t="s">
        <v>1976</v>
      </c>
    </row>
    <row r="92" spans="1:184">
      <c r="A92" s="275">
        <f>IF(C92&lt;&gt;"",1,IF(AH92="",2,IF(OR(IF(TABLERO!B92="",0,TABLERO!B92)&gt;TABLERO!$M$19,IF(TABLERO!C92="",IF(TABLERO!B92="",0,TABLERO!B92),TABLERO!C92)&gt;TABLERO!$M$19,BI92&gt;TABLERO!$M$19,IF(TABLERO!B92="",0,TABLERO!B92)=0,IF(TABLERO!C92="",BG92,TABLERO!C92)=0,IF(TABLERO!D92="",BG92,TABLERO!D92)=0),2,1)))</f>
        <v>2</v>
      </c>
      <c r="B92" s="276" t="str">
        <f>TABLERO!B92&amp;IF(TABLERO!C92="","",","&amp;TABLERO!C92)&amp;IF(TABLERO!D92="","",","&amp;TABLERO!D92)</f>
        <v>62</v>
      </c>
      <c r="C92" s="269" t="str">
        <f>IF(TABLERO!E92=0,"",TABLERO!E92)</f>
        <v/>
      </c>
      <c r="D92" s="312" t="str">
        <f>IF(OR(TABLERO!X92="",TABLERO!X92=0),"",TABLERO!X92)</f>
        <v/>
      </c>
      <c r="E92" s="312" t="str">
        <f>IF(OR(TABLERO!Y92="",TABLERO!Y92=0),"",TABLERO!Y92)</f>
        <v/>
      </c>
      <c r="F92" s="312" t="str">
        <f>IF(OR(TABLERO!Z92="",TABLERO!Z92=0),"",TABLERO!Z92)</f>
        <v/>
      </c>
      <c r="G92" s="312" t="str">
        <f>IF(OR(TABLERO!AA92="",TABLERO!AA92=0),"",TABLERO!AA92)</f>
        <v/>
      </c>
      <c r="H92" s="312" t="str">
        <f>IF(OR(TABLERO!AB92="",TABLERO!AB92=0),"",TABLERO!AB92)</f>
        <v/>
      </c>
      <c r="I92" s="312" t="str">
        <f>IF(OR(TABLERO!AC92="",TABLERO!AC92=0),"",TABLERO!AC92)</f>
        <v/>
      </c>
      <c r="J92" s="312" t="str">
        <f>IF(OR(TABLERO!AD92="",TABLERO!AD92=0),"",TABLERO!AD92)</f>
        <v/>
      </c>
      <c r="K92" s="312" t="str">
        <f>IF(OR(TABLERO!AE92="",TABLERO!AE92=0),"",TABLERO!AE92)</f>
        <v/>
      </c>
      <c r="L92" s="312" t="str">
        <f>IF(OR(TABLERO!AF92="",TABLERO!AF92=0),"",TABLERO!AF92)</f>
        <v/>
      </c>
      <c r="M92" s="312" t="str">
        <f>IF(OR(TABLERO!AG92="",TABLERO!AG92=0),"",TABLERO!AG92)</f>
        <v/>
      </c>
      <c r="N92" s="312" t="str">
        <f>IF(OR(TABLERO!AH92="",TABLERO!AH92=0),"",TABLERO!AH92)</f>
        <v/>
      </c>
      <c r="O92" s="312" t="str">
        <f>IF(OR(TABLERO!AI92="",TABLERO!AI92=0),"",TABLERO!AI92)</f>
        <v/>
      </c>
      <c r="P92" s="312" t="str">
        <f>IF(OR(TABLERO!AJ92="",TABLERO!AJ92=0),"",TABLERO!AJ92)</f>
        <v/>
      </c>
      <c r="Q92" s="312" t="str">
        <f>IF(OR(TABLERO!AK92="",TABLERO!AK92=0),"",TABLERO!AK92)</f>
        <v/>
      </c>
      <c r="R92" s="312" t="str">
        <f>IF(OR(TABLERO!AL92="",TABLERO!AL92=0),"",TABLERO!AL92)</f>
        <v/>
      </c>
      <c r="S92" s="312" t="str">
        <f>IF(OR(TABLERO!AM92="",TABLERO!AM92=0),"",TABLERO!AM92)</f>
        <v/>
      </c>
      <c r="T92" s="312" t="str">
        <f>IF(OR(TABLERO!AN92="",TABLERO!AN92=0),"",TABLERO!AN92)</f>
        <v/>
      </c>
      <c r="U92" s="312" t="str">
        <f>IF(OR(TABLERO!AO92="",TABLERO!AO92=0),"",TABLERO!AO92)</f>
        <v/>
      </c>
      <c r="V92" s="312" t="str">
        <f>IF(OR(TABLERO!AP92="",TABLERO!AP92=0),"",TABLERO!AP92)</f>
        <v/>
      </c>
      <c r="W92" s="312" t="str">
        <f>IF(OR(TABLERO!AQ92="",TABLERO!AQ92=0),"",TABLERO!AQ92)</f>
        <v/>
      </c>
      <c r="X92" s="312" t="str">
        <f>IF(OR(TABLERO!AR92="",TABLERO!AR92=0),"",TABLERO!AR92)</f>
        <v/>
      </c>
      <c r="Y92" s="312" t="str">
        <f>IF(OR(TABLERO!AS92="",TABLERO!AS92=0),"",TABLERO!AS92)</f>
        <v/>
      </c>
      <c r="Z92" s="312" t="str">
        <f>IF(OR(TABLERO!AT92="",TABLERO!AT92=0),"",TABLERO!AT92)</f>
        <v/>
      </c>
      <c r="AA92" s="312" t="str">
        <f>IF(OR(TABLERO!AU92="",TABLERO!AU92=0),"",TABLERO!AU92)</f>
        <v/>
      </c>
      <c r="AB92" s="312" t="str">
        <f>IF(OR(TABLERO!AV92="",TABLERO!AV92=0),"",TABLERO!AV92)</f>
        <v/>
      </c>
      <c r="AC92" s="312" t="str">
        <f>IF(OR(TABLERO!AW92="",TABLERO!AW92=0),"",TABLERO!AW92)</f>
        <v/>
      </c>
      <c r="AD92" s="312" t="str">
        <f>IF(OR(TABLERO!AX92="",TABLERO!AX92=0),"",TABLERO!AX92)</f>
        <v/>
      </c>
      <c r="AE92" s="312" t="str">
        <f>IF(OR(TABLERO!AY92="",TABLERO!AY92=0),"",TABLERO!AY92)</f>
        <v/>
      </c>
      <c r="AF92" s="312" t="str">
        <f>IF(OR(TABLERO!AZ92="",TABLERO!AZ92=0),"",TABLERO!AZ92)</f>
        <v/>
      </c>
      <c r="AG92" s="312" t="str">
        <f>IF(OR(TABLERO!BA92="",TABLERO!BA92=0),"",TABLERO!BA92)</f>
        <v/>
      </c>
      <c r="AH92" s="277" t="str">
        <f>IF(TABLERO!BB92=0,"",FIXED(IF(TABLERO!$F$17&lt;&gt;"KVA",TABLERO!BB92*1000,TABLERO!BB92*1000/TABLERO!DA92),2))</f>
        <v/>
      </c>
      <c r="AI92" s="277" t="str">
        <f>IF(TABLERO!BB92=0,"",FIXED(IF(TABLERO!$F$17&lt;&gt;"KVA",TABLERO!BT92*1000,TABLERO!BT92*1000/TABLERO!DA92),2))</f>
        <v/>
      </c>
      <c r="AJ92" s="272" t="str">
        <f>IF(OR(TABLERO!BU92="",TABLERO!BU92=0),"",FIXED(TABLERO!BU92,2))</f>
        <v/>
      </c>
      <c r="AK92" s="312" t="str">
        <f>IF(TABLERO!BB92=0,"",TABLERO!F92)</f>
        <v/>
      </c>
      <c r="AL92" s="312" t="str">
        <f>IF(TABLERO!BB92=0,"",TABLERO!G92)</f>
        <v/>
      </c>
      <c r="AM92" s="312" t="str">
        <f>IF(TABLERO!BB92=0,"",TABLERO!BV92)</f>
        <v/>
      </c>
      <c r="AN92" s="272" t="str">
        <f>IF(TABLERO!BB92=0,"",TABLERO!K92)</f>
        <v/>
      </c>
      <c r="AO92" s="312" t="str">
        <f>IF(TABLERO!BB92=0,"",TABLERO!J92)</f>
        <v/>
      </c>
      <c r="AP92" s="272" t="str">
        <f>IF(TABLERO!BB92=0,"",TABLERO!CT92)</f>
        <v/>
      </c>
      <c r="AQ92" s="272" t="str">
        <f>IF(TABLERO!BB92=0,"",TABLERO!CS92)</f>
        <v/>
      </c>
      <c r="AR92" s="272" t="str">
        <f>IF(OR(TABLERO!BB92=0,TABLERO!H92="RE"),"",FIXED(TABLERO!CY92,2))</f>
        <v/>
      </c>
      <c r="AS92" s="312" t="str">
        <f>IF(TABLERO!BB92=0,"",TABLERO!N92)</f>
        <v/>
      </c>
      <c r="AT92" s="1164" t="str">
        <f>IF(TABLERO!BB92=0,"",TABLERO!BX92&amp;" "&amp;TABLERO!ED92&amp;", "&amp;TABLERO!I92)</f>
        <v/>
      </c>
      <c r="AU92" s="1165"/>
      <c r="AV92" s="272" t="str">
        <f>IF(OR(TABLERO!BB92=0,TABLERO!H92="RE"),"",FIXED(TABLERO!BZ92,2))</f>
        <v/>
      </c>
      <c r="AW92" s="312" t="str">
        <f>IF(TABLERO!BB92=0,"",TABLERO!CA92)</f>
        <v/>
      </c>
      <c r="AX92" s="271" t="str">
        <f>IF(TABLERO!BB92=0,"",TABLERO!CB92)</f>
        <v/>
      </c>
      <c r="AY92" s="272" t="str">
        <f>IF(OR(TABLERO!BB92=0,TABLERO!H92="RE"),"",FIXED(TABLERO!DL92,2))</f>
        <v/>
      </c>
      <c r="AZ92" s="310" t="str">
        <f>IF(OR(TABLERO!BB92=0,TABLERO!H92="RE"),"",TABLERO!F92&amp;"P-"&amp;TABLERO!BW92&amp;"A")</f>
        <v/>
      </c>
      <c r="BA92" s="272" t="str">
        <f>IF(TABLERO!$BB92=0,"",IF(TABLERO!CI92="-","     -     ",FIXED(IF(TABLERO!$F$17&lt;&gt;"KVA",TABLERO!CI92,TABLERO!CI92/TABLERO!$F$14),2)))</f>
        <v/>
      </c>
      <c r="BB92" s="272" t="str">
        <f>IF(TABLERO!$BB92=0,"",IF(TABLERO!CJ92="-","     -     ",FIXED(IF(TABLERO!$F$17&lt;&gt;"KVA",TABLERO!CJ92,TABLERO!CJ92/TABLERO!$F$14),2)))</f>
        <v/>
      </c>
      <c r="BC92" s="272" t="str">
        <f>IF(TABLERO!$BB92=0,"",IF(TABLERO!CK92="-","     -     ",FIXED(IF(TABLERO!$F$17&lt;&gt;"KVA",TABLERO!CK92,TABLERO!CK92/TABLERO!$F$14),2)))</f>
        <v/>
      </c>
      <c r="BG92" s="275">
        <f>IF(TABLERO!B92="",0,TABLERO!B92)</f>
        <v>62</v>
      </c>
      <c r="BH92" s="275"/>
      <c r="BI92" s="275"/>
      <c r="BK92" s="275"/>
      <c r="BL92" s="289" t="str" cm="1">
        <f t="array" ref="BL92">[1]!ACAELE_LineaCAD(A92)</f>
        <v>++++++++++++++++++++++++++++++2</v>
      </c>
      <c r="BM92" s="279" t="str">
        <f t="shared" si="9"/>
        <v>62+</v>
      </c>
      <c r="BN92" s="304"/>
      <c r="BO92" s="304"/>
      <c r="BP92" s="304"/>
      <c r="BQ92" s="304"/>
      <c r="BR92" s="304"/>
      <c r="BS92" s="304"/>
      <c r="BT92" s="304"/>
      <c r="BU92" s="304"/>
      <c r="BV92" s="304"/>
      <c r="BW92" s="304"/>
      <c r="BX92" s="304"/>
      <c r="BY92" s="304"/>
      <c r="BZ92" s="304"/>
      <c r="CA92" s="304"/>
      <c r="CB92" s="304"/>
      <c r="CC92" s="304"/>
      <c r="CD92" s="304"/>
      <c r="CE92" s="304"/>
      <c r="CF92" s="304"/>
      <c r="CG92" s="304"/>
      <c r="CH92" s="304"/>
      <c r="CI92" s="304"/>
      <c r="CJ92" s="304"/>
      <c r="CK92" s="304"/>
      <c r="CL92" s="304"/>
      <c r="CM92" s="304"/>
      <c r="CN92" s="304"/>
      <c r="CO92" s="304"/>
      <c r="CP92" s="304"/>
      <c r="CQ92" s="304"/>
      <c r="CR92" s="305" t="str" cm="1">
        <f t="array" ref="CR92">CONCATENATE(BM92,_xlfn.TEXTJOIN("",TRUE,IF(BN$129:CQ$129&lt;&gt;"","+"&amp;D92:AG92,"")))</f>
        <v>62+</v>
      </c>
      <c r="CS92" s="279">
        <f t="shared" si="5"/>
        <v>30</v>
      </c>
      <c r="CT92" s="279" t="str">
        <f t="shared" si="8"/>
        <v>+++++++++++++++++++++++++++++++</v>
      </c>
      <c r="CU92" s="291" t="str">
        <f t="shared" si="7"/>
        <v>62++++++++++++++++++++++++++++++++2</v>
      </c>
      <c r="GB92" s="279" t="s">
        <v>1977</v>
      </c>
    </row>
    <row r="93" spans="1:184">
      <c r="A93" s="275">
        <f>IF(C93&lt;&gt;"",1,IF(AH93="",2,IF(OR(IF(TABLERO!B93="",0,TABLERO!B93)&gt;TABLERO!$M$19,IF(TABLERO!C93="",IF(TABLERO!B93="",0,TABLERO!B93),TABLERO!C93)&gt;TABLERO!$M$19,BI93&gt;TABLERO!$M$19,IF(TABLERO!B93="",0,TABLERO!B93)=0,IF(TABLERO!C93="",BG93,TABLERO!C93)=0,IF(TABLERO!D93="",BG93,TABLERO!D93)=0),2,1)))</f>
        <v>2</v>
      </c>
      <c r="B93" s="276" t="str">
        <f>TABLERO!B93&amp;IF(TABLERO!C93="","",","&amp;TABLERO!C93)&amp;IF(TABLERO!D93="","",","&amp;TABLERO!D93)</f>
        <v>63</v>
      </c>
      <c r="C93" s="269" t="str">
        <f>IF(TABLERO!E93=0,"",TABLERO!E93)</f>
        <v/>
      </c>
      <c r="D93" s="312" t="str">
        <f>IF(OR(TABLERO!X93="",TABLERO!X93=0),"",TABLERO!X93)</f>
        <v/>
      </c>
      <c r="E93" s="312" t="str">
        <f>IF(OR(TABLERO!Y93="",TABLERO!Y93=0),"",TABLERO!Y93)</f>
        <v/>
      </c>
      <c r="F93" s="312" t="str">
        <f>IF(OR(TABLERO!Z93="",TABLERO!Z93=0),"",TABLERO!Z93)</f>
        <v/>
      </c>
      <c r="G93" s="312" t="str">
        <f>IF(OR(TABLERO!AA93="",TABLERO!AA93=0),"",TABLERO!AA93)</f>
        <v/>
      </c>
      <c r="H93" s="312" t="str">
        <f>IF(OR(TABLERO!AB93="",TABLERO!AB93=0),"",TABLERO!AB93)</f>
        <v/>
      </c>
      <c r="I93" s="312" t="str">
        <f>IF(OR(TABLERO!AC93="",TABLERO!AC93=0),"",TABLERO!AC93)</f>
        <v/>
      </c>
      <c r="J93" s="312" t="str">
        <f>IF(OR(TABLERO!AD93="",TABLERO!AD93=0),"",TABLERO!AD93)</f>
        <v/>
      </c>
      <c r="K93" s="312" t="str">
        <f>IF(OR(TABLERO!AE93="",TABLERO!AE93=0),"",TABLERO!AE93)</f>
        <v/>
      </c>
      <c r="L93" s="312" t="str">
        <f>IF(OR(TABLERO!AF93="",TABLERO!AF93=0),"",TABLERO!AF93)</f>
        <v/>
      </c>
      <c r="M93" s="312" t="str">
        <f>IF(OR(TABLERO!AG93="",TABLERO!AG93=0),"",TABLERO!AG93)</f>
        <v/>
      </c>
      <c r="N93" s="312" t="str">
        <f>IF(OR(TABLERO!AH93="",TABLERO!AH93=0),"",TABLERO!AH93)</f>
        <v/>
      </c>
      <c r="O93" s="312" t="str">
        <f>IF(OR(TABLERO!AI93="",TABLERO!AI93=0),"",TABLERO!AI93)</f>
        <v/>
      </c>
      <c r="P93" s="312" t="str">
        <f>IF(OR(TABLERO!AJ93="",TABLERO!AJ93=0),"",TABLERO!AJ93)</f>
        <v/>
      </c>
      <c r="Q93" s="312" t="str">
        <f>IF(OR(TABLERO!AK93="",TABLERO!AK93=0),"",TABLERO!AK93)</f>
        <v/>
      </c>
      <c r="R93" s="312" t="str">
        <f>IF(OR(TABLERO!AL93="",TABLERO!AL93=0),"",TABLERO!AL93)</f>
        <v/>
      </c>
      <c r="S93" s="312" t="str">
        <f>IF(OR(TABLERO!AM93="",TABLERO!AM93=0),"",TABLERO!AM93)</f>
        <v/>
      </c>
      <c r="T93" s="312" t="str">
        <f>IF(OR(TABLERO!AN93="",TABLERO!AN93=0),"",TABLERO!AN93)</f>
        <v/>
      </c>
      <c r="U93" s="312" t="str">
        <f>IF(OR(TABLERO!AO93="",TABLERO!AO93=0),"",TABLERO!AO93)</f>
        <v/>
      </c>
      <c r="V93" s="312" t="str">
        <f>IF(OR(TABLERO!AP93="",TABLERO!AP93=0),"",TABLERO!AP93)</f>
        <v/>
      </c>
      <c r="W93" s="312" t="str">
        <f>IF(OR(TABLERO!AQ93="",TABLERO!AQ93=0),"",TABLERO!AQ93)</f>
        <v/>
      </c>
      <c r="X93" s="312" t="str">
        <f>IF(OR(TABLERO!AR93="",TABLERO!AR93=0),"",TABLERO!AR93)</f>
        <v/>
      </c>
      <c r="Y93" s="312" t="str">
        <f>IF(OR(TABLERO!AS93="",TABLERO!AS93=0),"",TABLERO!AS93)</f>
        <v/>
      </c>
      <c r="Z93" s="312" t="str">
        <f>IF(OR(TABLERO!AT93="",TABLERO!AT93=0),"",TABLERO!AT93)</f>
        <v/>
      </c>
      <c r="AA93" s="312" t="str">
        <f>IF(OR(TABLERO!AU93="",TABLERO!AU93=0),"",TABLERO!AU93)</f>
        <v/>
      </c>
      <c r="AB93" s="312" t="str">
        <f>IF(OR(TABLERO!AV93="",TABLERO!AV93=0),"",TABLERO!AV93)</f>
        <v/>
      </c>
      <c r="AC93" s="312" t="str">
        <f>IF(OR(TABLERO!AW93="",TABLERO!AW93=0),"",TABLERO!AW93)</f>
        <v/>
      </c>
      <c r="AD93" s="312" t="str">
        <f>IF(OR(TABLERO!AX93="",TABLERO!AX93=0),"",TABLERO!AX93)</f>
        <v/>
      </c>
      <c r="AE93" s="312" t="str">
        <f>IF(OR(TABLERO!AY93="",TABLERO!AY93=0),"",TABLERO!AY93)</f>
        <v/>
      </c>
      <c r="AF93" s="312" t="str">
        <f>IF(OR(TABLERO!AZ93="",TABLERO!AZ93=0),"",TABLERO!AZ93)</f>
        <v/>
      </c>
      <c r="AG93" s="312" t="str">
        <f>IF(OR(TABLERO!BA93="",TABLERO!BA93=0),"",TABLERO!BA93)</f>
        <v/>
      </c>
      <c r="AH93" s="277" t="str">
        <f>IF(TABLERO!BB93=0,"",FIXED(IF(TABLERO!$F$17&lt;&gt;"KVA",TABLERO!BB93*1000,TABLERO!BB93*1000/TABLERO!DA93),2))</f>
        <v/>
      </c>
      <c r="AI93" s="277" t="str">
        <f>IF(TABLERO!BB93=0,"",FIXED(IF(TABLERO!$F$17&lt;&gt;"KVA",TABLERO!BT93*1000,TABLERO!BT93*1000/TABLERO!DA93),2))</f>
        <v/>
      </c>
      <c r="AJ93" s="272" t="str">
        <f>IF(OR(TABLERO!BU93="",TABLERO!BU93=0),"",FIXED(TABLERO!BU93,2))</f>
        <v/>
      </c>
      <c r="AK93" s="312" t="str">
        <f>IF(TABLERO!BB93=0,"",TABLERO!F93)</f>
        <v/>
      </c>
      <c r="AL93" s="312" t="str">
        <f>IF(TABLERO!BB93=0,"",TABLERO!G93)</f>
        <v/>
      </c>
      <c r="AM93" s="312" t="str">
        <f>IF(TABLERO!BB93=0,"",TABLERO!BV93)</f>
        <v/>
      </c>
      <c r="AN93" s="272" t="str">
        <f>IF(TABLERO!BB93=0,"",TABLERO!K93)</f>
        <v/>
      </c>
      <c r="AO93" s="312" t="str">
        <f>IF(TABLERO!BB93=0,"",TABLERO!J93)</f>
        <v/>
      </c>
      <c r="AP93" s="272" t="str">
        <f>IF(TABLERO!BB93=0,"",TABLERO!CT93)</f>
        <v/>
      </c>
      <c r="AQ93" s="272" t="str">
        <f>IF(TABLERO!BB93=0,"",TABLERO!CS93)</f>
        <v/>
      </c>
      <c r="AR93" s="272" t="str">
        <f>IF(OR(TABLERO!BB93=0,TABLERO!H93="RE"),"",FIXED(TABLERO!CY93,2))</f>
        <v/>
      </c>
      <c r="AS93" s="312" t="str">
        <f>IF(TABLERO!BB93=0,"",TABLERO!N93)</f>
        <v/>
      </c>
      <c r="AT93" s="1164" t="str">
        <f>IF(TABLERO!BB93=0,"",TABLERO!BX93&amp;" "&amp;TABLERO!ED93&amp;", "&amp;TABLERO!I93)</f>
        <v/>
      </c>
      <c r="AU93" s="1165"/>
      <c r="AV93" s="272" t="str">
        <f>IF(OR(TABLERO!BB93=0,TABLERO!H93="RE"),"",FIXED(TABLERO!BZ93,2))</f>
        <v/>
      </c>
      <c r="AW93" s="312" t="str">
        <f>IF(TABLERO!BB93=0,"",TABLERO!CA93)</f>
        <v/>
      </c>
      <c r="AX93" s="271" t="str">
        <f>IF(TABLERO!BB93=0,"",TABLERO!CB93)</f>
        <v/>
      </c>
      <c r="AY93" s="272" t="str">
        <f>IF(OR(TABLERO!BB93=0,TABLERO!H93="RE"),"",FIXED(TABLERO!DL93,2))</f>
        <v/>
      </c>
      <c r="AZ93" s="310" t="str">
        <f>IF(OR(TABLERO!BB93=0,TABLERO!H93="RE"),"",TABLERO!F93&amp;"P-"&amp;TABLERO!BW93&amp;"A")</f>
        <v/>
      </c>
      <c r="BA93" s="272" t="str">
        <f>IF(TABLERO!$BB93=0,"",IF(TABLERO!CI93="-","     -     ",FIXED(IF(TABLERO!$F$17&lt;&gt;"KVA",TABLERO!CI93,TABLERO!CI93/TABLERO!$F$14),2)))</f>
        <v/>
      </c>
      <c r="BB93" s="272" t="str">
        <f>IF(TABLERO!$BB93=0,"",IF(TABLERO!CJ93="-","     -     ",FIXED(IF(TABLERO!$F$17&lt;&gt;"KVA",TABLERO!CJ93,TABLERO!CJ93/TABLERO!$F$14),2)))</f>
        <v/>
      </c>
      <c r="BC93" s="272" t="str">
        <f>IF(TABLERO!$BB93=0,"",IF(TABLERO!CK93="-","     -     ",FIXED(IF(TABLERO!$F$17&lt;&gt;"KVA",TABLERO!CK93,TABLERO!CK93/TABLERO!$F$14),2)))</f>
        <v/>
      </c>
      <c r="BG93" s="275">
        <f>IF(TABLERO!B93="",0,TABLERO!B93)</f>
        <v>63</v>
      </c>
      <c r="BH93" s="275"/>
      <c r="BI93" s="275"/>
      <c r="BK93" s="275"/>
      <c r="BL93" s="289" t="str" cm="1">
        <f t="array" ref="BL93">[1]!ACAELE_LineaCAD(A93)</f>
        <v>++++++++++++++++++++++++++++++2</v>
      </c>
      <c r="BM93" s="279" t="str">
        <f t="shared" si="9"/>
        <v>63+</v>
      </c>
      <c r="BN93" s="304"/>
      <c r="BO93" s="304"/>
      <c r="BP93" s="304"/>
      <c r="BQ93" s="304"/>
      <c r="BR93" s="304"/>
      <c r="BS93" s="304"/>
      <c r="BT93" s="304"/>
      <c r="BU93" s="304"/>
      <c r="BV93" s="304"/>
      <c r="BW93" s="304"/>
      <c r="BX93" s="304"/>
      <c r="BY93" s="304"/>
      <c r="BZ93" s="304"/>
      <c r="CA93" s="304"/>
      <c r="CB93" s="304"/>
      <c r="CC93" s="304"/>
      <c r="CD93" s="304"/>
      <c r="CE93" s="304"/>
      <c r="CF93" s="304"/>
      <c r="CG93" s="304"/>
      <c r="CH93" s="304"/>
      <c r="CI93" s="304"/>
      <c r="CJ93" s="304"/>
      <c r="CK93" s="304"/>
      <c r="CL93" s="304"/>
      <c r="CM93" s="304"/>
      <c r="CN93" s="304"/>
      <c r="CO93" s="304"/>
      <c r="CP93" s="304"/>
      <c r="CQ93" s="304"/>
      <c r="CR93" s="305" t="str" cm="1">
        <f t="array" ref="CR93">CONCATENATE(BM93,_xlfn.TEXTJOIN("",TRUE,IF(BN$129:CQ$129&lt;&gt;"","+"&amp;D93:AG93,"")))</f>
        <v>63+</v>
      </c>
      <c r="CS93" s="279">
        <f t="shared" si="5"/>
        <v>30</v>
      </c>
      <c r="CT93" s="279" t="str">
        <f t="shared" si="8"/>
        <v>+++++++++++++++++++++++++++++++</v>
      </c>
      <c r="CU93" s="291" t="str">
        <f t="shared" si="7"/>
        <v>63++++++++++++++++++++++++++++++++2</v>
      </c>
      <c r="GB93" s="279" t="s">
        <v>1978</v>
      </c>
    </row>
    <row r="94" spans="1:184">
      <c r="A94" s="275">
        <f>IF(C94&lt;&gt;"",1,IF(AH94="",2,IF(OR(IF(TABLERO!B94="",0,TABLERO!B94)&gt;TABLERO!$M$19,IF(TABLERO!C94="",IF(TABLERO!B94="",0,TABLERO!B94),TABLERO!C94)&gt;TABLERO!$M$19,BI94&gt;TABLERO!$M$19,IF(TABLERO!B94="",0,TABLERO!B94)=0,IF(TABLERO!C94="",BG94,TABLERO!C94)=0,IF(TABLERO!D94="",BG94,TABLERO!D94)=0),2,1)))</f>
        <v>2</v>
      </c>
      <c r="B94" s="276" t="str">
        <f>TABLERO!B94&amp;IF(TABLERO!C94="","",","&amp;TABLERO!C94)&amp;IF(TABLERO!D94="","",","&amp;TABLERO!D94)</f>
        <v>64</v>
      </c>
      <c r="C94" s="269" t="str">
        <f>IF(TABLERO!E94=0,"",TABLERO!E94)</f>
        <v/>
      </c>
      <c r="D94" s="312" t="str">
        <f>IF(OR(TABLERO!X94="",TABLERO!X94=0),"",TABLERO!X94)</f>
        <v/>
      </c>
      <c r="E94" s="312" t="str">
        <f>IF(OR(TABLERO!Y94="",TABLERO!Y94=0),"",TABLERO!Y94)</f>
        <v/>
      </c>
      <c r="F94" s="312" t="str">
        <f>IF(OR(TABLERO!Z94="",TABLERO!Z94=0),"",TABLERO!Z94)</f>
        <v/>
      </c>
      <c r="G94" s="312" t="str">
        <f>IF(OR(TABLERO!AA94="",TABLERO!AA94=0),"",TABLERO!AA94)</f>
        <v/>
      </c>
      <c r="H94" s="312" t="str">
        <f>IF(OR(TABLERO!AB94="",TABLERO!AB94=0),"",TABLERO!AB94)</f>
        <v/>
      </c>
      <c r="I94" s="312" t="str">
        <f>IF(OR(TABLERO!AC94="",TABLERO!AC94=0),"",TABLERO!AC94)</f>
        <v/>
      </c>
      <c r="J94" s="312" t="str">
        <f>IF(OR(TABLERO!AD94="",TABLERO!AD94=0),"",TABLERO!AD94)</f>
        <v/>
      </c>
      <c r="K94" s="312" t="str">
        <f>IF(OR(TABLERO!AE94="",TABLERO!AE94=0),"",TABLERO!AE94)</f>
        <v/>
      </c>
      <c r="L94" s="312" t="str">
        <f>IF(OR(TABLERO!AF94="",TABLERO!AF94=0),"",TABLERO!AF94)</f>
        <v/>
      </c>
      <c r="M94" s="312" t="str">
        <f>IF(OR(TABLERO!AG94="",TABLERO!AG94=0),"",TABLERO!AG94)</f>
        <v/>
      </c>
      <c r="N94" s="312" t="str">
        <f>IF(OR(TABLERO!AH94="",TABLERO!AH94=0),"",TABLERO!AH94)</f>
        <v/>
      </c>
      <c r="O94" s="312" t="str">
        <f>IF(OR(TABLERO!AI94="",TABLERO!AI94=0),"",TABLERO!AI94)</f>
        <v/>
      </c>
      <c r="P94" s="312" t="str">
        <f>IF(OR(TABLERO!AJ94="",TABLERO!AJ94=0),"",TABLERO!AJ94)</f>
        <v/>
      </c>
      <c r="Q94" s="312" t="str">
        <f>IF(OR(TABLERO!AK94="",TABLERO!AK94=0),"",TABLERO!AK94)</f>
        <v/>
      </c>
      <c r="R94" s="312" t="str">
        <f>IF(OR(TABLERO!AL94="",TABLERO!AL94=0),"",TABLERO!AL94)</f>
        <v/>
      </c>
      <c r="S94" s="312" t="str">
        <f>IF(OR(TABLERO!AM94="",TABLERO!AM94=0),"",TABLERO!AM94)</f>
        <v/>
      </c>
      <c r="T94" s="312" t="str">
        <f>IF(OR(TABLERO!AN94="",TABLERO!AN94=0),"",TABLERO!AN94)</f>
        <v/>
      </c>
      <c r="U94" s="312" t="str">
        <f>IF(OR(TABLERO!AO94="",TABLERO!AO94=0),"",TABLERO!AO94)</f>
        <v/>
      </c>
      <c r="V94" s="312" t="str">
        <f>IF(OR(TABLERO!AP94="",TABLERO!AP94=0),"",TABLERO!AP94)</f>
        <v/>
      </c>
      <c r="W94" s="312" t="str">
        <f>IF(OR(TABLERO!AQ94="",TABLERO!AQ94=0),"",TABLERO!AQ94)</f>
        <v/>
      </c>
      <c r="X94" s="312" t="str">
        <f>IF(OR(TABLERO!AR94="",TABLERO!AR94=0),"",TABLERO!AR94)</f>
        <v/>
      </c>
      <c r="Y94" s="312" t="str">
        <f>IF(OR(TABLERO!AS94="",TABLERO!AS94=0),"",TABLERO!AS94)</f>
        <v/>
      </c>
      <c r="Z94" s="312" t="str">
        <f>IF(OR(TABLERO!AT94="",TABLERO!AT94=0),"",TABLERO!AT94)</f>
        <v/>
      </c>
      <c r="AA94" s="312" t="str">
        <f>IF(OR(TABLERO!AU94="",TABLERO!AU94=0),"",TABLERO!AU94)</f>
        <v/>
      </c>
      <c r="AB94" s="312" t="str">
        <f>IF(OR(TABLERO!AV94="",TABLERO!AV94=0),"",TABLERO!AV94)</f>
        <v/>
      </c>
      <c r="AC94" s="312" t="str">
        <f>IF(OR(TABLERO!AW94="",TABLERO!AW94=0),"",TABLERO!AW94)</f>
        <v/>
      </c>
      <c r="AD94" s="312" t="str">
        <f>IF(OR(TABLERO!AX94="",TABLERO!AX94=0),"",TABLERO!AX94)</f>
        <v/>
      </c>
      <c r="AE94" s="312" t="str">
        <f>IF(OR(TABLERO!AY94="",TABLERO!AY94=0),"",TABLERO!AY94)</f>
        <v/>
      </c>
      <c r="AF94" s="312" t="str">
        <f>IF(OR(TABLERO!AZ94="",TABLERO!AZ94=0),"",TABLERO!AZ94)</f>
        <v/>
      </c>
      <c r="AG94" s="312" t="str">
        <f>IF(OR(TABLERO!BA94="",TABLERO!BA94=0),"",TABLERO!BA94)</f>
        <v/>
      </c>
      <c r="AH94" s="277" t="str">
        <f>IF(TABLERO!BB94=0,"",FIXED(IF(TABLERO!$F$17&lt;&gt;"KVA",TABLERO!BB94*1000,TABLERO!BB94*1000/TABLERO!DA94),2))</f>
        <v/>
      </c>
      <c r="AI94" s="277" t="str">
        <f>IF(TABLERO!BB94=0,"",FIXED(IF(TABLERO!$F$17&lt;&gt;"KVA",TABLERO!BT94*1000,TABLERO!BT94*1000/TABLERO!DA94),2))</f>
        <v/>
      </c>
      <c r="AJ94" s="272" t="str">
        <f>IF(OR(TABLERO!BU94="",TABLERO!BU94=0),"",FIXED(TABLERO!BU94,2))</f>
        <v/>
      </c>
      <c r="AK94" s="312" t="str">
        <f>IF(TABLERO!BB94=0,"",TABLERO!F94)</f>
        <v/>
      </c>
      <c r="AL94" s="312" t="str">
        <f>IF(TABLERO!BB94=0,"",TABLERO!G94)</f>
        <v/>
      </c>
      <c r="AM94" s="312" t="str">
        <f>IF(TABLERO!BB94=0,"",TABLERO!BV94)</f>
        <v/>
      </c>
      <c r="AN94" s="272" t="str">
        <f>IF(TABLERO!BB94=0,"",TABLERO!K94)</f>
        <v/>
      </c>
      <c r="AO94" s="312" t="str">
        <f>IF(TABLERO!BB94=0,"",TABLERO!J94)</f>
        <v/>
      </c>
      <c r="AP94" s="272" t="str">
        <f>IF(TABLERO!BB94=0,"",TABLERO!CT94)</f>
        <v/>
      </c>
      <c r="AQ94" s="272" t="str">
        <f>IF(TABLERO!BB94=0,"",TABLERO!CS94)</f>
        <v/>
      </c>
      <c r="AR94" s="272" t="str">
        <f>IF(OR(TABLERO!BB94=0,TABLERO!H94="RE"),"",FIXED(TABLERO!CY94,2))</f>
        <v/>
      </c>
      <c r="AS94" s="312" t="str">
        <f>IF(TABLERO!BB94=0,"",TABLERO!N94)</f>
        <v/>
      </c>
      <c r="AT94" s="1164" t="str">
        <f>IF(TABLERO!BB94=0,"",TABLERO!BX94&amp;" "&amp;TABLERO!ED94&amp;", "&amp;TABLERO!I94)</f>
        <v/>
      </c>
      <c r="AU94" s="1165"/>
      <c r="AV94" s="272" t="str">
        <f>IF(OR(TABLERO!BB94=0,TABLERO!H94="RE"),"",FIXED(TABLERO!BZ94,2))</f>
        <v/>
      </c>
      <c r="AW94" s="312" t="str">
        <f>IF(TABLERO!BB94=0,"",TABLERO!CA94)</f>
        <v/>
      </c>
      <c r="AX94" s="271" t="str">
        <f>IF(TABLERO!BB94=0,"",TABLERO!CB94)</f>
        <v/>
      </c>
      <c r="AY94" s="272" t="str">
        <f>IF(OR(TABLERO!BB94=0,TABLERO!H94="RE"),"",FIXED(TABLERO!DL94,2))</f>
        <v/>
      </c>
      <c r="AZ94" s="310" t="str">
        <f>IF(OR(TABLERO!BB94=0,TABLERO!H94="RE"),"",TABLERO!F94&amp;"P-"&amp;TABLERO!BW94&amp;"A")</f>
        <v/>
      </c>
      <c r="BA94" s="272" t="str">
        <f>IF(TABLERO!$BB94=0,"",IF(TABLERO!CI94="-","     -     ",FIXED(IF(TABLERO!$F$17&lt;&gt;"KVA",TABLERO!CI94,TABLERO!CI94/TABLERO!$F$14),2)))</f>
        <v/>
      </c>
      <c r="BB94" s="272" t="str">
        <f>IF(TABLERO!$BB94=0,"",IF(TABLERO!CJ94="-","     -     ",FIXED(IF(TABLERO!$F$17&lt;&gt;"KVA",TABLERO!CJ94,TABLERO!CJ94/TABLERO!$F$14),2)))</f>
        <v/>
      </c>
      <c r="BC94" s="272" t="str">
        <f>IF(TABLERO!$BB94=0,"",IF(TABLERO!CK94="-","     -     ",FIXED(IF(TABLERO!$F$17&lt;&gt;"KVA",TABLERO!CK94,TABLERO!CK94/TABLERO!$F$14),2)))</f>
        <v/>
      </c>
      <c r="BG94" s="275">
        <f>IF(TABLERO!B94="",0,TABLERO!B94)</f>
        <v>64</v>
      </c>
      <c r="BH94" s="275"/>
      <c r="BI94" s="275"/>
      <c r="BK94" s="275"/>
      <c r="BL94" s="289" t="str" cm="1">
        <f t="array" ref="BL94">[1]!ACAELE_LineaCAD(A94)</f>
        <v>++++++++++++++++++++++++++++++2</v>
      </c>
      <c r="BM94" s="279" t="str">
        <f t="shared" si="9"/>
        <v>64+</v>
      </c>
      <c r="BN94" s="304"/>
      <c r="BO94" s="304"/>
      <c r="BP94" s="304"/>
      <c r="BQ94" s="304"/>
      <c r="BR94" s="304"/>
      <c r="BS94" s="304"/>
      <c r="BT94" s="304"/>
      <c r="BU94" s="304"/>
      <c r="BV94" s="304"/>
      <c r="BW94" s="304"/>
      <c r="BX94" s="304"/>
      <c r="BY94" s="304"/>
      <c r="BZ94" s="304"/>
      <c r="CA94" s="304"/>
      <c r="CB94" s="304"/>
      <c r="CC94" s="304"/>
      <c r="CD94" s="304"/>
      <c r="CE94" s="304"/>
      <c r="CF94" s="304"/>
      <c r="CG94" s="304"/>
      <c r="CH94" s="304"/>
      <c r="CI94" s="304"/>
      <c r="CJ94" s="304"/>
      <c r="CK94" s="304"/>
      <c r="CL94" s="304"/>
      <c r="CM94" s="304"/>
      <c r="CN94" s="304"/>
      <c r="CO94" s="304"/>
      <c r="CP94" s="304"/>
      <c r="CQ94" s="304"/>
      <c r="CR94" s="305" t="str" cm="1">
        <f t="array" ref="CR94">CONCATENATE(BM94,_xlfn.TEXTJOIN("",TRUE,IF(BN$129:CQ$129&lt;&gt;"","+"&amp;D94:AG94,"")))</f>
        <v>64+</v>
      </c>
      <c r="CS94" s="279">
        <f t="shared" si="5"/>
        <v>30</v>
      </c>
      <c r="CT94" s="279" t="str">
        <f t="shared" si="8"/>
        <v>+++++++++++++++++++++++++++++++</v>
      </c>
      <c r="CU94" s="291" t="str">
        <f t="shared" si="7"/>
        <v>64++++++++++++++++++++++++++++++++2</v>
      </c>
      <c r="GB94" s="279" t="s">
        <v>1979</v>
      </c>
    </row>
    <row r="95" spans="1:184">
      <c r="A95" s="275">
        <f>IF(C95&lt;&gt;"",1,IF(AH95="",2,IF(OR(IF(TABLERO!B95="",0,TABLERO!B95)&gt;TABLERO!$M$19,IF(TABLERO!C95="",IF(TABLERO!B95="",0,TABLERO!B95),TABLERO!C95)&gt;TABLERO!$M$19,BI95&gt;TABLERO!$M$19,IF(TABLERO!B95="",0,TABLERO!B95)=0,IF(TABLERO!C95="",BG95,TABLERO!C95)=0,IF(TABLERO!D95="",BG95,TABLERO!D95)=0),2,1)))</f>
        <v>2</v>
      </c>
      <c r="B95" s="276" t="str">
        <f>TABLERO!B95&amp;IF(TABLERO!C95="","",","&amp;TABLERO!C95)&amp;IF(TABLERO!D95="","",","&amp;TABLERO!D95)</f>
        <v>65</v>
      </c>
      <c r="C95" s="269" t="str">
        <f>IF(TABLERO!E95=0,"",TABLERO!E95)</f>
        <v/>
      </c>
      <c r="D95" s="312" t="str">
        <f>IF(OR(TABLERO!X95="",TABLERO!X95=0),"",TABLERO!X95)</f>
        <v/>
      </c>
      <c r="E95" s="312" t="str">
        <f>IF(OR(TABLERO!Y95="",TABLERO!Y95=0),"",TABLERO!Y95)</f>
        <v/>
      </c>
      <c r="F95" s="312" t="str">
        <f>IF(OR(TABLERO!Z95="",TABLERO!Z95=0),"",TABLERO!Z95)</f>
        <v/>
      </c>
      <c r="G95" s="312" t="str">
        <f>IF(OR(TABLERO!AA95="",TABLERO!AA95=0),"",TABLERO!AA95)</f>
        <v/>
      </c>
      <c r="H95" s="312" t="str">
        <f>IF(OR(TABLERO!AB95="",TABLERO!AB95=0),"",TABLERO!AB95)</f>
        <v/>
      </c>
      <c r="I95" s="312" t="str">
        <f>IF(OR(TABLERO!AC95="",TABLERO!AC95=0),"",TABLERO!AC95)</f>
        <v/>
      </c>
      <c r="J95" s="312" t="str">
        <f>IF(OR(TABLERO!AD95="",TABLERO!AD95=0),"",TABLERO!AD95)</f>
        <v/>
      </c>
      <c r="K95" s="312" t="str">
        <f>IF(OR(TABLERO!AE95="",TABLERO!AE95=0),"",TABLERO!AE95)</f>
        <v/>
      </c>
      <c r="L95" s="312" t="str">
        <f>IF(OR(TABLERO!AF95="",TABLERO!AF95=0),"",TABLERO!AF95)</f>
        <v/>
      </c>
      <c r="M95" s="312" t="str">
        <f>IF(OR(TABLERO!AG95="",TABLERO!AG95=0),"",TABLERO!AG95)</f>
        <v/>
      </c>
      <c r="N95" s="312" t="str">
        <f>IF(OR(TABLERO!AH95="",TABLERO!AH95=0),"",TABLERO!AH95)</f>
        <v/>
      </c>
      <c r="O95" s="312" t="str">
        <f>IF(OR(TABLERO!AI95="",TABLERO!AI95=0),"",TABLERO!AI95)</f>
        <v/>
      </c>
      <c r="P95" s="312" t="str">
        <f>IF(OR(TABLERO!AJ95="",TABLERO!AJ95=0),"",TABLERO!AJ95)</f>
        <v/>
      </c>
      <c r="Q95" s="312" t="str">
        <f>IF(OR(TABLERO!AK95="",TABLERO!AK95=0),"",TABLERO!AK95)</f>
        <v/>
      </c>
      <c r="R95" s="312" t="str">
        <f>IF(OR(TABLERO!AL95="",TABLERO!AL95=0),"",TABLERO!AL95)</f>
        <v/>
      </c>
      <c r="S95" s="312" t="str">
        <f>IF(OR(TABLERO!AM95="",TABLERO!AM95=0),"",TABLERO!AM95)</f>
        <v/>
      </c>
      <c r="T95" s="312" t="str">
        <f>IF(OR(TABLERO!AN95="",TABLERO!AN95=0),"",TABLERO!AN95)</f>
        <v/>
      </c>
      <c r="U95" s="312" t="str">
        <f>IF(OR(TABLERO!AO95="",TABLERO!AO95=0),"",TABLERO!AO95)</f>
        <v/>
      </c>
      <c r="V95" s="312" t="str">
        <f>IF(OR(TABLERO!AP95="",TABLERO!AP95=0),"",TABLERO!AP95)</f>
        <v/>
      </c>
      <c r="W95" s="312" t="str">
        <f>IF(OR(TABLERO!AQ95="",TABLERO!AQ95=0),"",TABLERO!AQ95)</f>
        <v/>
      </c>
      <c r="X95" s="312" t="str">
        <f>IF(OR(TABLERO!AR95="",TABLERO!AR95=0),"",TABLERO!AR95)</f>
        <v/>
      </c>
      <c r="Y95" s="312" t="str">
        <f>IF(OR(TABLERO!AS95="",TABLERO!AS95=0),"",TABLERO!AS95)</f>
        <v/>
      </c>
      <c r="Z95" s="312" t="str">
        <f>IF(OR(TABLERO!AT95="",TABLERO!AT95=0),"",TABLERO!AT95)</f>
        <v/>
      </c>
      <c r="AA95" s="312" t="str">
        <f>IF(OR(TABLERO!AU95="",TABLERO!AU95=0),"",TABLERO!AU95)</f>
        <v/>
      </c>
      <c r="AB95" s="312" t="str">
        <f>IF(OR(TABLERO!AV95="",TABLERO!AV95=0),"",TABLERO!AV95)</f>
        <v/>
      </c>
      <c r="AC95" s="312" t="str">
        <f>IF(OR(TABLERO!AW95="",TABLERO!AW95=0),"",TABLERO!AW95)</f>
        <v/>
      </c>
      <c r="AD95" s="312" t="str">
        <f>IF(OR(TABLERO!AX95="",TABLERO!AX95=0),"",TABLERO!AX95)</f>
        <v/>
      </c>
      <c r="AE95" s="312" t="str">
        <f>IF(OR(TABLERO!AY95="",TABLERO!AY95=0),"",TABLERO!AY95)</f>
        <v/>
      </c>
      <c r="AF95" s="312" t="str">
        <f>IF(OR(TABLERO!AZ95="",TABLERO!AZ95=0),"",TABLERO!AZ95)</f>
        <v/>
      </c>
      <c r="AG95" s="312" t="str">
        <f>IF(OR(TABLERO!BA95="",TABLERO!BA95=0),"",TABLERO!BA95)</f>
        <v/>
      </c>
      <c r="AH95" s="277" t="str">
        <f>IF(TABLERO!BB95=0,"",FIXED(IF(TABLERO!$F$17&lt;&gt;"KVA",TABLERO!BB95*1000,TABLERO!BB95*1000/TABLERO!DA95),2))</f>
        <v/>
      </c>
      <c r="AI95" s="277" t="str">
        <f>IF(TABLERO!BB95=0,"",FIXED(IF(TABLERO!$F$17&lt;&gt;"KVA",TABLERO!BT95*1000,TABLERO!BT95*1000/TABLERO!DA95),2))</f>
        <v/>
      </c>
      <c r="AJ95" s="272" t="str">
        <f>IF(OR(TABLERO!BU95="",TABLERO!BU95=0),"",FIXED(TABLERO!BU95,2))</f>
        <v/>
      </c>
      <c r="AK95" s="312" t="str">
        <f>IF(TABLERO!BB95=0,"",TABLERO!F95)</f>
        <v/>
      </c>
      <c r="AL95" s="312" t="str">
        <f>IF(TABLERO!BB95=0,"",TABLERO!G95)</f>
        <v/>
      </c>
      <c r="AM95" s="312" t="str">
        <f>IF(TABLERO!BB95=0,"",TABLERO!BV95)</f>
        <v/>
      </c>
      <c r="AN95" s="272" t="str">
        <f>IF(TABLERO!BB95=0,"",TABLERO!K95)</f>
        <v/>
      </c>
      <c r="AO95" s="312" t="str">
        <f>IF(TABLERO!BB95=0,"",TABLERO!J95)</f>
        <v/>
      </c>
      <c r="AP95" s="272" t="str">
        <f>IF(TABLERO!BB95=0,"",TABLERO!CT95)</f>
        <v/>
      </c>
      <c r="AQ95" s="272" t="str">
        <f>IF(TABLERO!BB95=0,"",TABLERO!CS95)</f>
        <v/>
      </c>
      <c r="AR95" s="272" t="str">
        <f>IF(OR(TABLERO!BB95=0,TABLERO!H95="RE"),"",FIXED(TABLERO!CY95,2))</f>
        <v/>
      </c>
      <c r="AS95" s="312" t="str">
        <f>IF(TABLERO!BB95=0,"",TABLERO!N95)</f>
        <v/>
      </c>
      <c r="AT95" s="1164" t="str">
        <f>IF(TABLERO!BB95=0,"",TABLERO!BX95&amp;" "&amp;TABLERO!ED95&amp;", "&amp;TABLERO!I95)</f>
        <v/>
      </c>
      <c r="AU95" s="1165"/>
      <c r="AV95" s="272" t="str">
        <f>IF(OR(TABLERO!BB95=0,TABLERO!H95="RE"),"",FIXED(TABLERO!BZ95,2))</f>
        <v/>
      </c>
      <c r="AW95" s="312" t="str">
        <f>IF(TABLERO!BB95=0,"",TABLERO!CA95)</f>
        <v/>
      </c>
      <c r="AX95" s="271" t="str">
        <f>IF(TABLERO!BB95=0,"",TABLERO!CB95)</f>
        <v/>
      </c>
      <c r="AY95" s="272" t="str">
        <f>IF(OR(TABLERO!BB95=0,TABLERO!H95="RE"),"",FIXED(TABLERO!DL95,2))</f>
        <v/>
      </c>
      <c r="AZ95" s="310" t="str">
        <f>IF(OR(TABLERO!BB95=0,TABLERO!H95="RE"),"",TABLERO!F95&amp;"P-"&amp;TABLERO!BW95&amp;"A")</f>
        <v/>
      </c>
      <c r="BA95" s="272" t="str">
        <f>IF(TABLERO!$BB95=0,"",IF(TABLERO!CI95="-","     -     ",FIXED(IF(TABLERO!$F$17&lt;&gt;"KVA",TABLERO!CI95,TABLERO!CI95/TABLERO!$F$14),2)))</f>
        <v/>
      </c>
      <c r="BB95" s="272" t="str">
        <f>IF(TABLERO!$BB95=0,"",IF(TABLERO!CJ95="-","     -     ",FIXED(IF(TABLERO!$F$17&lt;&gt;"KVA",TABLERO!CJ95,TABLERO!CJ95/TABLERO!$F$14),2)))</f>
        <v/>
      </c>
      <c r="BC95" s="272" t="str">
        <f>IF(TABLERO!$BB95=0,"",IF(TABLERO!CK95="-","     -     ",FIXED(IF(TABLERO!$F$17&lt;&gt;"KVA",TABLERO!CK95,TABLERO!CK95/TABLERO!$F$14),2)))</f>
        <v/>
      </c>
      <c r="BG95" s="275">
        <f>IF(TABLERO!B95="",0,TABLERO!B95)</f>
        <v>65</v>
      </c>
      <c r="BH95" s="275"/>
      <c r="BI95" s="275"/>
      <c r="BK95" s="275"/>
      <c r="BL95" s="289" t="str" cm="1">
        <f t="array" ref="BL95">[1]!ACAELE_LineaCAD(A95)</f>
        <v>++++++++++++++++++++++++++++++2</v>
      </c>
      <c r="BM95" s="279" t="str">
        <f t="shared" si="9"/>
        <v>65+</v>
      </c>
      <c r="BN95" s="304"/>
      <c r="BO95" s="304"/>
      <c r="BP95" s="304"/>
      <c r="BQ95" s="304"/>
      <c r="BR95" s="304"/>
      <c r="BS95" s="304"/>
      <c r="BT95" s="304"/>
      <c r="BU95" s="304"/>
      <c r="BV95" s="304"/>
      <c r="BW95" s="304"/>
      <c r="BX95" s="304"/>
      <c r="BY95" s="304"/>
      <c r="BZ95" s="304"/>
      <c r="CA95" s="304"/>
      <c r="CB95" s="304"/>
      <c r="CC95" s="304"/>
      <c r="CD95" s="304"/>
      <c r="CE95" s="304"/>
      <c r="CF95" s="304"/>
      <c r="CG95" s="304"/>
      <c r="CH95" s="304"/>
      <c r="CI95" s="304"/>
      <c r="CJ95" s="304"/>
      <c r="CK95" s="304"/>
      <c r="CL95" s="304"/>
      <c r="CM95" s="304"/>
      <c r="CN95" s="304"/>
      <c r="CO95" s="304"/>
      <c r="CP95" s="304"/>
      <c r="CQ95" s="304"/>
      <c r="CR95" s="305" t="str" cm="1">
        <f t="array" ref="CR95">CONCATENATE(BM95,_xlfn.TEXTJOIN("",TRUE,IF(BN$129:CQ$129&lt;&gt;"","+"&amp;D95:AG95,"")))</f>
        <v>65+</v>
      </c>
      <c r="CS95" s="279">
        <f t="shared" si="5"/>
        <v>30</v>
      </c>
      <c r="CT95" s="279" t="str">
        <f t="shared" si="8"/>
        <v>+++++++++++++++++++++++++++++++</v>
      </c>
      <c r="CU95" s="291" t="str">
        <f t="shared" si="7"/>
        <v>65++++++++++++++++++++++++++++++++2</v>
      </c>
      <c r="GB95" s="279" t="s">
        <v>1980</v>
      </c>
    </row>
    <row r="96" spans="1:184">
      <c r="A96" s="275">
        <f>IF(C96&lt;&gt;"",1,IF(AH96="",2,IF(OR(IF(TABLERO!B96="",0,TABLERO!B96)&gt;TABLERO!$M$19,IF(TABLERO!C96="",IF(TABLERO!B96="",0,TABLERO!B96),TABLERO!C96)&gt;TABLERO!$M$19,BI96&gt;TABLERO!$M$19,IF(TABLERO!B96="",0,TABLERO!B96)=0,IF(TABLERO!C96="",BG96,TABLERO!C96)=0,IF(TABLERO!D96="",BG96,TABLERO!D96)=0),2,1)))</f>
        <v>2</v>
      </c>
      <c r="B96" s="276" t="str">
        <f>TABLERO!B96&amp;IF(TABLERO!C96="","",","&amp;TABLERO!C96)&amp;IF(TABLERO!D96="","",","&amp;TABLERO!D96)</f>
        <v>66</v>
      </c>
      <c r="C96" s="269" t="str">
        <f>IF(TABLERO!E96=0,"",TABLERO!E96)</f>
        <v/>
      </c>
      <c r="D96" s="312" t="str">
        <f>IF(OR(TABLERO!X96="",TABLERO!X96=0),"",TABLERO!X96)</f>
        <v/>
      </c>
      <c r="E96" s="312" t="str">
        <f>IF(OR(TABLERO!Y96="",TABLERO!Y96=0),"",TABLERO!Y96)</f>
        <v/>
      </c>
      <c r="F96" s="312" t="str">
        <f>IF(OR(TABLERO!Z96="",TABLERO!Z96=0),"",TABLERO!Z96)</f>
        <v/>
      </c>
      <c r="G96" s="312" t="str">
        <f>IF(OR(TABLERO!AA96="",TABLERO!AA96=0),"",TABLERO!AA96)</f>
        <v/>
      </c>
      <c r="H96" s="312" t="str">
        <f>IF(OR(TABLERO!AB96="",TABLERO!AB96=0),"",TABLERO!AB96)</f>
        <v/>
      </c>
      <c r="I96" s="312" t="str">
        <f>IF(OR(TABLERO!AC96="",TABLERO!AC96=0),"",TABLERO!AC96)</f>
        <v/>
      </c>
      <c r="J96" s="312" t="str">
        <f>IF(OR(TABLERO!AD96="",TABLERO!AD96=0),"",TABLERO!AD96)</f>
        <v/>
      </c>
      <c r="K96" s="312" t="str">
        <f>IF(OR(TABLERO!AE96="",TABLERO!AE96=0),"",TABLERO!AE96)</f>
        <v/>
      </c>
      <c r="L96" s="312" t="str">
        <f>IF(OR(TABLERO!AF96="",TABLERO!AF96=0),"",TABLERO!AF96)</f>
        <v/>
      </c>
      <c r="M96" s="312" t="str">
        <f>IF(OR(TABLERO!AG96="",TABLERO!AG96=0),"",TABLERO!AG96)</f>
        <v/>
      </c>
      <c r="N96" s="312" t="str">
        <f>IF(OR(TABLERO!AH96="",TABLERO!AH96=0),"",TABLERO!AH96)</f>
        <v/>
      </c>
      <c r="O96" s="312" t="str">
        <f>IF(OR(TABLERO!AI96="",TABLERO!AI96=0),"",TABLERO!AI96)</f>
        <v/>
      </c>
      <c r="P96" s="312" t="str">
        <f>IF(OR(TABLERO!AJ96="",TABLERO!AJ96=0),"",TABLERO!AJ96)</f>
        <v/>
      </c>
      <c r="Q96" s="312" t="str">
        <f>IF(OR(TABLERO!AK96="",TABLERO!AK96=0),"",TABLERO!AK96)</f>
        <v/>
      </c>
      <c r="R96" s="312" t="str">
        <f>IF(OR(TABLERO!AL96="",TABLERO!AL96=0),"",TABLERO!AL96)</f>
        <v/>
      </c>
      <c r="S96" s="312" t="str">
        <f>IF(OR(TABLERO!AM96="",TABLERO!AM96=0),"",TABLERO!AM96)</f>
        <v/>
      </c>
      <c r="T96" s="312" t="str">
        <f>IF(OR(TABLERO!AN96="",TABLERO!AN96=0),"",TABLERO!AN96)</f>
        <v/>
      </c>
      <c r="U96" s="312" t="str">
        <f>IF(OR(TABLERO!AO96="",TABLERO!AO96=0),"",TABLERO!AO96)</f>
        <v/>
      </c>
      <c r="V96" s="312" t="str">
        <f>IF(OR(TABLERO!AP96="",TABLERO!AP96=0),"",TABLERO!AP96)</f>
        <v/>
      </c>
      <c r="W96" s="312" t="str">
        <f>IF(OR(TABLERO!AQ96="",TABLERO!AQ96=0),"",TABLERO!AQ96)</f>
        <v/>
      </c>
      <c r="X96" s="312" t="str">
        <f>IF(OR(TABLERO!AR96="",TABLERO!AR96=0),"",TABLERO!AR96)</f>
        <v/>
      </c>
      <c r="Y96" s="312" t="str">
        <f>IF(OR(TABLERO!AS96="",TABLERO!AS96=0),"",TABLERO!AS96)</f>
        <v/>
      </c>
      <c r="Z96" s="312" t="str">
        <f>IF(OR(TABLERO!AT96="",TABLERO!AT96=0),"",TABLERO!AT96)</f>
        <v/>
      </c>
      <c r="AA96" s="312" t="str">
        <f>IF(OR(TABLERO!AU96="",TABLERO!AU96=0),"",TABLERO!AU96)</f>
        <v/>
      </c>
      <c r="AB96" s="312" t="str">
        <f>IF(OR(TABLERO!AV96="",TABLERO!AV96=0),"",TABLERO!AV96)</f>
        <v/>
      </c>
      <c r="AC96" s="312" t="str">
        <f>IF(OR(TABLERO!AW96="",TABLERO!AW96=0),"",TABLERO!AW96)</f>
        <v/>
      </c>
      <c r="AD96" s="312" t="str">
        <f>IF(OR(TABLERO!AX96="",TABLERO!AX96=0),"",TABLERO!AX96)</f>
        <v/>
      </c>
      <c r="AE96" s="312" t="str">
        <f>IF(OR(TABLERO!AY96="",TABLERO!AY96=0),"",TABLERO!AY96)</f>
        <v/>
      </c>
      <c r="AF96" s="312" t="str">
        <f>IF(OR(TABLERO!AZ96="",TABLERO!AZ96=0),"",TABLERO!AZ96)</f>
        <v/>
      </c>
      <c r="AG96" s="312" t="str">
        <f>IF(OR(TABLERO!BA96="",TABLERO!BA96=0),"",TABLERO!BA96)</f>
        <v/>
      </c>
      <c r="AH96" s="277" t="str">
        <f>IF(TABLERO!BB96=0,"",FIXED(IF(TABLERO!$F$17&lt;&gt;"KVA",TABLERO!BB96*1000,TABLERO!BB96*1000/TABLERO!DA96),2))</f>
        <v/>
      </c>
      <c r="AI96" s="277" t="str">
        <f>IF(TABLERO!BB96=0,"",FIXED(IF(TABLERO!$F$17&lt;&gt;"KVA",TABLERO!BT96*1000,TABLERO!BT96*1000/TABLERO!DA96),2))</f>
        <v/>
      </c>
      <c r="AJ96" s="272" t="str">
        <f>IF(OR(TABLERO!BU96="",TABLERO!BU96=0),"",FIXED(TABLERO!BU96,2))</f>
        <v/>
      </c>
      <c r="AK96" s="312" t="str">
        <f>IF(TABLERO!BB96=0,"",TABLERO!F96)</f>
        <v/>
      </c>
      <c r="AL96" s="312" t="str">
        <f>IF(TABLERO!BB96=0,"",TABLERO!G96)</f>
        <v/>
      </c>
      <c r="AM96" s="312" t="str">
        <f>IF(TABLERO!BB96=0,"",TABLERO!BV96)</f>
        <v/>
      </c>
      <c r="AN96" s="272" t="str">
        <f>IF(TABLERO!BB96=0,"",TABLERO!K96)</f>
        <v/>
      </c>
      <c r="AO96" s="312" t="str">
        <f>IF(TABLERO!BB96=0,"",TABLERO!J96)</f>
        <v/>
      </c>
      <c r="AP96" s="272" t="str">
        <f>IF(TABLERO!BB96=0,"",TABLERO!CT96)</f>
        <v/>
      </c>
      <c r="AQ96" s="272" t="str">
        <f>IF(TABLERO!BB96=0,"",TABLERO!CS96)</f>
        <v/>
      </c>
      <c r="AR96" s="272" t="str">
        <f>IF(OR(TABLERO!BB96=0,TABLERO!H96="RE"),"",FIXED(TABLERO!CY96,2))</f>
        <v/>
      </c>
      <c r="AS96" s="312" t="str">
        <f>IF(TABLERO!BB96=0,"",TABLERO!N96)</f>
        <v/>
      </c>
      <c r="AT96" s="1164" t="str">
        <f>IF(TABLERO!BB96=0,"",TABLERO!BX96&amp;" "&amp;TABLERO!ED96&amp;", "&amp;TABLERO!I96)</f>
        <v/>
      </c>
      <c r="AU96" s="1165"/>
      <c r="AV96" s="272" t="str">
        <f>IF(OR(TABLERO!BB96=0,TABLERO!H96="RE"),"",FIXED(TABLERO!BZ96,2))</f>
        <v/>
      </c>
      <c r="AW96" s="312" t="str">
        <f>IF(TABLERO!BB96=0,"",TABLERO!CA96)</f>
        <v/>
      </c>
      <c r="AX96" s="271" t="str">
        <f>IF(TABLERO!BB96=0,"",TABLERO!CB96)</f>
        <v/>
      </c>
      <c r="AY96" s="272" t="str">
        <f>IF(OR(TABLERO!BB96=0,TABLERO!H96="RE"),"",FIXED(TABLERO!DL96,2))</f>
        <v/>
      </c>
      <c r="AZ96" s="310" t="str">
        <f>IF(OR(TABLERO!BB96=0,TABLERO!H96="RE"),"",TABLERO!F96&amp;"P-"&amp;TABLERO!BW96&amp;"A")</f>
        <v/>
      </c>
      <c r="BA96" s="272" t="str">
        <f>IF(TABLERO!$BB96=0,"",IF(TABLERO!CI96="-","     -     ",FIXED(IF(TABLERO!$F$17&lt;&gt;"KVA",TABLERO!CI96,TABLERO!CI96/TABLERO!$F$14),2)))</f>
        <v/>
      </c>
      <c r="BB96" s="272" t="str">
        <f>IF(TABLERO!$BB96=0,"",IF(TABLERO!CJ96="-","     -     ",FIXED(IF(TABLERO!$F$17&lt;&gt;"KVA",TABLERO!CJ96,TABLERO!CJ96/TABLERO!$F$14),2)))</f>
        <v/>
      </c>
      <c r="BC96" s="272" t="str">
        <f>IF(TABLERO!$BB96=0,"",IF(TABLERO!CK96="-","     -     ",FIXED(IF(TABLERO!$F$17&lt;&gt;"KVA",TABLERO!CK96,TABLERO!CK96/TABLERO!$F$14),2)))</f>
        <v/>
      </c>
      <c r="BG96" s="275">
        <f>IF(TABLERO!B96="",0,TABLERO!B96)</f>
        <v>66</v>
      </c>
      <c r="BH96" s="275"/>
      <c r="BI96" s="275"/>
      <c r="BK96" s="275"/>
      <c r="BL96" s="289" t="str" cm="1">
        <f t="array" ref="BL96">[1]!ACAELE_LineaCAD(A96)</f>
        <v>++++++++++++++++++++++++++++++2</v>
      </c>
      <c r="BM96" s="279" t="str">
        <f t="shared" si="9"/>
        <v>66+</v>
      </c>
      <c r="BN96" s="304"/>
      <c r="BO96" s="304"/>
      <c r="BP96" s="304"/>
      <c r="BQ96" s="304"/>
      <c r="BR96" s="304"/>
      <c r="BS96" s="304"/>
      <c r="BT96" s="304"/>
      <c r="BU96" s="304"/>
      <c r="BV96" s="304"/>
      <c r="BW96" s="304"/>
      <c r="BX96" s="304"/>
      <c r="BY96" s="304"/>
      <c r="BZ96" s="304"/>
      <c r="CA96" s="304"/>
      <c r="CB96" s="304"/>
      <c r="CC96" s="304"/>
      <c r="CD96" s="304"/>
      <c r="CE96" s="304"/>
      <c r="CF96" s="304"/>
      <c r="CG96" s="304"/>
      <c r="CH96" s="304"/>
      <c r="CI96" s="304"/>
      <c r="CJ96" s="304"/>
      <c r="CK96" s="304"/>
      <c r="CL96" s="304"/>
      <c r="CM96" s="304"/>
      <c r="CN96" s="304"/>
      <c r="CO96" s="304"/>
      <c r="CP96" s="304"/>
      <c r="CQ96" s="304"/>
      <c r="CR96" s="305" t="str" cm="1">
        <f t="array" ref="CR96">CONCATENATE(BM96,_xlfn.TEXTJOIN("",TRUE,IF(BN$129:CQ$129&lt;&gt;"","+"&amp;D96:AG96,"")))</f>
        <v>66+</v>
      </c>
      <c r="CS96" s="279">
        <f t="shared" si="5"/>
        <v>30</v>
      </c>
      <c r="CT96" s="279" t="str">
        <f t="shared" si="8"/>
        <v>+++++++++++++++++++++++++++++++</v>
      </c>
      <c r="CU96" s="291" t="str">
        <f t="shared" ref="CU96:CU117" si="10">CR96&amp;CT96&amp;A96</f>
        <v>66++++++++++++++++++++++++++++++++2</v>
      </c>
      <c r="GB96" s="279" t="s">
        <v>1981</v>
      </c>
    </row>
    <row r="97" spans="1:184">
      <c r="A97" s="275">
        <f>IF(C97&lt;&gt;"",1,IF(AH97="",2,IF(OR(IF(TABLERO!B97="",0,TABLERO!B97)&gt;TABLERO!$M$19,IF(TABLERO!C97="",IF(TABLERO!B97="",0,TABLERO!B97),TABLERO!C97)&gt;TABLERO!$M$19,BI97&gt;TABLERO!$M$19,IF(TABLERO!B97="",0,TABLERO!B97)=0,IF(TABLERO!C97="",BG97,TABLERO!C97)=0,IF(TABLERO!D97="",BG97,TABLERO!D97)=0),2,1)))</f>
        <v>2</v>
      </c>
      <c r="B97" s="276" t="str">
        <f>TABLERO!B97&amp;IF(TABLERO!C97="","",","&amp;TABLERO!C97)&amp;IF(TABLERO!D97="","",","&amp;TABLERO!D97)</f>
        <v>67</v>
      </c>
      <c r="C97" s="269" t="str">
        <f>IF(TABLERO!E97=0,"",TABLERO!E97)</f>
        <v/>
      </c>
      <c r="D97" s="312" t="str">
        <f>IF(OR(TABLERO!X97="",TABLERO!X97=0),"",TABLERO!X97)</f>
        <v/>
      </c>
      <c r="E97" s="312" t="str">
        <f>IF(OR(TABLERO!Y97="",TABLERO!Y97=0),"",TABLERO!Y97)</f>
        <v/>
      </c>
      <c r="F97" s="312" t="str">
        <f>IF(OR(TABLERO!Z97="",TABLERO!Z97=0),"",TABLERO!Z97)</f>
        <v/>
      </c>
      <c r="G97" s="312" t="str">
        <f>IF(OR(TABLERO!AA97="",TABLERO!AA97=0),"",TABLERO!AA97)</f>
        <v/>
      </c>
      <c r="H97" s="312" t="str">
        <f>IF(OR(TABLERO!AB97="",TABLERO!AB97=0),"",TABLERO!AB97)</f>
        <v/>
      </c>
      <c r="I97" s="312" t="str">
        <f>IF(OR(TABLERO!AC97="",TABLERO!AC97=0),"",TABLERO!AC97)</f>
        <v/>
      </c>
      <c r="J97" s="312" t="str">
        <f>IF(OR(TABLERO!AD97="",TABLERO!AD97=0),"",TABLERO!AD97)</f>
        <v/>
      </c>
      <c r="K97" s="312" t="str">
        <f>IF(OR(TABLERO!AE97="",TABLERO!AE97=0),"",TABLERO!AE97)</f>
        <v/>
      </c>
      <c r="L97" s="312" t="str">
        <f>IF(OR(TABLERO!AF97="",TABLERO!AF97=0),"",TABLERO!AF97)</f>
        <v/>
      </c>
      <c r="M97" s="312" t="str">
        <f>IF(OR(TABLERO!AG97="",TABLERO!AG97=0),"",TABLERO!AG97)</f>
        <v/>
      </c>
      <c r="N97" s="312" t="str">
        <f>IF(OR(TABLERO!AH97="",TABLERO!AH97=0),"",TABLERO!AH97)</f>
        <v/>
      </c>
      <c r="O97" s="312" t="str">
        <f>IF(OR(TABLERO!AI97="",TABLERO!AI97=0),"",TABLERO!AI97)</f>
        <v/>
      </c>
      <c r="P97" s="312" t="str">
        <f>IF(OR(TABLERO!AJ97="",TABLERO!AJ97=0),"",TABLERO!AJ97)</f>
        <v/>
      </c>
      <c r="Q97" s="312" t="str">
        <f>IF(OR(TABLERO!AK97="",TABLERO!AK97=0),"",TABLERO!AK97)</f>
        <v/>
      </c>
      <c r="R97" s="312" t="str">
        <f>IF(OR(TABLERO!AL97="",TABLERO!AL97=0),"",TABLERO!AL97)</f>
        <v/>
      </c>
      <c r="S97" s="312" t="str">
        <f>IF(OR(TABLERO!AM97="",TABLERO!AM97=0),"",TABLERO!AM97)</f>
        <v/>
      </c>
      <c r="T97" s="312" t="str">
        <f>IF(OR(TABLERO!AN97="",TABLERO!AN97=0),"",TABLERO!AN97)</f>
        <v/>
      </c>
      <c r="U97" s="312" t="str">
        <f>IF(OR(TABLERO!AO97="",TABLERO!AO97=0),"",TABLERO!AO97)</f>
        <v/>
      </c>
      <c r="V97" s="312" t="str">
        <f>IF(OR(TABLERO!AP97="",TABLERO!AP97=0),"",TABLERO!AP97)</f>
        <v/>
      </c>
      <c r="W97" s="312" t="str">
        <f>IF(OR(TABLERO!AQ97="",TABLERO!AQ97=0),"",TABLERO!AQ97)</f>
        <v/>
      </c>
      <c r="X97" s="312" t="str">
        <f>IF(OR(TABLERO!AR97="",TABLERO!AR97=0),"",TABLERO!AR97)</f>
        <v/>
      </c>
      <c r="Y97" s="312" t="str">
        <f>IF(OR(TABLERO!AS97="",TABLERO!AS97=0),"",TABLERO!AS97)</f>
        <v/>
      </c>
      <c r="Z97" s="312" t="str">
        <f>IF(OR(TABLERO!AT97="",TABLERO!AT97=0),"",TABLERO!AT97)</f>
        <v/>
      </c>
      <c r="AA97" s="312" t="str">
        <f>IF(OR(TABLERO!AU97="",TABLERO!AU97=0),"",TABLERO!AU97)</f>
        <v/>
      </c>
      <c r="AB97" s="312" t="str">
        <f>IF(OR(TABLERO!AV97="",TABLERO!AV97=0),"",TABLERO!AV97)</f>
        <v/>
      </c>
      <c r="AC97" s="312" t="str">
        <f>IF(OR(TABLERO!AW97="",TABLERO!AW97=0),"",TABLERO!AW97)</f>
        <v/>
      </c>
      <c r="AD97" s="312" t="str">
        <f>IF(OR(TABLERO!AX97="",TABLERO!AX97=0),"",TABLERO!AX97)</f>
        <v/>
      </c>
      <c r="AE97" s="312" t="str">
        <f>IF(OR(TABLERO!AY97="",TABLERO!AY97=0),"",TABLERO!AY97)</f>
        <v/>
      </c>
      <c r="AF97" s="312" t="str">
        <f>IF(OR(TABLERO!AZ97="",TABLERO!AZ97=0),"",TABLERO!AZ97)</f>
        <v/>
      </c>
      <c r="AG97" s="312" t="str">
        <f>IF(OR(TABLERO!BA97="",TABLERO!BA97=0),"",TABLERO!BA97)</f>
        <v/>
      </c>
      <c r="AH97" s="277" t="str">
        <f>IF(TABLERO!BB97=0,"",FIXED(IF(TABLERO!$F$17&lt;&gt;"KVA",TABLERO!BB97*1000,TABLERO!BB97*1000/TABLERO!DA97),2))</f>
        <v/>
      </c>
      <c r="AI97" s="277" t="str">
        <f>IF(TABLERO!BB97=0,"",FIXED(IF(TABLERO!$F$17&lt;&gt;"KVA",TABLERO!BT97*1000,TABLERO!BT97*1000/TABLERO!DA97),2))</f>
        <v/>
      </c>
      <c r="AJ97" s="272" t="str">
        <f>IF(OR(TABLERO!BU97="",TABLERO!BU97=0),"",FIXED(TABLERO!BU97,2))</f>
        <v/>
      </c>
      <c r="AK97" s="312" t="str">
        <f>IF(TABLERO!BB97=0,"",TABLERO!F97)</f>
        <v/>
      </c>
      <c r="AL97" s="312" t="str">
        <f>IF(TABLERO!BB97=0,"",TABLERO!G97)</f>
        <v/>
      </c>
      <c r="AM97" s="312" t="str">
        <f>IF(TABLERO!BB97=0,"",TABLERO!BV97)</f>
        <v/>
      </c>
      <c r="AN97" s="272" t="str">
        <f>IF(TABLERO!BB97=0,"",TABLERO!K97)</f>
        <v/>
      </c>
      <c r="AO97" s="312" t="str">
        <f>IF(TABLERO!BB97=0,"",TABLERO!J97)</f>
        <v/>
      </c>
      <c r="AP97" s="272" t="str">
        <f>IF(TABLERO!BB97=0,"",TABLERO!CT97)</f>
        <v/>
      </c>
      <c r="AQ97" s="272" t="str">
        <f>IF(TABLERO!BB97=0,"",TABLERO!CS97)</f>
        <v/>
      </c>
      <c r="AR97" s="272" t="str">
        <f>IF(OR(TABLERO!BB97=0,TABLERO!H97="RE"),"",FIXED(TABLERO!CY97,2))</f>
        <v/>
      </c>
      <c r="AS97" s="312" t="str">
        <f>IF(TABLERO!BB97=0,"",TABLERO!N97)</f>
        <v/>
      </c>
      <c r="AT97" s="1164" t="str">
        <f>IF(TABLERO!BB97=0,"",TABLERO!BX97&amp;" "&amp;TABLERO!ED97&amp;", "&amp;TABLERO!I97)</f>
        <v/>
      </c>
      <c r="AU97" s="1165"/>
      <c r="AV97" s="272" t="str">
        <f>IF(OR(TABLERO!BB97=0,TABLERO!H97="RE"),"",FIXED(TABLERO!BZ97,2))</f>
        <v/>
      </c>
      <c r="AW97" s="312" t="str">
        <f>IF(TABLERO!BB97=0,"",TABLERO!CA97)</f>
        <v/>
      </c>
      <c r="AX97" s="271" t="str">
        <f>IF(TABLERO!BB97=0,"",TABLERO!CB97)</f>
        <v/>
      </c>
      <c r="AY97" s="272" t="str">
        <f>IF(OR(TABLERO!BB97=0,TABLERO!H97="RE"),"",FIXED(TABLERO!DL97,2))</f>
        <v/>
      </c>
      <c r="AZ97" s="310" t="str">
        <f>IF(OR(TABLERO!BB97=0,TABLERO!H97="RE"),"",TABLERO!F97&amp;"P-"&amp;TABLERO!BW97&amp;"A")</f>
        <v/>
      </c>
      <c r="BA97" s="272" t="str">
        <f>IF(TABLERO!$BB97=0,"",IF(TABLERO!CI97="-","     -     ",FIXED(IF(TABLERO!$F$17&lt;&gt;"KVA",TABLERO!CI97,TABLERO!CI97/TABLERO!$F$14),2)))</f>
        <v/>
      </c>
      <c r="BB97" s="272" t="str">
        <f>IF(TABLERO!$BB97=0,"",IF(TABLERO!CJ97="-","     -     ",FIXED(IF(TABLERO!$F$17&lt;&gt;"KVA",TABLERO!CJ97,TABLERO!CJ97/TABLERO!$F$14),2)))</f>
        <v/>
      </c>
      <c r="BC97" s="272" t="str">
        <f>IF(TABLERO!$BB97=0,"",IF(TABLERO!CK97="-","     -     ",FIXED(IF(TABLERO!$F$17&lt;&gt;"KVA",TABLERO!CK97,TABLERO!CK97/TABLERO!$F$14),2)))</f>
        <v/>
      </c>
      <c r="BG97" s="275">
        <f>IF(TABLERO!B97="",0,TABLERO!B97)</f>
        <v>67</v>
      </c>
      <c r="BH97" s="275"/>
      <c r="BI97" s="275"/>
      <c r="BK97" s="275"/>
      <c r="BL97" s="289" t="str" cm="1">
        <f t="array" ref="BL97">[1]!ACAELE_LineaCAD(A97)</f>
        <v>++++++++++++++++++++++++++++++2</v>
      </c>
      <c r="BM97" s="279" t="str">
        <f t="shared" si="9"/>
        <v>67+</v>
      </c>
      <c r="BN97" s="304"/>
      <c r="BO97" s="304"/>
      <c r="BP97" s="304"/>
      <c r="BQ97" s="304"/>
      <c r="BR97" s="304"/>
      <c r="BS97" s="304"/>
      <c r="BT97" s="304"/>
      <c r="BU97" s="304"/>
      <c r="BV97" s="304"/>
      <c r="BW97" s="304"/>
      <c r="BX97" s="304"/>
      <c r="BY97" s="304"/>
      <c r="BZ97" s="304"/>
      <c r="CA97" s="304"/>
      <c r="CB97" s="304"/>
      <c r="CC97" s="304"/>
      <c r="CD97" s="304"/>
      <c r="CE97" s="304"/>
      <c r="CF97" s="304"/>
      <c r="CG97" s="304"/>
      <c r="CH97" s="304"/>
      <c r="CI97" s="304"/>
      <c r="CJ97" s="304"/>
      <c r="CK97" s="304"/>
      <c r="CL97" s="304"/>
      <c r="CM97" s="304"/>
      <c r="CN97" s="304"/>
      <c r="CO97" s="304"/>
      <c r="CP97" s="304"/>
      <c r="CQ97" s="304"/>
      <c r="CR97" s="305" t="str" cm="1">
        <f t="array" ref="CR97">CONCATENATE(BM97,_xlfn.TEXTJOIN("",TRUE,IF(BN$129:CQ$129&lt;&gt;"","+"&amp;D97:AG97,"")))</f>
        <v>67+</v>
      </c>
      <c r="CS97" s="279">
        <f t="shared" si="5"/>
        <v>30</v>
      </c>
      <c r="CT97" s="279" t="str">
        <f t="shared" si="8"/>
        <v>+++++++++++++++++++++++++++++++</v>
      </c>
      <c r="CU97" s="291" t="str">
        <f t="shared" si="10"/>
        <v>67++++++++++++++++++++++++++++++++2</v>
      </c>
      <c r="GB97" s="279" t="s">
        <v>1982</v>
      </c>
    </row>
    <row r="98" spans="1:184">
      <c r="A98" s="275">
        <f>IF(C98&lt;&gt;"",1,IF(AH98="",2,IF(OR(IF(TABLERO!B98="",0,TABLERO!B98)&gt;TABLERO!$M$19,IF(TABLERO!C98="",IF(TABLERO!B98="",0,TABLERO!B98),TABLERO!C98)&gt;TABLERO!$M$19,BI98&gt;TABLERO!$M$19,IF(TABLERO!B98="",0,TABLERO!B98)=0,IF(TABLERO!C98="",BG98,TABLERO!C98)=0,IF(TABLERO!D98="",BG98,TABLERO!D98)=0),2,1)))</f>
        <v>2</v>
      </c>
      <c r="B98" s="276" t="str">
        <f>TABLERO!B98&amp;IF(TABLERO!C98="","",","&amp;TABLERO!C98)&amp;IF(TABLERO!D98="","",","&amp;TABLERO!D98)</f>
        <v>68</v>
      </c>
      <c r="C98" s="269" t="str">
        <f>IF(TABLERO!E98=0,"",TABLERO!E98)</f>
        <v/>
      </c>
      <c r="D98" s="312" t="str">
        <f>IF(OR(TABLERO!X98="",TABLERO!X98=0),"",TABLERO!X98)</f>
        <v/>
      </c>
      <c r="E98" s="312" t="str">
        <f>IF(OR(TABLERO!Y98="",TABLERO!Y98=0),"",TABLERO!Y98)</f>
        <v/>
      </c>
      <c r="F98" s="312" t="str">
        <f>IF(OR(TABLERO!Z98="",TABLERO!Z98=0),"",TABLERO!Z98)</f>
        <v/>
      </c>
      <c r="G98" s="312" t="str">
        <f>IF(OR(TABLERO!AA98="",TABLERO!AA98=0),"",TABLERO!AA98)</f>
        <v/>
      </c>
      <c r="H98" s="312" t="str">
        <f>IF(OR(TABLERO!AB98="",TABLERO!AB98=0),"",TABLERO!AB98)</f>
        <v/>
      </c>
      <c r="I98" s="312" t="str">
        <f>IF(OR(TABLERO!AC98="",TABLERO!AC98=0),"",TABLERO!AC98)</f>
        <v/>
      </c>
      <c r="J98" s="312" t="str">
        <f>IF(OR(TABLERO!AD98="",TABLERO!AD98=0),"",TABLERO!AD98)</f>
        <v/>
      </c>
      <c r="K98" s="312" t="str">
        <f>IF(OR(TABLERO!AE98="",TABLERO!AE98=0),"",TABLERO!AE98)</f>
        <v/>
      </c>
      <c r="L98" s="312" t="str">
        <f>IF(OR(TABLERO!AF98="",TABLERO!AF98=0),"",TABLERO!AF98)</f>
        <v/>
      </c>
      <c r="M98" s="312" t="str">
        <f>IF(OR(TABLERO!AG98="",TABLERO!AG98=0),"",TABLERO!AG98)</f>
        <v/>
      </c>
      <c r="N98" s="312" t="str">
        <f>IF(OR(TABLERO!AH98="",TABLERO!AH98=0),"",TABLERO!AH98)</f>
        <v/>
      </c>
      <c r="O98" s="312" t="str">
        <f>IF(OR(TABLERO!AI98="",TABLERO!AI98=0),"",TABLERO!AI98)</f>
        <v/>
      </c>
      <c r="P98" s="312" t="str">
        <f>IF(OR(TABLERO!AJ98="",TABLERO!AJ98=0),"",TABLERO!AJ98)</f>
        <v/>
      </c>
      <c r="Q98" s="312" t="str">
        <f>IF(OR(TABLERO!AK98="",TABLERO!AK98=0),"",TABLERO!AK98)</f>
        <v/>
      </c>
      <c r="R98" s="312" t="str">
        <f>IF(OR(TABLERO!AL98="",TABLERO!AL98=0),"",TABLERO!AL98)</f>
        <v/>
      </c>
      <c r="S98" s="312" t="str">
        <f>IF(OR(TABLERO!AM98="",TABLERO!AM98=0),"",TABLERO!AM98)</f>
        <v/>
      </c>
      <c r="T98" s="312" t="str">
        <f>IF(OR(TABLERO!AN98="",TABLERO!AN98=0),"",TABLERO!AN98)</f>
        <v/>
      </c>
      <c r="U98" s="312" t="str">
        <f>IF(OR(TABLERO!AO98="",TABLERO!AO98=0),"",TABLERO!AO98)</f>
        <v/>
      </c>
      <c r="V98" s="312" t="str">
        <f>IF(OR(TABLERO!AP98="",TABLERO!AP98=0),"",TABLERO!AP98)</f>
        <v/>
      </c>
      <c r="W98" s="312" t="str">
        <f>IF(OR(TABLERO!AQ98="",TABLERO!AQ98=0),"",TABLERO!AQ98)</f>
        <v/>
      </c>
      <c r="X98" s="312" t="str">
        <f>IF(OR(TABLERO!AR98="",TABLERO!AR98=0),"",TABLERO!AR98)</f>
        <v/>
      </c>
      <c r="Y98" s="312" t="str">
        <f>IF(OR(TABLERO!AS98="",TABLERO!AS98=0),"",TABLERO!AS98)</f>
        <v/>
      </c>
      <c r="Z98" s="312" t="str">
        <f>IF(OR(TABLERO!AT98="",TABLERO!AT98=0),"",TABLERO!AT98)</f>
        <v/>
      </c>
      <c r="AA98" s="312" t="str">
        <f>IF(OR(TABLERO!AU98="",TABLERO!AU98=0),"",TABLERO!AU98)</f>
        <v/>
      </c>
      <c r="AB98" s="312" t="str">
        <f>IF(OR(TABLERO!AV98="",TABLERO!AV98=0),"",TABLERO!AV98)</f>
        <v/>
      </c>
      <c r="AC98" s="312" t="str">
        <f>IF(OR(TABLERO!AW98="",TABLERO!AW98=0),"",TABLERO!AW98)</f>
        <v/>
      </c>
      <c r="AD98" s="312" t="str">
        <f>IF(OR(TABLERO!AX98="",TABLERO!AX98=0),"",TABLERO!AX98)</f>
        <v/>
      </c>
      <c r="AE98" s="312" t="str">
        <f>IF(OR(TABLERO!AY98="",TABLERO!AY98=0),"",TABLERO!AY98)</f>
        <v/>
      </c>
      <c r="AF98" s="312" t="str">
        <f>IF(OR(TABLERO!AZ98="",TABLERO!AZ98=0),"",TABLERO!AZ98)</f>
        <v/>
      </c>
      <c r="AG98" s="312" t="str">
        <f>IF(OR(TABLERO!BA98="",TABLERO!BA98=0),"",TABLERO!BA98)</f>
        <v/>
      </c>
      <c r="AH98" s="277" t="str">
        <f>IF(TABLERO!BB98=0,"",FIXED(IF(TABLERO!$F$17&lt;&gt;"KVA",TABLERO!BB98*1000,TABLERO!BB98*1000/TABLERO!DA98),2))</f>
        <v/>
      </c>
      <c r="AI98" s="277" t="str">
        <f>IF(TABLERO!BB98=0,"",FIXED(IF(TABLERO!$F$17&lt;&gt;"KVA",TABLERO!BT98*1000,TABLERO!BT98*1000/TABLERO!DA98),2))</f>
        <v/>
      </c>
      <c r="AJ98" s="272" t="str">
        <f>IF(OR(TABLERO!BU98="",TABLERO!BU98=0),"",FIXED(TABLERO!BU98,2))</f>
        <v/>
      </c>
      <c r="AK98" s="312" t="str">
        <f>IF(TABLERO!BB98=0,"",TABLERO!F98)</f>
        <v/>
      </c>
      <c r="AL98" s="312" t="str">
        <f>IF(TABLERO!BB98=0,"",TABLERO!G98)</f>
        <v/>
      </c>
      <c r="AM98" s="312" t="str">
        <f>IF(TABLERO!BB98=0,"",TABLERO!BV98)</f>
        <v/>
      </c>
      <c r="AN98" s="272" t="str">
        <f>IF(TABLERO!BB98=0,"",TABLERO!K98)</f>
        <v/>
      </c>
      <c r="AO98" s="312" t="str">
        <f>IF(TABLERO!BB98=0,"",TABLERO!J98)</f>
        <v/>
      </c>
      <c r="AP98" s="272" t="str">
        <f>IF(TABLERO!BB98=0,"",TABLERO!CT98)</f>
        <v/>
      </c>
      <c r="AQ98" s="272" t="str">
        <f>IF(TABLERO!BB98=0,"",TABLERO!CS98)</f>
        <v/>
      </c>
      <c r="AR98" s="272" t="str">
        <f>IF(OR(TABLERO!BB98=0,TABLERO!H98="RE"),"",FIXED(TABLERO!CY98,2))</f>
        <v/>
      </c>
      <c r="AS98" s="312" t="str">
        <f>IF(TABLERO!BB98=0,"",TABLERO!N98)</f>
        <v/>
      </c>
      <c r="AT98" s="1164" t="str">
        <f>IF(TABLERO!BB98=0,"",TABLERO!BX98&amp;" "&amp;TABLERO!ED98&amp;", "&amp;TABLERO!I98)</f>
        <v/>
      </c>
      <c r="AU98" s="1165"/>
      <c r="AV98" s="272" t="str">
        <f>IF(OR(TABLERO!BB98=0,TABLERO!H98="RE"),"",FIXED(TABLERO!BZ98,2))</f>
        <v/>
      </c>
      <c r="AW98" s="312" t="str">
        <f>IF(TABLERO!BB98=0,"",TABLERO!CA98)</f>
        <v/>
      </c>
      <c r="AX98" s="271" t="str">
        <f>IF(TABLERO!BB98=0,"",TABLERO!CB98)</f>
        <v/>
      </c>
      <c r="AY98" s="272" t="str">
        <f>IF(OR(TABLERO!BB98=0,TABLERO!H98="RE"),"",FIXED(TABLERO!DL98,2))</f>
        <v/>
      </c>
      <c r="AZ98" s="310" t="str">
        <f>IF(OR(TABLERO!BB98=0,TABLERO!H98="RE"),"",TABLERO!F98&amp;"P-"&amp;TABLERO!BW98&amp;"A")</f>
        <v/>
      </c>
      <c r="BA98" s="272" t="str">
        <f>IF(TABLERO!$BB98=0,"",IF(TABLERO!CI98="-","     -     ",FIXED(IF(TABLERO!$F$17&lt;&gt;"KVA",TABLERO!CI98,TABLERO!CI98/TABLERO!$F$14),2)))</f>
        <v/>
      </c>
      <c r="BB98" s="272" t="str">
        <f>IF(TABLERO!$BB98=0,"",IF(TABLERO!CJ98="-","     -     ",FIXED(IF(TABLERO!$F$17&lt;&gt;"KVA",TABLERO!CJ98,TABLERO!CJ98/TABLERO!$F$14),2)))</f>
        <v/>
      </c>
      <c r="BC98" s="272" t="str">
        <f>IF(TABLERO!$BB98=0,"",IF(TABLERO!CK98="-","     -     ",FIXED(IF(TABLERO!$F$17&lt;&gt;"KVA",TABLERO!CK98,TABLERO!CK98/TABLERO!$F$14),2)))</f>
        <v/>
      </c>
      <c r="BG98" s="275">
        <f>IF(TABLERO!B98="",0,TABLERO!B98)</f>
        <v>68</v>
      </c>
      <c r="BH98" s="275"/>
      <c r="BI98" s="275"/>
      <c r="BK98" s="275"/>
      <c r="BL98" s="289" t="str" cm="1">
        <f t="array" ref="BL98">[1]!ACAELE_LineaCAD(A98)</f>
        <v>++++++++++++++++++++++++++++++2</v>
      </c>
      <c r="BM98" s="279" t="str">
        <f t="shared" si="9"/>
        <v>68+</v>
      </c>
      <c r="BN98" s="304"/>
      <c r="BO98" s="304"/>
      <c r="BP98" s="304"/>
      <c r="BQ98" s="304"/>
      <c r="BR98" s="304"/>
      <c r="BS98" s="304"/>
      <c r="BT98" s="304"/>
      <c r="BU98" s="304"/>
      <c r="BV98" s="304"/>
      <c r="BW98" s="304"/>
      <c r="BX98" s="304"/>
      <c r="BY98" s="304"/>
      <c r="BZ98" s="304"/>
      <c r="CA98" s="304"/>
      <c r="CB98" s="304"/>
      <c r="CC98" s="304"/>
      <c r="CD98" s="304"/>
      <c r="CE98" s="304"/>
      <c r="CF98" s="304"/>
      <c r="CG98" s="304"/>
      <c r="CH98" s="304"/>
      <c r="CI98" s="304"/>
      <c r="CJ98" s="304"/>
      <c r="CK98" s="304"/>
      <c r="CL98" s="304"/>
      <c r="CM98" s="304"/>
      <c r="CN98" s="304"/>
      <c r="CO98" s="304"/>
      <c r="CP98" s="304"/>
      <c r="CQ98" s="304"/>
      <c r="CR98" s="305" t="str" cm="1">
        <f t="array" ref="CR98">CONCATENATE(BM98,_xlfn.TEXTJOIN("",TRUE,IF(BN$129:CQ$129&lt;&gt;"","+"&amp;D98:AG98,"")))</f>
        <v>68+</v>
      </c>
      <c r="CS98" s="279">
        <f t="shared" si="5"/>
        <v>30</v>
      </c>
      <c r="CT98" s="279" t="str">
        <f t="shared" si="8"/>
        <v>+++++++++++++++++++++++++++++++</v>
      </c>
      <c r="CU98" s="291" t="str">
        <f t="shared" si="10"/>
        <v>68++++++++++++++++++++++++++++++++2</v>
      </c>
      <c r="GB98" s="279" t="s">
        <v>1983</v>
      </c>
    </row>
    <row r="99" spans="1:184">
      <c r="A99" s="275">
        <f>IF(C99&lt;&gt;"",1,IF(AH99="",2,IF(OR(IF(TABLERO!B99="",0,TABLERO!B99)&gt;TABLERO!$M$19,IF(TABLERO!C99="",IF(TABLERO!B99="",0,TABLERO!B99),TABLERO!C99)&gt;TABLERO!$M$19,BI99&gt;TABLERO!$M$19,IF(TABLERO!B99="",0,TABLERO!B99)=0,IF(TABLERO!C99="",BG99,TABLERO!C99)=0,IF(TABLERO!D99="",BG99,TABLERO!D99)=0),2,1)))</f>
        <v>2</v>
      </c>
      <c r="B99" s="276" t="str">
        <f>TABLERO!B99&amp;IF(TABLERO!C99="","",","&amp;TABLERO!C99)&amp;IF(TABLERO!D99="","",","&amp;TABLERO!D99)</f>
        <v>69</v>
      </c>
      <c r="C99" s="269" t="str">
        <f>IF(TABLERO!E99=0,"",TABLERO!E99)</f>
        <v/>
      </c>
      <c r="D99" s="312" t="str">
        <f>IF(OR(TABLERO!X99="",TABLERO!X99=0),"",TABLERO!X99)</f>
        <v/>
      </c>
      <c r="E99" s="312" t="str">
        <f>IF(OR(TABLERO!Y99="",TABLERO!Y99=0),"",TABLERO!Y99)</f>
        <v/>
      </c>
      <c r="F99" s="312" t="str">
        <f>IF(OR(TABLERO!Z99="",TABLERO!Z99=0),"",TABLERO!Z99)</f>
        <v/>
      </c>
      <c r="G99" s="312" t="str">
        <f>IF(OR(TABLERO!AA99="",TABLERO!AA99=0),"",TABLERO!AA99)</f>
        <v/>
      </c>
      <c r="H99" s="312" t="str">
        <f>IF(OR(TABLERO!AB99="",TABLERO!AB99=0),"",TABLERO!AB99)</f>
        <v/>
      </c>
      <c r="I99" s="312" t="str">
        <f>IF(OR(TABLERO!AC99="",TABLERO!AC99=0),"",TABLERO!AC99)</f>
        <v/>
      </c>
      <c r="J99" s="312" t="str">
        <f>IF(OR(TABLERO!AD99="",TABLERO!AD99=0),"",TABLERO!AD99)</f>
        <v/>
      </c>
      <c r="K99" s="312" t="str">
        <f>IF(OR(TABLERO!AE99="",TABLERO!AE99=0),"",TABLERO!AE99)</f>
        <v/>
      </c>
      <c r="L99" s="312" t="str">
        <f>IF(OR(TABLERO!AF99="",TABLERO!AF99=0),"",TABLERO!AF99)</f>
        <v/>
      </c>
      <c r="M99" s="312" t="str">
        <f>IF(OR(TABLERO!AG99="",TABLERO!AG99=0),"",TABLERO!AG99)</f>
        <v/>
      </c>
      <c r="N99" s="312" t="str">
        <f>IF(OR(TABLERO!AH99="",TABLERO!AH99=0),"",TABLERO!AH99)</f>
        <v/>
      </c>
      <c r="O99" s="312" t="str">
        <f>IF(OR(TABLERO!AI99="",TABLERO!AI99=0),"",TABLERO!AI99)</f>
        <v/>
      </c>
      <c r="P99" s="312" t="str">
        <f>IF(OR(TABLERO!AJ99="",TABLERO!AJ99=0),"",TABLERO!AJ99)</f>
        <v/>
      </c>
      <c r="Q99" s="312" t="str">
        <f>IF(OR(TABLERO!AK99="",TABLERO!AK99=0),"",TABLERO!AK99)</f>
        <v/>
      </c>
      <c r="R99" s="312" t="str">
        <f>IF(OR(TABLERO!AL99="",TABLERO!AL99=0),"",TABLERO!AL99)</f>
        <v/>
      </c>
      <c r="S99" s="312" t="str">
        <f>IF(OR(TABLERO!AM99="",TABLERO!AM99=0),"",TABLERO!AM99)</f>
        <v/>
      </c>
      <c r="T99" s="312" t="str">
        <f>IF(OR(TABLERO!AN99="",TABLERO!AN99=0),"",TABLERO!AN99)</f>
        <v/>
      </c>
      <c r="U99" s="312" t="str">
        <f>IF(OR(TABLERO!AO99="",TABLERO!AO99=0),"",TABLERO!AO99)</f>
        <v/>
      </c>
      <c r="V99" s="312" t="str">
        <f>IF(OR(TABLERO!AP99="",TABLERO!AP99=0),"",TABLERO!AP99)</f>
        <v/>
      </c>
      <c r="W99" s="312" t="str">
        <f>IF(OR(TABLERO!AQ99="",TABLERO!AQ99=0),"",TABLERO!AQ99)</f>
        <v/>
      </c>
      <c r="X99" s="312" t="str">
        <f>IF(OR(TABLERO!AR99="",TABLERO!AR99=0),"",TABLERO!AR99)</f>
        <v/>
      </c>
      <c r="Y99" s="312" t="str">
        <f>IF(OR(TABLERO!AS99="",TABLERO!AS99=0),"",TABLERO!AS99)</f>
        <v/>
      </c>
      <c r="Z99" s="312" t="str">
        <f>IF(OR(TABLERO!AT99="",TABLERO!AT99=0),"",TABLERO!AT99)</f>
        <v/>
      </c>
      <c r="AA99" s="312" t="str">
        <f>IF(OR(TABLERO!AU99="",TABLERO!AU99=0),"",TABLERO!AU99)</f>
        <v/>
      </c>
      <c r="AB99" s="312" t="str">
        <f>IF(OR(TABLERO!AV99="",TABLERO!AV99=0),"",TABLERO!AV99)</f>
        <v/>
      </c>
      <c r="AC99" s="312" t="str">
        <f>IF(OR(TABLERO!AW99="",TABLERO!AW99=0),"",TABLERO!AW99)</f>
        <v/>
      </c>
      <c r="AD99" s="312" t="str">
        <f>IF(OR(TABLERO!AX99="",TABLERO!AX99=0),"",TABLERO!AX99)</f>
        <v/>
      </c>
      <c r="AE99" s="312" t="str">
        <f>IF(OR(TABLERO!AY99="",TABLERO!AY99=0),"",TABLERO!AY99)</f>
        <v/>
      </c>
      <c r="AF99" s="312" t="str">
        <f>IF(OR(TABLERO!AZ99="",TABLERO!AZ99=0),"",TABLERO!AZ99)</f>
        <v/>
      </c>
      <c r="AG99" s="312" t="str">
        <f>IF(OR(TABLERO!BA99="",TABLERO!BA99=0),"",TABLERO!BA99)</f>
        <v/>
      </c>
      <c r="AH99" s="277" t="str">
        <f>IF(TABLERO!BB99=0,"",FIXED(IF(TABLERO!$F$17&lt;&gt;"KVA",TABLERO!BB99*1000,TABLERO!BB99*1000/TABLERO!DA99),2))</f>
        <v/>
      </c>
      <c r="AI99" s="277" t="str">
        <f>IF(TABLERO!BB99=0,"",FIXED(IF(TABLERO!$F$17&lt;&gt;"KVA",TABLERO!BT99*1000,TABLERO!BT99*1000/TABLERO!DA99),2))</f>
        <v/>
      </c>
      <c r="AJ99" s="272" t="str">
        <f>IF(OR(TABLERO!BU99="",TABLERO!BU99=0),"",FIXED(TABLERO!BU99,2))</f>
        <v/>
      </c>
      <c r="AK99" s="312" t="str">
        <f>IF(TABLERO!BB99=0,"",TABLERO!F99)</f>
        <v/>
      </c>
      <c r="AL99" s="312" t="str">
        <f>IF(TABLERO!BB99=0,"",TABLERO!G99)</f>
        <v/>
      </c>
      <c r="AM99" s="312" t="str">
        <f>IF(TABLERO!BB99=0,"",TABLERO!BV99)</f>
        <v/>
      </c>
      <c r="AN99" s="272" t="str">
        <f>IF(TABLERO!BB99=0,"",TABLERO!K99)</f>
        <v/>
      </c>
      <c r="AO99" s="312" t="str">
        <f>IF(TABLERO!BB99=0,"",TABLERO!J99)</f>
        <v/>
      </c>
      <c r="AP99" s="272" t="str">
        <f>IF(TABLERO!BB99=0,"",TABLERO!CT99)</f>
        <v/>
      </c>
      <c r="AQ99" s="272" t="str">
        <f>IF(TABLERO!BB99=0,"",TABLERO!CS99)</f>
        <v/>
      </c>
      <c r="AR99" s="272" t="str">
        <f>IF(OR(TABLERO!BB99=0,TABLERO!H99="RE"),"",FIXED(TABLERO!CY99,2))</f>
        <v/>
      </c>
      <c r="AS99" s="312" t="str">
        <f>IF(TABLERO!BB99=0,"",TABLERO!N99)</f>
        <v/>
      </c>
      <c r="AT99" s="1164" t="str">
        <f>IF(TABLERO!BB99=0,"",TABLERO!BX99&amp;" "&amp;TABLERO!ED99&amp;", "&amp;TABLERO!I99)</f>
        <v/>
      </c>
      <c r="AU99" s="1165"/>
      <c r="AV99" s="272" t="str">
        <f>IF(OR(TABLERO!BB99=0,TABLERO!H99="RE"),"",FIXED(TABLERO!BZ99,2))</f>
        <v/>
      </c>
      <c r="AW99" s="312" t="str">
        <f>IF(TABLERO!BB99=0,"",TABLERO!CA99)</f>
        <v/>
      </c>
      <c r="AX99" s="271" t="str">
        <f>IF(TABLERO!BB99=0,"",TABLERO!CB99)</f>
        <v/>
      </c>
      <c r="AY99" s="272" t="str">
        <f>IF(OR(TABLERO!BB99=0,TABLERO!H99="RE"),"",FIXED(TABLERO!DL99,2))</f>
        <v/>
      </c>
      <c r="AZ99" s="310" t="str">
        <f>IF(OR(TABLERO!BB99=0,TABLERO!H99="RE"),"",TABLERO!F99&amp;"P-"&amp;TABLERO!BW99&amp;"A")</f>
        <v/>
      </c>
      <c r="BA99" s="272" t="str">
        <f>IF(TABLERO!$BB99=0,"",IF(TABLERO!CI99="-","     -     ",FIXED(IF(TABLERO!$F$17&lt;&gt;"KVA",TABLERO!CI99,TABLERO!CI99/TABLERO!$F$14),2)))</f>
        <v/>
      </c>
      <c r="BB99" s="272" t="str">
        <f>IF(TABLERO!$BB99=0,"",IF(TABLERO!CJ99="-","     -     ",FIXED(IF(TABLERO!$F$17&lt;&gt;"KVA",TABLERO!CJ99,TABLERO!CJ99/TABLERO!$F$14),2)))</f>
        <v/>
      </c>
      <c r="BC99" s="272" t="str">
        <f>IF(TABLERO!$BB99=0,"",IF(TABLERO!CK99="-","     -     ",FIXED(IF(TABLERO!$F$17&lt;&gt;"KVA",TABLERO!CK99,TABLERO!CK99/TABLERO!$F$14),2)))</f>
        <v/>
      </c>
      <c r="BG99" s="275">
        <f>IF(TABLERO!B99="",0,TABLERO!B99)</f>
        <v>69</v>
      </c>
      <c r="BH99" s="275"/>
      <c r="BI99" s="275"/>
      <c r="BK99" s="275"/>
      <c r="BL99" s="289" t="str" cm="1">
        <f t="array" ref="BL99">[1]!ACAELE_LineaCAD(A99)</f>
        <v>++++++++++++++++++++++++++++++2</v>
      </c>
      <c r="BM99" s="279" t="str">
        <f t="shared" si="9"/>
        <v>69+</v>
      </c>
      <c r="BN99" s="304"/>
      <c r="BO99" s="304"/>
      <c r="BP99" s="304"/>
      <c r="BQ99" s="304"/>
      <c r="BR99" s="304"/>
      <c r="BS99" s="304"/>
      <c r="BT99" s="304"/>
      <c r="BU99" s="304"/>
      <c r="BV99" s="304"/>
      <c r="BW99" s="304"/>
      <c r="BX99" s="304"/>
      <c r="BY99" s="304"/>
      <c r="BZ99" s="304"/>
      <c r="CA99" s="304"/>
      <c r="CB99" s="304"/>
      <c r="CC99" s="304"/>
      <c r="CD99" s="304"/>
      <c r="CE99" s="304"/>
      <c r="CF99" s="304"/>
      <c r="CG99" s="304"/>
      <c r="CH99" s="304"/>
      <c r="CI99" s="304"/>
      <c r="CJ99" s="304"/>
      <c r="CK99" s="304"/>
      <c r="CL99" s="304"/>
      <c r="CM99" s="304"/>
      <c r="CN99" s="304"/>
      <c r="CO99" s="304"/>
      <c r="CP99" s="304"/>
      <c r="CQ99" s="304"/>
      <c r="CR99" s="305" t="str" cm="1">
        <f t="array" ref="CR99">CONCATENATE(BM99,_xlfn.TEXTJOIN("",TRUE,IF(BN$129:CQ$129&lt;&gt;"","+"&amp;D99:AG99,"")))</f>
        <v>69+</v>
      </c>
      <c r="CS99" s="279">
        <f t="shared" si="5"/>
        <v>30</v>
      </c>
      <c r="CT99" s="279" t="str">
        <f t="shared" si="8"/>
        <v>+++++++++++++++++++++++++++++++</v>
      </c>
      <c r="CU99" s="291" t="str">
        <f t="shared" si="10"/>
        <v>69++++++++++++++++++++++++++++++++2</v>
      </c>
      <c r="GB99" s="279" t="s">
        <v>1984</v>
      </c>
    </row>
    <row r="100" spans="1:184">
      <c r="A100" s="275">
        <f>IF(C100&lt;&gt;"",1,IF(AH100="",2,IF(OR(IF(TABLERO!B100="",0,TABLERO!B100)&gt;TABLERO!$M$19,IF(TABLERO!C100="",IF(TABLERO!B100="",0,TABLERO!B100),TABLERO!C100)&gt;TABLERO!$M$19,BI100&gt;TABLERO!$M$19,IF(TABLERO!B100="",0,TABLERO!B100)=0,IF(TABLERO!C100="",BG100,TABLERO!C100)=0,IF(TABLERO!D100="",BG100,TABLERO!D100)=0),2,1)))</f>
        <v>2</v>
      </c>
      <c r="B100" s="276" t="str">
        <f>TABLERO!B100&amp;IF(TABLERO!C100="","",","&amp;TABLERO!C100)&amp;IF(TABLERO!D100="","",","&amp;TABLERO!D100)</f>
        <v>70</v>
      </c>
      <c r="C100" s="269" t="str">
        <f>IF(TABLERO!E100=0,"",TABLERO!E100)</f>
        <v/>
      </c>
      <c r="D100" s="312" t="str">
        <f>IF(OR(TABLERO!X100="",TABLERO!X100=0),"",TABLERO!X100)</f>
        <v/>
      </c>
      <c r="E100" s="312" t="str">
        <f>IF(OR(TABLERO!Y100="",TABLERO!Y100=0),"",TABLERO!Y100)</f>
        <v/>
      </c>
      <c r="F100" s="312" t="str">
        <f>IF(OR(TABLERO!Z100="",TABLERO!Z100=0),"",TABLERO!Z100)</f>
        <v/>
      </c>
      <c r="G100" s="312" t="str">
        <f>IF(OR(TABLERO!AA100="",TABLERO!AA100=0),"",TABLERO!AA100)</f>
        <v/>
      </c>
      <c r="H100" s="312" t="str">
        <f>IF(OR(TABLERO!AB100="",TABLERO!AB100=0),"",TABLERO!AB100)</f>
        <v/>
      </c>
      <c r="I100" s="312" t="str">
        <f>IF(OR(TABLERO!AC100="",TABLERO!AC100=0),"",TABLERO!AC100)</f>
        <v/>
      </c>
      <c r="J100" s="312" t="str">
        <f>IF(OR(TABLERO!AD100="",TABLERO!AD100=0),"",TABLERO!AD100)</f>
        <v/>
      </c>
      <c r="K100" s="312" t="str">
        <f>IF(OR(TABLERO!AE100="",TABLERO!AE100=0),"",TABLERO!AE100)</f>
        <v/>
      </c>
      <c r="L100" s="312" t="str">
        <f>IF(OR(TABLERO!AF100="",TABLERO!AF100=0),"",TABLERO!AF100)</f>
        <v/>
      </c>
      <c r="M100" s="312" t="str">
        <f>IF(OR(TABLERO!AG100="",TABLERO!AG100=0),"",TABLERO!AG100)</f>
        <v/>
      </c>
      <c r="N100" s="312" t="str">
        <f>IF(OR(TABLERO!AH100="",TABLERO!AH100=0),"",TABLERO!AH100)</f>
        <v/>
      </c>
      <c r="O100" s="312" t="str">
        <f>IF(OR(TABLERO!AI100="",TABLERO!AI100=0),"",TABLERO!AI100)</f>
        <v/>
      </c>
      <c r="P100" s="312" t="str">
        <f>IF(OR(TABLERO!AJ100="",TABLERO!AJ100=0),"",TABLERO!AJ100)</f>
        <v/>
      </c>
      <c r="Q100" s="312" t="str">
        <f>IF(OR(TABLERO!AK100="",TABLERO!AK100=0),"",TABLERO!AK100)</f>
        <v/>
      </c>
      <c r="R100" s="312" t="str">
        <f>IF(OR(TABLERO!AL100="",TABLERO!AL100=0),"",TABLERO!AL100)</f>
        <v/>
      </c>
      <c r="S100" s="312" t="str">
        <f>IF(OR(TABLERO!AM100="",TABLERO!AM100=0),"",TABLERO!AM100)</f>
        <v/>
      </c>
      <c r="T100" s="312" t="str">
        <f>IF(OR(TABLERO!AN100="",TABLERO!AN100=0),"",TABLERO!AN100)</f>
        <v/>
      </c>
      <c r="U100" s="312" t="str">
        <f>IF(OR(TABLERO!AO100="",TABLERO!AO100=0),"",TABLERO!AO100)</f>
        <v/>
      </c>
      <c r="V100" s="312" t="str">
        <f>IF(OR(TABLERO!AP100="",TABLERO!AP100=0),"",TABLERO!AP100)</f>
        <v/>
      </c>
      <c r="W100" s="312" t="str">
        <f>IF(OR(TABLERO!AQ100="",TABLERO!AQ100=0),"",TABLERO!AQ100)</f>
        <v/>
      </c>
      <c r="X100" s="312" t="str">
        <f>IF(OR(TABLERO!AR100="",TABLERO!AR100=0),"",TABLERO!AR100)</f>
        <v/>
      </c>
      <c r="Y100" s="312" t="str">
        <f>IF(OR(TABLERO!AS100="",TABLERO!AS100=0),"",TABLERO!AS100)</f>
        <v/>
      </c>
      <c r="Z100" s="312" t="str">
        <f>IF(OR(TABLERO!AT100="",TABLERO!AT100=0),"",TABLERO!AT100)</f>
        <v/>
      </c>
      <c r="AA100" s="312" t="str">
        <f>IF(OR(TABLERO!AU100="",TABLERO!AU100=0),"",TABLERO!AU100)</f>
        <v/>
      </c>
      <c r="AB100" s="312" t="str">
        <f>IF(OR(TABLERO!AV100="",TABLERO!AV100=0),"",TABLERO!AV100)</f>
        <v/>
      </c>
      <c r="AC100" s="312" t="str">
        <f>IF(OR(TABLERO!AW100="",TABLERO!AW100=0),"",TABLERO!AW100)</f>
        <v/>
      </c>
      <c r="AD100" s="312" t="str">
        <f>IF(OR(TABLERO!AX100="",TABLERO!AX100=0),"",TABLERO!AX100)</f>
        <v/>
      </c>
      <c r="AE100" s="312" t="str">
        <f>IF(OR(TABLERO!AY100="",TABLERO!AY100=0),"",TABLERO!AY100)</f>
        <v/>
      </c>
      <c r="AF100" s="312" t="str">
        <f>IF(OR(TABLERO!AZ100="",TABLERO!AZ100=0),"",TABLERO!AZ100)</f>
        <v/>
      </c>
      <c r="AG100" s="312" t="str">
        <f>IF(OR(TABLERO!BA100="",TABLERO!BA100=0),"",TABLERO!BA100)</f>
        <v/>
      </c>
      <c r="AH100" s="277" t="str">
        <f>IF(TABLERO!BB100=0,"",FIXED(IF(TABLERO!$F$17&lt;&gt;"KVA",TABLERO!BB100*1000,TABLERO!BB100*1000/TABLERO!DA100),2))</f>
        <v/>
      </c>
      <c r="AI100" s="277" t="str">
        <f>IF(TABLERO!BB100=0,"",FIXED(IF(TABLERO!$F$17&lt;&gt;"KVA",TABLERO!BT100*1000,TABLERO!BT100*1000/TABLERO!DA100),2))</f>
        <v/>
      </c>
      <c r="AJ100" s="272" t="str">
        <f>IF(OR(TABLERO!BU100="",TABLERO!BU100=0),"",FIXED(TABLERO!BU100,2))</f>
        <v/>
      </c>
      <c r="AK100" s="312" t="str">
        <f>IF(TABLERO!BB100=0,"",TABLERO!F100)</f>
        <v/>
      </c>
      <c r="AL100" s="312" t="str">
        <f>IF(TABLERO!BB100=0,"",TABLERO!G100)</f>
        <v/>
      </c>
      <c r="AM100" s="312" t="str">
        <f>IF(TABLERO!BB100=0,"",TABLERO!BV100)</f>
        <v/>
      </c>
      <c r="AN100" s="272" t="str">
        <f>IF(TABLERO!BB100=0,"",TABLERO!K100)</f>
        <v/>
      </c>
      <c r="AO100" s="312" t="str">
        <f>IF(TABLERO!BB100=0,"",TABLERO!J100)</f>
        <v/>
      </c>
      <c r="AP100" s="272" t="str">
        <f>IF(TABLERO!BB100=0,"",TABLERO!CT100)</f>
        <v/>
      </c>
      <c r="AQ100" s="272" t="str">
        <f>IF(TABLERO!BB100=0,"",TABLERO!CS100)</f>
        <v/>
      </c>
      <c r="AR100" s="272" t="str">
        <f>IF(OR(TABLERO!BB100=0,TABLERO!H100="RE"),"",FIXED(TABLERO!CY100,2))</f>
        <v/>
      </c>
      <c r="AS100" s="312" t="str">
        <f>IF(TABLERO!BB100=0,"",TABLERO!N100)</f>
        <v/>
      </c>
      <c r="AT100" s="1164" t="str">
        <f>IF(TABLERO!BB100=0,"",TABLERO!BX100&amp;" "&amp;TABLERO!ED100&amp;", "&amp;TABLERO!I100)</f>
        <v/>
      </c>
      <c r="AU100" s="1165"/>
      <c r="AV100" s="272" t="str">
        <f>IF(OR(TABLERO!BB100=0,TABLERO!H100="RE"),"",FIXED(TABLERO!BZ100,2))</f>
        <v/>
      </c>
      <c r="AW100" s="312" t="str">
        <f>IF(TABLERO!BB100=0,"",TABLERO!CA100)</f>
        <v/>
      </c>
      <c r="AX100" s="271" t="str">
        <f>IF(TABLERO!BB100=0,"",TABLERO!CB100)</f>
        <v/>
      </c>
      <c r="AY100" s="272" t="str">
        <f>IF(OR(TABLERO!BB100=0,TABLERO!H100="RE"),"",FIXED(TABLERO!DL100,2))</f>
        <v/>
      </c>
      <c r="AZ100" s="310" t="str">
        <f>IF(OR(TABLERO!BB100=0,TABLERO!H100="RE"),"",TABLERO!F100&amp;"P-"&amp;TABLERO!BW100&amp;"A")</f>
        <v/>
      </c>
      <c r="BA100" s="272" t="str">
        <f>IF(TABLERO!$BB100=0,"",IF(TABLERO!CI100="-","     -     ",FIXED(IF(TABLERO!$F$17&lt;&gt;"KVA",TABLERO!CI100,TABLERO!CI100/TABLERO!$F$14),2)))</f>
        <v/>
      </c>
      <c r="BB100" s="272" t="str">
        <f>IF(TABLERO!$BB100=0,"",IF(TABLERO!CJ100="-","     -     ",FIXED(IF(TABLERO!$F$17&lt;&gt;"KVA",TABLERO!CJ100,TABLERO!CJ100/TABLERO!$F$14),2)))</f>
        <v/>
      </c>
      <c r="BC100" s="272" t="str">
        <f>IF(TABLERO!$BB100=0,"",IF(TABLERO!CK100="-","     -     ",FIXED(IF(TABLERO!$F$17&lt;&gt;"KVA",TABLERO!CK100,TABLERO!CK100/TABLERO!$F$14),2)))</f>
        <v/>
      </c>
      <c r="BG100" s="275">
        <f>IF(TABLERO!B100="",0,TABLERO!B100)</f>
        <v>70</v>
      </c>
      <c r="BH100" s="275"/>
      <c r="BI100" s="275"/>
      <c r="BK100" s="275"/>
      <c r="BL100" s="289" t="str" cm="1">
        <f t="array" ref="BL100">[1]!ACAELE_LineaCAD(A100)</f>
        <v>++++++++++++++++++++++++++++++2</v>
      </c>
      <c r="BM100" s="279" t="str">
        <f t="shared" si="9"/>
        <v>70+</v>
      </c>
      <c r="BN100" s="304"/>
      <c r="BO100" s="304"/>
      <c r="BP100" s="304"/>
      <c r="BQ100" s="304"/>
      <c r="BR100" s="304"/>
      <c r="BS100" s="304"/>
      <c r="BT100" s="304"/>
      <c r="BU100" s="304"/>
      <c r="BV100" s="304"/>
      <c r="BW100" s="304"/>
      <c r="BX100" s="304"/>
      <c r="BY100" s="304"/>
      <c r="BZ100" s="304"/>
      <c r="CA100" s="304"/>
      <c r="CB100" s="304"/>
      <c r="CC100" s="304"/>
      <c r="CD100" s="304"/>
      <c r="CE100" s="304"/>
      <c r="CF100" s="304"/>
      <c r="CG100" s="304"/>
      <c r="CH100" s="304"/>
      <c r="CI100" s="304"/>
      <c r="CJ100" s="304"/>
      <c r="CK100" s="304"/>
      <c r="CL100" s="304"/>
      <c r="CM100" s="304"/>
      <c r="CN100" s="304"/>
      <c r="CO100" s="304"/>
      <c r="CP100" s="304"/>
      <c r="CQ100" s="304"/>
      <c r="CR100" s="305" t="str" cm="1">
        <f t="array" ref="CR100">CONCATENATE(BM100,_xlfn.TEXTJOIN("",TRUE,IF(BN$129:CQ$129&lt;&gt;"","+"&amp;D100:AG100,"")))</f>
        <v>70+</v>
      </c>
      <c r="CS100" s="279">
        <f t="shared" si="5"/>
        <v>30</v>
      </c>
      <c r="CT100" s="279" t="str">
        <f t="shared" si="8"/>
        <v>+++++++++++++++++++++++++++++++</v>
      </c>
      <c r="CU100" s="291" t="str">
        <f t="shared" si="10"/>
        <v>70++++++++++++++++++++++++++++++++2</v>
      </c>
      <c r="GB100" s="279" t="s">
        <v>1985</v>
      </c>
    </row>
    <row r="101" spans="1:184">
      <c r="A101" s="275">
        <f>IF(C101&lt;&gt;"",1,IF(AH101="",2,IF(OR(IF(TABLERO!B101="",0,TABLERO!B101)&gt;TABLERO!$M$19,IF(TABLERO!C101="",IF(TABLERO!B101="",0,TABLERO!B101),TABLERO!C101)&gt;TABLERO!$M$19,BI101&gt;TABLERO!$M$19,IF(TABLERO!B101="",0,TABLERO!B101)=0,IF(TABLERO!C101="",BG101,TABLERO!C101)=0,IF(TABLERO!D101="",BG101,TABLERO!D101)=0),2,1)))</f>
        <v>2</v>
      </c>
      <c r="B101" s="276" t="str">
        <f>TABLERO!B101&amp;IF(TABLERO!C101="","",","&amp;TABLERO!C101)&amp;IF(TABLERO!D101="","",","&amp;TABLERO!D101)</f>
        <v>71</v>
      </c>
      <c r="C101" s="269" t="str">
        <f>IF(TABLERO!E101=0,"",TABLERO!E101)</f>
        <v/>
      </c>
      <c r="D101" s="312" t="str">
        <f>IF(OR(TABLERO!X101="",TABLERO!X101=0),"",TABLERO!X101)</f>
        <v/>
      </c>
      <c r="E101" s="312" t="str">
        <f>IF(OR(TABLERO!Y101="",TABLERO!Y101=0),"",TABLERO!Y101)</f>
        <v/>
      </c>
      <c r="F101" s="312" t="str">
        <f>IF(OR(TABLERO!Z101="",TABLERO!Z101=0),"",TABLERO!Z101)</f>
        <v/>
      </c>
      <c r="G101" s="312" t="str">
        <f>IF(OR(TABLERO!AA101="",TABLERO!AA101=0),"",TABLERO!AA101)</f>
        <v/>
      </c>
      <c r="H101" s="312" t="str">
        <f>IF(OR(TABLERO!AB101="",TABLERO!AB101=0),"",TABLERO!AB101)</f>
        <v/>
      </c>
      <c r="I101" s="312" t="str">
        <f>IF(OR(TABLERO!AC101="",TABLERO!AC101=0),"",TABLERO!AC101)</f>
        <v/>
      </c>
      <c r="J101" s="312" t="str">
        <f>IF(OR(TABLERO!AD101="",TABLERO!AD101=0),"",TABLERO!AD101)</f>
        <v/>
      </c>
      <c r="K101" s="312" t="str">
        <f>IF(OR(TABLERO!AE101="",TABLERO!AE101=0),"",TABLERO!AE101)</f>
        <v/>
      </c>
      <c r="L101" s="312" t="str">
        <f>IF(OR(TABLERO!AF101="",TABLERO!AF101=0),"",TABLERO!AF101)</f>
        <v/>
      </c>
      <c r="M101" s="312" t="str">
        <f>IF(OR(TABLERO!AG101="",TABLERO!AG101=0),"",TABLERO!AG101)</f>
        <v/>
      </c>
      <c r="N101" s="312" t="str">
        <f>IF(OR(TABLERO!AH101="",TABLERO!AH101=0),"",TABLERO!AH101)</f>
        <v/>
      </c>
      <c r="O101" s="312" t="str">
        <f>IF(OR(TABLERO!AI101="",TABLERO!AI101=0),"",TABLERO!AI101)</f>
        <v/>
      </c>
      <c r="P101" s="312" t="str">
        <f>IF(OR(TABLERO!AJ101="",TABLERO!AJ101=0),"",TABLERO!AJ101)</f>
        <v/>
      </c>
      <c r="Q101" s="312" t="str">
        <f>IF(OR(TABLERO!AK101="",TABLERO!AK101=0),"",TABLERO!AK101)</f>
        <v/>
      </c>
      <c r="R101" s="312" t="str">
        <f>IF(OR(TABLERO!AL101="",TABLERO!AL101=0),"",TABLERO!AL101)</f>
        <v/>
      </c>
      <c r="S101" s="312" t="str">
        <f>IF(OR(TABLERO!AM101="",TABLERO!AM101=0),"",TABLERO!AM101)</f>
        <v/>
      </c>
      <c r="T101" s="312" t="str">
        <f>IF(OR(TABLERO!AN101="",TABLERO!AN101=0),"",TABLERO!AN101)</f>
        <v/>
      </c>
      <c r="U101" s="312" t="str">
        <f>IF(OR(TABLERO!AO101="",TABLERO!AO101=0),"",TABLERO!AO101)</f>
        <v/>
      </c>
      <c r="V101" s="312" t="str">
        <f>IF(OR(TABLERO!AP101="",TABLERO!AP101=0),"",TABLERO!AP101)</f>
        <v/>
      </c>
      <c r="W101" s="312" t="str">
        <f>IF(OR(TABLERO!AQ101="",TABLERO!AQ101=0),"",TABLERO!AQ101)</f>
        <v/>
      </c>
      <c r="X101" s="312" t="str">
        <f>IF(OR(TABLERO!AR101="",TABLERO!AR101=0),"",TABLERO!AR101)</f>
        <v/>
      </c>
      <c r="Y101" s="312" t="str">
        <f>IF(OR(TABLERO!AS101="",TABLERO!AS101=0),"",TABLERO!AS101)</f>
        <v/>
      </c>
      <c r="Z101" s="312" t="str">
        <f>IF(OR(TABLERO!AT101="",TABLERO!AT101=0),"",TABLERO!AT101)</f>
        <v/>
      </c>
      <c r="AA101" s="312" t="str">
        <f>IF(OR(TABLERO!AU101="",TABLERO!AU101=0),"",TABLERO!AU101)</f>
        <v/>
      </c>
      <c r="AB101" s="312" t="str">
        <f>IF(OR(TABLERO!AV101="",TABLERO!AV101=0),"",TABLERO!AV101)</f>
        <v/>
      </c>
      <c r="AC101" s="312" t="str">
        <f>IF(OR(TABLERO!AW101="",TABLERO!AW101=0),"",TABLERO!AW101)</f>
        <v/>
      </c>
      <c r="AD101" s="312" t="str">
        <f>IF(OR(TABLERO!AX101="",TABLERO!AX101=0),"",TABLERO!AX101)</f>
        <v/>
      </c>
      <c r="AE101" s="312" t="str">
        <f>IF(OR(TABLERO!AY101="",TABLERO!AY101=0),"",TABLERO!AY101)</f>
        <v/>
      </c>
      <c r="AF101" s="312" t="str">
        <f>IF(OR(TABLERO!AZ101="",TABLERO!AZ101=0),"",TABLERO!AZ101)</f>
        <v/>
      </c>
      <c r="AG101" s="312" t="str">
        <f>IF(OR(TABLERO!BA101="",TABLERO!BA101=0),"",TABLERO!BA101)</f>
        <v/>
      </c>
      <c r="AH101" s="277" t="str">
        <f>IF(TABLERO!BB101=0,"",FIXED(IF(TABLERO!$F$17&lt;&gt;"KVA",TABLERO!BB101*1000,TABLERO!BB101*1000/TABLERO!DA101),2))</f>
        <v/>
      </c>
      <c r="AI101" s="277" t="str">
        <f>IF(TABLERO!BB101=0,"",FIXED(IF(TABLERO!$F$17&lt;&gt;"KVA",TABLERO!BT101*1000,TABLERO!BT101*1000/TABLERO!DA101),2))</f>
        <v/>
      </c>
      <c r="AJ101" s="272" t="str">
        <f>IF(OR(TABLERO!BU101="",TABLERO!BU101=0),"",FIXED(TABLERO!BU101,2))</f>
        <v/>
      </c>
      <c r="AK101" s="312" t="str">
        <f>IF(TABLERO!BB101=0,"",TABLERO!F101)</f>
        <v/>
      </c>
      <c r="AL101" s="312" t="str">
        <f>IF(TABLERO!BB101=0,"",TABLERO!G101)</f>
        <v/>
      </c>
      <c r="AM101" s="312" t="str">
        <f>IF(TABLERO!BB101=0,"",TABLERO!BV101)</f>
        <v/>
      </c>
      <c r="AN101" s="272" t="str">
        <f>IF(TABLERO!BB101=0,"",TABLERO!K101)</f>
        <v/>
      </c>
      <c r="AO101" s="312" t="str">
        <f>IF(TABLERO!BB101=0,"",TABLERO!J101)</f>
        <v/>
      </c>
      <c r="AP101" s="272" t="str">
        <f>IF(TABLERO!BB101=0,"",TABLERO!CT101)</f>
        <v/>
      </c>
      <c r="AQ101" s="272" t="str">
        <f>IF(TABLERO!BB101=0,"",TABLERO!CS101)</f>
        <v/>
      </c>
      <c r="AR101" s="272" t="str">
        <f>IF(OR(TABLERO!BB101=0,TABLERO!H101="RE"),"",FIXED(TABLERO!CY101,2))</f>
        <v/>
      </c>
      <c r="AS101" s="312" t="str">
        <f>IF(TABLERO!BB101=0,"",TABLERO!N101)</f>
        <v/>
      </c>
      <c r="AT101" s="1164" t="str">
        <f>IF(TABLERO!BB101=0,"",TABLERO!BX101&amp;" "&amp;TABLERO!ED101&amp;", "&amp;TABLERO!I101)</f>
        <v/>
      </c>
      <c r="AU101" s="1165"/>
      <c r="AV101" s="272" t="str">
        <f>IF(OR(TABLERO!BB101=0,TABLERO!H101="RE"),"",FIXED(TABLERO!BZ101,2))</f>
        <v/>
      </c>
      <c r="AW101" s="312" t="str">
        <f>IF(TABLERO!BB101=0,"",TABLERO!CA101)</f>
        <v/>
      </c>
      <c r="AX101" s="271" t="str">
        <f>IF(TABLERO!BB101=0,"",TABLERO!CB101)</f>
        <v/>
      </c>
      <c r="AY101" s="272" t="str">
        <f>IF(OR(TABLERO!BB101=0,TABLERO!H101="RE"),"",FIXED(TABLERO!DL101,2))</f>
        <v/>
      </c>
      <c r="AZ101" s="310" t="str">
        <f>IF(OR(TABLERO!BB101=0,TABLERO!H101="RE"),"",TABLERO!F101&amp;"P-"&amp;TABLERO!BW101&amp;"A")</f>
        <v/>
      </c>
      <c r="BA101" s="272" t="str">
        <f>IF(TABLERO!$BB101=0,"",IF(TABLERO!CI101="-","     -     ",FIXED(IF(TABLERO!$F$17&lt;&gt;"KVA",TABLERO!CI101,TABLERO!CI101/TABLERO!$F$14),2)))</f>
        <v/>
      </c>
      <c r="BB101" s="272" t="str">
        <f>IF(TABLERO!$BB101=0,"",IF(TABLERO!CJ101="-","     -     ",FIXED(IF(TABLERO!$F$17&lt;&gt;"KVA",TABLERO!CJ101,TABLERO!CJ101/TABLERO!$F$14),2)))</f>
        <v/>
      </c>
      <c r="BC101" s="272" t="str">
        <f>IF(TABLERO!$BB101=0,"",IF(TABLERO!CK101="-","     -     ",FIXED(IF(TABLERO!$F$17&lt;&gt;"KVA",TABLERO!CK101,TABLERO!CK101/TABLERO!$F$14),2)))</f>
        <v/>
      </c>
      <c r="BG101" s="275">
        <f>IF(TABLERO!B101="",0,TABLERO!B101)</f>
        <v>71</v>
      </c>
      <c r="BH101" s="275"/>
      <c r="BI101" s="275"/>
      <c r="BK101" s="275"/>
      <c r="BL101" s="289" t="str" cm="1">
        <f t="array" ref="BL101">[1]!ACAELE_LineaCAD(A101)</f>
        <v>++++++++++++++++++++++++++++++2</v>
      </c>
      <c r="BM101" s="279" t="str">
        <f t="shared" si="9"/>
        <v>71+</v>
      </c>
      <c r="BN101" s="304"/>
      <c r="BO101" s="304"/>
      <c r="BP101" s="304"/>
      <c r="BQ101" s="304"/>
      <c r="BR101" s="304"/>
      <c r="BS101" s="304"/>
      <c r="BT101" s="304"/>
      <c r="BU101" s="304"/>
      <c r="BV101" s="304"/>
      <c r="BW101" s="304"/>
      <c r="BX101" s="304"/>
      <c r="BY101" s="304"/>
      <c r="BZ101" s="304"/>
      <c r="CA101" s="304"/>
      <c r="CB101" s="304"/>
      <c r="CC101" s="304"/>
      <c r="CD101" s="304"/>
      <c r="CE101" s="304"/>
      <c r="CF101" s="304"/>
      <c r="CG101" s="304"/>
      <c r="CH101" s="304"/>
      <c r="CI101" s="304"/>
      <c r="CJ101" s="304"/>
      <c r="CK101" s="304"/>
      <c r="CL101" s="304"/>
      <c r="CM101" s="304"/>
      <c r="CN101" s="304"/>
      <c r="CO101" s="304"/>
      <c r="CP101" s="304"/>
      <c r="CQ101" s="304"/>
      <c r="CR101" s="305" t="str" cm="1">
        <f t="array" ref="CR101">CONCATENATE(BM101,_xlfn.TEXTJOIN("",TRUE,IF(BN$129:CQ$129&lt;&gt;"","+"&amp;D101:AG101,"")))</f>
        <v>71+</v>
      </c>
      <c r="CS101" s="279">
        <f t="shared" si="5"/>
        <v>30</v>
      </c>
      <c r="CT101" s="279" t="str">
        <f t="shared" si="8"/>
        <v>+++++++++++++++++++++++++++++++</v>
      </c>
      <c r="CU101" s="291" t="str">
        <f t="shared" si="10"/>
        <v>71++++++++++++++++++++++++++++++++2</v>
      </c>
      <c r="GB101" s="279" t="s">
        <v>1986</v>
      </c>
    </row>
    <row r="102" spans="1:184">
      <c r="A102" s="275">
        <f>IF(C102&lt;&gt;"",1,IF(AH102="",2,IF(OR(IF(TABLERO!B102="",0,TABLERO!B102)&gt;TABLERO!$M$19,IF(TABLERO!C102="",IF(TABLERO!B102="",0,TABLERO!B102),TABLERO!C102)&gt;TABLERO!$M$19,BI102&gt;TABLERO!$M$19,IF(TABLERO!B102="",0,TABLERO!B102)=0,IF(TABLERO!C102="",BG102,TABLERO!C102)=0,IF(TABLERO!D102="",BG102,TABLERO!D102)=0),2,1)))</f>
        <v>2</v>
      </c>
      <c r="B102" s="276" t="str">
        <f>TABLERO!B102&amp;IF(TABLERO!C102="","",","&amp;TABLERO!C102)&amp;IF(TABLERO!D102="","",","&amp;TABLERO!D102)</f>
        <v>72</v>
      </c>
      <c r="C102" s="269" t="str">
        <f>IF(TABLERO!E102=0,"",TABLERO!E102)</f>
        <v/>
      </c>
      <c r="D102" s="312" t="str">
        <f>IF(OR(TABLERO!X102="",TABLERO!X102=0),"",TABLERO!X102)</f>
        <v/>
      </c>
      <c r="E102" s="312" t="str">
        <f>IF(OR(TABLERO!Y102="",TABLERO!Y102=0),"",TABLERO!Y102)</f>
        <v/>
      </c>
      <c r="F102" s="312" t="str">
        <f>IF(OR(TABLERO!Z102="",TABLERO!Z102=0),"",TABLERO!Z102)</f>
        <v/>
      </c>
      <c r="G102" s="312" t="str">
        <f>IF(OR(TABLERO!AA102="",TABLERO!AA102=0),"",TABLERO!AA102)</f>
        <v/>
      </c>
      <c r="H102" s="312" t="str">
        <f>IF(OR(TABLERO!AB102="",TABLERO!AB102=0),"",TABLERO!AB102)</f>
        <v/>
      </c>
      <c r="I102" s="312" t="str">
        <f>IF(OR(TABLERO!AC102="",TABLERO!AC102=0),"",TABLERO!AC102)</f>
        <v/>
      </c>
      <c r="J102" s="312" t="str">
        <f>IF(OR(TABLERO!AD102="",TABLERO!AD102=0),"",TABLERO!AD102)</f>
        <v/>
      </c>
      <c r="K102" s="312" t="str">
        <f>IF(OR(TABLERO!AE102="",TABLERO!AE102=0),"",TABLERO!AE102)</f>
        <v/>
      </c>
      <c r="L102" s="312" t="str">
        <f>IF(OR(TABLERO!AF102="",TABLERO!AF102=0),"",TABLERO!AF102)</f>
        <v/>
      </c>
      <c r="M102" s="312" t="str">
        <f>IF(OR(TABLERO!AG102="",TABLERO!AG102=0),"",TABLERO!AG102)</f>
        <v/>
      </c>
      <c r="N102" s="312" t="str">
        <f>IF(OR(TABLERO!AH102="",TABLERO!AH102=0),"",TABLERO!AH102)</f>
        <v/>
      </c>
      <c r="O102" s="312" t="str">
        <f>IF(OR(TABLERO!AI102="",TABLERO!AI102=0),"",TABLERO!AI102)</f>
        <v/>
      </c>
      <c r="P102" s="312" t="str">
        <f>IF(OR(TABLERO!AJ102="",TABLERO!AJ102=0),"",TABLERO!AJ102)</f>
        <v/>
      </c>
      <c r="Q102" s="312" t="str">
        <f>IF(OR(TABLERO!AK102="",TABLERO!AK102=0),"",TABLERO!AK102)</f>
        <v/>
      </c>
      <c r="R102" s="312" t="str">
        <f>IF(OR(TABLERO!AL102="",TABLERO!AL102=0),"",TABLERO!AL102)</f>
        <v/>
      </c>
      <c r="S102" s="312" t="str">
        <f>IF(OR(TABLERO!AM102="",TABLERO!AM102=0),"",TABLERO!AM102)</f>
        <v/>
      </c>
      <c r="T102" s="312" t="str">
        <f>IF(OR(TABLERO!AN102="",TABLERO!AN102=0),"",TABLERO!AN102)</f>
        <v/>
      </c>
      <c r="U102" s="312" t="str">
        <f>IF(OR(TABLERO!AO102="",TABLERO!AO102=0),"",TABLERO!AO102)</f>
        <v/>
      </c>
      <c r="V102" s="312" t="str">
        <f>IF(OR(TABLERO!AP102="",TABLERO!AP102=0),"",TABLERO!AP102)</f>
        <v/>
      </c>
      <c r="W102" s="312" t="str">
        <f>IF(OR(TABLERO!AQ102="",TABLERO!AQ102=0),"",TABLERO!AQ102)</f>
        <v/>
      </c>
      <c r="X102" s="312" t="str">
        <f>IF(OR(TABLERO!AR102="",TABLERO!AR102=0),"",TABLERO!AR102)</f>
        <v/>
      </c>
      <c r="Y102" s="312" t="str">
        <f>IF(OR(TABLERO!AS102="",TABLERO!AS102=0),"",TABLERO!AS102)</f>
        <v/>
      </c>
      <c r="Z102" s="312" t="str">
        <f>IF(OR(TABLERO!AT102="",TABLERO!AT102=0),"",TABLERO!AT102)</f>
        <v/>
      </c>
      <c r="AA102" s="312" t="str">
        <f>IF(OR(TABLERO!AU102="",TABLERO!AU102=0),"",TABLERO!AU102)</f>
        <v/>
      </c>
      <c r="AB102" s="312" t="str">
        <f>IF(OR(TABLERO!AV102="",TABLERO!AV102=0),"",TABLERO!AV102)</f>
        <v/>
      </c>
      <c r="AC102" s="312" t="str">
        <f>IF(OR(TABLERO!AW102="",TABLERO!AW102=0),"",TABLERO!AW102)</f>
        <v/>
      </c>
      <c r="AD102" s="312" t="str">
        <f>IF(OR(TABLERO!AX102="",TABLERO!AX102=0),"",TABLERO!AX102)</f>
        <v/>
      </c>
      <c r="AE102" s="312" t="str">
        <f>IF(OR(TABLERO!AY102="",TABLERO!AY102=0),"",TABLERO!AY102)</f>
        <v/>
      </c>
      <c r="AF102" s="312" t="str">
        <f>IF(OR(TABLERO!AZ102="",TABLERO!AZ102=0),"",TABLERO!AZ102)</f>
        <v/>
      </c>
      <c r="AG102" s="312" t="str">
        <f>IF(OR(TABLERO!BA102="",TABLERO!BA102=0),"",TABLERO!BA102)</f>
        <v/>
      </c>
      <c r="AH102" s="277" t="str">
        <f>IF(TABLERO!BB102=0,"",FIXED(IF(TABLERO!$F$17&lt;&gt;"KVA",TABLERO!BB102*1000,TABLERO!BB102*1000/TABLERO!DA102),2))</f>
        <v/>
      </c>
      <c r="AI102" s="277" t="str">
        <f>IF(TABLERO!BB102=0,"",FIXED(IF(TABLERO!$F$17&lt;&gt;"KVA",TABLERO!BT102*1000,TABLERO!BT102*1000/TABLERO!DA102),2))</f>
        <v/>
      </c>
      <c r="AJ102" s="272" t="str">
        <f>IF(OR(TABLERO!BU102="",TABLERO!BU102=0),"",FIXED(TABLERO!BU102,2))</f>
        <v/>
      </c>
      <c r="AK102" s="312" t="str">
        <f>IF(TABLERO!BB102=0,"",TABLERO!F102)</f>
        <v/>
      </c>
      <c r="AL102" s="312" t="str">
        <f>IF(TABLERO!BB102=0,"",TABLERO!G102)</f>
        <v/>
      </c>
      <c r="AM102" s="312" t="str">
        <f>IF(TABLERO!BB102=0,"",TABLERO!BV102)</f>
        <v/>
      </c>
      <c r="AN102" s="272" t="str">
        <f>IF(TABLERO!BB102=0,"",TABLERO!K102)</f>
        <v/>
      </c>
      <c r="AO102" s="312" t="str">
        <f>IF(TABLERO!BB102=0,"",TABLERO!J102)</f>
        <v/>
      </c>
      <c r="AP102" s="272" t="str">
        <f>IF(TABLERO!BB102=0,"",TABLERO!CT102)</f>
        <v/>
      </c>
      <c r="AQ102" s="272" t="str">
        <f>IF(TABLERO!BB102=0,"",TABLERO!CS102)</f>
        <v/>
      </c>
      <c r="AR102" s="272" t="str">
        <f>IF(OR(TABLERO!BB102=0,TABLERO!H102="RE"),"",FIXED(TABLERO!CY102,2))</f>
        <v/>
      </c>
      <c r="AS102" s="312" t="str">
        <f>IF(TABLERO!BB102=0,"",TABLERO!N102)</f>
        <v/>
      </c>
      <c r="AT102" s="1164" t="str">
        <f>IF(TABLERO!BB102=0,"",TABLERO!BX102&amp;" "&amp;TABLERO!ED102&amp;", "&amp;TABLERO!I102)</f>
        <v/>
      </c>
      <c r="AU102" s="1165"/>
      <c r="AV102" s="272" t="str">
        <f>IF(OR(TABLERO!BB102=0,TABLERO!H102="RE"),"",FIXED(TABLERO!BZ102,2))</f>
        <v/>
      </c>
      <c r="AW102" s="312" t="str">
        <f>IF(TABLERO!BB102=0,"",TABLERO!CA102)</f>
        <v/>
      </c>
      <c r="AX102" s="271" t="str">
        <f>IF(TABLERO!BB102=0,"",TABLERO!CB102)</f>
        <v/>
      </c>
      <c r="AY102" s="272" t="str">
        <f>IF(OR(TABLERO!BB102=0,TABLERO!H102="RE"),"",FIXED(TABLERO!DL102,2))</f>
        <v/>
      </c>
      <c r="AZ102" s="310" t="str">
        <f>IF(OR(TABLERO!BB102=0,TABLERO!H102="RE"),"",TABLERO!F102&amp;"P-"&amp;TABLERO!BW102&amp;"A")</f>
        <v/>
      </c>
      <c r="BA102" s="272" t="str">
        <f>IF(TABLERO!$BB102=0,"",IF(TABLERO!CI102="-","     -     ",FIXED(IF(TABLERO!$F$17&lt;&gt;"KVA",TABLERO!CI102,TABLERO!CI102/TABLERO!$F$14),2)))</f>
        <v/>
      </c>
      <c r="BB102" s="272" t="str">
        <f>IF(TABLERO!$BB102=0,"",IF(TABLERO!CJ102="-","     -     ",FIXED(IF(TABLERO!$F$17&lt;&gt;"KVA",TABLERO!CJ102,TABLERO!CJ102/TABLERO!$F$14),2)))</f>
        <v/>
      </c>
      <c r="BC102" s="272" t="str">
        <f>IF(TABLERO!$BB102=0,"",IF(TABLERO!CK102="-","     -     ",FIXED(IF(TABLERO!$F$17&lt;&gt;"KVA",TABLERO!CK102,TABLERO!CK102/TABLERO!$F$14),2)))</f>
        <v/>
      </c>
      <c r="BG102" s="275">
        <f>IF(TABLERO!B102="",0,TABLERO!B102)</f>
        <v>72</v>
      </c>
      <c r="BH102" s="275"/>
      <c r="BI102" s="275"/>
      <c r="BK102" s="275"/>
      <c r="BL102" s="289" t="str" cm="1">
        <f t="array" ref="BL102">[1]!ACAELE_LineaCAD(A102)</f>
        <v>++++++++++++++++++++++++++++++2</v>
      </c>
      <c r="BM102" s="279" t="str">
        <f t="shared" si="9"/>
        <v>72+</v>
      </c>
      <c r="BN102" s="304"/>
      <c r="BO102" s="304"/>
      <c r="BP102" s="304"/>
      <c r="BQ102" s="304"/>
      <c r="BR102" s="304"/>
      <c r="BS102" s="304"/>
      <c r="BT102" s="304"/>
      <c r="BU102" s="304"/>
      <c r="BV102" s="304"/>
      <c r="BW102" s="304"/>
      <c r="BX102" s="304"/>
      <c r="BY102" s="304"/>
      <c r="BZ102" s="304"/>
      <c r="CA102" s="304"/>
      <c r="CB102" s="304"/>
      <c r="CC102" s="304"/>
      <c r="CD102" s="304"/>
      <c r="CE102" s="304"/>
      <c r="CF102" s="304"/>
      <c r="CG102" s="304"/>
      <c r="CH102" s="304"/>
      <c r="CI102" s="304"/>
      <c r="CJ102" s="304"/>
      <c r="CK102" s="304"/>
      <c r="CL102" s="304"/>
      <c r="CM102" s="304"/>
      <c r="CN102" s="304"/>
      <c r="CO102" s="304"/>
      <c r="CP102" s="304"/>
      <c r="CQ102" s="304"/>
      <c r="CR102" s="305" t="str" cm="1">
        <f t="array" ref="CR102">CONCATENATE(BM102,_xlfn.TEXTJOIN("",TRUE,IF(BN$129:CQ$129&lt;&gt;"","+"&amp;D102:AG102,"")))</f>
        <v>72+</v>
      </c>
      <c r="CS102" s="279">
        <f t="shared" si="5"/>
        <v>30</v>
      </c>
      <c r="CT102" s="279" t="str">
        <f t="shared" si="8"/>
        <v>+++++++++++++++++++++++++++++++</v>
      </c>
      <c r="CU102" s="291" t="str">
        <f t="shared" si="10"/>
        <v>72++++++++++++++++++++++++++++++++2</v>
      </c>
      <c r="GB102" s="279" t="s">
        <v>1987</v>
      </c>
    </row>
    <row r="103" spans="1:184">
      <c r="A103" s="275">
        <f>IF(C103&lt;&gt;"",1,IF(AH103="",2,IF(OR(IF(TABLERO!B103="",0,TABLERO!B103)&gt;TABLERO!$M$19,IF(TABLERO!C103="",IF(TABLERO!B103="",0,TABLERO!B103),TABLERO!C103)&gt;TABLERO!$M$19,BI103&gt;TABLERO!$M$19,IF(TABLERO!B103="",0,TABLERO!B103)=0,IF(TABLERO!C103="",BG103,TABLERO!C103)=0,IF(TABLERO!D103="",BG103,TABLERO!D103)=0),2,1)))</f>
        <v>2</v>
      </c>
      <c r="B103" s="276" t="str">
        <f>TABLERO!B103&amp;IF(TABLERO!C103="","",","&amp;TABLERO!C103)&amp;IF(TABLERO!D103="","",","&amp;TABLERO!D103)</f>
        <v>73</v>
      </c>
      <c r="C103" s="269" t="str">
        <f>IF(TABLERO!E103=0,"",TABLERO!E103)</f>
        <v/>
      </c>
      <c r="D103" s="312" t="str">
        <f>IF(OR(TABLERO!X103="",TABLERO!X103=0),"",TABLERO!X103)</f>
        <v/>
      </c>
      <c r="E103" s="312" t="str">
        <f>IF(OR(TABLERO!Y103="",TABLERO!Y103=0),"",TABLERO!Y103)</f>
        <v/>
      </c>
      <c r="F103" s="312" t="str">
        <f>IF(OR(TABLERO!Z103="",TABLERO!Z103=0),"",TABLERO!Z103)</f>
        <v/>
      </c>
      <c r="G103" s="312" t="str">
        <f>IF(OR(TABLERO!AA103="",TABLERO!AA103=0),"",TABLERO!AA103)</f>
        <v/>
      </c>
      <c r="H103" s="312" t="str">
        <f>IF(OR(TABLERO!AB103="",TABLERO!AB103=0),"",TABLERO!AB103)</f>
        <v/>
      </c>
      <c r="I103" s="312" t="str">
        <f>IF(OR(TABLERO!AC103="",TABLERO!AC103=0),"",TABLERO!AC103)</f>
        <v/>
      </c>
      <c r="J103" s="312" t="str">
        <f>IF(OR(TABLERO!AD103="",TABLERO!AD103=0),"",TABLERO!AD103)</f>
        <v/>
      </c>
      <c r="K103" s="312" t="str">
        <f>IF(OR(TABLERO!AE103="",TABLERO!AE103=0),"",TABLERO!AE103)</f>
        <v/>
      </c>
      <c r="L103" s="312" t="str">
        <f>IF(OR(TABLERO!AF103="",TABLERO!AF103=0),"",TABLERO!AF103)</f>
        <v/>
      </c>
      <c r="M103" s="312" t="str">
        <f>IF(OR(TABLERO!AG103="",TABLERO!AG103=0),"",TABLERO!AG103)</f>
        <v/>
      </c>
      <c r="N103" s="312" t="str">
        <f>IF(OR(TABLERO!AH103="",TABLERO!AH103=0),"",TABLERO!AH103)</f>
        <v/>
      </c>
      <c r="O103" s="312" t="str">
        <f>IF(OR(TABLERO!AI103="",TABLERO!AI103=0),"",TABLERO!AI103)</f>
        <v/>
      </c>
      <c r="P103" s="312" t="str">
        <f>IF(OR(TABLERO!AJ103="",TABLERO!AJ103=0),"",TABLERO!AJ103)</f>
        <v/>
      </c>
      <c r="Q103" s="312" t="str">
        <f>IF(OR(TABLERO!AK103="",TABLERO!AK103=0),"",TABLERO!AK103)</f>
        <v/>
      </c>
      <c r="R103" s="312" t="str">
        <f>IF(OR(TABLERO!AL103="",TABLERO!AL103=0),"",TABLERO!AL103)</f>
        <v/>
      </c>
      <c r="S103" s="312" t="str">
        <f>IF(OR(TABLERO!AM103="",TABLERO!AM103=0),"",TABLERO!AM103)</f>
        <v/>
      </c>
      <c r="T103" s="312" t="str">
        <f>IF(OR(TABLERO!AN103="",TABLERO!AN103=0),"",TABLERO!AN103)</f>
        <v/>
      </c>
      <c r="U103" s="312" t="str">
        <f>IF(OR(TABLERO!AO103="",TABLERO!AO103=0),"",TABLERO!AO103)</f>
        <v/>
      </c>
      <c r="V103" s="312" t="str">
        <f>IF(OR(TABLERO!AP103="",TABLERO!AP103=0),"",TABLERO!AP103)</f>
        <v/>
      </c>
      <c r="W103" s="312" t="str">
        <f>IF(OR(TABLERO!AQ103="",TABLERO!AQ103=0),"",TABLERO!AQ103)</f>
        <v/>
      </c>
      <c r="X103" s="312" t="str">
        <f>IF(OR(TABLERO!AR103="",TABLERO!AR103=0),"",TABLERO!AR103)</f>
        <v/>
      </c>
      <c r="Y103" s="312" t="str">
        <f>IF(OR(TABLERO!AS103="",TABLERO!AS103=0),"",TABLERO!AS103)</f>
        <v/>
      </c>
      <c r="Z103" s="312" t="str">
        <f>IF(OR(TABLERO!AT103="",TABLERO!AT103=0),"",TABLERO!AT103)</f>
        <v/>
      </c>
      <c r="AA103" s="312" t="str">
        <f>IF(OR(TABLERO!AU103="",TABLERO!AU103=0),"",TABLERO!AU103)</f>
        <v/>
      </c>
      <c r="AB103" s="312" t="str">
        <f>IF(OR(TABLERO!AV103="",TABLERO!AV103=0),"",TABLERO!AV103)</f>
        <v/>
      </c>
      <c r="AC103" s="312" t="str">
        <f>IF(OR(TABLERO!AW103="",TABLERO!AW103=0),"",TABLERO!AW103)</f>
        <v/>
      </c>
      <c r="AD103" s="312" t="str">
        <f>IF(OR(TABLERO!AX103="",TABLERO!AX103=0),"",TABLERO!AX103)</f>
        <v/>
      </c>
      <c r="AE103" s="312" t="str">
        <f>IF(OR(TABLERO!AY103="",TABLERO!AY103=0),"",TABLERO!AY103)</f>
        <v/>
      </c>
      <c r="AF103" s="312" t="str">
        <f>IF(OR(TABLERO!AZ103="",TABLERO!AZ103=0),"",TABLERO!AZ103)</f>
        <v/>
      </c>
      <c r="AG103" s="312" t="str">
        <f>IF(OR(TABLERO!BA103="",TABLERO!BA103=0),"",TABLERO!BA103)</f>
        <v/>
      </c>
      <c r="AH103" s="277" t="str">
        <f>IF(TABLERO!BB103=0,"",FIXED(IF(TABLERO!$F$17&lt;&gt;"KVA",TABLERO!BB103*1000,TABLERO!BB103*1000/TABLERO!DA103),2))</f>
        <v/>
      </c>
      <c r="AI103" s="277" t="str">
        <f>IF(TABLERO!BB103=0,"",FIXED(IF(TABLERO!$F$17&lt;&gt;"KVA",TABLERO!BT103*1000,TABLERO!BT103*1000/TABLERO!DA103),2))</f>
        <v/>
      </c>
      <c r="AJ103" s="272" t="str">
        <f>IF(OR(TABLERO!BU103="",TABLERO!BU103=0),"",FIXED(TABLERO!BU103,2))</f>
        <v/>
      </c>
      <c r="AK103" s="312" t="str">
        <f>IF(TABLERO!BB103=0,"",TABLERO!F103)</f>
        <v/>
      </c>
      <c r="AL103" s="312" t="str">
        <f>IF(TABLERO!BB103=0,"",TABLERO!G103)</f>
        <v/>
      </c>
      <c r="AM103" s="312" t="str">
        <f>IF(TABLERO!BB103=0,"",TABLERO!BV103)</f>
        <v/>
      </c>
      <c r="AN103" s="272" t="str">
        <f>IF(TABLERO!BB103=0,"",TABLERO!K103)</f>
        <v/>
      </c>
      <c r="AO103" s="312" t="str">
        <f>IF(TABLERO!BB103=0,"",TABLERO!J103)</f>
        <v/>
      </c>
      <c r="AP103" s="272" t="str">
        <f>IF(TABLERO!BB103=0,"",TABLERO!CT103)</f>
        <v/>
      </c>
      <c r="AQ103" s="272" t="str">
        <f>IF(TABLERO!BB103=0,"",TABLERO!CS103)</f>
        <v/>
      </c>
      <c r="AR103" s="272" t="str">
        <f>IF(OR(TABLERO!BB103=0,TABLERO!H103="RE"),"",FIXED(TABLERO!CY103,2))</f>
        <v/>
      </c>
      <c r="AS103" s="312" t="str">
        <f>IF(TABLERO!BB103=0,"",TABLERO!N103)</f>
        <v/>
      </c>
      <c r="AT103" s="1164" t="str">
        <f>IF(TABLERO!BB103=0,"",TABLERO!BX103&amp;" "&amp;TABLERO!ED103&amp;", "&amp;TABLERO!I103)</f>
        <v/>
      </c>
      <c r="AU103" s="1165"/>
      <c r="AV103" s="272" t="str">
        <f>IF(OR(TABLERO!BB103=0,TABLERO!H103="RE"),"",FIXED(TABLERO!BZ103,2))</f>
        <v/>
      </c>
      <c r="AW103" s="312" t="str">
        <f>IF(TABLERO!BB103=0,"",TABLERO!CA103)</f>
        <v/>
      </c>
      <c r="AX103" s="271" t="str">
        <f>IF(TABLERO!BB103=0,"",TABLERO!CB103)</f>
        <v/>
      </c>
      <c r="AY103" s="272" t="str">
        <f>IF(OR(TABLERO!BB103=0,TABLERO!H103="RE"),"",FIXED(TABLERO!DL103,2))</f>
        <v/>
      </c>
      <c r="AZ103" s="310" t="str">
        <f>IF(OR(TABLERO!BB103=0,TABLERO!H103="RE"),"",TABLERO!F103&amp;"P-"&amp;TABLERO!BW103&amp;"A")</f>
        <v/>
      </c>
      <c r="BA103" s="272" t="str">
        <f>IF(TABLERO!$BB103=0,"",IF(TABLERO!CI103="-","     -     ",FIXED(IF(TABLERO!$F$17&lt;&gt;"KVA",TABLERO!CI103,TABLERO!CI103/TABLERO!$F$14),2)))</f>
        <v/>
      </c>
      <c r="BB103" s="272" t="str">
        <f>IF(TABLERO!$BB103=0,"",IF(TABLERO!CJ103="-","     -     ",FIXED(IF(TABLERO!$F$17&lt;&gt;"KVA",TABLERO!CJ103,TABLERO!CJ103/TABLERO!$F$14),2)))</f>
        <v/>
      </c>
      <c r="BC103" s="272" t="str">
        <f>IF(TABLERO!$BB103=0,"",IF(TABLERO!CK103="-","     -     ",FIXED(IF(TABLERO!$F$17&lt;&gt;"KVA",TABLERO!CK103,TABLERO!CK103/TABLERO!$F$14),2)))</f>
        <v/>
      </c>
      <c r="BG103" s="275">
        <f>IF(TABLERO!B103="",0,TABLERO!B103)</f>
        <v>73</v>
      </c>
      <c r="BH103" s="275"/>
      <c r="BI103" s="275"/>
      <c r="BK103" s="275"/>
      <c r="BL103" s="289" t="str" cm="1">
        <f t="array" ref="BL103">[1]!ACAELE_LineaCAD(A103)</f>
        <v>++++++++++++++++++++++++++++++2</v>
      </c>
      <c r="BM103" s="279" t="str">
        <f t="shared" si="9"/>
        <v>73+</v>
      </c>
      <c r="BN103" s="304"/>
      <c r="BO103" s="304"/>
      <c r="BP103" s="304"/>
      <c r="BQ103" s="304"/>
      <c r="BR103" s="304"/>
      <c r="BS103" s="304"/>
      <c r="BT103" s="304"/>
      <c r="BU103" s="304"/>
      <c r="BV103" s="304"/>
      <c r="BW103" s="304"/>
      <c r="BX103" s="304"/>
      <c r="BY103" s="304"/>
      <c r="BZ103" s="304"/>
      <c r="CA103" s="304"/>
      <c r="CB103" s="304"/>
      <c r="CC103" s="304"/>
      <c r="CD103" s="304"/>
      <c r="CE103" s="304"/>
      <c r="CF103" s="304"/>
      <c r="CG103" s="304"/>
      <c r="CH103" s="304"/>
      <c r="CI103" s="304"/>
      <c r="CJ103" s="304"/>
      <c r="CK103" s="304"/>
      <c r="CL103" s="304"/>
      <c r="CM103" s="304"/>
      <c r="CN103" s="304"/>
      <c r="CO103" s="304"/>
      <c r="CP103" s="304"/>
      <c r="CQ103" s="304"/>
      <c r="CR103" s="305" t="str" cm="1">
        <f t="array" ref="CR103">CONCATENATE(BM103,_xlfn.TEXTJOIN("",TRUE,IF(BN$129:CQ$129&lt;&gt;"","+"&amp;D103:AG103,"")))</f>
        <v>73+</v>
      </c>
      <c r="CS103" s="279">
        <f t="shared" si="5"/>
        <v>30</v>
      </c>
      <c r="CT103" s="279" t="str">
        <f t="shared" si="8"/>
        <v>+++++++++++++++++++++++++++++++</v>
      </c>
      <c r="CU103" s="291" t="str">
        <f t="shared" si="10"/>
        <v>73++++++++++++++++++++++++++++++++2</v>
      </c>
      <c r="GB103" s="279" t="s">
        <v>1988</v>
      </c>
    </row>
    <row r="104" spans="1:184">
      <c r="A104" s="275">
        <f>IF(C104&lt;&gt;"",1,IF(AH104="",2,IF(OR(IF(TABLERO!B104="",0,TABLERO!B104)&gt;TABLERO!$M$19,IF(TABLERO!C104="",IF(TABLERO!B104="",0,TABLERO!B104),TABLERO!C104)&gt;TABLERO!$M$19,BI104&gt;TABLERO!$M$19,IF(TABLERO!B104="",0,TABLERO!B104)=0,IF(TABLERO!C104="",BG104,TABLERO!C104)=0,IF(TABLERO!D104="",BG104,TABLERO!D104)=0),2,1)))</f>
        <v>2</v>
      </c>
      <c r="B104" s="276" t="str">
        <f>TABLERO!B104&amp;IF(TABLERO!C104="","",","&amp;TABLERO!C104)&amp;IF(TABLERO!D104="","",","&amp;TABLERO!D104)</f>
        <v>74</v>
      </c>
      <c r="C104" s="269" t="str">
        <f>IF(TABLERO!E104=0,"",TABLERO!E104)</f>
        <v/>
      </c>
      <c r="D104" s="312" t="str">
        <f>IF(OR(TABLERO!X104="",TABLERO!X104=0),"",TABLERO!X104)</f>
        <v/>
      </c>
      <c r="E104" s="312" t="str">
        <f>IF(OR(TABLERO!Y104="",TABLERO!Y104=0),"",TABLERO!Y104)</f>
        <v/>
      </c>
      <c r="F104" s="312" t="str">
        <f>IF(OR(TABLERO!Z104="",TABLERO!Z104=0),"",TABLERO!Z104)</f>
        <v/>
      </c>
      <c r="G104" s="312" t="str">
        <f>IF(OR(TABLERO!AA104="",TABLERO!AA104=0),"",TABLERO!AA104)</f>
        <v/>
      </c>
      <c r="H104" s="312" t="str">
        <f>IF(OR(TABLERO!AB104="",TABLERO!AB104=0),"",TABLERO!AB104)</f>
        <v/>
      </c>
      <c r="I104" s="312" t="str">
        <f>IF(OR(TABLERO!AC104="",TABLERO!AC104=0),"",TABLERO!AC104)</f>
        <v/>
      </c>
      <c r="J104" s="312" t="str">
        <f>IF(OR(TABLERO!AD104="",TABLERO!AD104=0),"",TABLERO!AD104)</f>
        <v/>
      </c>
      <c r="K104" s="312" t="str">
        <f>IF(OR(TABLERO!AE104="",TABLERO!AE104=0),"",TABLERO!AE104)</f>
        <v/>
      </c>
      <c r="L104" s="312" t="str">
        <f>IF(OR(TABLERO!AF104="",TABLERO!AF104=0),"",TABLERO!AF104)</f>
        <v/>
      </c>
      <c r="M104" s="312" t="str">
        <f>IF(OR(TABLERO!AG104="",TABLERO!AG104=0),"",TABLERO!AG104)</f>
        <v/>
      </c>
      <c r="N104" s="312" t="str">
        <f>IF(OR(TABLERO!AH104="",TABLERO!AH104=0),"",TABLERO!AH104)</f>
        <v/>
      </c>
      <c r="O104" s="312" t="str">
        <f>IF(OR(TABLERO!AI104="",TABLERO!AI104=0),"",TABLERO!AI104)</f>
        <v/>
      </c>
      <c r="P104" s="312" t="str">
        <f>IF(OR(TABLERO!AJ104="",TABLERO!AJ104=0),"",TABLERO!AJ104)</f>
        <v/>
      </c>
      <c r="Q104" s="312" t="str">
        <f>IF(OR(TABLERO!AK104="",TABLERO!AK104=0),"",TABLERO!AK104)</f>
        <v/>
      </c>
      <c r="R104" s="312" t="str">
        <f>IF(OR(TABLERO!AL104="",TABLERO!AL104=0),"",TABLERO!AL104)</f>
        <v/>
      </c>
      <c r="S104" s="312" t="str">
        <f>IF(OR(TABLERO!AM104="",TABLERO!AM104=0),"",TABLERO!AM104)</f>
        <v/>
      </c>
      <c r="T104" s="312" t="str">
        <f>IF(OR(TABLERO!AN104="",TABLERO!AN104=0),"",TABLERO!AN104)</f>
        <v/>
      </c>
      <c r="U104" s="312" t="str">
        <f>IF(OR(TABLERO!AO104="",TABLERO!AO104=0),"",TABLERO!AO104)</f>
        <v/>
      </c>
      <c r="V104" s="312" t="str">
        <f>IF(OR(TABLERO!AP104="",TABLERO!AP104=0),"",TABLERO!AP104)</f>
        <v/>
      </c>
      <c r="W104" s="312" t="str">
        <f>IF(OR(TABLERO!AQ104="",TABLERO!AQ104=0),"",TABLERO!AQ104)</f>
        <v/>
      </c>
      <c r="X104" s="312" t="str">
        <f>IF(OR(TABLERO!AR104="",TABLERO!AR104=0),"",TABLERO!AR104)</f>
        <v/>
      </c>
      <c r="Y104" s="312" t="str">
        <f>IF(OR(TABLERO!AS104="",TABLERO!AS104=0),"",TABLERO!AS104)</f>
        <v/>
      </c>
      <c r="Z104" s="312" t="str">
        <f>IF(OR(TABLERO!AT104="",TABLERO!AT104=0),"",TABLERO!AT104)</f>
        <v/>
      </c>
      <c r="AA104" s="312" t="str">
        <f>IF(OR(TABLERO!AU104="",TABLERO!AU104=0),"",TABLERO!AU104)</f>
        <v/>
      </c>
      <c r="AB104" s="312" t="str">
        <f>IF(OR(TABLERO!AV104="",TABLERO!AV104=0),"",TABLERO!AV104)</f>
        <v/>
      </c>
      <c r="AC104" s="312" t="str">
        <f>IF(OR(TABLERO!AW104="",TABLERO!AW104=0),"",TABLERO!AW104)</f>
        <v/>
      </c>
      <c r="AD104" s="312" t="str">
        <f>IF(OR(TABLERO!AX104="",TABLERO!AX104=0),"",TABLERO!AX104)</f>
        <v/>
      </c>
      <c r="AE104" s="312" t="str">
        <f>IF(OR(TABLERO!AY104="",TABLERO!AY104=0),"",TABLERO!AY104)</f>
        <v/>
      </c>
      <c r="AF104" s="312" t="str">
        <f>IF(OR(TABLERO!AZ104="",TABLERO!AZ104=0),"",TABLERO!AZ104)</f>
        <v/>
      </c>
      <c r="AG104" s="312" t="str">
        <f>IF(OR(TABLERO!BA104="",TABLERO!BA104=0),"",TABLERO!BA104)</f>
        <v/>
      </c>
      <c r="AH104" s="277" t="str">
        <f>IF(TABLERO!BB104=0,"",FIXED(IF(TABLERO!$F$17&lt;&gt;"KVA",TABLERO!BB104*1000,TABLERO!BB104*1000/TABLERO!DA104),2))</f>
        <v/>
      </c>
      <c r="AI104" s="277" t="str">
        <f>IF(TABLERO!BB104=0,"",FIXED(IF(TABLERO!$F$17&lt;&gt;"KVA",TABLERO!BT104*1000,TABLERO!BT104*1000/TABLERO!DA104),2))</f>
        <v/>
      </c>
      <c r="AJ104" s="272" t="str">
        <f>IF(OR(TABLERO!BU104="",TABLERO!BU104=0),"",FIXED(TABLERO!BU104,2))</f>
        <v/>
      </c>
      <c r="AK104" s="312" t="str">
        <f>IF(TABLERO!BB104=0,"",TABLERO!F104)</f>
        <v/>
      </c>
      <c r="AL104" s="312" t="str">
        <f>IF(TABLERO!BB104=0,"",TABLERO!G104)</f>
        <v/>
      </c>
      <c r="AM104" s="312" t="str">
        <f>IF(TABLERO!BB104=0,"",TABLERO!BV104)</f>
        <v/>
      </c>
      <c r="AN104" s="272" t="str">
        <f>IF(TABLERO!BB104=0,"",TABLERO!K104)</f>
        <v/>
      </c>
      <c r="AO104" s="312" t="str">
        <f>IF(TABLERO!BB104=0,"",TABLERO!J104)</f>
        <v/>
      </c>
      <c r="AP104" s="272" t="str">
        <f>IF(TABLERO!BB104=0,"",TABLERO!CT104)</f>
        <v/>
      </c>
      <c r="AQ104" s="272" t="str">
        <f>IF(TABLERO!BB104=0,"",TABLERO!CS104)</f>
        <v/>
      </c>
      <c r="AR104" s="272" t="str">
        <f>IF(OR(TABLERO!BB104=0,TABLERO!H104="RE"),"",FIXED(TABLERO!CY104,2))</f>
        <v/>
      </c>
      <c r="AS104" s="312" t="str">
        <f>IF(TABLERO!BB104=0,"",TABLERO!N104)</f>
        <v/>
      </c>
      <c r="AT104" s="1164" t="str">
        <f>IF(TABLERO!BB104=0,"",TABLERO!BX104&amp;" "&amp;TABLERO!ED104&amp;", "&amp;TABLERO!I104)</f>
        <v/>
      </c>
      <c r="AU104" s="1165"/>
      <c r="AV104" s="272" t="str">
        <f>IF(OR(TABLERO!BB104=0,TABLERO!H104="RE"),"",FIXED(TABLERO!BZ104,2))</f>
        <v/>
      </c>
      <c r="AW104" s="312" t="str">
        <f>IF(TABLERO!BB104=0,"",TABLERO!CA104)</f>
        <v/>
      </c>
      <c r="AX104" s="271" t="str">
        <f>IF(TABLERO!BB104=0,"",TABLERO!CB104)</f>
        <v/>
      </c>
      <c r="AY104" s="272" t="str">
        <f>IF(OR(TABLERO!BB104=0,TABLERO!H104="RE"),"",FIXED(TABLERO!DL104,2))</f>
        <v/>
      </c>
      <c r="AZ104" s="310" t="str">
        <f>IF(OR(TABLERO!BB104=0,TABLERO!H104="RE"),"",TABLERO!F104&amp;"P-"&amp;TABLERO!BW104&amp;"A")</f>
        <v/>
      </c>
      <c r="BA104" s="272" t="str">
        <f>IF(TABLERO!$BB104=0,"",IF(TABLERO!CI104="-","     -     ",FIXED(IF(TABLERO!$F$17&lt;&gt;"KVA",TABLERO!CI104,TABLERO!CI104/TABLERO!$F$14),2)))</f>
        <v/>
      </c>
      <c r="BB104" s="272" t="str">
        <f>IF(TABLERO!$BB104=0,"",IF(TABLERO!CJ104="-","     -     ",FIXED(IF(TABLERO!$F$17&lt;&gt;"KVA",TABLERO!CJ104,TABLERO!CJ104/TABLERO!$F$14),2)))</f>
        <v/>
      </c>
      <c r="BC104" s="272" t="str">
        <f>IF(TABLERO!$BB104=0,"",IF(TABLERO!CK104="-","     -     ",FIXED(IF(TABLERO!$F$17&lt;&gt;"KVA",TABLERO!CK104,TABLERO!CK104/TABLERO!$F$14),2)))</f>
        <v/>
      </c>
      <c r="BG104" s="275">
        <f>IF(TABLERO!B104="",0,TABLERO!B104)</f>
        <v>74</v>
      </c>
      <c r="BH104" s="275"/>
      <c r="BI104" s="275"/>
      <c r="BK104" s="275"/>
      <c r="BL104" s="289" t="str" cm="1">
        <f t="array" ref="BL104">[1]!ACAELE_LineaCAD(A104)</f>
        <v>++++++++++++++++++++++++++++++2</v>
      </c>
      <c r="BM104" s="279" t="str">
        <f t="shared" si="9"/>
        <v>74+</v>
      </c>
      <c r="BN104" s="304"/>
      <c r="BO104" s="304"/>
      <c r="BP104" s="304"/>
      <c r="BQ104" s="304"/>
      <c r="BR104" s="304"/>
      <c r="BS104" s="304"/>
      <c r="BT104" s="304"/>
      <c r="BU104" s="304"/>
      <c r="BV104" s="304"/>
      <c r="BW104" s="304"/>
      <c r="BX104" s="304"/>
      <c r="BY104" s="304"/>
      <c r="BZ104" s="304"/>
      <c r="CA104" s="304"/>
      <c r="CB104" s="304"/>
      <c r="CC104" s="304"/>
      <c r="CD104" s="304"/>
      <c r="CE104" s="304"/>
      <c r="CF104" s="304"/>
      <c r="CG104" s="304"/>
      <c r="CH104" s="304"/>
      <c r="CI104" s="304"/>
      <c r="CJ104" s="304"/>
      <c r="CK104" s="304"/>
      <c r="CL104" s="304"/>
      <c r="CM104" s="304"/>
      <c r="CN104" s="304"/>
      <c r="CO104" s="304"/>
      <c r="CP104" s="304"/>
      <c r="CQ104" s="304"/>
      <c r="CR104" s="305" t="str" cm="1">
        <f t="array" ref="CR104">CONCATENATE(BM104,_xlfn.TEXTJOIN("",TRUE,IF(BN$129:CQ$129&lt;&gt;"","+"&amp;D104:AG104,"")))</f>
        <v>74+</v>
      </c>
      <c r="CS104" s="279">
        <f t="shared" si="5"/>
        <v>30</v>
      </c>
      <c r="CT104" s="279" t="str">
        <f t="shared" si="8"/>
        <v>+++++++++++++++++++++++++++++++</v>
      </c>
      <c r="CU104" s="291" t="str">
        <f t="shared" si="10"/>
        <v>74++++++++++++++++++++++++++++++++2</v>
      </c>
      <c r="GB104" s="279" t="s">
        <v>1989</v>
      </c>
    </row>
    <row r="105" spans="1:184">
      <c r="A105" s="275">
        <f>IF(C105&lt;&gt;"",1,IF(AH105="",2,IF(OR(IF(TABLERO!B105="",0,TABLERO!B105)&gt;TABLERO!$M$19,IF(TABLERO!C105="",IF(TABLERO!B105="",0,TABLERO!B105),TABLERO!C105)&gt;TABLERO!$M$19,BI105&gt;TABLERO!$M$19,IF(TABLERO!B105="",0,TABLERO!B105)=0,IF(TABLERO!C105="",BG105,TABLERO!C105)=0,IF(TABLERO!D105="",BG105,TABLERO!D105)=0),2,1)))</f>
        <v>2</v>
      </c>
      <c r="B105" s="276" t="str">
        <f>TABLERO!B105&amp;IF(TABLERO!C105="","",","&amp;TABLERO!C105)&amp;IF(TABLERO!D105="","",","&amp;TABLERO!D105)</f>
        <v>75</v>
      </c>
      <c r="C105" s="269" t="str">
        <f>IF(TABLERO!E105=0,"",TABLERO!E105)</f>
        <v/>
      </c>
      <c r="D105" s="312" t="str">
        <f>IF(OR(TABLERO!X105="",TABLERO!X105=0),"",TABLERO!X105)</f>
        <v/>
      </c>
      <c r="E105" s="312" t="str">
        <f>IF(OR(TABLERO!Y105="",TABLERO!Y105=0),"",TABLERO!Y105)</f>
        <v/>
      </c>
      <c r="F105" s="312" t="str">
        <f>IF(OR(TABLERO!Z105="",TABLERO!Z105=0),"",TABLERO!Z105)</f>
        <v/>
      </c>
      <c r="G105" s="312" t="str">
        <f>IF(OR(TABLERO!AA105="",TABLERO!AA105=0),"",TABLERO!AA105)</f>
        <v/>
      </c>
      <c r="H105" s="312" t="str">
        <f>IF(OR(TABLERO!AB105="",TABLERO!AB105=0),"",TABLERO!AB105)</f>
        <v/>
      </c>
      <c r="I105" s="312" t="str">
        <f>IF(OR(TABLERO!AC105="",TABLERO!AC105=0),"",TABLERO!AC105)</f>
        <v/>
      </c>
      <c r="J105" s="312" t="str">
        <f>IF(OR(TABLERO!AD105="",TABLERO!AD105=0),"",TABLERO!AD105)</f>
        <v/>
      </c>
      <c r="K105" s="312" t="str">
        <f>IF(OR(TABLERO!AE105="",TABLERO!AE105=0),"",TABLERO!AE105)</f>
        <v/>
      </c>
      <c r="L105" s="312" t="str">
        <f>IF(OR(TABLERO!AF105="",TABLERO!AF105=0),"",TABLERO!AF105)</f>
        <v/>
      </c>
      <c r="M105" s="312" t="str">
        <f>IF(OR(TABLERO!AG105="",TABLERO!AG105=0),"",TABLERO!AG105)</f>
        <v/>
      </c>
      <c r="N105" s="312" t="str">
        <f>IF(OR(TABLERO!AH105="",TABLERO!AH105=0),"",TABLERO!AH105)</f>
        <v/>
      </c>
      <c r="O105" s="312" t="str">
        <f>IF(OR(TABLERO!AI105="",TABLERO!AI105=0),"",TABLERO!AI105)</f>
        <v/>
      </c>
      <c r="P105" s="312" t="str">
        <f>IF(OR(TABLERO!AJ105="",TABLERO!AJ105=0),"",TABLERO!AJ105)</f>
        <v/>
      </c>
      <c r="Q105" s="312" t="str">
        <f>IF(OR(TABLERO!AK105="",TABLERO!AK105=0),"",TABLERO!AK105)</f>
        <v/>
      </c>
      <c r="R105" s="312" t="str">
        <f>IF(OR(TABLERO!AL105="",TABLERO!AL105=0),"",TABLERO!AL105)</f>
        <v/>
      </c>
      <c r="S105" s="312" t="str">
        <f>IF(OR(TABLERO!AM105="",TABLERO!AM105=0),"",TABLERO!AM105)</f>
        <v/>
      </c>
      <c r="T105" s="312" t="str">
        <f>IF(OR(TABLERO!AN105="",TABLERO!AN105=0),"",TABLERO!AN105)</f>
        <v/>
      </c>
      <c r="U105" s="312" t="str">
        <f>IF(OR(TABLERO!AO105="",TABLERO!AO105=0),"",TABLERO!AO105)</f>
        <v/>
      </c>
      <c r="V105" s="312" t="str">
        <f>IF(OR(TABLERO!AP105="",TABLERO!AP105=0),"",TABLERO!AP105)</f>
        <v/>
      </c>
      <c r="W105" s="312" t="str">
        <f>IF(OR(TABLERO!AQ105="",TABLERO!AQ105=0),"",TABLERO!AQ105)</f>
        <v/>
      </c>
      <c r="X105" s="312" t="str">
        <f>IF(OR(TABLERO!AR105="",TABLERO!AR105=0),"",TABLERO!AR105)</f>
        <v/>
      </c>
      <c r="Y105" s="312" t="str">
        <f>IF(OR(TABLERO!AS105="",TABLERO!AS105=0),"",TABLERO!AS105)</f>
        <v/>
      </c>
      <c r="Z105" s="312" t="str">
        <f>IF(OR(TABLERO!AT105="",TABLERO!AT105=0),"",TABLERO!AT105)</f>
        <v/>
      </c>
      <c r="AA105" s="312" t="str">
        <f>IF(OR(TABLERO!AU105="",TABLERO!AU105=0),"",TABLERO!AU105)</f>
        <v/>
      </c>
      <c r="AB105" s="312" t="str">
        <f>IF(OR(TABLERO!AV105="",TABLERO!AV105=0),"",TABLERO!AV105)</f>
        <v/>
      </c>
      <c r="AC105" s="312" t="str">
        <f>IF(OR(TABLERO!AW105="",TABLERO!AW105=0),"",TABLERO!AW105)</f>
        <v/>
      </c>
      <c r="AD105" s="312" t="str">
        <f>IF(OR(TABLERO!AX105="",TABLERO!AX105=0),"",TABLERO!AX105)</f>
        <v/>
      </c>
      <c r="AE105" s="312" t="str">
        <f>IF(OR(TABLERO!AY105="",TABLERO!AY105=0),"",TABLERO!AY105)</f>
        <v/>
      </c>
      <c r="AF105" s="312" t="str">
        <f>IF(OR(TABLERO!AZ105="",TABLERO!AZ105=0),"",TABLERO!AZ105)</f>
        <v/>
      </c>
      <c r="AG105" s="312" t="str">
        <f>IF(OR(TABLERO!BA105="",TABLERO!BA105=0),"",TABLERO!BA105)</f>
        <v/>
      </c>
      <c r="AH105" s="277" t="str">
        <f>IF(TABLERO!BB105=0,"",FIXED(IF(TABLERO!$F$17&lt;&gt;"KVA",TABLERO!BB105*1000,TABLERO!BB105*1000/TABLERO!DA105),2))</f>
        <v/>
      </c>
      <c r="AI105" s="277" t="str">
        <f>IF(TABLERO!BB105=0,"",FIXED(IF(TABLERO!$F$17&lt;&gt;"KVA",TABLERO!BT105*1000,TABLERO!BT105*1000/TABLERO!DA105),2))</f>
        <v/>
      </c>
      <c r="AJ105" s="272" t="str">
        <f>IF(OR(TABLERO!BU105="",TABLERO!BU105=0),"",FIXED(TABLERO!BU105,2))</f>
        <v/>
      </c>
      <c r="AK105" s="312" t="str">
        <f>IF(TABLERO!BB105=0,"",TABLERO!F105)</f>
        <v/>
      </c>
      <c r="AL105" s="312" t="str">
        <f>IF(TABLERO!BB105=0,"",TABLERO!G105)</f>
        <v/>
      </c>
      <c r="AM105" s="312" t="str">
        <f>IF(TABLERO!BB105=0,"",TABLERO!BV105)</f>
        <v/>
      </c>
      <c r="AN105" s="272" t="str">
        <f>IF(TABLERO!BB105=0,"",TABLERO!K105)</f>
        <v/>
      </c>
      <c r="AO105" s="312" t="str">
        <f>IF(TABLERO!BB105=0,"",TABLERO!J105)</f>
        <v/>
      </c>
      <c r="AP105" s="272" t="str">
        <f>IF(TABLERO!BB105=0,"",TABLERO!CT105)</f>
        <v/>
      </c>
      <c r="AQ105" s="272" t="str">
        <f>IF(TABLERO!BB105=0,"",TABLERO!CS105)</f>
        <v/>
      </c>
      <c r="AR105" s="272" t="str">
        <f>IF(OR(TABLERO!BB105=0,TABLERO!H105="RE"),"",FIXED(TABLERO!CY105,2))</f>
        <v/>
      </c>
      <c r="AS105" s="312" t="str">
        <f>IF(TABLERO!BB105=0,"",TABLERO!N105)</f>
        <v/>
      </c>
      <c r="AT105" s="1164" t="str">
        <f>IF(TABLERO!BB105=0,"",TABLERO!BX105&amp;" "&amp;TABLERO!ED105&amp;", "&amp;TABLERO!I105)</f>
        <v/>
      </c>
      <c r="AU105" s="1165"/>
      <c r="AV105" s="272" t="str">
        <f>IF(OR(TABLERO!BB105=0,TABLERO!H105="RE"),"",FIXED(TABLERO!BZ105,2))</f>
        <v/>
      </c>
      <c r="AW105" s="312" t="str">
        <f>IF(TABLERO!BB105=0,"",TABLERO!CA105)</f>
        <v/>
      </c>
      <c r="AX105" s="271" t="str">
        <f>IF(TABLERO!BB105=0,"",TABLERO!CB105)</f>
        <v/>
      </c>
      <c r="AY105" s="272" t="str">
        <f>IF(OR(TABLERO!BB105=0,TABLERO!H105="RE"),"",FIXED(TABLERO!DL105,2))</f>
        <v/>
      </c>
      <c r="AZ105" s="310" t="str">
        <f>IF(OR(TABLERO!BB105=0,TABLERO!H105="RE"),"",TABLERO!F105&amp;"P-"&amp;TABLERO!BW105&amp;"A")</f>
        <v/>
      </c>
      <c r="BA105" s="272" t="str">
        <f>IF(TABLERO!$BB105=0,"",IF(TABLERO!CI105="-","     -     ",FIXED(IF(TABLERO!$F$17&lt;&gt;"KVA",TABLERO!CI105,TABLERO!CI105/TABLERO!$F$14),2)))</f>
        <v/>
      </c>
      <c r="BB105" s="272" t="str">
        <f>IF(TABLERO!$BB105=0,"",IF(TABLERO!CJ105="-","     -     ",FIXED(IF(TABLERO!$F$17&lt;&gt;"KVA",TABLERO!CJ105,TABLERO!CJ105/TABLERO!$F$14),2)))</f>
        <v/>
      </c>
      <c r="BC105" s="272" t="str">
        <f>IF(TABLERO!$BB105=0,"",IF(TABLERO!CK105="-","     -     ",FIXED(IF(TABLERO!$F$17&lt;&gt;"KVA",TABLERO!CK105,TABLERO!CK105/TABLERO!$F$14),2)))</f>
        <v/>
      </c>
      <c r="BG105" s="275">
        <f>IF(TABLERO!B105="",0,TABLERO!B105)</f>
        <v>75</v>
      </c>
      <c r="BH105" s="275"/>
      <c r="BI105" s="275"/>
      <c r="BK105" s="275"/>
      <c r="BL105" s="289" t="str" cm="1">
        <f t="array" ref="BL105">[1]!ACAELE_LineaCAD(A105)</f>
        <v>++++++++++++++++++++++++++++++2</v>
      </c>
      <c r="BM105" s="279" t="str">
        <f t="shared" si="9"/>
        <v>75+</v>
      </c>
      <c r="BN105" s="304"/>
      <c r="BO105" s="304"/>
      <c r="BP105" s="304"/>
      <c r="BQ105" s="304"/>
      <c r="BR105" s="304"/>
      <c r="BS105" s="304"/>
      <c r="BT105" s="304"/>
      <c r="BU105" s="304"/>
      <c r="BV105" s="304"/>
      <c r="BW105" s="304"/>
      <c r="BX105" s="304"/>
      <c r="BY105" s="304"/>
      <c r="BZ105" s="304"/>
      <c r="CA105" s="304"/>
      <c r="CB105" s="304"/>
      <c r="CC105" s="304"/>
      <c r="CD105" s="304"/>
      <c r="CE105" s="304"/>
      <c r="CF105" s="304"/>
      <c r="CG105" s="304"/>
      <c r="CH105" s="304"/>
      <c r="CI105" s="304"/>
      <c r="CJ105" s="304"/>
      <c r="CK105" s="304"/>
      <c r="CL105" s="304"/>
      <c r="CM105" s="304"/>
      <c r="CN105" s="304"/>
      <c r="CO105" s="304"/>
      <c r="CP105" s="304"/>
      <c r="CQ105" s="304"/>
      <c r="CR105" s="305" t="str" cm="1">
        <f t="array" ref="CR105">CONCATENATE(BM105,_xlfn.TEXTJOIN("",TRUE,IF(BN$129:CQ$129&lt;&gt;"","+"&amp;D105:AG105,"")))</f>
        <v>75+</v>
      </c>
      <c r="CS105" s="279">
        <f t="shared" si="5"/>
        <v>30</v>
      </c>
      <c r="CT105" s="279" t="str">
        <f t="shared" si="8"/>
        <v>+++++++++++++++++++++++++++++++</v>
      </c>
      <c r="CU105" s="291" t="str">
        <f t="shared" si="10"/>
        <v>75++++++++++++++++++++++++++++++++2</v>
      </c>
      <c r="GB105" s="279" t="s">
        <v>1990</v>
      </c>
    </row>
    <row r="106" spans="1:184">
      <c r="A106" s="275">
        <f>IF(C106&lt;&gt;"",1,IF(AH106="",2,IF(OR(IF(TABLERO!B106="",0,TABLERO!B106)&gt;TABLERO!$M$19,IF(TABLERO!C106="",IF(TABLERO!B106="",0,TABLERO!B106),TABLERO!C106)&gt;TABLERO!$M$19,BI106&gt;TABLERO!$M$19,IF(TABLERO!B106="",0,TABLERO!B106)=0,IF(TABLERO!C106="",BG106,TABLERO!C106)=0,IF(TABLERO!D106="",BG106,TABLERO!D106)=0),2,1)))</f>
        <v>2</v>
      </c>
      <c r="B106" s="276" t="str">
        <f>TABLERO!B106&amp;IF(TABLERO!C106="","",","&amp;TABLERO!C106)&amp;IF(TABLERO!D106="","",","&amp;TABLERO!D106)</f>
        <v>76</v>
      </c>
      <c r="C106" s="269" t="str">
        <f>IF(TABLERO!E106=0,"",TABLERO!E106)</f>
        <v/>
      </c>
      <c r="D106" s="312" t="str">
        <f>IF(OR(TABLERO!X106="",TABLERO!X106=0),"",TABLERO!X106)</f>
        <v/>
      </c>
      <c r="E106" s="312" t="str">
        <f>IF(OR(TABLERO!Y106="",TABLERO!Y106=0),"",TABLERO!Y106)</f>
        <v/>
      </c>
      <c r="F106" s="312" t="str">
        <f>IF(OR(TABLERO!Z106="",TABLERO!Z106=0),"",TABLERO!Z106)</f>
        <v/>
      </c>
      <c r="G106" s="312" t="str">
        <f>IF(OR(TABLERO!AA106="",TABLERO!AA106=0),"",TABLERO!AA106)</f>
        <v/>
      </c>
      <c r="H106" s="312" t="str">
        <f>IF(OR(TABLERO!AB106="",TABLERO!AB106=0),"",TABLERO!AB106)</f>
        <v/>
      </c>
      <c r="I106" s="312" t="str">
        <f>IF(OR(TABLERO!AC106="",TABLERO!AC106=0),"",TABLERO!AC106)</f>
        <v/>
      </c>
      <c r="J106" s="312" t="str">
        <f>IF(OR(TABLERO!AD106="",TABLERO!AD106=0),"",TABLERO!AD106)</f>
        <v/>
      </c>
      <c r="K106" s="312" t="str">
        <f>IF(OR(TABLERO!AE106="",TABLERO!AE106=0),"",TABLERO!AE106)</f>
        <v/>
      </c>
      <c r="L106" s="312" t="str">
        <f>IF(OR(TABLERO!AF106="",TABLERO!AF106=0),"",TABLERO!AF106)</f>
        <v/>
      </c>
      <c r="M106" s="312" t="str">
        <f>IF(OR(TABLERO!AG106="",TABLERO!AG106=0),"",TABLERO!AG106)</f>
        <v/>
      </c>
      <c r="N106" s="312" t="str">
        <f>IF(OR(TABLERO!AH106="",TABLERO!AH106=0),"",TABLERO!AH106)</f>
        <v/>
      </c>
      <c r="O106" s="312" t="str">
        <f>IF(OR(TABLERO!AI106="",TABLERO!AI106=0),"",TABLERO!AI106)</f>
        <v/>
      </c>
      <c r="P106" s="312" t="str">
        <f>IF(OR(TABLERO!AJ106="",TABLERO!AJ106=0),"",TABLERO!AJ106)</f>
        <v/>
      </c>
      <c r="Q106" s="312" t="str">
        <f>IF(OR(TABLERO!AK106="",TABLERO!AK106=0),"",TABLERO!AK106)</f>
        <v/>
      </c>
      <c r="R106" s="312" t="str">
        <f>IF(OR(TABLERO!AL106="",TABLERO!AL106=0),"",TABLERO!AL106)</f>
        <v/>
      </c>
      <c r="S106" s="312" t="str">
        <f>IF(OR(TABLERO!AM106="",TABLERO!AM106=0),"",TABLERO!AM106)</f>
        <v/>
      </c>
      <c r="T106" s="312" t="str">
        <f>IF(OR(TABLERO!AN106="",TABLERO!AN106=0),"",TABLERO!AN106)</f>
        <v/>
      </c>
      <c r="U106" s="312" t="str">
        <f>IF(OR(TABLERO!AO106="",TABLERO!AO106=0),"",TABLERO!AO106)</f>
        <v/>
      </c>
      <c r="V106" s="312" t="str">
        <f>IF(OR(TABLERO!AP106="",TABLERO!AP106=0),"",TABLERO!AP106)</f>
        <v/>
      </c>
      <c r="W106" s="312" t="str">
        <f>IF(OR(TABLERO!AQ106="",TABLERO!AQ106=0),"",TABLERO!AQ106)</f>
        <v/>
      </c>
      <c r="X106" s="312" t="str">
        <f>IF(OR(TABLERO!AR106="",TABLERO!AR106=0),"",TABLERO!AR106)</f>
        <v/>
      </c>
      <c r="Y106" s="312" t="str">
        <f>IF(OR(TABLERO!AS106="",TABLERO!AS106=0),"",TABLERO!AS106)</f>
        <v/>
      </c>
      <c r="Z106" s="312" t="str">
        <f>IF(OR(TABLERO!AT106="",TABLERO!AT106=0),"",TABLERO!AT106)</f>
        <v/>
      </c>
      <c r="AA106" s="312" t="str">
        <f>IF(OR(TABLERO!AU106="",TABLERO!AU106=0),"",TABLERO!AU106)</f>
        <v/>
      </c>
      <c r="AB106" s="312" t="str">
        <f>IF(OR(TABLERO!AV106="",TABLERO!AV106=0),"",TABLERO!AV106)</f>
        <v/>
      </c>
      <c r="AC106" s="312" t="str">
        <f>IF(OR(TABLERO!AW106="",TABLERO!AW106=0),"",TABLERO!AW106)</f>
        <v/>
      </c>
      <c r="AD106" s="312" t="str">
        <f>IF(OR(TABLERO!AX106="",TABLERO!AX106=0),"",TABLERO!AX106)</f>
        <v/>
      </c>
      <c r="AE106" s="312" t="str">
        <f>IF(OR(TABLERO!AY106="",TABLERO!AY106=0),"",TABLERO!AY106)</f>
        <v/>
      </c>
      <c r="AF106" s="312" t="str">
        <f>IF(OR(TABLERO!AZ106="",TABLERO!AZ106=0),"",TABLERO!AZ106)</f>
        <v/>
      </c>
      <c r="AG106" s="312" t="str">
        <f>IF(OR(TABLERO!BA106="",TABLERO!BA106=0),"",TABLERO!BA106)</f>
        <v/>
      </c>
      <c r="AH106" s="277" t="str">
        <f>IF(TABLERO!BB106=0,"",FIXED(IF(TABLERO!$F$17&lt;&gt;"KVA",TABLERO!BB106*1000,TABLERO!BB106*1000/TABLERO!DA106),2))</f>
        <v/>
      </c>
      <c r="AI106" s="277" t="str">
        <f>IF(TABLERO!BB106=0,"",FIXED(IF(TABLERO!$F$17&lt;&gt;"KVA",TABLERO!BT106*1000,TABLERO!BT106*1000/TABLERO!DA106),2))</f>
        <v/>
      </c>
      <c r="AJ106" s="272" t="str">
        <f>IF(OR(TABLERO!BU106="",TABLERO!BU106=0),"",FIXED(TABLERO!BU106,2))</f>
        <v/>
      </c>
      <c r="AK106" s="312" t="str">
        <f>IF(TABLERO!BB106=0,"",TABLERO!F106)</f>
        <v/>
      </c>
      <c r="AL106" s="312" t="str">
        <f>IF(TABLERO!BB106=0,"",TABLERO!G106)</f>
        <v/>
      </c>
      <c r="AM106" s="312" t="str">
        <f>IF(TABLERO!BB106=0,"",TABLERO!BV106)</f>
        <v/>
      </c>
      <c r="AN106" s="272" t="str">
        <f>IF(TABLERO!BB106=0,"",TABLERO!K106)</f>
        <v/>
      </c>
      <c r="AO106" s="312" t="str">
        <f>IF(TABLERO!BB106=0,"",TABLERO!J106)</f>
        <v/>
      </c>
      <c r="AP106" s="272" t="str">
        <f>IF(TABLERO!BB106=0,"",TABLERO!CT106)</f>
        <v/>
      </c>
      <c r="AQ106" s="272" t="str">
        <f>IF(TABLERO!BB106=0,"",TABLERO!CS106)</f>
        <v/>
      </c>
      <c r="AR106" s="272" t="str">
        <f>IF(OR(TABLERO!BB106=0,TABLERO!H106="RE"),"",FIXED(TABLERO!CY106,2))</f>
        <v/>
      </c>
      <c r="AS106" s="312" t="str">
        <f>IF(TABLERO!BB106=0,"",TABLERO!N106)</f>
        <v/>
      </c>
      <c r="AT106" s="1164" t="str">
        <f>IF(TABLERO!BB106=0,"",TABLERO!BX106&amp;" "&amp;TABLERO!ED106&amp;", "&amp;TABLERO!I106)</f>
        <v/>
      </c>
      <c r="AU106" s="1165"/>
      <c r="AV106" s="272" t="str">
        <f>IF(OR(TABLERO!BB106=0,TABLERO!H106="RE"),"",FIXED(TABLERO!BZ106,2))</f>
        <v/>
      </c>
      <c r="AW106" s="312" t="str">
        <f>IF(TABLERO!BB106=0,"",TABLERO!CA106)</f>
        <v/>
      </c>
      <c r="AX106" s="271" t="str">
        <f>IF(TABLERO!BB106=0,"",TABLERO!CB106)</f>
        <v/>
      </c>
      <c r="AY106" s="272" t="str">
        <f>IF(OR(TABLERO!BB106=0,TABLERO!H106="RE"),"",FIXED(TABLERO!DL106,2))</f>
        <v/>
      </c>
      <c r="AZ106" s="310" t="str">
        <f>IF(OR(TABLERO!BB106=0,TABLERO!H106="RE"),"",TABLERO!F106&amp;"P-"&amp;TABLERO!BW106&amp;"A")</f>
        <v/>
      </c>
      <c r="BA106" s="272" t="str">
        <f>IF(TABLERO!$BB106=0,"",IF(TABLERO!CI106="-","     -     ",FIXED(IF(TABLERO!$F$17&lt;&gt;"KVA",TABLERO!CI106,TABLERO!CI106/TABLERO!$F$14),2)))</f>
        <v/>
      </c>
      <c r="BB106" s="272" t="str">
        <f>IF(TABLERO!$BB106=0,"",IF(TABLERO!CJ106="-","     -     ",FIXED(IF(TABLERO!$F$17&lt;&gt;"KVA",TABLERO!CJ106,TABLERO!CJ106/TABLERO!$F$14),2)))</f>
        <v/>
      </c>
      <c r="BC106" s="272" t="str">
        <f>IF(TABLERO!$BB106=0,"",IF(TABLERO!CK106="-","     -     ",FIXED(IF(TABLERO!$F$17&lt;&gt;"KVA",TABLERO!CK106,TABLERO!CK106/TABLERO!$F$14),2)))</f>
        <v/>
      </c>
      <c r="BG106" s="275">
        <f>IF(TABLERO!B106="",0,TABLERO!B106)</f>
        <v>76</v>
      </c>
      <c r="BH106" s="275"/>
      <c r="BI106" s="275"/>
      <c r="BK106" s="275"/>
      <c r="BL106" s="289" t="str" cm="1">
        <f t="array" ref="BL106">[1]!ACAELE_LineaCAD(A106)</f>
        <v>++++++++++++++++++++++++++++++2</v>
      </c>
      <c r="BM106" s="279" t="str">
        <f t="shared" si="9"/>
        <v>76+</v>
      </c>
      <c r="BN106" s="304"/>
      <c r="BO106" s="304"/>
      <c r="BP106" s="304"/>
      <c r="BQ106" s="304"/>
      <c r="BR106" s="304"/>
      <c r="BS106" s="304"/>
      <c r="BT106" s="304"/>
      <c r="BU106" s="304"/>
      <c r="BV106" s="304"/>
      <c r="BW106" s="304"/>
      <c r="BX106" s="304"/>
      <c r="BY106" s="304"/>
      <c r="BZ106" s="304"/>
      <c r="CA106" s="304"/>
      <c r="CB106" s="304"/>
      <c r="CC106" s="304"/>
      <c r="CD106" s="304"/>
      <c r="CE106" s="304"/>
      <c r="CF106" s="304"/>
      <c r="CG106" s="304"/>
      <c r="CH106" s="304"/>
      <c r="CI106" s="304"/>
      <c r="CJ106" s="304"/>
      <c r="CK106" s="304"/>
      <c r="CL106" s="304"/>
      <c r="CM106" s="304"/>
      <c r="CN106" s="304"/>
      <c r="CO106" s="304"/>
      <c r="CP106" s="304"/>
      <c r="CQ106" s="304"/>
      <c r="CR106" s="305" t="str" cm="1">
        <f t="array" ref="CR106">CONCATENATE(BM106,_xlfn.TEXTJOIN("",TRUE,IF(BN$129:CQ$129&lt;&gt;"","+"&amp;D106:AG106,"")))</f>
        <v>76+</v>
      </c>
      <c r="CS106" s="279">
        <f t="shared" si="5"/>
        <v>30</v>
      </c>
      <c r="CT106" s="279" t="str">
        <f t="shared" si="8"/>
        <v>+++++++++++++++++++++++++++++++</v>
      </c>
      <c r="CU106" s="291" t="str">
        <f t="shared" si="10"/>
        <v>76++++++++++++++++++++++++++++++++2</v>
      </c>
      <c r="GB106" s="279" t="s">
        <v>1991</v>
      </c>
    </row>
    <row r="107" spans="1:184">
      <c r="A107" s="275">
        <f>IF(C107&lt;&gt;"",1,IF(AH107="",2,IF(OR(IF(TABLERO!B107="",0,TABLERO!B107)&gt;TABLERO!$M$19,IF(TABLERO!C107="",IF(TABLERO!B107="",0,TABLERO!B107),TABLERO!C107)&gt;TABLERO!$M$19,BI107&gt;TABLERO!$M$19,IF(TABLERO!B107="",0,TABLERO!B107)=0,IF(TABLERO!C107="",BG107,TABLERO!C107)=0,IF(TABLERO!D107="",BG107,TABLERO!D107)=0),2,1)))</f>
        <v>2</v>
      </c>
      <c r="B107" s="276" t="str">
        <f>TABLERO!B107&amp;IF(TABLERO!C107="","",","&amp;TABLERO!C107)&amp;IF(TABLERO!D107="","",","&amp;TABLERO!D107)</f>
        <v>77</v>
      </c>
      <c r="C107" s="269" t="str">
        <f>IF(TABLERO!E107=0,"",TABLERO!E107)</f>
        <v/>
      </c>
      <c r="D107" s="312" t="str">
        <f>IF(OR(TABLERO!X107="",TABLERO!X107=0),"",TABLERO!X107)</f>
        <v/>
      </c>
      <c r="E107" s="312" t="str">
        <f>IF(OR(TABLERO!Y107="",TABLERO!Y107=0),"",TABLERO!Y107)</f>
        <v/>
      </c>
      <c r="F107" s="312" t="str">
        <f>IF(OR(TABLERO!Z107="",TABLERO!Z107=0),"",TABLERO!Z107)</f>
        <v/>
      </c>
      <c r="G107" s="312" t="str">
        <f>IF(OR(TABLERO!AA107="",TABLERO!AA107=0),"",TABLERO!AA107)</f>
        <v/>
      </c>
      <c r="H107" s="312" t="str">
        <f>IF(OR(TABLERO!AB107="",TABLERO!AB107=0),"",TABLERO!AB107)</f>
        <v/>
      </c>
      <c r="I107" s="312" t="str">
        <f>IF(OR(TABLERO!AC107="",TABLERO!AC107=0),"",TABLERO!AC107)</f>
        <v/>
      </c>
      <c r="J107" s="312" t="str">
        <f>IF(OR(TABLERO!AD107="",TABLERO!AD107=0),"",TABLERO!AD107)</f>
        <v/>
      </c>
      <c r="K107" s="312" t="str">
        <f>IF(OR(TABLERO!AE107="",TABLERO!AE107=0),"",TABLERO!AE107)</f>
        <v/>
      </c>
      <c r="L107" s="312" t="str">
        <f>IF(OR(TABLERO!AF107="",TABLERO!AF107=0),"",TABLERO!AF107)</f>
        <v/>
      </c>
      <c r="M107" s="312" t="str">
        <f>IF(OR(TABLERO!AG107="",TABLERO!AG107=0),"",TABLERO!AG107)</f>
        <v/>
      </c>
      <c r="N107" s="312" t="str">
        <f>IF(OR(TABLERO!AH107="",TABLERO!AH107=0),"",TABLERO!AH107)</f>
        <v/>
      </c>
      <c r="O107" s="312" t="str">
        <f>IF(OR(TABLERO!AI107="",TABLERO!AI107=0),"",TABLERO!AI107)</f>
        <v/>
      </c>
      <c r="P107" s="312" t="str">
        <f>IF(OR(TABLERO!AJ107="",TABLERO!AJ107=0),"",TABLERO!AJ107)</f>
        <v/>
      </c>
      <c r="Q107" s="312" t="str">
        <f>IF(OR(TABLERO!AK107="",TABLERO!AK107=0),"",TABLERO!AK107)</f>
        <v/>
      </c>
      <c r="R107" s="312" t="str">
        <f>IF(OR(TABLERO!AL107="",TABLERO!AL107=0),"",TABLERO!AL107)</f>
        <v/>
      </c>
      <c r="S107" s="312" t="str">
        <f>IF(OR(TABLERO!AM107="",TABLERO!AM107=0),"",TABLERO!AM107)</f>
        <v/>
      </c>
      <c r="T107" s="312" t="str">
        <f>IF(OR(TABLERO!AN107="",TABLERO!AN107=0),"",TABLERO!AN107)</f>
        <v/>
      </c>
      <c r="U107" s="312" t="str">
        <f>IF(OR(TABLERO!AO107="",TABLERO!AO107=0),"",TABLERO!AO107)</f>
        <v/>
      </c>
      <c r="V107" s="312" t="str">
        <f>IF(OR(TABLERO!AP107="",TABLERO!AP107=0),"",TABLERO!AP107)</f>
        <v/>
      </c>
      <c r="W107" s="312" t="str">
        <f>IF(OR(TABLERO!AQ107="",TABLERO!AQ107=0),"",TABLERO!AQ107)</f>
        <v/>
      </c>
      <c r="X107" s="312" t="str">
        <f>IF(OR(TABLERO!AR107="",TABLERO!AR107=0),"",TABLERO!AR107)</f>
        <v/>
      </c>
      <c r="Y107" s="312" t="str">
        <f>IF(OR(TABLERO!AS107="",TABLERO!AS107=0),"",TABLERO!AS107)</f>
        <v/>
      </c>
      <c r="Z107" s="312" t="str">
        <f>IF(OR(TABLERO!AT107="",TABLERO!AT107=0),"",TABLERO!AT107)</f>
        <v/>
      </c>
      <c r="AA107" s="312" t="str">
        <f>IF(OR(TABLERO!AU107="",TABLERO!AU107=0),"",TABLERO!AU107)</f>
        <v/>
      </c>
      <c r="AB107" s="312" t="str">
        <f>IF(OR(TABLERO!AV107="",TABLERO!AV107=0),"",TABLERO!AV107)</f>
        <v/>
      </c>
      <c r="AC107" s="312" t="str">
        <f>IF(OR(TABLERO!AW107="",TABLERO!AW107=0),"",TABLERO!AW107)</f>
        <v/>
      </c>
      <c r="AD107" s="312" t="str">
        <f>IF(OR(TABLERO!AX107="",TABLERO!AX107=0),"",TABLERO!AX107)</f>
        <v/>
      </c>
      <c r="AE107" s="312" t="str">
        <f>IF(OR(TABLERO!AY107="",TABLERO!AY107=0),"",TABLERO!AY107)</f>
        <v/>
      </c>
      <c r="AF107" s="312" t="str">
        <f>IF(OR(TABLERO!AZ107="",TABLERO!AZ107=0),"",TABLERO!AZ107)</f>
        <v/>
      </c>
      <c r="AG107" s="312" t="str">
        <f>IF(OR(TABLERO!BA107="",TABLERO!BA107=0),"",TABLERO!BA107)</f>
        <v/>
      </c>
      <c r="AH107" s="277" t="str">
        <f>IF(TABLERO!BB107=0,"",FIXED(IF(TABLERO!$F$17&lt;&gt;"KVA",TABLERO!BB107*1000,TABLERO!BB107*1000/TABLERO!DA107),2))</f>
        <v/>
      </c>
      <c r="AI107" s="277" t="str">
        <f>IF(TABLERO!BB107=0,"",FIXED(IF(TABLERO!$F$17&lt;&gt;"KVA",TABLERO!BT107*1000,TABLERO!BT107*1000/TABLERO!DA107),2))</f>
        <v/>
      </c>
      <c r="AJ107" s="272" t="str">
        <f>IF(OR(TABLERO!BU107="",TABLERO!BU107=0),"",FIXED(TABLERO!BU107,2))</f>
        <v/>
      </c>
      <c r="AK107" s="312" t="str">
        <f>IF(TABLERO!BB107=0,"",TABLERO!F107)</f>
        <v/>
      </c>
      <c r="AL107" s="312" t="str">
        <f>IF(TABLERO!BB107=0,"",TABLERO!G107)</f>
        <v/>
      </c>
      <c r="AM107" s="312" t="str">
        <f>IF(TABLERO!BB107=0,"",TABLERO!BV107)</f>
        <v/>
      </c>
      <c r="AN107" s="272" t="str">
        <f>IF(TABLERO!BB107=0,"",TABLERO!K107)</f>
        <v/>
      </c>
      <c r="AO107" s="312" t="str">
        <f>IF(TABLERO!BB107=0,"",TABLERO!J107)</f>
        <v/>
      </c>
      <c r="AP107" s="272" t="str">
        <f>IF(TABLERO!BB107=0,"",TABLERO!CT107)</f>
        <v/>
      </c>
      <c r="AQ107" s="272" t="str">
        <f>IF(TABLERO!BB107=0,"",TABLERO!CS107)</f>
        <v/>
      </c>
      <c r="AR107" s="272" t="str">
        <f>IF(OR(TABLERO!BB107=0,TABLERO!H107="RE"),"",FIXED(TABLERO!CY107,2))</f>
        <v/>
      </c>
      <c r="AS107" s="312" t="str">
        <f>IF(TABLERO!BB107=0,"",TABLERO!N107)</f>
        <v/>
      </c>
      <c r="AT107" s="1164" t="str">
        <f>IF(TABLERO!BB107=0,"",TABLERO!BX107&amp;" "&amp;TABLERO!ED107&amp;", "&amp;TABLERO!I107)</f>
        <v/>
      </c>
      <c r="AU107" s="1165"/>
      <c r="AV107" s="272" t="str">
        <f>IF(OR(TABLERO!BB107=0,TABLERO!H107="RE"),"",FIXED(TABLERO!BZ107,2))</f>
        <v/>
      </c>
      <c r="AW107" s="312" t="str">
        <f>IF(TABLERO!BB107=0,"",TABLERO!CA107)</f>
        <v/>
      </c>
      <c r="AX107" s="271" t="str">
        <f>IF(TABLERO!BB107=0,"",TABLERO!CB107)</f>
        <v/>
      </c>
      <c r="AY107" s="272" t="str">
        <f>IF(OR(TABLERO!BB107=0,TABLERO!H107="RE"),"",FIXED(TABLERO!DL107,2))</f>
        <v/>
      </c>
      <c r="AZ107" s="310" t="str">
        <f>IF(OR(TABLERO!BB107=0,TABLERO!H107="RE"),"",TABLERO!F107&amp;"P-"&amp;TABLERO!BW107&amp;"A")</f>
        <v/>
      </c>
      <c r="BA107" s="272" t="str">
        <f>IF(TABLERO!$BB107=0,"",IF(TABLERO!CI107="-","     -     ",FIXED(IF(TABLERO!$F$17&lt;&gt;"KVA",TABLERO!CI107,TABLERO!CI107/TABLERO!$F$14),2)))</f>
        <v/>
      </c>
      <c r="BB107" s="272" t="str">
        <f>IF(TABLERO!$BB107=0,"",IF(TABLERO!CJ107="-","     -     ",FIXED(IF(TABLERO!$F$17&lt;&gt;"KVA",TABLERO!CJ107,TABLERO!CJ107/TABLERO!$F$14),2)))</f>
        <v/>
      </c>
      <c r="BC107" s="272" t="str">
        <f>IF(TABLERO!$BB107=0,"",IF(TABLERO!CK107="-","     -     ",FIXED(IF(TABLERO!$F$17&lt;&gt;"KVA",TABLERO!CK107,TABLERO!CK107/TABLERO!$F$14),2)))</f>
        <v/>
      </c>
      <c r="BG107" s="275">
        <f>IF(TABLERO!B107="",0,TABLERO!B107)</f>
        <v>77</v>
      </c>
      <c r="BH107" s="275"/>
      <c r="BI107" s="275"/>
      <c r="BK107" s="275"/>
      <c r="BL107" s="289" t="str" cm="1">
        <f t="array" ref="BL107">[1]!ACAELE_LineaCAD(A107)</f>
        <v>++++++++++++++++++++++++++++++2</v>
      </c>
      <c r="BM107" s="279" t="str">
        <f t="shared" si="9"/>
        <v>77+</v>
      </c>
      <c r="BN107" s="304"/>
      <c r="BO107" s="304"/>
      <c r="BP107" s="304"/>
      <c r="BQ107" s="304"/>
      <c r="BR107" s="304"/>
      <c r="BS107" s="304"/>
      <c r="BT107" s="304"/>
      <c r="BU107" s="304"/>
      <c r="BV107" s="304"/>
      <c r="BW107" s="304"/>
      <c r="BX107" s="304"/>
      <c r="BY107" s="304"/>
      <c r="BZ107" s="304"/>
      <c r="CA107" s="304"/>
      <c r="CB107" s="304"/>
      <c r="CC107" s="304"/>
      <c r="CD107" s="304"/>
      <c r="CE107" s="304"/>
      <c r="CF107" s="304"/>
      <c r="CG107" s="304"/>
      <c r="CH107" s="304"/>
      <c r="CI107" s="304"/>
      <c r="CJ107" s="304"/>
      <c r="CK107" s="304"/>
      <c r="CL107" s="304"/>
      <c r="CM107" s="304"/>
      <c r="CN107" s="304"/>
      <c r="CO107" s="304"/>
      <c r="CP107" s="304"/>
      <c r="CQ107" s="304"/>
      <c r="CR107" s="305" t="str" cm="1">
        <f t="array" ref="CR107">CONCATENATE(BM107,_xlfn.TEXTJOIN("",TRUE,IF(BN$129:CQ$129&lt;&gt;"","+"&amp;D107:AG107,"")))</f>
        <v>77+</v>
      </c>
      <c r="CS107" s="279">
        <f t="shared" si="5"/>
        <v>30</v>
      </c>
      <c r="CT107" s="279" t="str">
        <f t="shared" si="8"/>
        <v>+++++++++++++++++++++++++++++++</v>
      </c>
      <c r="CU107" s="291" t="str">
        <f t="shared" si="10"/>
        <v>77++++++++++++++++++++++++++++++++2</v>
      </c>
      <c r="GB107" s="279" t="s">
        <v>1992</v>
      </c>
    </row>
    <row r="108" spans="1:184">
      <c r="A108" s="275">
        <f>IF(C108&lt;&gt;"",1,IF(AH108="",2,IF(OR(IF(TABLERO!B108="",0,TABLERO!B108)&gt;TABLERO!$M$19,IF(TABLERO!C108="",IF(TABLERO!B108="",0,TABLERO!B108),TABLERO!C108)&gt;TABLERO!$M$19,BI108&gt;TABLERO!$M$19,IF(TABLERO!B108="",0,TABLERO!B108)=0,IF(TABLERO!C108="",BG108,TABLERO!C108)=0,IF(TABLERO!D108="",BG108,TABLERO!D108)=0),2,1)))</f>
        <v>2</v>
      </c>
      <c r="B108" s="276" t="str">
        <f>TABLERO!B108&amp;IF(TABLERO!C108="","",","&amp;TABLERO!C108)&amp;IF(TABLERO!D108="","",","&amp;TABLERO!D108)</f>
        <v>78</v>
      </c>
      <c r="C108" s="269" t="str">
        <f>IF(TABLERO!E108=0,"",TABLERO!E108)</f>
        <v/>
      </c>
      <c r="D108" s="312" t="str">
        <f>IF(OR(TABLERO!X108="",TABLERO!X108=0),"",TABLERO!X108)</f>
        <v/>
      </c>
      <c r="E108" s="312" t="str">
        <f>IF(OR(TABLERO!Y108="",TABLERO!Y108=0),"",TABLERO!Y108)</f>
        <v/>
      </c>
      <c r="F108" s="312" t="str">
        <f>IF(OR(TABLERO!Z108="",TABLERO!Z108=0),"",TABLERO!Z108)</f>
        <v/>
      </c>
      <c r="G108" s="312" t="str">
        <f>IF(OR(TABLERO!AA108="",TABLERO!AA108=0),"",TABLERO!AA108)</f>
        <v/>
      </c>
      <c r="H108" s="312" t="str">
        <f>IF(OR(TABLERO!AB108="",TABLERO!AB108=0),"",TABLERO!AB108)</f>
        <v/>
      </c>
      <c r="I108" s="312" t="str">
        <f>IF(OR(TABLERO!AC108="",TABLERO!AC108=0),"",TABLERO!AC108)</f>
        <v/>
      </c>
      <c r="J108" s="312" t="str">
        <f>IF(OR(TABLERO!AD108="",TABLERO!AD108=0),"",TABLERO!AD108)</f>
        <v/>
      </c>
      <c r="K108" s="312" t="str">
        <f>IF(OR(TABLERO!AE108="",TABLERO!AE108=0),"",TABLERO!AE108)</f>
        <v/>
      </c>
      <c r="L108" s="312" t="str">
        <f>IF(OR(TABLERO!AF108="",TABLERO!AF108=0),"",TABLERO!AF108)</f>
        <v/>
      </c>
      <c r="M108" s="312" t="str">
        <f>IF(OR(TABLERO!AG108="",TABLERO!AG108=0),"",TABLERO!AG108)</f>
        <v/>
      </c>
      <c r="N108" s="312" t="str">
        <f>IF(OR(TABLERO!AH108="",TABLERO!AH108=0),"",TABLERO!AH108)</f>
        <v/>
      </c>
      <c r="O108" s="312" t="str">
        <f>IF(OR(TABLERO!AI108="",TABLERO!AI108=0),"",TABLERO!AI108)</f>
        <v/>
      </c>
      <c r="P108" s="312" t="str">
        <f>IF(OR(TABLERO!AJ108="",TABLERO!AJ108=0),"",TABLERO!AJ108)</f>
        <v/>
      </c>
      <c r="Q108" s="312" t="str">
        <f>IF(OR(TABLERO!AK108="",TABLERO!AK108=0),"",TABLERO!AK108)</f>
        <v/>
      </c>
      <c r="R108" s="312" t="str">
        <f>IF(OR(TABLERO!AL108="",TABLERO!AL108=0),"",TABLERO!AL108)</f>
        <v/>
      </c>
      <c r="S108" s="312" t="str">
        <f>IF(OR(TABLERO!AM108="",TABLERO!AM108=0),"",TABLERO!AM108)</f>
        <v/>
      </c>
      <c r="T108" s="312" t="str">
        <f>IF(OR(TABLERO!AN108="",TABLERO!AN108=0),"",TABLERO!AN108)</f>
        <v/>
      </c>
      <c r="U108" s="312" t="str">
        <f>IF(OR(TABLERO!AO108="",TABLERO!AO108=0),"",TABLERO!AO108)</f>
        <v/>
      </c>
      <c r="V108" s="312" t="str">
        <f>IF(OR(TABLERO!AP108="",TABLERO!AP108=0),"",TABLERO!AP108)</f>
        <v/>
      </c>
      <c r="W108" s="312" t="str">
        <f>IF(OR(TABLERO!AQ108="",TABLERO!AQ108=0),"",TABLERO!AQ108)</f>
        <v/>
      </c>
      <c r="X108" s="312" t="str">
        <f>IF(OR(TABLERO!AR108="",TABLERO!AR108=0),"",TABLERO!AR108)</f>
        <v/>
      </c>
      <c r="Y108" s="312" t="str">
        <f>IF(OR(TABLERO!AS108="",TABLERO!AS108=0),"",TABLERO!AS108)</f>
        <v/>
      </c>
      <c r="Z108" s="312" t="str">
        <f>IF(OR(TABLERO!AT108="",TABLERO!AT108=0),"",TABLERO!AT108)</f>
        <v/>
      </c>
      <c r="AA108" s="312" t="str">
        <f>IF(OR(TABLERO!AU108="",TABLERO!AU108=0),"",TABLERO!AU108)</f>
        <v/>
      </c>
      <c r="AB108" s="312" t="str">
        <f>IF(OR(TABLERO!AV108="",TABLERO!AV108=0),"",TABLERO!AV108)</f>
        <v/>
      </c>
      <c r="AC108" s="312" t="str">
        <f>IF(OR(TABLERO!AW108="",TABLERO!AW108=0),"",TABLERO!AW108)</f>
        <v/>
      </c>
      <c r="AD108" s="312" t="str">
        <f>IF(OR(TABLERO!AX108="",TABLERO!AX108=0),"",TABLERO!AX108)</f>
        <v/>
      </c>
      <c r="AE108" s="312" t="str">
        <f>IF(OR(TABLERO!AY108="",TABLERO!AY108=0),"",TABLERO!AY108)</f>
        <v/>
      </c>
      <c r="AF108" s="312" t="str">
        <f>IF(OR(TABLERO!AZ108="",TABLERO!AZ108=0),"",TABLERO!AZ108)</f>
        <v/>
      </c>
      <c r="AG108" s="312" t="str">
        <f>IF(OR(TABLERO!BA108="",TABLERO!BA108=0),"",TABLERO!BA108)</f>
        <v/>
      </c>
      <c r="AH108" s="277" t="str">
        <f>IF(TABLERO!BB108=0,"",FIXED(IF(TABLERO!$F$17&lt;&gt;"KVA",TABLERO!BB108*1000,TABLERO!BB108*1000/TABLERO!DA108),2))</f>
        <v/>
      </c>
      <c r="AI108" s="277" t="str">
        <f>IF(TABLERO!BB108=0,"",FIXED(IF(TABLERO!$F$17&lt;&gt;"KVA",TABLERO!BT108*1000,TABLERO!BT108*1000/TABLERO!DA108),2))</f>
        <v/>
      </c>
      <c r="AJ108" s="272" t="str">
        <f>IF(OR(TABLERO!BU108="",TABLERO!BU108=0),"",FIXED(TABLERO!BU108,2))</f>
        <v/>
      </c>
      <c r="AK108" s="312" t="str">
        <f>IF(TABLERO!BB108=0,"",TABLERO!F108)</f>
        <v/>
      </c>
      <c r="AL108" s="312" t="str">
        <f>IF(TABLERO!BB108=0,"",TABLERO!G108)</f>
        <v/>
      </c>
      <c r="AM108" s="312" t="str">
        <f>IF(TABLERO!BB108=0,"",TABLERO!BV108)</f>
        <v/>
      </c>
      <c r="AN108" s="272" t="str">
        <f>IF(TABLERO!BB108=0,"",TABLERO!K108)</f>
        <v/>
      </c>
      <c r="AO108" s="312" t="str">
        <f>IF(TABLERO!BB108=0,"",TABLERO!J108)</f>
        <v/>
      </c>
      <c r="AP108" s="272" t="str">
        <f>IF(TABLERO!BB108=0,"",TABLERO!CT108)</f>
        <v/>
      </c>
      <c r="AQ108" s="272" t="str">
        <f>IF(TABLERO!BB108=0,"",TABLERO!CS108)</f>
        <v/>
      </c>
      <c r="AR108" s="272" t="str">
        <f>IF(OR(TABLERO!BB108=0,TABLERO!H108="RE"),"",FIXED(TABLERO!CY108,2))</f>
        <v/>
      </c>
      <c r="AS108" s="312" t="str">
        <f>IF(TABLERO!BB108=0,"",TABLERO!N108)</f>
        <v/>
      </c>
      <c r="AT108" s="1164" t="str">
        <f>IF(TABLERO!BB108=0,"",TABLERO!BX108&amp;" "&amp;TABLERO!ED108&amp;", "&amp;TABLERO!I108)</f>
        <v/>
      </c>
      <c r="AU108" s="1165"/>
      <c r="AV108" s="272" t="str">
        <f>IF(OR(TABLERO!BB108=0,TABLERO!H108="RE"),"",FIXED(TABLERO!BZ108,2))</f>
        <v/>
      </c>
      <c r="AW108" s="312" t="str">
        <f>IF(TABLERO!BB108=0,"",TABLERO!CA108)</f>
        <v/>
      </c>
      <c r="AX108" s="271" t="str">
        <f>IF(TABLERO!BB108=0,"",TABLERO!CB108)</f>
        <v/>
      </c>
      <c r="AY108" s="272" t="str">
        <f>IF(OR(TABLERO!BB108=0,TABLERO!H108="RE"),"",FIXED(TABLERO!DL108,2))</f>
        <v/>
      </c>
      <c r="AZ108" s="310" t="str">
        <f>IF(OR(TABLERO!BB108=0,TABLERO!H108="RE"),"",TABLERO!F108&amp;"P-"&amp;TABLERO!BW108&amp;"A")</f>
        <v/>
      </c>
      <c r="BA108" s="272" t="str">
        <f>IF(TABLERO!$BB108=0,"",IF(TABLERO!CI108="-","     -     ",FIXED(IF(TABLERO!$F$17&lt;&gt;"KVA",TABLERO!CI108,TABLERO!CI108/TABLERO!$F$14),2)))</f>
        <v/>
      </c>
      <c r="BB108" s="272" t="str">
        <f>IF(TABLERO!$BB108=0,"",IF(TABLERO!CJ108="-","     -     ",FIXED(IF(TABLERO!$F$17&lt;&gt;"KVA",TABLERO!CJ108,TABLERO!CJ108/TABLERO!$F$14),2)))</f>
        <v/>
      </c>
      <c r="BC108" s="272" t="str">
        <f>IF(TABLERO!$BB108=0,"",IF(TABLERO!CK108="-","     -     ",FIXED(IF(TABLERO!$F$17&lt;&gt;"KVA",TABLERO!CK108,TABLERO!CK108/TABLERO!$F$14),2)))</f>
        <v/>
      </c>
      <c r="BG108" s="275">
        <f>IF(TABLERO!B108="",0,TABLERO!B108)</f>
        <v>78</v>
      </c>
      <c r="BH108" s="275"/>
      <c r="BI108" s="275"/>
      <c r="BK108" s="275"/>
      <c r="BL108" s="289" t="str" cm="1">
        <f t="array" ref="BL108">[1]!ACAELE_LineaCAD(A108)</f>
        <v>++++++++++++++++++++++++++++++2</v>
      </c>
      <c r="BM108" s="279" t="str">
        <f t="shared" si="9"/>
        <v>78+</v>
      </c>
      <c r="BN108" s="304"/>
      <c r="BO108" s="304"/>
      <c r="BP108" s="304"/>
      <c r="BQ108" s="304"/>
      <c r="BR108" s="304"/>
      <c r="BS108" s="304"/>
      <c r="BT108" s="304"/>
      <c r="BU108" s="304"/>
      <c r="BV108" s="304"/>
      <c r="BW108" s="304"/>
      <c r="BX108" s="304"/>
      <c r="BY108" s="304"/>
      <c r="BZ108" s="304"/>
      <c r="CA108" s="304"/>
      <c r="CB108" s="304"/>
      <c r="CC108" s="304"/>
      <c r="CD108" s="304"/>
      <c r="CE108" s="304"/>
      <c r="CF108" s="304"/>
      <c r="CG108" s="304"/>
      <c r="CH108" s="304"/>
      <c r="CI108" s="304"/>
      <c r="CJ108" s="304"/>
      <c r="CK108" s="304"/>
      <c r="CL108" s="304"/>
      <c r="CM108" s="304"/>
      <c r="CN108" s="304"/>
      <c r="CO108" s="304"/>
      <c r="CP108" s="304"/>
      <c r="CQ108" s="304"/>
      <c r="CR108" s="305" t="str" cm="1">
        <f t="array" ref="CR108">CONCATENATE(BM108,_xlfn.TEXTJOIN("",TRUE,IF(BN$129:CQ$129&lt;&gt;"","+"&amp;D108:AG108,"")))</f>
        <v>78+</v>
      </c>
      <c r="CS108" s="279">
        <f t="shared" si="5"/>
        <v>30</v>
      </c>
      <c r="CT108" s="279" t="str">
        <f t="shared" si="8"/>
        <v>+++++++++++++++++++++++++++++++</v>
      </c>
      <c r="CU108" s="291" t="str">
        <f t="shared" si="10"/>
        <v>78++++++++++++++++++++++++++++++++2</v>
      </c>
      <c r="GB108" s="279" t="s">
        <v>1993</v>
      </c>
    </row>
    <row r="109" spans="1:184">
      <c r="A109" s="275">
        <f>IF(C109&lt;&gt;"",1,IF(AH109="",2,IF(OR(IF(TABLERO!B109="",0,TABLERO!B109)&gt;TABLERO!$M$19,IF(TABLERO!C109="",IF(TABLERO!B109="",0,TABLERO!B109),TABLERO!C109)&gt;TABLERO!$M$19,BI109&gt;TABLERO!$M$19,IF(TABLERO!B109="",0,TABLERO!B109)=0,IF(TABLERO!C109="",BG109,TABLERO!C109)=0,IF(TABLERO!D109="",BG109,TABLERO!D109)=0),2,1)))</f>
        <v>2</v>
      </c>
      <c r="B109" s="276" t="str">
        <f>TABLERO!B109&amp;IF(TABLERO!C109="","",","&amp;TABLERO!C109)&amp;IF(TABLERO!D109="","",","&amp;TABLERO!D109)</f>
        <v>79</v>
      </c>
      <c r="C109" s="269" t="str">
        <f>IF(TABLERO!E109=0,"",TABLERO!E109)</f>
        <v/>
      </c>
      <c r="D109" s="312" t="str">
        <f>IF(OR(TABLERO!X109="",TABLERO!X109=0),"",TABLERO!X109)</f>
        <v/>
      </c>
      <c r="E109" s="312" t="str">
        <f>IF(OR(TABLERO!Y109="",TABLERO!Y109=0),"",TABLERO!Y109)</f>
        <v/>
      </c>
      <c r="F109" s="312" t="str">
        <f>IF(OR(TABLERO!Z109="",TABLERO!Z109=0),"",TABLERO!Z109)</f>
        <v/>
      </c>
      <c r="G109" s="312" t="str">
        <f>IF(OR(TABLERO!AA109="",TABLERO!AA109=0),"",TABLERO!AA109)</f>
        <v/>
      </c>
      <c r="H109" s="312" t="str">
        <f>IF(OR(TABLERO!AB109="",TABLERO!AB109=0),"",TABLERO!AB109)</f>
        <v/>
      </c>
      <c r="I109" s="312" t="str">
        <f>IF(OR(TABLERO!AC109="",TABLERO!AC109=0),"",TABLERO!AC109)</f>
        <v/>
      </c>
      <c r="J109" s="312" t="str">
        <f>IF(OR(TABLERO!AD109="",TABLERO!AD109=0),"",TABLERO!AD109)</f>
        <v/>
      </c>
      <c r="K109" s="312" t="str">
        <f>IF(OR(TABLERO!AE109="",TABLERO!AE109=0),"",TABLERO!AE109)</f>
        <v/>
      </c>
      <c r="L109" s="312" t="str">
        <f>IF(OR(TABLERO!AF109="",TABLERO!AF109=0),"",TABLERO!AF109)</f>
        <v/>
      </c>
      <c r="M109" s="312" t="str">
        <f>IF(OR(TABLERO!AG109="",TABLERO!AG109=0),"",TABLERO!AG109)</f>
        <v/>
      </c>
      <c r="N109" s="312" t="str">
        <f>IF(OR(TABLERO!AH109="",TABLERO!AH109=0),"",TABLERO!AH109)</f>
        <v/>
      </c>
      <c r="O109" s="312" t="str">
        <f>IF(OR(TABLERO!AI109="",TABLERO!AI109=0),"",TABLERO!AI109)</f>
        <v/>
      </c>
      <c r="P109" s="312" t="str">
        <f>IF(OR(TABLERO!AJ109="",TABLERO!AJ109=0),"",TABLERO!AJ109)</f>
        <v/>
      </c>
      <c r="Q109" s="312" t="str">
        <f>IF(OR(TABLERO!AK109="",TABLERO!AK109=0),"",TABLERO!AK109)</f>
        <v/>
      </c>
      <c r="R109" s="312" t="str">
        <f>IF(OR(TABLERO!AL109="",TABLERO!AL109=0),"",TABLERO!AL109)</f>
        <v/>
      </c>
      <c r="S109" s="312" t="str">
        <f>IF(OR(TABLERO!AM109="",TABLERO!AM109=0),"",TABLERO!AM109)</f>
        <v/>
      </c>
      <c r="T109" s="312" t="str">
        <f>IF(OR(TABLERO!AN109="",TABLERO!AN109=0),"",TABLERO!AN109)</f>
        <v/>
      </c>
      <c r="U109" s="312" t="str">
        <f>IF(OR(TABLERO!AO109="",TABLERO!AO109=0),"",TABLERO!AO109)</f>
        <v/>
      </c>
      <c r="V109" s="312" t="str">
        <f>IF(OR(TABLERO!AP109="",TABLERO!AP109=0),"",TABLERO!AP109)</f>
        <v/>
      </c>
      <c r="W109" s="312" t="str">
        <f>IF(OR(TABLERO!AQ109="",TABLERO!AQ109=0),"",TABLERO!AQ109)</f>
        <v/>
      </c>
      <c r="X109" s="312" t="str">
        <f>IF(OR(TABLERO!AR109="",TABLERO!AR109=0),"",TABLERO!AR109)</f>
        <v/>
      </c>
      <c r="Y109" s="312" t="str">
        <f>IF(OR(TABLERO!AS109="",TABLERO!AS109=0),"",TABLERO!AS109)</f>
        <v/>
      </c>
      <c r="Z109" s="312" t="str">
        <f>IF(OR(TABLERO!AT109="",TABLERO!AT109=0),"",TABLERO!AT109)</f>
        <v/>
      </c>
      <c r="AA109" s="312" t="str">
        <f>IF(OR(TABLERO!AU109="",TABLERO!AU109=0),"",TABLERO!AU109)</f>
        <v/>
      </c>
      <c r="AB109" s="312" t="str">
        <f>IF(OR(TABLERO!AV109="",TABLERO!AV109=0),"",TABLERO!AV109)</f>
        <v/>
      </c>
      <c r="AC109" s="312" t="str">
        <f>IF(OR(TABLERO!AW109="",TABLERO!AW109=0),"",TABLERO!AW109)</f>
        <v/>
      </c>
      <c r="AD109" s="312" t="str">
        <f>IF(OR(TABLERO!AX109="",TABLERO!AX109=0),"",TABLERO!AX109)</f>
        <v/>
      </c>
      <c r="AE109" s="312" t="str">
        <f>IF(OR(TABLERO!AY109="",TABLERO!AY109=0),"",TABLERO!AY109)</f>
        <v/>
      </c>
      <c r="AF109" s="312" t="str">
        <f>IF(OR(TABLERO!AZ109="",TABLERO!AZ109=0),"",TABLERO!AZ109)</f>
        <v/>
      </c>
      <c r="AG109" s="312" t="str">
        <f>IF(OR(TABLERO!BA109="",TABLERO!BA109=0),"",TABLERO!BA109)</f>
        <v/>
      </c>
      <c r="AH109" s="277" t="str">
        <f>IF(TABLERO!BB109=0,"",FIXED(IF(TABLERO!$F$17&lt;&gt;"KVA",TABLERO!BB109*1000,TABLERO!BB109*1000/TABLERO!DA109),2))</f>
        <v/>
      </c>
      <c r="AI109" s="277" t="str">
        <f>IF(TABLERO!BB109=0,"",FIXED(IF(TABLERO!$F$17&lt;&gt;"KVA",TABLERO!BT109*1000,TABLERO!BT109*1000/TABLERO!DA109),2))</f>
        <v/>
      </c>
      <c r="AJ109" s="272" t="str">
        <f>IF(OR(TABLERO!BU109="",TABLERO!BU109=0),"",FIXED(TABLERO!BU109,2))</f>
        <v/>
      </c>
      <c r="AK109" s="312" t="str">
        <f>IF(TABLERO!BB109=0,"",TABLERO!F109)</f>
        <v/>
      </c>
      <c r="AL109" s="312" t="str">
        <f>IF(TABLERO!BB109=0,"",TABLERO!G109)</f>
        <v/>
      </c>
      <c r="AM109" s="312" t="str">
        <f>IF(TABLERO!BB109=0,"",TABLERO!BV109)</f>
        <v/>
      </c>
      <c r="AN109" s="272" t="str">
        <f>IF(TABLERO!BB109=0,"",TABLERO!K109)</f>
        <v/>
      </c>
      <c r="AO109" s="312" t="str">
        <f>IF(TABLERO!BB109=0,"",TABLERO!J109)</f>
        <v/>
      </c>
      <c r="AP109" s="272" t="str">
        <f>IF(TABLERO!BB109=0,"",TABLERO!CT109)</f>
        <v/>
      </c>
      <c r="AQ109" s="272" t="str">
        <f>IF(TABLERO!BB109=0,"",TABLERO!CS109)</f>
        <v/>
      </c>
      <c r="AR109" s="272" t="str">
        <f>IF(OR(TABLERO!BB109=0,TABLERO!H109="RE"),"",FIXED(TABLERO!CY109,2))</f>
        <v/>
      </c>
      <c r="AS109" s="312" t="str">
        <f>IF(TABLERO!BB109=0,"",TABLERO!N109)</f>
        <v/>
      </c>
      <c r="AT109" s="1164" t="str">
        <f>IF(TABLERO!BB109=0,"",TABLERO!BX109&amp;" "&amp;TABLERO!ED109&amp;", "&amp;TABLERO!I109)</f>
        <v/>
      </c>
      <c r="AU109" s="1165"/>
      <c r="AV109" s="272" t="str">
        <f>IF(OR(TABLERO!BB109=0,TABLERO!H109="RE"),"",FIXED(TABLERO!BZ109,2))</f>
        <v/>
      </c>
      <c r="AW109" s="312" t="str">
        <f>IF(TABLERO!BB109=0,"",TABLERO!CA109)</f>
        <v/>
      </c>
      <c r="AX109" s="271" t="str">
        <f>IF(TABLERO!BB109=0,"",TABLERO!CB109)</f>
        <v/>
      </c>
      <c r="AY109" s="272" t="str">
        <f>IF(OR(TABLERO!BB109=0,TABLERO!H109="RE"),"",FIXED(TABLERO!DL109,2))</f>
        <v/>
      </c>
      <c r="AZ109" s="310" t="str">
        <f>IF(OR(TABLERO!BB109=0,TABLERO!H109="RE"),"",TABLERO!F109&amp;"P-"&amp;TABLERO!BW109&amp;"A")</f>
        <v/>
      </c>
      <c r="BA109" s="272" t="str">
        <f>IF(TABLERO!$BB109=0,"",IF(TABLERO!CI109="-","     -     ",FIXED(IF(TABLERO!$F$17&lt;&gt;"KVA",TABLERO!CI109,TABLERO!CI109/TABLERO!$F$14),2)))</f>
        <v/>
      </c>
      <c r="BB109" s="272" t="str">
        <f>IF(TABLERO!$BB109=0,"",IF(TABLERO!CJ109="-","     -     ",FIXED(IF(TABLERO!$F$17&lt;&gt;"KVA",TABLERO!CJ109,TABLERO!CJ109/TABLERO!$F$14),2)))</f>
        <v/>
      </c>
      <c r="BC109" s="272" t="str">
        <f>IF(TABLERO!$BB109=0,"",IF(TABLERO!CK109="-","     -     ",FIXED(IF(TABLERO!$F$17&lt;&gt;"KVA",TABLERO!CK109,TABLERO!CK109/TABLERO!$F$14),2)))</f>
        <v/>
      </c>
      <c r="BG109" s="275">
        <f>IF(TABLERO!B109="",0,TABLERO!B109)</f>
        <v>79</v>
      </c>
      <c r="BH109" s="275"/>
      <c r="BI109" s="275"/>
      <c r="BK109" s="275"/>
      <c r="BL109" s="289" t="str" cm="1">
        <f t="array" ref="BL109">[1]!ACAELE_LineaCAD(A109)</f>
        <v>++++++++++++++++++++++++++++++2</v>
      </c>
      <c r="BM109" s="279" t="str">
        <f t="shared" si="9"/>
        <v>79+</v>
      </c>
      <c r="BN109" s="304"/>
      <c r="BO109" s="304"/>
      <c r="BP109" s="304"/>
      <c r="BQ109" s="304"/>
      <c r="BR109" s="304"/>
      <c r="BS109" s="304"/>
      <c r="BT109" s="304"/>
      <c r="BU109" s="304"/>
      <c r="BV109" s="304"/>
      <c r="BW109" s="304"/>
      <c r="BX109" s="304"/>
      <c r="BY109" s="304"/>
      <c r="BZ109" s="304"/>
      <c r="CA109" s="304"/>
      <c r="CB109" s="304"/>
      <c r="CC109" s="304"/>
      <c r="CD109" s="304"/>
      <c r="CE109" s="304"/>
      <c r="CF109" s="304"/>
      <c r="CG109" s="304"/>
      <c r="CH109" s="304"/>
      <c r="CI109" s="304"/>
      <c r="CJ109" s="304"/>
      <c r="CK109" s="304"/>
      <c r="CL109" s="304"/>
      <c r="CM109" s="304"/>
      <c r="CN109" s="304"/>
      <c r="CO109" s="304"/>
      <c r="CP109" s="304"/>
      <c r="CQ109" s="304"/>
      <c r="CR109" s="305" t="str" cm="1">
        <f t="array" ref="CR109">CONCATENATE(BM109,_xlfn.TEXTJOIN("",TRUE,IF(BN$129:CQ$129&lt;&gt;"","+"&amp;D109:AG109,"")))</f>
        <v>79+</v>
      </c>
      <c r="CS109" s="279">
        <f t="shared" si="5"/>
        <v>30</v>
      </c>
      <c r="CT109" s="279" t="str">
        <f t="shared" si="8"/>
        <v>+++++++++++++++++++++++++++++++</v>
      </c>
      <c r="CU109" s="291" t="str">
        <f t="shared" si="10"/>
        <v>79++++++++++++++++++++++++++++++++2</v>
      </c>
      <c r="GB109" s="279" t="s">
        <v>1994</v>
      </c>
    </row>
    <row r="110" spans="1:184">
      <c r="A110" s="275">
        <f>IF(C110&lt;&gt;"",1,IF(AH110="",2,IF(OR(IF(TABLERO!B110="",0,TABLERO!B110)&gt;TABLERO!$M$19,IF(TABLERO!C110="",IF(TABLERO!B110="",0,TABLERO!B110),TABLERO!C110)&gt;TABLERO!$M$19,BI110&gt;TABLERO!$M$19,IF(TABLERO!B110="",0,TABLERO!B110)=0,IF(TABLERO!C110="",BG110,TABLERO!C110)=0,IF(TABLERO!D110="",BG110,TABLERO!D110)=0),2,1)))</f>
        <v>2</v>
      </c>
      <c r="B110" s="276" t="str">
        <f>TABLERO!B110&amp;IF(TABLERO!C110="","",","&amp;TABLERO!C110)&amp;IF(TABLERO!D110="","",","&amp;TABLERO!D110)</f>
        <v>80</v>
      </c>
      <c r="C110" s="269" t="str">
        <f>IF(TABLERO!E110=0,"",TABLERO!E110)</f>
        <v/>
      </c>
      <c r="D110" s="312" t="str">
        <f>IF(OR(TABLERO!X110="",TABLERO!X110=0),"",TABLERO!X110)</f>
        <v/>
      </c>
      <c r="E110" s="312" t="str">
        <f>IF(OR(TABLERO!Y110="",TABLERO!Y110=0),"",TABLERO!Y110)</f>
        <v/>
      </c>
      <c r="F110" s="312" t="str">
        <f>IF(OR(TABLERO!Z110="",TABLERO!Z110=0),"",TABLERO!Z110)</f>
        <v/>
      </c>
      <c r="G110" s="312" t="str">
        <f>IF(OR(TABLERO!AA110="",TABLERO!AA110=0),"",TABLERO!AA110)</f>
        <v/>
      </c>
      <c r="H110" s="312" t="str">
        <f>IF(OR(TABLERO!AB110="",TABLERO!AB110=0),"",TABLERO!AB110)</f>
        <v/>
      </c>
      <c r="I110" s="312" t="str">
        <f>IF(OR(TABLERO!AC110="",TABLERO!AC110=0),"",TABLERO!AC110)</f>
        <v/>
      </c>
      <c r="J110" s="312" t="str">
        <f>IF(OR(TABLERO!AD110="",TABLERO!AD110=0),"",TABLERO!AD110)</f>
        <v/>
      </c>
      <c r="K110" s="312" t="str">
        <f>IF(OR(TABLERO!AE110="",TABLERO!AE110=0),"",TABLERO!AE110)</f>
        <v/>
      </c>
      <c r="L110" s="312" t="str">
        <f>IF(OR(TABLERO!AF110="",TABLERO!AF110=0),"",TABLERO!AF110)</f>
        <v/>
      </c>
      <c r="M110" s="312" t="str">
        <f>IF(OR(TABLERO!AG110="",TABLERO!AG110=0),"",TABLERO!AG110)</f>
        <v/>
      </c>
      <c r="N110" s="312" t="str">
        <f>IF(OR(TABLERO!AH110="",TABLERO!AH110=0),"",TABLERO!AH110)</f>
        <v/>
      </c>
      <c r="O110" s="312" t="str">
        <f>IF(OR(TABLERO!AI110="",TABLERO!AI110=0),"",TABLERO!AI110)</f>
        <v/>
      </c>
      <c r="P110" s="312" t="str">
        <f>IF(OR(TABLERO!AJ110="",TABLERO!AJ110=0),"",TABLERO!AJ110)</f>
        <v/>
      </c>
      <c r="Q110" s="312" t="str">
        <f>IF(OR(TABLERO!AK110="",TABLERO!AK110=0),"",TABLERO!AK110)</f>
        <v/>
      </c>
      <c r="R110" s="312" t="str">
        <f>IF(OR(TABLERO!AL110="",TABLERO!AL110=0),"",TABLERO!AL110)</f>
        <v/>
      </c>
      <c r="S110" s="312" t="str">
        <f>IF(OR(TABLERO!AM110="",TABLERO!AM110=0),"",TABLERO!AM110)</f>
        <v/>
      </c>
      <c r="T110" s="312" t="str">
        <f>IF(OR(TABLERO!AN110="",TABLERO!AN110=0),"",TABLERO!AN110)</f>
        <v/>
      </c>
      <c r="U110" s="312" t="str">
        <f>IF(OR(TABLERO!AO110="",TABLERO!AO110=0),"",TABLERO!AO110)</f>
        <v/>
      </c>
      <c r="V110" s="312" t="str">
        <f>IF(OR(TABLERO!AP110="",TABLERO!AP110=0),"",TABLERO!AP110)</f>
        <v/>
      </c>
      <c r="W110" s="312" t="str">
        <f>IF(OR(TABLERO!AQ110="",TABLERO!AQ110=0),"",TABLERO!AQ110)</f>
        <v/>
      </c>
      <c r="X110" s="312" t="str">
        <f>IF(OR(TABLERO!AR110="",TABLERO!AR110=0),"",TABLERO!AR110)</f>
        <v/>
      </c>
      <c r="Y110" s="312" t="str">
        <f>IF(OR(TABLERO!AS110="",TABLERO!AS110=0),"",TABLERO!AS110)</f>
        <v/>
      </c>
      <c r="Z110" s="312" t="str">
        <f>IF(OR(TABLERO!AT110="",TABLERO!AT110=0),"",TABLERO!AT110)</f>
        <v/>
      </c>
      <c r="AA110" s="312" t="str">
        <f>IF(OR(TABLERO!AU110="",TABLERO!AU110=0),"",TABLERO!AU110)</f>
        <v/>
      </c>
      <c r="AB110" s="312" t="str">
        <f>IF(OR(TABLERO!AV110="",TABLERO!AV110=0),"",TABLERO!AV110)</f>
        <v/>
      </c>
      <c r="AC110" s="312" t="str">
        <f>IF(OR(TABLERO!AW110="",TABLERO!AW110=0),"",TABLERO!AW110)</f>
        <v/>
      </c>
      <c r="AD110" s="312" t="str">
        <f>IF(OR(TABLERO!AX110="",TABLERO!AX110=0),"",TABLERO!AX110)</f>
        <v/>
      </c>
      <c r="AE110" s="312" t="str">
        <f>IF(OR(TABLERO!AY110="",TABLERO!AY110=0),"",TABLERO!AY110)</f>
        <v/>
      </c>
      <c r="AF110" s="312" t="str">
        <f>IF(OR(TABLERO!AZ110="",TABLERO!AZ110=0),"",TABLERO!AZ110)</f>
        <v/>
      </c>
      <c r="AG110" s="312" t="str">
        <f>IF(OR(TABLERO!BA110="",TABLERO!BA110=0),"",TABLERO!BA110)</f>
        <v/>
      </c>
      <c r="AH110" s="277" t="str">
        <f>IF(TABLERO!BB110=0,"",FIXED(IF(TABLERO!$F$17&lt;&gt;"KVA",TABLERO!BB110*1000,TABLERO!BB110*1000/TABLERO!DA110),2))</f>
        <v/>
      </c>
      <c r="AI110" s="277" t="str">
        <f>IF(TABLERO!BB110=0,"",FIXED(IF(TABLERO!$F$17&lt;&gt;"KVA",TABLERO!BT110*1000,TABLERO!BT110*1000/TABLERO!DA110),2))</f>
        <v/>
      </c>
      <c r="AJ110" s="272" t="str">
        <f>IF(OR(TABLERO!BU110="",TABLERO!BU110=0),"",FIXED(TABLERO!BU110,2))</f>
        <v/>
      </c>
      <c r="AK110" s="312" t="str">
        <f>IF(TABLERO!BB110=0,"",TABLERO!F110)</f>
        <v/>
      </c>
      <c r="AL110" s="312" t="str">
        <f>IF(TABLERO!BB110=0,"",TABLERO!G110)</f>
        <v/>
      </c>
      <c r="AM110" s="312" t="str">
        <f>IF(TABLERO!BB110=0,"",TABLERO!BV110)</f>
        <v/>
      </c>
      <c r="AN110" s="272" t="str">
        <f>IF(TABLERO!BB110=0,"",TABLERO!K110)</f>
        <v/>
      </c>
      <c r="AO110" s="312" t="str">
        <f>IF(TABLERO!BB110=0,"",TABLERO!J110)</f>
        <v/>
      </c>
      <c r="AP110" s="272" t="str">
        <f>IF(TABLERO!BB110=0,"",TABLERO!CT110)</f>
        <v/>
      </c>
      <c r="AQ110" s="272" t="str">
        <f>IF(TABLERO!BB110=0,"",TABLERO!CS110)</f>
        <v/>
      </c>
      <c r="AR110" s="272" t="str">
        <f>IF(OR(TABLERO!BB110=0,TABLERO!H110="RE"),"",FIXED(TABLERO!CY110,2))</f>
        <v/>
      </c>
      <c r="AS110" s="312" t="str">
        <f>IF(TABLERO!BB110=0,"",TABLERO!N110)</f>
        <v/>
      </c>
      <c r="AT110" s="1164" t="str">
        <f>IF(TABLERO!BB110=0,"",TABLERO!BX110&amp;" "&amp;TABLERO!ED110&amp;", "&amp;TABLERO!I110)</f>
        <v/>
      </c>
      <c r="AU110" s="1165"/>
      <c r="AV110" s="272" t="str">
        <f>IF(OR(TABLERO!BB110=0,TABLERO!H110="RE"),"",FIXED(TABLERO!BZ110,2))</f>
        <v/>
      </c>
      <c r="AW110" s="312" t="str">
        <f>IF(TABLERO!BB110=0,"",TABLERO!CA110)</f>
        <v/>
      </c>
      <c r="AX110" s="271" t="str">
        <f>IF(TABLERO!BB110=0,"",TABLERO!CB110)</f>
        <v/>
      </c>
      <c r="AY110" s="272" t="str">
        <f>IF(OR(TABLERO!BB110=0,TABLERO!H110="RE"),"",FIXED(TABLERO!DL110,2))</f>
        <v/>
      </c>
      <c r="AZ110" s="310" t="str">
        <f>IF(OR(TABLERO!BB110=0,TABLERO!H110="RE"),"",TABLERO!F110&amp;"P-"&amp;TABLERO!BW110&amp;"A")</f>
        <v/>
      </c>
      <c r="BA110" s="272" t="str">
        <f>IF(TABLERO!$BB110=0,"",IF(TABLERO!CI110="-","     -     ",FIXED(IF(TABLERO!$F$17&lt;&gt;"KVA",TABLERO!CI110,TABLERO!CI110/TABLERO!$F$14),2)))</f>
        <v/>
      </c>
      <c r="BB110" s="272" t="str">
        <f>IF(TABLERO!$BB110=0,"",IF(TABLERO!CJ110="-","     -     ",FIXED(IF(TABLERO!$F$17&lt;&gt;"KVA",TABLERO!CJ110,TABLERO!CJ110/TABLERO!$F$14),2)))</f>
        <v/>
      </c>
      <c r="BC110" s="272" t="str">
        <f>IF(TABLERO!$BB110=0,"",IF(TABLERO!CK110="-","     -     ",FIXED(IF(TABLERO!$F$17&lt;&gt;"KVA",TABLERO!CK110,TABLERO!CK110/TABLERO!$F$14),2)))</f>
        <v/>
      </c>
      <c r="BG110" s="275">
        <f>IF(TABLERO!B110="",0,TABLERO!B110)</f>
        <v>80</v>
      </c>
      <c r="BH110" s="275"/>
      <c r="BI110" s="275"/>
      <c r="BK110" s="275"/>
      <c r="BL110" s="289" t="str" cm="1">
        <f t="array" ref="BL110">[1]!ACAELE_LineaCAD(A110)</f>
        <v>++++++++++++++++++++++++++++++2</v>
      </c>
      <c r="BM110" s="279" t="str">
        <f t="shared" si="9"/>
        <v>80+</v>
      </c>
      <c r="BN110" s="304"/>
      <c r="BO110" s="304"/>
      <c r="BP110" s="304"/>
      <c r="BQ110" s="304"/>
      <c r="BR110" s="304"/>
      <c r="BS110" s="304"/>
      <c r="BT110" s="304"/>
      <c r="BU110" s="304"/>
      <c r="BV110" s="304"/>
      <c r="BW110" s="304"/>
      <c r="BX110" s="304"/>
      <c r="BY110" s="304"/>
      <c r="BZ110" s="304"/>
      <c r="CA110" s="304"/>
      <c r="CB110" s="304"/>
      <c r="CC110" s="304"/>
      <c r="CD110" s="304"/>
      <c r="CE110" s="304"/>
      <c r="CF110" s="304"/>
      <c r="CG110" s="304"/>
      <c r="CH110" s="304"/>
      <c r="CI110" s="304"/>
      <c r="CJ110" s="304"/>
      <c r="CK110" s="304"/>
      <c r="CL110" s="304"/>
      <c r="CM110" s="304"/>
      <c r="CN110" s="304"/>
      <c r="CO110" s="304"/>
      <c r="CP110" s="304"/>
      <c r="CQ110" s="304"/>
      <c r="CR110" s="305" t="str" cm="1">
        <f t="array" ref="CR110">CONCATENATE(BM110,_xlfn.TEXTJOIN("",TRUE,IF(BN$129:CQ$129&lt;&gt;"","+"&amp;D110:AG110,"")))</f>
        <v>80+</v>
      </c>
      <c r="CS110" s="279">
        <f t="shared" si="5"/>
        <v>30</v>
      </c>
      <c r="CT110" s="279" t="str">
        <f t="shared" si="8"/>
        <v>+++++++++++++++++++++++++++++++</v>
      </c>
      <c r="CU110" s="291" t="str">
        <f t="shared" si="10"/>
        <v>80++++++++++++++++++++++++++++++++2</v>
      </c>
      <c r="GB110" s="279" t="s">
        <v>1995</v>
      </c>
    </row>
    <row r="111" spans="1:184">
      <c r="A111" s="275">
        <f>IF(C111&lt;&gt;"",1,IF(AH111="",2,IF(OR(IF(TABLERO!B111="",0,TABLERO!B111)&gt;TABLERO!$M$19,IF(TABLERO!C111="",IF(TABLERO!B111="",0,TABLERO!B111),TABLERO!C111)&gt;TABLERO!$M$19,BI111&gt;TABLERO!$M$19,IF(TABLERO!B111="",0,TABLERO!B111)=0,IF(TABLERO!C111="",BG111,TABLERO!C111)=0,IF(TABLERO!D111="",BG111,TABLERO!D111)=0),2,1)))</f>
        <v>2</v>
      </c>
      <c r="B111" s="276" t="str">
        <f>TABLERO!B111&amp;IF(TABLERO!C111="","",","&amp;TABLERO!C111)&amp;IF(TABLERO!D111="","",","&amp;TABLERO!D111)</f>
        <v>81</v>
      </c>
      <c r="C111" s="269" t="str">
        <f>IF(TABLERO!E111=0,"",TABLERO!E111)</f>
        <v/>
      </c>
      <c r="D111" s="312" t="str">
        <f>IF(OR(TABLERO!X111="",TABLERO!X111=0),"",TABLERO!X111)</f>
        <v/>
      </c>
      <c r="E111" s="312" t="str">
        <f>IF(OR(TABLERO!Y111="",TABLERO!Y111=0),"",TABLERO!Y111)</f>
        <v/>
      </c>
      <c r="F111" s="312" t="str">
        <f>IF(OR(TABLERO!Z111="",TABLERO!Z111=0),"",TABLERO!Z111)</f>
        <v/>
      </c>
      <c r="G111" s="312" t="str">
        <f>IF(OR(TABLERO!AA111="",TABLERO!AA111=0),"",TABLERO!AA111)</f>
        <v/>
      </c>
      <c r="H111" s="312" t="str">
        <f>IF(OR(TABLERO!AB111="",TABLERO!AB111=0),"",TABLERO!AB111)</f>
        <v/>
      </c>
      <c r="I111" s="312" t="str">
        <f>IF(OR(TABLERO!AC111="",TABLERO!AC111=0),"",TABLERO!AC111)</f>
        <v/>
      </c>
      <c r="J111" s="312" t="str">
        <f>IF(OR(TABLERO!AD111="",TABLERO!AD111=0),"",TABLERO!AD111)</f>
        <v/>
      </c>
      <c r="K111" s="312" t="str">
        <f>IF(OR(TABLERO!AE111="",TABLERO!AE111=0),"",TABLERO!AE111)</f>
        <v/>
      </c>
      <c r="L111" s="312" t="str">
        <f>IF(OR(TABLERO!AF111="",TABLERO!AF111=0),"",TABLERO!AF111)</f>
        <v/>
      </c>
      <c r="M111" s="312" t="str">
        <f>IF(OR(TABLERO!AG111="",TABLERO!AG111=0),"",TABLERO!AG111)</f>
        <v/>
      </c>
      <c r="N111" s="312" t="str">
        <f>IF(OR(TABLERO!AH111="",TABLERO!AH111=0),"",TABLERO!AH111)</f>
        <v/>
      </c>
      <c r="O111" s="312" t="str">
        <f>IF(OR(TABLERO!AI111="",TABLERO!AI111=0),"",TABLERO!AI111)</f>
        <v/>
      </c>
      <c r="P111" s="312" t="str">
        <f>IF(OR(TABLERO!AJ111="",TABLERO!AJ111=0),"",TABLERO!AJ111)</f>
        <v/>
      </c>
      <c r="Q111" s="312" t="str">
        <f>IF(OR(TABLERO!AK111="",TABLERO!AK111=0),"",TABLERO!AK111)</f>
        <v/>
      </c>
      <c r="R111" s="312" t="str">
        <f>IF(OR(TABLERO!AL111="",TABLERO!AL111=0),"",TABLERO!AL111)</f>
        <v/>
      </c>
      <c r="S111" s="312" t="str">
        <f>IF(OR(TABLERO!AM111="",TABLERO!AM111=0),"",TABLERO!AM111)</f>
        <v/>
      </c>
      <c r="T111" s="312" t="str">
        <f>IF(OR(TABLERO!AN111="",TABLERO!AN111=0),"",TABLERO!AN111)</f>
        <v/>
      </c>
      <c r="U111" s="312" t="str">
        <f>IF(OR(TABLERO!AO111="",TABLERO!AO111=0),"",TABLERO!AO111)</f>
        <v/>
      </c>
      <c r="V111" s="312" t="str">
        <f>IF(OR(TABLERO!AP111="",TABLERO!AP111=0),"",TABLERO!AP111)</f>
        <v/>
      </c>
      <c r="W111" s="312" t="str">
        <f>IF(OR(TABLERO!AQ111="",TABLERO!AQ111=0),"",TABLERO!AQ111)</f>
        <v/>
      </c>
      <c r="X111" s="312" t="str">
        <f>IF(OR(TABLERO!AR111="",TABLERO!AR111=0),"",TABLERO!AR111)</f>
        <v/>
      </c>
      <c r="Y111" s="312" t="str">
        <f>IF(OR(TABLERO!AS111="",TABLERO!AS111=0),"",TABLERO!AS111)</f>
        <v/>
      </c>
      <c r="Z111" s="312" t="str">
        <f>IF(OR(TABLERO!AT111="",TABLERO!AT111=0),"",TABLERO!AT111)</f>
        <v/>
      </c>
      <c r="AA111" s="312" t="str">
        <f>IF(OR(TABLERO!AU111="",TABLERO!AU111=0),"",TABLERO!AU111)</f>
        <v/>
      </c>
      <c r="AB111" s="312" t="str">
        <f>IF(OR(TABLERO!AV111="",TABLERO!AV111=0),"",TABLERO!AV111)</f>
        <v/>
      </c>
      <c r="AC111" s="312" t="str">
        <f>IF(OR(TABLERO!AW111="",TABLERO!AW111=0),"",TABLERO!AW111)</f>
        <v/>
      </c>
      <c r="AD111" s="312" t="str">
        <f>IF(OR(TABLERO!AX111="",TABLERO!AX111=0),"",TABLERO!AX111)</f>
        <v/>
      </c>
      <c r="AE111" s="312" t="str">
        <f>IF(OR(TABLERO!AY111="",TABLERO!AY111=0),"",TABLERO!AY111)</f>
        <v/>
      </c>
      <c r="AF111" s="312" t="str">
        <f>IF(OR(TABLERO!AZ111="",TABLERO!AZ111=0),"",TABLERO!AZ111)</f>
        <v/>
      </c>
      <c r="AG111" s="312" t="str">
        <f>IF(OR(TABLERO!BA111="",TABLERO!BA111=0),"",TABLERO!BA111)</f>
        <v/>
      </c>
      <c r="AH111" s="277" t="str">
        <f>IF(TABLERO!BB111=0,"",FIXED(IF(TABLERO!$F$17&lt;&gt;"KVA",TABLERO!BB111*1000,TABLERO!BB111*1000/TABLERO!DA111),2))</f>
        <v/>
      </c>
      <c r="AI111" s="277" t="str">
        <f>IF(TABLERO!BB111=0,"",FIXED(IF(TABLERO!$F$17&lt;&gt;"KVA",TABLERO!BT111*1000,TABLERO!BT111*1000/TABLERO!DA111),2))</f>
        <v/>
      </c>
      <c r="AJ111" s="272" t="str">
        <f>IF(OR(TABLERO!BU111="",TABLERO!BU111=0),"",FIXED(TABLERO!BU111,2))</f>
        <v/>
      </c>
      <c r="AK111" s="312" t="str">
        <f>IF(TABLERO!BB111=0,"",TABLERO!F111)</f>
        <v/>
      </c>
      <c r="AL111" s="312" t="str">
        <f>IF(TABLERO!BB111=0,"",TABLERO!G111)</f>
        <v/>
      </c>
      <c r="AM111" s="312" t="str">
        <f>IF(TABLERO!BB111=0,"",TABLERO!BV111)</f>
        <v/>
      </c>
      <c r="AN111" s="272" t="str">
        <f>IF(TABLERO!BB111=0,"",TABLERO!K111)</f>
        <v/>
      </c>
      <c r="AO111" s="312" t="str">
        <f>IF(TABLERO!BB111=0,"",TABLERO!J111)</f>
        <v/>
      </c>
      <c r="AP111" s="272" t="str">
        <f>IF(TABLERO!BB111=0,"",TABLERO!CT111)</f>
        <v/>
      </c>
      <c r="AQ111" s="272" t="str">
        <f>IF(TABLERO!BB111=0,"",TABLERO!CS111)</f>
        <v/>
      </c>
      <c r="AR111" s="272" t="str">
        <f>IF(OR(TABLERO!BB111=0,TABLERO!H111="RE"),"",FIXED(TABLERO!CY111,2))</f>
        <v/>
      </c>
      <c r="AS111" s="312" t="str">
        <f>IF(TABLERO!BB111=0,"",TABLERO!N111)</f>
        <v/>
      </c>
      <c r="AT111" s="1164" t="str">
        <f>IF(TABLERO!BB111=0,"",TABLERO!BX111&amp;" "&amp;TABLERO!ED111&amp;", "&amp;TABLERO!I111)</f>
        <v/>
      </c>
      <c r="AU111" s="1165"/>
      <c r="AV111" s="272" t="str">
        <f>IF(OR(TABLERO!BB111=0,TABLERO!H111="RE"),"",FIXED(TABLERO!BZ111,2))</f>
        <v/>
      </c>
      <c r="AW111" s="312" t="str">
        <f>IF(TABLERO!BB111=0,"",TABLERO!CA111)</f>
        <v/>
      </c>
      <c r="AX111" s="271" t="str">
        <f>IF(TABLERO!BB111=0,"",TABLERO!CB111)</f>
        <v/>
      </c>
      <c r="AY111" s="272" t="str">
        <f>IF(OR(TABLERO!BB111=0,TABLERO!H111="RE"),"",FIXED(TABLERO!DL111,2))</f>
        <v/>
      </c>
      <c r="AZ111" s="310" t="str">
        <f>IF(OR(TABLERO!BB111=0,TABLERO!H111="RE"),"",TABLERO!F111&amp;"P-"&amp;TABLERO!BW111&amp;"A")</f>
        <v/>
      </c>
      <c r="BA111" s="272" t="str">
        <f>IF(TABLERO!$BB111=0,"",IF(TABLERO!CI111="-","     -     ",FIXED(IF(TABLERO!$F$17&lt;&gt;"KVA",TABLERO!CI111,TABLERO!CI111/TABLERO!$F$14),2)))</f>
        <v/>
      </c>
      <c r="BB111" s="272" t="str">
        <f>IF(TABLERO!$BB111=0,"",IF(TABLERO!CJ111="-","     -     ",FIXED(IF(TABLERO!$F$17&lt;&gt;"KVA",TABLERO!CJ111,TABLERO!CJ111/TABLERO!$F$14),2)))</f>
        <v/>
      </c>
      <c r="BC111" s="272" t="str">
        <f>IF(TABLERO!$BB111=0,"",IF(TABLERO!CK111="-","     -     ",FIXED(IF(TABLERO!$F$17&lt;&gt;"KVA",TABLERO!CK111,TABLERO!CK111/TABLERO!$F$14),2)))</f>
        <v/>
      </c>
      <c r="BG111" s="275">
        <f>IF(TABLERO!B111="",0,TABLERO!B111)</f>
        <v>81</v>
      </c>
      <c r="BH111" s="275"/>
      <c r="BI111" s="275"/>
      <c r="BK111" s="275"/>
      <c r="BL111" s="289" t="str" cm="1">
        <f t="array" ref="BL111">[1]!ACAELE_LineaCAD(A111)</f>
        <v>++++++++++++++++++++++++++++++2</v>
      </c>
      <c r="BM111" s="279" t="str">
        <f t="shared" si="9"/>
        <v>81+</v>
      </c>
      <c r="BN111" s="304"/>
      <c r="BO111" s="304"/>
      <c r="BP111" s="304"/>
      <c r="BQ111" s="304"/>
      <c r="BR111" s="304"/>
      <c r="BS111" s="304"/>
      <c r="BT111" s="304"/>
      <c r="BU111" s="304"/>
      <c r="BV111" s="304"/>
      <c r="BW111" s="304"/>
      <c r="BX111" s="304"/>
      <c r="BY111" s="304"/>
      <c r="BZ111" s="304"/>
      <c r="CA111" s="304"/>
      <c r="CB111" s="304"/>
      <c r="CC111" s="304"/>
      <c r="CD111" s="304"/>
      <c r="CE111" s="304"/>
      <c r="CF111" s="304"/>
      <c r="CG111" s="304"/>
      <c r="CH111" s="304"/>
      <c r="CI111" s="304"/>
      <c r="CJ111" s="304"/>
      <c r="CK111" s="304"/>
      <c r="CL111" s="304"/>
      <c r="CM111" s="304"/>
      <c r="CN111" s="304"/>
      <c r="CO111" s="304"/>
      <c r="CP111" s="304"/>
      <c r="CQ111" s="304"/>
      <c r="CR111" s="305" t="str" cm="1">
        <f t="array" ref="CR111">CONCATENATE(BM111,_xlfn.TEXTJOIN("",TRUE,IF(BN$129:CQ$129&lt;&gt;"","+"&amp;D111:AG111,"")))</f>
        <v>81+</v>
      </c>
      <c r="CS111" s="279">
        <f t="shared" si="5"/>
        <v>30</v>
      </c>
      <c r="CT111" s="279" t="str">
        <f t="shared" si="8"/>
        <v>+++++++++++++++++++++++++++++++</v>
      </c>
      <c r="CU111" s="291" t="str">
        <f t="shared" si="10"/>
        <v>81++++++++++++++++++++++++++++++++2</v>
      </c>
      <c r="GB111" s="279" t="s">
        <v>1996</v>
      </c>
    </row>
    <row r="112" spans="1:184">
      <c r="A112" s="275">
        <f>IF(C112&lt;&gt;"",1,IF(AH112="",2,IF(OR(IF(TABLERO!B112="",0,TABLERO!B112)&gt;TABLERO!$M$19,IF(TABLERO!C112="",IF(TABLERO!B112="",0,TABLERO!B112),TABLERO!C112)&gt;TABLERO!$M$19,BI112&gt;TABLERO!$M$19,IF(TABLERO!B112="",0,TABLERO!B112)=0,IF(TABLERO!C112="",BG112,TABLERO!C112)=0,IF(TABLERO!D112="",BG112,TABLERO!D112)=0),2,1)))</f>
        <v>2</v>
      </c>
      <c r="B112" s="276" t="str">
        <f>TABLERO!B112&amp;IF(TABLERO!C112="","",","&amp;TABLERO!C112)&amp;IF(TABLERO!D112="","",","&amp;TABLERO!D112)</f>
        <v>82</v>
      </c>
      <c r="C112" s="269" t="str">
        <f>IF(TABLERO!E112=0,"",TABLERO!E112)</f>
        <v/>
      </c>
      <c r="D112" s="312" t="str">
        <f>IF(OR(TABLERO!X112="",TABLERO!X112=0),"",TABLERO!X112)</f>
        <v/>
      </c>
      <c r="E112" s="312" t="str">
        <f>IF(OR(TABLERO!Y112="",TABLERO!Y112=0),"",TABLERO!Y112)</f>
        <v/>
      </c>
      <c r="F112" s="312" t="str">
        <f>IF(OR(TABLERO!Z112="",TABLERO!Z112=0),"",TABLERO!Z112)</f>
        <v/>
      </c>
      <c r="G112" s="312" t="str">
        <f>IF(OR(TABLERO!AA112="",TABLERO!AA112=0),"",TABLERO!AA112)</f>
        <v/>
      </c>
      <c r="H112" s="312" t="str">
        <f>IF(OR(TABLERO!AB112="",TABLERO!AB112=0),"",TABLERO!AB112)</f>
        <v/>
      </c>
      <c r="I112" s="312" t="str">
        <f>IF(OR(TABLERO!AC112="",TABLERO!AC112=0),"",TABLERO!AC112)</f>
        <v/>
      </c>
      <c r="J112" s="312" t="str">
        <f>IF(OR(TABLERO!AD112="",TABLERO!AD112=0),"",TABLERO!AD112)</f>
        <v/>
      </c>
      <c r="K112" s="312" t="str">
        <f>IF(OR(TABLERO!AE112="",TABLERO!AE112=0),"",TABLERO!AE112)</f>
        <v/>
      </c>
      <c r="L112" s="312" t="str">
        <f>IF(OR(TABLERO!AF112="",TABLERO!AF112=0),"",TABLERO!AF112)</f>
        <v/>
      </c>
      <c r="M112" s="312" t="str">
        <f>IF(OR(TABLERO!AG112="",TABLERO!AG112=0),"",TABLERO!AG112)</f>
        <v/>
      </c>
      <c r="N112" s="312" t="str">
        <f>IF(OR(TABLERO!AH112="",TABLERO!AH112=0),"",TABLERO!AH112)</f>
        <v/>
      </c>
      <c r="O112" s="312" t="str">
        <f>IF(OR(TABLERO!AI112="",TABLERO!AI112=0),"",TABLERO!AI112)</f>
        <v/>
      </c>
      <c r="P112" s="312" t="str">
        <f>IF(OR(TABLERO!AJ112="",TABLERO!AJ112=0),"",TABLERO!AJ112)</f>
        <v/>
      </c>
      <c r="Q112" s="312" t="str">
        <f>IF(OR(TABLERO!AK112="",TABLERO!AK112=0),"",TABLERO!AK112)</f>
        <v/>
      </c>
      <c r="R112" s="312" t="str">
        <f>IF(OR(TABLERO!AL112="",TABLERO!AL112=0),"",TABLERO!AL112)</f>
        <v/>
      </c>
      <c r="S112" s="312" t="str">
        <f>IF(OR(TABLERO!AM112="",TABLERO!AM112=0),"",TABLERO!AM112)</f>
        <v/>
      </c>
      <c r="T112" s="312" t="str">
        <f>IF(OR(TABLERO!AN112="",TABLERO!AN112=0),"",TABLERO!AN112)</f>
        <v/>
      </c>
      <c r="U112" s="312" t="str">
        <f>IF(OR(TABLERO!AO112="",TABLERO!AO112=0),"",TABLERO!AO112)</f>
        <v/>
      </c>
      <c r="V112" s="312" t="str">
        <f>IF(OR(TABLERO!AP112="",TABLERO!AP112=0),"",TABLERO!AP112)</f>
        <v/>
      </c>
      <c r="W112" s="312" t="str">
        <f>IF(OR(TABLERO!AQ112="",TABLERO!AQ112=0),"",TABLERO!AQ112)</f>
        <v/>
      </c>
      <c r="X112" s="312" t="str">
        <f>IF(OR(TABLERO!AR112="",TABLERO!AR112=0),"",TABLERO!AR112)</f>
        <v/>
      </c>
      <c r="Y112" s="312" t="str">
        <f>IF(OR(TABLERO!AS112="",TABLERO!AS112=0),"",TABLERO!AS112)</f>
        <v/>
      </c>
      <c r="Z112" s="312" t="str">
        <f>IF(OR(TABLERO!AT112="",TABLERO!AT112=0),"",TABLERO!AT112)</f>
        <v/>
      </c>
      <c r="AA112" s="312" t="str">
        <f>IF(OR(TABLERO!AU112="",TABLERO!AU112=0),"",TABLERO!AU112)</f>
        <v/>
      </c>
      <c r="AB112" s="312" t="str">
        <f>IF(OR(TABLERO!AV112="",TABLERO!AV112=0),"",TABLERO!AV112)</f>
        <v/>
      </c>
      <c r="AC112" s="312" t="str">
        <f>IF(OR(TABLERO!AW112="",TABLERO!AW112=0),"",TABLERO!AW112)</f>
        <v/>
      </c>
      <c r="AD112" s="312" t="str">
        <f>IF(OR(TABLERO!AX112="",TABLERO!AX112=0),"",TABLERO!AX112)</f>
        <v/>
      </c>
      <c r="AE112" s="312" t="str">
        <f>IF(OR(TABLERO!AY112="",TABLERO!AY112=0),"",TABLERO!AY112)</f>
        <v/>
      </c>
      <c r="AF112" s="312" t="str">
        <f>IF(OR(TABLERO!AZ112="",TABLERO!AZ112=0),"",TABLERO!AZ112)</f>
        <v/>
      </c>
      <c r="AG112" s="312" t="str">
        <f>IF(OR(TABLERO!BA112="",TABLERO!BA112=0),"",TABLERO!BA112)</f>
        <v/>
      </c>
      <c r="AH112" s="277" t="str">
        <f>IF(TABLERO!BB112=0,"",FIXED(IF(TABLERO!$F$17&lt;&gt;"KVA",TABLERO!BB112*1000,TABLERO!BB112*1000/TABLERO!DA112),2))</f>
        <v/>
      </c>
      <c r="AI112" s="277" t="str">
        <f>IF(TABLERO!BB112=0,"",FIXED(IF(TABLERO!$F$17&lt;&gt;"KVA",TABLERO!BT112*1000,TABLERO!BT112*1000/TABLERO!DA112),2))</f>
        <v/>
      </c>
      <c r="AJ112" s="272" t="str">
        <f>IF(OR(TABLERO!BU112="",TABLERO!BU112=0),"",FIXED(TABLERO!BU112,2))</f>
        <v/>
      </c>
      <c r="AK112" s="312" t="str">
        <f>IF(TABLERO!BB112=0,"",TABLERO!F112)</f>
        <v/>
      </c>
      <c r="AL112" s="312" t="str">
        <f>IF(TABLERO!BB112=0,"",TABLERO!G112)</f>
        <v/>
      </c>
      <c r="AM112" s="312" t="str">
        <f>IF(TABLERO!BB112=0,"",TABLERO!BV112)</f>
        <v/>
      </c>
      <c r="AN112" s="272" t="str">
        <f>IF(TABLERO!BB112=0,"",TABLERO!K112)</f>
        <v/>
      </c>
      <c r="AO112" s="312" t="str">
        <f>IF(TABLERO!BB112=0,"",TABLERO!J112)</f>
        <v/>
      </c>
      <c r="AP112" s="272" t="str">
        <f>IF(TABLERO!BB112=0,"",TABLERO!CT112)</f>
        <v/>
      </c>
      <c r="AQ112" s="272" t="str">
        <f>IF(TABLERO!BB112=0,"",TABLERO!CS112)</f>
        <v/>
      </c>
      <c r="AR112" s="272" t="str">
        <f>IF(OR(TABLERO!BB112=0,TABLERO!H112="RE"),"",FIXED(TABLERO!CY112,2))</f>
        <v/>
      </c>
      <c r="AS112" s="312" t="str">
        <f>IF(TABLERO!BB112=0,"",TABLERO!N112)</f>
        <v/>
      </c>
      <c r="AT112" s="1164" t="str">
        <f>IF(TABLERO!BB112=0,"",TABLERO!BX112&amp;" "&amp;TABLERO!ED112&amp;", "&amp;TABLERO!I112)</f>
        <v/>
      </c>
      <c r="AU112" s="1165"/>
      <c r="AV112" s="272" t="str">
        <f>IF(OR(TABLERO!BB112=0,TABLERO!H112="RE"),"",FIXED(TABLERO!BZ112,2))</f>
        <v/>
      </c>
      <c r="AW112" s="312" t="str">
        <f>IF(TABLERO!BB112=0,"",TABLERO!CA112)</f>
        <v/>
      </c>
      <c r="AX112" s="271" t="str">
        <f>IF(TABLERO!BB112=0,"",TABLERO!CB112)</f>
        <v/>
      </c>
      <c r="AY112" s="272" t="str">
        <f>IF(OR(TABLERO!BB112=0,TABLERO!H112="RE"),"",FIXED(TABLERO!DL112,2))</f>
        <v/>
      </c>
      <c r="AZ112" s="310" t="str">
        <f>IF(OR(TABLERO!BB112=0,TABLERO!H112="RE"),"",TABLERO!F112&amp;"P-"&amp;TABLERO!BW112&amp;"A")</f>
        <v/>
      </c>
      <c r="BA112" s="272" t="str">
        <f>IF(TABLERO!$BB112=0,"",IF(TABLERO!CI112="-","     -     ",FIXED(IF(TABLERO!$F$17&lt;&gt;"KVA",TABLERO!CI112,TABLERO!CI112/TABLERO!$F$14),2)))</f>
        <v/>
      </c>
      <c r="BB112" s="272" t="str">
        <f>IF(TABLERO!$BB112=0,"",IF(TABLERO!CJ112="-","     -     ",FIXED(IF(TABLERO!$F$17&lt;&gt;"KVA",TABLERO!CJ112,TABLERO!CJ112/TABLERO!$F$14),2)))</f>
        <v/>
      </c>
      <c r="BC112" s="272" t="str">
        <f>IF(TABLERO!$BB112=0,"",IF(TABLERO!CK112="-","     -     ",FIXED(IF(TABLERO!$F$17&lt;&gt;"KVA",TABLERO!CK112,TABLERO!CK112/TABLERO!$F$14),2)))</f>
        <v/>
      </c>
      <c r="BG112" s="275">
        <f>IF(TABLERO!B112="",0,TABLERO!B112)</f>
        <v>82</v>
      </c>
      <c r="BH112" s="275"/>
      <c r="BI112" s="275"/>
      <c r="BK112" s="275"/>
      <c r="BL112" s="289" t="str" cm="1">
        <f t="array" ref="BL112">[1]!ACAELE_LineaCAD(A112)</f>
        <v>++++++++++++++++++++++++++++++2</v>
      </c>
      <c r="BM112" s="279" t="str">
        <f t="shared" si="9"/>
        <v>82+</v>
      </c>
      <c r="BN112" s="304"/>
      <c r="BO112" s="304"/>
      <c r="BP112" s="304"/>
      <c r="BQ112" s="304"/>
      <c r="BR112" s="304"/>
      <c r="BS112" s="304"/>
      <c r="BT112" s="304"/>
      <c r="BU112" s="304"/>
      <c r="BV112" s="304"/>
      <c r="BW112" s="304"/>
      <c r="BX112" s="304"/>
      <c r="BY112" s="304"/>
      <c r="BZ112" s="304"/>
      <c r="CA112" s="304"/>
      <c r="CB112" s="304"/>
      <c r="CC112" s="304"/>
      <c r="CD112" s="304"/>
      <c r="CE112" s="304"/>
      <c r="CF112" s="304"/>
      <c r="CG112" s="304"/>
      <c r="CH112" s="304"/>
      <c r="CI112" s="304"/>
      <c r="CJ112" s="304"/>
      <c r="CK112" s="304"/>
      <c r="CL112" s="304"/>
      <c r="CM112" s="304"/>
      <c r="CN112" s="304"/>
      <c r="CO112" s="304"/>
      <c r="CP112" s="304"/>
      <c r="CQ112" s="304"/>
      <c r="CR112" s="305" t="str" cm="1">
        <f t="array" ref="CR112">CONCATENATE(BM112,_xlfn.TEXTJOIN("",TRUE,IF(BN$129:CQ$129&lt;&gt;"","+"&amp;D112:AG112,"")))</f>
        <v>82+</v>
      </c>
      <c r="CS112" s="279">
        <f t="shared" si="5"/>
        <v>30</v>
      </c>
      <c r="CT112" s="279" t="str">
        <f t="shared" si="8"/>
        <v>+++++++++++++++++++++++++++++++</v>
      </c>
      <c r="CU112" s="291" t="str">
        <f t="shared" si="10"/>
        <v>82++++++++++++++++++++++++++++++++2</v>
      </c>
      <c r="GB112" s="279" t="s">
        <v>1997</v>
      </c>
    </row>
    <row r="113" spans="1:184">
      <c r="A113" s="275">
        <f>IF(C113&lt;&gt;"",1,IF(AH113="",2,IF(OR(IF(TABLERO!B113="",0,TABLERO!B113)&gt;TABLERO!$M$19,IF(TABLERO!C113="",IF(TABLERO!B113="",0,TABLERO!B113),TABLERO!C113)&gt;TABLERO!$M$19,BI113&gt;TABLERO!$M$19,IF(TABLERO!B113="",0,TABLERO!B113)=0,IF(TABLERO!C113="",BG113,TABLERO!C113)=0,IF(TABLERO!D113="",BG113,TABLERO!D113)=0),2,1)))</f>
        <v>2</v>
      </c>
      <c r="B113" s="276" t="str">
        <f>TABLERO!B113&amp;IF(TABLERO!C113="","",","&amp;TABLERO!C113)&amp;IF(TABLERO!D113="","",","&amp;TABLERO!D113)</f>
        <v>83</v>
      </c>
      <c r="C113" s="269" t="str">
        <f>IF(TABLERO!E113=0,"",TABLERO!E113)</f>
        <v/>
      </c>
      <c r="D113" s="312" t="str">
        <f>IF(OR(TABLERO!X113="",TABLERO!X113=0),"",TABLERO!X113)</f>
        <v/>
      </c>
      <c r="E113" s="312" t="str">
        <f>IF(OR(TABLERO!Y113="",TABLERO!Y113=0),"",TABLERO!Y113)</f>
        <v/>
      </c>
      <c r="F113" s="312" t="str">
        <f>IF(OR(TABLERO!Z113="",TABLERO!Z113=0),"",TABLERO!Z113)</f>
        <v/>
      </c>
      <c r="G113" s="312" t="str">
        <f>IF(OR(TABLERO!AA113="",TABLERO!AA113=0),"",TABLERO!AA113)</f>
        <v/>
      </c>
      <c r="H113" s="312" t="str">
        <f>IF(OR(TABLERO!AB113="",TABLERO!AB113=0),"",TABLERO!AB113)</f>
        <v/>
      </c>
      <c r="I113" s="312" t="str">
        <f>IF(OR(TABLERO!AC113="",TABLERO!AC113=0),"",TABLERO!AC113)</f>
        <v/>
      </c>
      <c r="J113" s="312" t="str">
        <f>IF(OR(TABLERO!AD113="",TABLERO!AD113=0),"",TABLERO!AD113)</f>
        <v/>
      </c>
      <c r="K113" s="312" t="str">
        <f>IF(OR(TABLERO!AE113="",TABLERO!AE113=0),"",TABLERO!AE113)</f>
        <v/>
      </c>
      <c r="L113" s="312" t="str">
        <f>IF(OR(TABLERO!AF113="",TABLERO!AF113=0),"",TABLERO!AF113)</f>
        <v/>
      </c>
      <c r="M113" s="312" t="str">
        <f>IF(OR(TABLERO!AG113="",TABLERO!AG113=0),"",TABLERO!AG113)</f>
        <v/>
      </c>
      <c r="N113" s="312" t="str">
        <f>IF(OR(TABLERO!AH113="",TABLERO!AH113=0),"",TABLERO!AH113)</f>
        <v/>
      </c>
      <c r="O113" s="312" t="str">
        <f>IF(OR(TABLERO!AI113="",TABLERO!AI113=0),"",TABLERO!AI113)</f>
        <v/>
      </c>
      <c r="P113" s="312" t="str">
        <f>IF(OR(TABLERO!AJ113="",TABLERO!AJ113=0),"",TABLERO!AJ113)</f>
        <v/>
      </c>
      <c r="Q113" s="312" t="str">
        <f>IF(OR(TABLERO!AK113="",TABLERO!AK113=0),"",TABLERO!AK113)</f>
        <v/>
      </c>
      <c r="R113" s="312" t="str">
        <f>IF(OR(TABLERO!AL113="",TABLERO!AL113=0),"",TABLERO!AL113)</f>
        <v/>
      </c>
      <c r="S113" s="312" t="str">
        <f>IF(OR(TABLERO!AM113="",TABLERO!AM113=0),"",TABLERO!AM113)</f>
        <v/>
      </c>
      <c r="T113" s="312" t="str">
        <f>IF(OR(TABLERO!AN113="",TABLERO!AN113=0),"",TABLERO!AN113)</f>
        <v/>
      </c>
      <c r="U113" s="312" t="str">
        <f>IF(OR(TABLERO!AO113="",TABLERO!AO113=0),"",TABLERO!AO113)</f>
        <v/>
      </c>
      <c r="V113" s="312" t="str">
        <f>IF(OR(TABLERO!AP113="",TABLERO!AP113=0),"",TABLERO!AP113)</f>
        <v/>
      </c>
      <c r="W113" s="312" t="str">
        <f>IF(OR(TABLERO!AQ113="",TABLERO!AQ113=0),"",TABLERO!AQ113)</f>
        <v/>
      </c>
      <c r="X113" s="312" t="str">
        <f>IF(OR(TABLERO!AR113="",TABLERO!AR113=0),"",TABLERO!AR113)</f>
        <v/>
      </c>
      <c r="Y113" s="312" t="str">
        <f>IF(OR(TABLERO!AS113="",TABLERO!AS113=0),"",TABLERO!AS113)</f>
        <v/>
      </c>
      <c r="Z113" s="312" t="str">
        <f>IF(OR(TABLERO!AT113="",TABLERO!AT113=0),"",TABLERO!AT113)</f>
        <v/>
      </c>
      <c r="AA113" s="312" t="str">
        <f>IF(OR(TABLERO!AU113="",TABLERO!AU113=0),"",TABLERO!AU113)</f>
        <v/>
      </c>
      <c r="AB113" s="312" t="str">
        <f>IF(OR(TABLERO!AV113="",TABLERO!AV113=0),"",TABLERO!AV113)</f>
        <v/>
      </c>
      <c r="AC113" s="312" t="str">
        <f>IF(OR(TABLERO!AW113="",TABLERO!AW113=0),"",TABLERO!AW113)</f>
        <v/>
      </c>
      <c r="AD113" s="312" t="str">
        <f>IF(OR(TABLERO!AX113="",TABLERO!AX113=0),"",TABLERO!AX113)</f>
        <v/>
      </c>
      <c r="AE113" s="312" t="str">
        <f>IF(OR(TABLERO!AY113="",TABLERO!AY113=0),"",TABLERO!AY113)</f>
        <v/>
      </c>
      <c r="AF113" s="312" t="str">
        <f>IF(OR(TABLERO!AZ113="",TABLERO!AZ113=0),"",TABLERO!AZ113)</f>
        <v/>
      </c>
      <c r="AG113" s="312" t="str">
        <f>IF(OR(TABLERO!BA113="",TABLERO!BA113=0),"",TABLERO!BA113)</f>
        <v/>
      </c>
      <c r="AH113" s="277" t="str">
        <f>IF(TABLERO!BB113=0,"",FIXED(IF(TABLERO!$F$17&lt;&gt;"KVA",TABLERO!BB113*1000,TABLERO!BB113*1000/TABLERO!DA113),2))</f>
        <v/>
      </c>
      <c r="AI113" s="277" t="str">
        <f>IF(TABLERO!BB113=0,"",FIXED(IF(TABLERO!$F$17&lt;&gt;"KVA",TABLERO!BT113*1000,TABLERO!BT113*1000/TABLERO!DA113),2))</f>
        <v/>
      </c>
      <c r="AJ113" s="272" t="str">
        <f>IF(OR(TABLERO!BU113="",TABLERO!BU113=0),"",FIXED(TABLERO!BU113,2))</f>
        <v/>
      </c>
      <c r="AK113" s="312" t="str">
        <f>IF(TABLERO!BB113=0,"",TABLERO!F113)</f>
        <v/>
      </c>
      <c r="AL113" s="312" t="str">
        <f>IF(TABLERO!BB113=0,"",TABLERO!G113)</f>
        <v/>
      </c>
      <c r="AM113" s="312" t="str">
        <f>IF(TABLERO!BB113=0,"",TABLERO!BV113)</f>
        <v/>
      </c>
      <c r="AN113" s="272" t="str">
        <f>IF(TABLERO!BB113=0,"",TABLERO!K113)</f>
        <v/>
      </c>
      <c r="AO113" s="312" t="str">
        <f>IF(TABLERO!BB113=0,"",TABLERO!J113)</f>
        <v/>
      </c>
      <c r="AP113" s="272" t="str">
        <f>IF(TABLERO!BB113=0,"",TABLERO!CT113)</f>
        <v/>
      </c>
      <c r="AQ113" s="272" t="str">
        <f>IF(TABLERO!BB113=0,"",TABLERO!CS113)</f>
        <v/>
      </c>
      <c r="AR113" s="272" t="str">
        <f>IF(OR(TABLERO!BB113=0,TABLERO!H113="RE"),"",FIXED(TABLERO!CY113,2))</f>
        <v/>
      </c>
      <c r="AS113" s="312" t="str">
        <f>IF(TABLERO!BB113=0,"",TABLERO!N113)</f>
        <v/>
      </c>
      <c r="AT113" s="1164" t="str">
        <f>IF(TABLERO!BB113=0,"",TABLERO!BX113&amp;" "&amp;TABLERO!ED113&amp;", "&amp;TABLERO!I113)</f>
        <v/>
      </c>
      <c r="AU113" s="1165"/>
      <c r="AV113" s="272" t="str">
        <f>IF(OR(TABLERO!BB113=0,TABLERO!H113="RE"),"",FIXED(TABLERO!BZ113,2))</f>
        <v/>
      </c>
      <c r="AW113" s="312" t="str">
        <f>IF(TABLERO!BB113=0,"",TABLERO!CA113)</f>
        <v/>
      </c>
      <c r="AX113" s="271" t="str">
        <f>IF(TABLERO!BB113=0,"",TABLERO!CB113)</f>
        <v/>
      </c>
      <c r="AY113" s="272" t="str">
        <f>IF(OR(TABLERO!BB113=0,TABLERO!H113="RE"),"",FIXED(TABLERO!DL113,2))</f>
        <v/>
      </c>
      <c r="AZ113" s="310" t="str">
        <f>IF(OR(TABLERO!BB113=0,TABLERO!H113="RE"),"",TABLERO!F113&amp;"P-"&amp;TABLERO!BW113&amp;"A")</f>
        <v/>
      </c>
      <c r="BA113" s="272" t="str">
        <f>IF(TABLERO!$BB113=0,"",IF(TABLERO!CI113="-","     -     ",FIXED(IF(TABLERO!$F$17&lt;&gt;"KVA",TABLERO!CI113,TABLERO!CI113/TABLERO!$F$14),2)))</f>
        <v/>
      </c>
      <c r="BB113" s="272" t="str">
        <f>IF(TABLERO!$BB113=0,"",IF(TABLERO!CJ113="-","     -     ",FIXED(IF(TABLERO!$F$17&lt;&gt;"KVA",TABLERO!CJ113,TABLERO!CJ113/TABLERO!$F$14),2)))</f>
        <v/>
      </c>
      <c r="BC113" s="272" t="str">
        <f>IF(TABLERO!$BB113=0,"",IF(TABLERO!CK113="-","     -     ",FIXED(IF(TABLERO!$F$17&lt;&gt;"KVA",TABLERO!CK113,TABLERO!CK113/TABLERO!$F$14),2)))</f>
        <v/>
      </c>
      <c r="BG113" s="275">
        <f>IF(TABLERO!B113="",0,TABLERO!B113)</f>
        <v>83</v>
      </c>
      <c r="BH113" s="275"/>
      <c r="BI113" s="275"/>
      <c r="BK113" s="275"/>
      <c r="BL113" s="289" t="str" cm="1">
        <f t="array" ref="BL113">[1]!ACAELE_LineaCAD(A113)</f>
        <v>++++++++++++++++++++++++++++++2</v>
      </c>
      <c r="BM113" s="279" t="str">
        <f t="shared" si="9"/>
        <v>83+</v>
      </c>
      <c r="BN113" s="304"/>
      <c r="BO113" s="304"/>
      <c r="BP113" s="304"/>
      <c r="BQ113" s="304"/>
      <c r="BR113" s="304"/>
      <c r="BS113" s="304"/>
      <c r="BT113" s="304"/>
      <c r="BU113" s="304"/>
      <c r="BV113" s="304"/>
      <c r="BW113" s="304"/>
      <c r="BX113" s="304"/>
      <c r="BY113" s="304"/>
      <c r="BZ113" s="304"/>
      <c r="CA113" s="304"/>
      <c r="CB113" s="304"/>
      <c r="CC113" s="304"/>
      <c r="CD113" s="304"/>
      <c r="CE113" s="304"/>
      <c r="CF113" s="304"/>
      <c r="CG113" s="304"/>
      <c r="CH113" s="304"/>
      <c r="CI113" s="304"/>
      <c r="CJ113" s="304"/>
      <c r="CK113" s="304"/>
      <c r="CL113" s="304"/>
      <c r="CM113" s="304"/>
      <c r="CN113" s="304"/>
      <c r="CO113" s="304"/>
      <c r="CP113" s="304"/>
      <c r="CQ113" s="304"/>
      <c r="CR113" s="305" t="str" cm="1">
        <f t="array" ref="CR113">CONCATENATE(BM113,_xlfn.TEXTJOIN("",TRUE,IF(BN$129:CQ$129&lt;&gt;"","+"&amp;D113:AG113,"")))</f>
        <v>83+</v>
      </c>
      <c r="CS113" s="279">
        <f t="shared" si="5"/>
        <v>30</v>
      </c>
      <c r="CT113" s="279" t="str">
        <f t="shared" si="8"/>
        <v>+++++++++++++++++++++++++++++++</v>
      </c>
      <c r="CU113" s="291" t="str">
        <f t="shared" si="10"/>
        <v>83++++++++++++++++++++++++++++++++2</v>
      </c>
      <c r="GB113" s="279" t="s">
        <v>1998</v>
      </c>
    </row>
    <row r="114" spans="1:184">
      <c r="A114" s="275">
        <f>IF(C114&lt;&gt;"",1,IF(AH114="",2,IF(OR(IF(TABLERO!B114="",0,TABLERO!B114)&gt;TABLERO!$M$19,IF(TABLERO!C114="",IF(TABLERO!B114="",0,TABLERO!B114),TABLERO!C114)&gt;TABLERO!$M$19,BI114&gt;TABLERO!$M$19,IF(TABLERO!B114="",0,TABLERO!B114)=0,IF(TABLERO!C114="",BG114,TABLERO!C114)=0,IF(TABLERO!D114="",BG114,TABLERO!D114)=0),2,1)))</f>
        <v>2</v>
      </c>
      <c r="B114" s="276" t="str">
        <f>TABLERO!B114&amp;IF(TABLERO!C114="","",","&amp;TABLERO!C114)&amp;IF(TABLERO!D114="","",","&amp;TABLERO!D114)</f>
        <v>84</v>
      </c>
      <c r="C114" s="269" t="str">
        <f>IF(TABLERO!E114=0,"",TABLERO!E114)</f>
        <v/>
      </c>
      <c r="D114" s="312" t="str">
        <f>IF(OR(TABLERO!X114="",TABLERO!X114=0),"",TABLERO!X114)</f>
        <v/>
      </c>
      <c r="E114" s="312" t="str">
        <f>IF(OR(TABLERO!Y114="",TABLERO!Y114=0),"",TABLERO!Y114)</f>
        <v/>
      </c>
      <c r="F114" s="312" t="str">
        <f>IF(OR(TABLERO!Z114="",TABLERO!Z114=0),"",TABLERO!Z114)</f>
        <v/>
      </c>
      <c r="G114" s="312" t="str">
        <f>IF(OR(TABLERO!AA114="",TABLERO!AA114=0),"",TABLERO!AA114)</f>
        <v/>
      </c>
      <c r="H114" s="312" t="str">
        <f>IF(OR(TABLERO!AB114="",TABLERO!AB114=0),"",TABLERO!AB114)</f>
        <v/>
      </c>
      <c r="I114" s="312" t="str">
        <f>IF(OR(TABLERO!AC114="",TABLERO!AC114=0),"",TABLERO!AC114)</f>
        <v/>
      </c>
      <c r="J114" s="312" t="str">
        <f>IF(OR(TABLERO!AD114="",TABLERO!AD114=0),"",TABLERO!AD114)</f>
        <v/>
      </c>
      <c r="K114" s="312" t="str">
        <f>IF(OR(TABLERO!AE114="",TABLERO!AE114=0),"",TABLERO!AE114)</f>
        <v/>
      </c>
      <c r="L114" s="312" t="str">
        <f>IF(OR(TABLERO!AF114="",TABLERO!AF114=0),"",TABLERO!AF114)</f>
        <v/>
      </c>
      <c r="M114" s="312" t="str">
        <f>IF(OR(TABLERO!AG114="",TABLERO!AG114=0),"",TABLERO!AG114)</f>
        <v/>
      </c>
      <c r="N114" s="312" t="str">
        <f>IF(OR(TABLERO!AH114="",TABLERO!AH114=0),"",TABLERO!AH114)</f>
        <v/>
      </c>
      <c r="O114" s="312" t="str">
        <f>IF(OR(TABLERO!AI114="",TABLERO!AI114=0),"",TABLERO!AI114)</f>
        <v/>
      </c>
      <c r="P114" s="312" t="str">
        <f>IF(OR(TABLERO!AJ114="",TABLERO!AJ114=0),"",TABLERO!AJ114)</f>
        <v/>
      </c>
      <c r="Q114" s="312" t="str">
        <f>IF(OR(TABLERO!AK114="",TABLERO!AK114=0),"",TABLERO!AK114)</f>
        <v/>
      </c>
      <c r="R114" s="312" t="str">
        <f>IF(OR(TABLERO!AL114="",TABLERO!AL114=0),"",TABLERO!AL114)</f>
        <v/>
      </c>
      <c r="S114" s="312" t="str">
        <f>IF(OR(TABLERO!AM114="",TABLERO!AM114=0),"",TABLERO!AM114)</f>
        <v/>
      </c>
      <c r="T114" s="312" t="str">
        <f>IF(OR(TABLERO!AN114="",TABLERO!AN114=0),"",TABLERO!AN114)</f>
        <v/>
      </c>
      <c r="U114" s="312" t="str">
        <f>IF(OR(TABLERO!AO114="",TABLERO!AO114=0),"",TABLERO!AO114)</f>
        <v/>
      </c>
      <c r="V114" s="312" t="str">
        <f>IF(OR(TABLERO!AP114="",TABLERO!AP114=0),"",TABLERO!AP114)</f>
        <v/>
      </c>
      <c r="W114" s="312" t="str">
        <f>IF(OR(TABLERO!AQ114="",TABLERO!AQ114=0),"",TABLERO!AQ114)</f>
        <v/>
      </c>
      <c r="X114" s="312" t="str">
        <f>IF(OR(TABLERO!AR114="",TABLERO!AR114=0),"",TABLERO!AR114)</f>
        <v/>
      </c>
      <c r="Y114" s="312" t="str">
        <f>IF(OR(TABLERO!AS114="",TABLERO!AS114=0),"",TABLERO!AS114)</f>
        <v/>
      </c>
      <c r="Z114" s="312" t="str">
        <f>IF(OR(TABLERO!AT114="",TABLERO!AT114=0),"",TABLERO!AT114)</f>
        <v/>
      </c>
      <c r="AA114" s="312" t="str">
        <f>IF(OR(TABLERO!AU114="",TABLERO!AU114=0),"",TABLERO!AU114)</f>
        <v/>
      </c>
      <c r="AB114" s="312" t="str">
        <f>IF(OR(TABLERO!AV114="",TABLERO!AV114=0),"",TABLERO!AV114)</f>
        <v/>
      </c>
      <c r="AC114" s="312" t="str">
        <f>IF(OR(TABLERO!AW114="",TABLERO!AW114=0),"",TABLERO!AW114)</f>
        <v/>
      </c>
      <c r="AD114" s="312" t="str">
        <f>IF(OR(TABLERO!AX114="",TABLERO!AX114=0),"",TABLERO!AX114)</f>
        <v/>
      </c>
      <c r="AE114" s="312" t="str">
        <f>IF(OR(TABLERO!AY114="",TABLERO!AY114=0),"",TABLERO!AY114)</f>
        <v/>
      </c>
      <c r="AF114" s="312" t="str">
        <f>IF(OR(TABLERO!AZ114="",TABLERO!AZ114=0),"",TABLERO!AZ114)</f>
        <v/>
      </c>
      <c r="AG114" s="312" t="str">
        <f>IF(OR(TABLERO!BA114="",TABLERO!BA114=0),"",TABLERO!BA114)</f>
        <v/>
      </c>
      <c r="AH114" s="277" t="str">
        <f>IF(TABLERO!BB114=0,"",FIXED(IF(TABLERO!$F$17&lt;&gt;"KVA",TABLERO!BB114*1000,TABLERO!BB114*1000/TABLERO!DA114),2))</f>
        <v/>
      </c>
      <c r="AI114" s="277" t="str">
        <f>IF(TABLERO!BB114=0,"",FIXED(IF(TABLERO!$F$17&lt;&gt;"KVA",TABLERO!BT114*1000,TABLERO!BT114*1000/TABLERO!DA114),2))</f>
        <v/>
      </c>
      <c r="AJ114" s="272" t="str">
        <f>IF(OR(TABLERO!BU114="",TABLERO!BU114=0),"",FIXED(TABLERO!BU114,2))</f>
        <v/>
      </c>
      <c r="AK114" s="312" t="str">
        <f>IF(TABLERO!BB114=0,"",TABLERO!F114)</f>
        <v/>
      </c>
      <c r="AL114" s="312" t="str">
        <f>IF(TABLERO!BB114=0,"",TABLERO!G114)</f>
        <v/>
      </c>
      <c r="AM114" s="312" t="str">
        <f>IF(TABLERO!BB114=0,"",TABLERO!BV114)</f>
        <v/>
      </c>
      <c r="AN114" s="272" t="str">
        <f>IF(TABLERO!BB114=0,"",TABLERO!K114)</f>
        <v/>
      </c>
      <c r="AO114" s="312" t="str">
        <f>IF(TABLERO!BB114=0,"",TABLERO!J114)</f>
        <v/>
      </c>
      <c r="AP114" s="272" t="str">
        <f>IF(TABLERO!BB114=0,"",TABLERO!CT114)</f>
        <v/>
      </c>
      <c r="AQ114" s="272" t="str">
        <f>IF(TABLERO!BB114=0,"",TABLERO!CS114)</f>
        <v/>
      </c>
      <c r="AR114" s="272" t="str">
        <f>IF(OR(TABLERO!BB114=0,TABLERO!H114="RE"),"",FIXED(TABLERO!CY114,2))</f>
        <v/>
      </c>
      <c r="AS114" s="312" t="str">
        <f>IF(TABLERO!BB114=0,"",TABLERO!N114)</f>
        <v/>
      </c>
      <c r="AT114" s="1164" t="str">
        <f>IF(TABLERO!BB114=0,"",TABLERO!BX114&amp;" "&amp;TABLERO!ED114&amp;", "&amp;TABLERO!I114)</f>
        <v/>
      </c>
      <c r="AU114" s="1165"/>
      <c r="AV114" s="272" t="str">
        <f>IF(OR(TABLERO!BB114=0,TABLERO!H114="RE"),"",FIXED(TABLERO!BZ114,2))</f>
        <v/>
      </c>
      <c r="AW114" s="312" t="str">
        <f>IF(TABLERO!BB114=0,"",TABLERO!CA114)</f>
        <v/>
      </c>
      <c r="AX114" s="271" t="str">
        <f>IF(TABLERO!BB114=0,"",TABLERO!CB114)</f>
        <v/>
      </c>
      <c r="AY114" s="272" t="str">
        <f>IF(OR(TABLERO!BB114=0,TABLERO!H114="RE"),"",FIXED(TABLERO!DL114,2))</f>
        <v/>
      </c>
      <c r="AZ114" s="310" t="str">
        <f>IF(OR(TABLERO!BB114=0,TABLERO!H114="RE"),"",TABLERO!F114&amp;"P-"&amp;TABLERO!BW114&amp;"A")</f>
        <v/>
      </c>
      <c r="BA114" s="272" t="str">
        <f>IF(TABLERO!$BB114=0,"",IF(TABLERO!CI114="-","     -     ",FIXED(IF(TABLERO!$F$17&lt;&gt;"KVA",TABLERO!CI114,TABLERO!CI114/TABLERO!$F$14),2)))</f>
        <v/>
      </c>
      <c r="BB114" s="272" t="str">
        <f>IF(TABLERO!$BB114=0,"",IF(TABLERO!CJ114="-","     -     ",FIXED(IF(TABLERO!$F$17&lt;&gt;"KVA",TABLERO!CJ114,TABLERO!CJ114/TABLERO!$F$14),2)))</f>
        <v/>
      </c>
      <c r="BC114" s="272" t="str">
        <f>IF(TABLERO!$BB114=0,"",IF(TABLERO!CK114="-","     -     ",FIXED(IF(TABLERO!$F$17&lt;&gt;"KVA",TABLERO!CK114,TABLERO!CK114/TABLERO!$F$14),2)))</f>
        <v/>
      </c>
      <c r="BG114" s="275">
        <f>IF(TABLERO!B114="",0,TABLERO!B114)</f>
        <v>84</v>
      </c>
      <c r="BH114" s="275"/>
      <c r="BI114" s="275"/>
      <c r="BK114" s="275"/>
      <c r="BL114" s="289" t="str" cm="1">
        <f t="array" ref="BL114">[1]!ACAELE_LineaCAD(A114)</f>
        <v>++++++++++++++++++++++++++++++2</v>
      </c>
      <c r="BM114" s="279" t="str">
        <f t="shared" si="9"/>
        <v>84+</v>
      </c>
      <c r="BN114" s="304"/>
      <c r="BO114" s="304"/>
      <c r="BP114" s="304"/>
      <c r="BQ114" s="304"/>
      <c r="BR114" s="304"/>
      <c r="BS114" s="304"/>
      <c r="BT114" s="304"/>
      <c r="BU114" s="304"/>
      <c r="BV114" s="304"/>
      <c r="BW114" s="304"/>
      <c r="BX114" s="304"/>
      <c r="BY114" s="304"/>
      <c r="BZ114" s="304"/>
      <c r="CA114" s="304"/>
      <c r="CB114" s="304"/>
      <c r="CC114" s="304"/>
      <c r="CD114" s="304"/>
      <c r="CE114" s="304"/>
      <c r="CF114" s="304"/>
      <c r="CG114" s="304"/>
      <c r="CH114" s="304"/>
      <c r="CI114" s="304"/>
      <c r="CJ114" s="304"/>
      <c r="CK114" s="304"/>
      <c r="CL114" s="304"/>
      <c r="CM114" s="304"/>
      <c r="CN114" s="304"/>
      <c r="CO114" s="304"/>
      <c r="CP114" s="304"/>
      <c r="CQ114" s="304"/>
      <c r="CR114" s="305" t="str" cm="1">
        <f t="array" ref="CR114">CONCATENATE(BM114,_xlfn.TEXTJOIN("",TRUE,IF(BN$129:CQ$129&lt;&gt;"","+"&amp;D114:AG114,"")))</f>
        <v>84+</v>
      </c>
      <c r="CS114" s="279">
        <f t="shared" si="5"/>
        <v>30</v>
      </c>
      <c r="CT114" s="279" t="str">
        <f t="shared" si="8"/>
        <v>+++++++++++++++++++++++++++++++</v>
      </c>
      <c r="CU114" s="291" t="str">
        <f t="shared" si="10"/>
        <v>84++++++++++++++++++++++++++++++++2</v>
      </c>
      <c r="GB114" s="279" t="s">
        <v>1999</v>
      </c>
    </row>
    <row r="115" spans="1:184">
      <c r="A115" s="275" t="s">
        <v>1751</v>
      </c>
      <c r="B115" s="280"/>
      <c r="C115" s="271" t="str">
        <f>IF(TABLERO!E115=0,"",TABLERO!E115)</f>
        <v/>
      </c>
      <c r="D115" s="312" t="str">
        <f>IF(OR(TABLERO!X115="",TABLERO!X115=0),"",TABLERO!X115)</f>
        <v/>
      </c>
      <c r="E115" s="312" t="str">
        <f>IF(OR(TABLERO!Y115="",TABLERO!Y115=0),"",TABLERO!Y115)</f>
        <v/>
      </c>
      <c r="F115" s="312" t="str">
        <f>IF(OR(TABLERO!Z115="",TABLERO!Z115=0),"",TABLERO!Z115)</f>
        <v/>
      </c>
      <c r="G115" s="312" t="str">
        <f>IF(OR(TABLERO!AA115="",TABLERO!AA115=0),"",TABLERO!AA115)</f>
        <v/>
      </c>
      <c r="H115" s="312" t="str">
        <f>IF(OR(TABLERO!AB115="",TABLERO!AB115=0),"",TABLERO!AB115)</f>
        <v/>
      </c>
      <c r="I115" s="312" t="str">
        <f>IF(OR(TABLERO!AC115="",TABLERO!AC115=0),"",TABLERO!AC115)</f>
        <v/>
      </c>
      <c r="J115" s="312" t="str">
        <f>IF(OR(TABLERO!AD115="",TABLERO!AD115=0),"",TABLERO!AD115)</f>
        <v/>
      </c>
      <c r="K115" s="312" t="str">
        <f>IF(OR(TABLERO!AE115="",TABLERO!AE115=0),"",TABLERO!AE115)</f>
        <v/>
      </c>
      <c r="L115" s="312" t="str">
        <f>IF(OR(TABLERO!AF115="",TABLERO!AF115=0),"",TABLERO!AF115)</f>
        <v/>
      </c>
      <c r="M115" s="312" t="str">
        <f>IF(OR(TABLERO!AG115="",TABLERO!AG115=0),"",TABLERO!AG115)</f>
        <v/>
      </c>
      <c r="N115" s="312" t="str">
        <f>IF(OR(TABLERO!AH115="",TABLERO!AH115=0),"",TABLERO!AH115)</f>
        <v/>
      </c>
      <c r="O115" s="312" t="str">
        <f>IF(OR(TABLERO!AI115="",TABLERO!AI115=0),"",TABLERO!AI115)</f>
        <v/>
      </c>
      <c r="P115" s="312" t="str">
        <f>IF(OR(TABLERO!AJ115="",TABLERO!AJ115=0),"",TABLERO!AJ115)</f>
        <v/>
      </c>
      <c r="Q115" s="312" t="str">
        <f>IF(OR(TABLERO!AK115="",TABLERO!AK115=0),"",TABLERO!AK115)</f>
        <v/>
      </c>
      <c r="R115" s="312" t="str">
        <f>IF(OR(TABLERO!AL115="",TABLERO!AL115=0),"",TABLERO!AL115)</f>
        <v/>
      </c>
      <c r="S115" s="312" t="str">
        <f>IF(OR(TABLERO!AM115="",TABLERO!AM115=0),"",TABLERO!AM115)</f>
        <v/>
      </c>
      <c r="T115" s="312" t="str">
        <f>IF(OR(TABLERO!AN115="",TABLERO!AN115=0),"",TABLERO!AN115)</f>
        <v/>
      </c>
      <c r="U115" s="312" t="str">
        <f>IF(OR(TABLERO!AO115="",TABLERO!AO115=0),"",TABLERO!AO115)</f>
        <v/>
      </c>
      <c r="V115" s="312" t="str">
        <f>IF(OR(TABLERO!AP115="",TABLERO!AP115=0),"",TABLERO!AP115)</f>
        <v/>
      </c>
      <c r="W115" s="312" t="str">
        <f>IF(OR(TABLERO!AQ115="",TABLERO!AQ115=0),"",TABLERO!AQ115)</f>
        <v/>
      </c>
      <c r="X115" s="312" t="str">
        <f>IF(OR(TABLERO!AR115="",TABLERO!AR115=0),"",TABLERO!AR115)</f>
        <v/>
      </c>
      <c r="Y115" s="312" t="str">
        <f>IF(OR(TABLERO!AS115="",TABLERO!AS115=0),"",TABLERO!AS115)</f>
        <v/>
      </c>
      <c r="Z115" s="312" t="str">
        <f>IF(OR(TABLERO!AT115="",TABLERO!AT115=0),"",TABLERO!AT115)</f>
        <v/>
      </c>
      <c r="AA115" s="312" t="str">
        <f>IF(OR(TABLERO!AU115="",TABLERO!AU115=0),"",TABLERO!AU115)</f>
        <v/>
      </c>
      <c r="AB115" s="312" t="str">
        <f>IF(OR(TABLERO!AV115="",TABLERO!AV115=0),"",TABLERO!AV115)</f>
        <v/>
      </c>
      <c r="AC115" s="312" t="str">
        <f>IF(OR(TABLERO!AW115="",TABLERO!AW115=0),"",TABLERO!AW115)</f>
        <v/>
      </c>
      <c r="AD115" s="312" t="str">
        <f>IF(OR(TABLERO!AX115="",TABLERO!AX115=0),"",TABLERO!AX115)</f>
        <v/>
      </c>
      <c r="AE115" s="312" t="str">
        <f>IF(OR(TABLERO!AY115="",TABLERO!AY115=0),"",TABLERO!AY115)</f>
        <v/>
      </c>
      <c r="AF115" s="312" t="str">
        <f>IF(OR(TABLERO!AZ115="",TABLERO!AZ115=0),"",TABLERO!AZ115)</f>
        <v/>
      </c>
      <c r="AG115" s="312" t="str">
        <f>IF(OR(TABLERO!BA115="",TABLERO!BA115=0),"",TABLERO!BA115)</f>
        <v/>
      </c>
      <c r="AH115" s="277" t="str">
        <f>IF(TABLERO!BB115=0,"",IF(TABLERO!$F$17&lt;&gt;"KVA",TABLERO!BB115*1000,TABLERO!BB115*1000/TABLERO!DA115))</f>
        <v/>
      </c>
      <c r="AI115" s="277" t="str">
        <f>IF(TABLERO!BB115=0,"",IF(TABLERO!$F$17&lt;&gt;"KVA",TABLERO!BT115*1000,TABLERO!BT115*1000/TABLERO!DA115))</f>
        <v/>
      </c>
      <c r="AJ115" s="272" t="str">
        <f>IF(OR(TABLERO!BU115="",TABLERO!BU115=0),"",TABLERO!BU115)</f>
        <v/>
      </c>
      <c r="AK115" s="312" t="str">
        <f>IF(TABLERO!BB115=0,"",TABLERO!F115)</f>
        <v/>
      </c>
      <c r="AL115" s="312" t="str">
        <f>IF(TABLERO!BB115=0,"",TABLERO!G115)</f>
        <v/>
      </c>
      <c r="AM115" s="312" t="str">
        <f>IF(TABLERO!BB115=0,"",TABLERO!BV115)</f>
        <v/>
      </c>
      <c r="AN115" s="272" t="str">
        <f>IF(TABLERO!BB115=0,"",TABLERO!K115)</f>
        <v/>
      </c>
      <c r="AO115" s="312" t="str">
        <f>IF(TABLERO!BB115=0,"",TABLERO!J115)</f>
        <v/>
      </c>
      <c r="AP115" s="272" t="str">
        <f>IF(TABLERO!BB115=0,"",TABLERO!CT115)</f>
        <v/>
      </c>
      <c r="AQ115" s="272" t="str">
        <f>IF(TABLERO!BB115=0,"",TABLERO!CS115)</f>
        <v/>
      </c>
      <c r="AR115" s="272" t="str">
        <f>IF(TABLERO!BB115=0,"",TABLERO!CY115)</f>
        <v/>
      </c>
      <c r="AS115" s="312" t="str">
        <f>IF(TABLERO!BB115=0,"",TABLERO!N115)</f>
        <v/>
      </c>
      <c r="AT115" s="1164" t="str">
        <f>IF(TABLERO!BB115=0,"",TABLERO!BX115&amp;" "&amp;TABLERO!ED115)</f>
        <v/>
      </c>
      <c r="AU115" s="1165"/>
      <c r="AV115" s="272" t="str">
        <f>IF(TABLERO!BB115=0,"",TABLERO!BZ115)</f>
        <v/>
      </c>
      <c r="AW115" s="312" t="str">
        <f>IF(TABLERO!BB115=0,"",TABLERO!CA115)</f>
        <v/>
      </c>
      <c r="AX115" s="271" t="str">
        <f>IF(TABLERO!BB115=0,"",TABLERO!CB115)</f>
        <v/>
      </c>
      <c r="AY115" s="272" t="str">
        <f>IF(TABLERO!BB115=0,"",TABLERO!DL115)</f>
        <v/>
      </c>
      <c r="AZ115" s="310" t="str">
        <f>IF(TABLERO!BB115=0,"",TABLERO!F115&amp;"P-"&amp;TABLERO!BW115&amp;"A")</f>
        <v/>
      </c>
      <c r="BA115" s="272" t="str">
        <f>IF(TABLERO!BB115=0,"",TABLERO!CI115)</f>
        <v/>
      </c>
      <c r="BB115" s="272" t="str">
        <f>IF(TABLERO!BB115=0,"",TABLERO!CJ115)</f>
        <v/>
      </c>
      <c r="BC115" s="278" t="str">
        <f>IF(TABLERO!BB115=0,"",TABLERO!CK115)</f>
        <v/>
      </c>
      <c r="BK115" s="275" t="str">
        <f t="shared" ref="BK115" si="11">A115</f>
        <v>FINAL</v>
      </c>
      <c r="BL115" s="289" t="str" cm="1">
        <f t="array" ref="BL115">[1]!ACAELE_LineaCAD(A115)</f>
        <v>++++++++++++++++++++++++++++++2</v>
      </c>
      <c r="BM115" s="279" t="str">
        <f t="shared" si="9"/>
        <v>+</v>
      </c>
      <c r="BN115" s="304" t="str">
        <f t="shared" ref="BN115:CQ115" si="12">IF(D$129="","","+"&amp;D115)</f>
        <v/>
      </c>
      <c r="BO115" s="304" t="str">
        <f t="shared" si="12"/>
        <v/>
      </c>
      <c r="BP115" s="304" t="str">
        <f t="shared" si="12"/>
        <v/>
      </c>
      <c r="BQ115" s="304" t="str">
        <f t="shared" si="12"/>
        <v/>
      </c>
      <c r="BR115" s="304" t="str">
        <f t="shared" si="12"/>
        <v/>
      </c>
      <c r="BS115" s="304" t="str">
        <f t="shared" si="12"/>
        <v/>
      </c>
      <c r="BT115" s="304" t="str">
        <f t="shared" si="12"/>
        <v/>
      </c>
      <c r="BU115" s="304" t="str">
        <f t="shared" si="12"/>
        <v/>
      </c>
      <c r="BV115" s="304" t="str">
        <f t="shared" si="12"/>
        <v/>
      </c>
      <c r="BW115" s="304" t="str">
        <f t="shared" si="12"/>
        <v/>
      </c>
      <c r="BX115" s="304" t="str">
        <f t="shared" si="12"/>
        <v/>
      </c>
      <c r="BY115" s="304" t="str">
        <f t="shared" si="12"/>
        <v/>
      </c>
      <c r="BZ115" s="304" t="str">
        <f t="shared" si="12"/>
        <v/>
      </c>
      <c r="CA115" s="304" t="str">
        <f t="shared" si="12"/>
        <v/>
      </c>
      <c r="CB115" s="304" t="str">
        <f t="shared" si="12"/>
        <v/>
      </c>
      <c r="CC115" s="304" t="str">
        <f t="shared" si="12"/>
        <v/>
      </c>
      <c r="CD115" s="304" t="str">
        <f t="shared" si="12"/>
        <v/>
      </c>
      <c r="CE115" s="304" t="str">
        <f t="shared" si="12"/>
        <v/>
      </c>
      <c r="CF115" s="304" t="str">
        <f t="shared" si="12"/>
        <v/>
      </c>
      <c r="CG115" s="304" t="str">
        <f t="shared" si="12"/>
        <v/>
      </c>
      <c r="CH115" s="304" t="str">
        <f t="shared" si="12"/>
        <v/>
      </c>
      <c r="CI115" s="304" t="str">
        <f t="shared" si="12"/>
        <v/>
      </c>
      <c r="CJ115" s="304" t="str">
        <f t="shared" si="12"/>
        <v/>
      </c>
      <c r="CK115" s="304" t="str">
        <f t="shared" si="12"/>
        <v/>
      </c>
      <c r="CL115" s="304" t="str">
        <f t="shared" si="12"/>
        <v/>
      </c>
      <c r="CM115" s="304" t="str">
        <f t="shared" si="12"/>
        <v/>
      </c>
      <c r="CN115" s="304" t="str">
        <f t="shared" si="12"/>
        <v/>
      </c>
      <c r="CO115" s="304" t="str">
        <f t="shared" si="12"/>
        <v/>
      </c>
      <c r="CP115" s="304" t="str">
        <f t="shared" si="12"/>
        <v/>
      </c>
      <c r="CQ115" s="304" t="str">
        <f t="shared" si="12"/>
        <v/>
      </c>
      <c r="CR115" s="305" t="str" cm="1">
        <f t="array" ref="CR115">CONCATENATE(BM115,_xlfn.TEXTJOIN("",TRUE,IF(BN$129:CQ$129&lt;&gt;"","+"&amp;D115:AG115,"")))</f>
        <v>+</v>
      </c>
      <c r="CS115" s="279">
        <f>COUNTIF(BM115:CQ115,"")</f>
        <v>30</v>
      </c>
      <c r="CT115" s="279" t="str">
        <f t="shared" si="8"/>
        <v>+++++++++++++++++++++++++++++++</v>
      </c>
      <c r="CU115" s="291" t="str">
        <f t="shared" si="10"/>
        <v>++++++++++++++++++++++++++++++++FINAL</v>
      </c>
    </row>
    <row r="116" spans="1:184" ht="12.75" customHeight="1">
      <c r="B116" s="280" t="s">
        <v>840</v>
      </c>
      <c r="C116" s="271" t="s">
        <v>1760</v>
      </c>
      <c r="D116" s="312" t="str">
        <f>IF(OR(TABLERO!X116="",TABLERO!X116=0),"",TABLERO!X116)</f>
        <v/>
      </c>
      <c r="E116" s="312" t="str">
        <f>IF(OR(TABLERO!Y116="",TABLERO!Y116=0),"",TABLERO!Y116)</f>
        <v/>
      </c>
      <c r="F116" s="312" t="str">
        <f>IF(OR(TABLERO!Z116="",TABLERO!Z116=0),"",TABLERO!Z116)</f>
        <v/>
      </c>
      <c r="G116" s="312" t="str">
        <f>IF(OR(TABLERO!AA116="",TABLERO!AA116=0),"",TABLERO!AA116)</f>
        <v/>
      </c>
      <c r="H116" s="312" t="str">
        <f>IF(OR(TABLERO!AB116="",TABLERO!AB116=0),"",TABLERO!AB116)</f>
        <v/>
      </c>
      <c r="I116" s="312" t="str">
        <f>IF(OR(TABLERO!AC116="",TABLERO!AC116=0),"",TABLERO!AC116)</f>
        <v/>
      </c>
      <c r="J116" s="312" t="str">
        <f>IF(OR(TABLERO!AD116="",TABLERO!AD116=0),"",TABLERO!AD116)</f>
        <v/>
      </c>
      <c r="K116" s="312" t="str">
        <f>IF(OR(TABLERO!AE116="",TABLERO!AE116=0),"",TABLERO!AE116)</f>
        <v/>
      </c>
      <c r="L116" s="312" t="str">
        <f>IF(OR(TABLERO!AF116="",TABLERO!AF116=0),"",TABLERO!AF116)</f>
        <v/>
      </c>
      <c r="M116" s="312" t="str">
        <f>IF(OR(TABLERO!AG116="",TABLERO!AG116=0),"",TABLERO!AG116)</f>
        <v/>
      </c>
      <c r="N116" s="312" t="str">
        <f>IF(OR(TABLERO!AH116="",TABLERO!AH116=0),"",TABLERO!AH116)</f>
        <v/>
      </c>
      <c r="O116" s="312" t="str">
        <f>IF(OR(TABLERO!AI116="",TABLERO!AI116=0),"",TABLERO!AI116)</f>
        <v/>
      </c>
      <c r="P116" s="312" t="str">
        <f>IF(OR(TABLERO!AJ116="",TABLERO!AJ116=0),"",TABLERO!AJ116)</f>
        <v/>
      </c>
      <c r="Q116" s="312" t="str">
        <f>IF(OR(TABLERO!AK116="",TABLERO!AK116=0),"",TABLERO!AK116)</f>
        <v/>
      </c>
      <c r="R116" s="312" t="str">
        <f>IF(OR(TABLERO!AL116="",TABLERO!AL116=0),"",TABLERO!AL116)</f>
        <v/>
      </c>
      <c r="S116" s="312" t="str">
        <f>IF(OR(TABLERO!AM116="",TABLERO!AM116=0),"",TABLERO!AM116)</f>
        <v/>
      </c>
      <c r="T116" s="312" t="str">
        <f>IF(OR(TABLERO!AN116="",TABLERO!AN116=0),"",TABLERO!AN116)</f>
        <v/>
      </c>
      <c r="U116" s="312" t="str">
        <f>IF(OR(TABLERO!AO116="",TABLERO!AO116=0),"",TABLERO!AO116)</f>
        <v/>
      </c>
      <c r="V116" s="312" t="str">
        <f>IF(OR(TABLERO!AP116="",TABLERO!AP116=0),"",TABLERO!AP116)</f>
        <v/>
      </c>
      <c r="W116" s="312" t="str">
        <f>IF(OR(TABLERO!AQ116="",TABLERO!AQ116=0),"",TABLERO!AQ116)</f>
        <v/>
      </c>
      <c r="X116" s="312" t="str">
        <f>IF(OR(TABLERO!AR116="",TABLERO!AR116=0),"",TABLERO!AR116)</f>
        <v/>
      </c>
      <c r="Y116" s="312" t="str">
        <f>IF(OR(TABLERO!AS116="",TABLERO!AS116=0),"",TABLERO!AS116)</f>
        <v/>
      </c>
      <c r="Z116" s="312" t="str">
        <f>IF(OR(TABLERO!AT116="",TABLERO!AT116=0),"",TABLERO!AT116)</f>
        <v/>
      </c>
      <c r="AA116" s="312" t="str">
        <f>IF(OR(TABLERO!AU116="",TABLERO!AU116=0),"",TABLERO!AU116)</f>
        <v/>
      </c>
      <c r="AB116" s="312" t="str">
        <f>IF(OR(TABLERO!AV116="",TABLERO!AV116=0),"",TABLERO!AV116)</f>
        <v/>
      </c>
      <c r="AC116" s="312" t="str">
        <f>IF(OR(TABLERO!AW116="",TABLERO!AW116=0),"",TABLERO!AW116)</f>
        <v/>
      </c>
      <c r="AD116" s="312" t="str">
        <f>IF(OR(TABLERO!AX116="",TABLERO!AX116=0),"",TABLERO!AX116)</f>
        <v/>
      </c>
      <c r="AE116" s="312" t="str">
        <f>IF(OR(TABLERO!AY116="",TABLERO!AY116=0),"",TABLERO!AY116)</f>
        <v/>
      </c>
      <c r="AF116" s="312" t="str">
        <f>IF(OR(TABLERO!AZ116="",TABLERO!AZ116=0),"",TABLERO!AZ116)</f>
        <v/>
      </c>
      <c r="AG116" s="312" t="str">
        <f>IF(OR(TABLERO!BA116="",TABLERO!BA116=0),"",TABLERO!BA116)</f>
        <v/>
      </c>
      <c r="AH116" s="277" t="str">
        <f>FIXED(IF(TABLERO!$F$17&lt;&gt;"KVA",TABLERO!BB116*1000,TABLERO!BB116*1000/TABLERO!DA116),2)</f>
        <v>0.00</v>
      </c>
      <c r="AI116" s="277" t="str">
        <f>FIXED(IF(TABLERO!$F$17&lt;&gt;"KVA",TABLERO!BT116*1000,TABLERO!BT116*1000/TABLERO!DA116),2)</f>
        <v>0.00</v>
      </c>
      <c r="AJ116" s="272" t="str">
        <f>IF(OR(TABLERO!BU116="",TABLERO!BU116=0),"",FIXED(TABLERO!BU116,2))</f>
        <v/>
      </c>
      <c r="AK116" s="312">
        <f>TABLERO!F116</f>
        <v>3</v>
      </c>
      <c r="AL116" s="312">
        <f>TABLERO!G116</f>
        <v>4</v>
      </c>
      <c r="AM116" s="312">
        <f>TABLERO!BV116</f>
        <v>220</v>
      </c>
      <c r="AN116" s="272" t="str">
        <f>IF(TABLERO!BB116=0,"",TABLERO!K116)</f>
        <v/>
      </c>
      <c r="AO116" s="312">
        <f>TABLERO!J116</f>
        <v>4</v>
      </c>
      <c r="AP116" s="272" t="str">
        <f>IF(TABLERO!BB116=0,"",TABLERO!CT116)</f>
        <v/>
      </c>
      <c r="AQ116" s="272" t="str">
        <f>IF(TABLERO!BB116=0,"",TABLERO!CS116)</f>
        <v/>
      </c>
      <c r="AR116" s="272" t="str">
        <f>FIXED(TABLERO!CY116,2)</f>
        <v>0.00</v>
      </c>
      <c r="AS116" s="312">
        <f>TABLERO!N116</f>
        <v>1</v>
      </c>
      <c r="AT116" s="271" t="str">
        <f>IF(TABLERO!BB116=0,"",TABLERO!BX116&amp;" "&amp;TABLERO!ED116&amp;", "&amp;TABLERO!I116)</f>
        <v/>
      </c>
      <c r="AU116" s="271"/>
      <c r="AV116" s="272" t="e">
        <f>FIXED(TABLERO!BZ116,2)</f>
        <v>#VALUE!</v>
      </c>
      <c r="AW116" s="312" t="str">
        <f>TABLERO!CA116</f>
        <v/>
      </c>
      <c r="AX116" s="271" t="str">
        <f>IF(TABLERO!BB116=0,"",TABLERO!CB116)</f>
        <v/>
      </c>
      <c r="AY116" s="272" t="str">
        <f>FIXED(TABLERO!DL116,2)</f>
        <v>0.00</v>
      </c>
      <c r="AZ116" s="271" t="str">
        <f>IF(TABLERO!BB116=0,"",TABLERO!F116&amp;"P-"&amp;TABLERO!BW116&amp;"A")</f>
        <v/>
      </c>
      <c r="BA116" s="272" t="str">
        <f>IF(TABLERO!CI116="-","     -     ",FIXED(IF(TABLERO!$F$17&lt;&gt;"KVA",TABLERO!CI116,TABLERO!CI116/TABLERO!$F$14),2))</f>
        <v>0.00</v>
      </c>
      <c r="BB116" s="272" t="str">
        <f>IF(TABLERO!CJ116="-","     -     ",FIXED(IF(TABLERO!$F$17&lt;&gt;"KVA",TABLERO!CJ116,TABLERO!CJ116/TABLERO!$F$14),2))</f>
        <v>0.00</v>
      </c>
      <c r="BC116" s="272" t="str">
        <f>IF(TABLERO!CK116="-","     -     ",FIXED(IF(TABLERO!$F$17&lt;&gt;"KVA",TABLERO!CK116,TABLERO!CK116/TABLERO!$F$14),2))</f>
        <v>0.00</v>
      </c>
      <c r="BK116" s="279" t="s">
        <v>1793</v>
      </c>
      <c r="BL116" s="289" t="e">
        <f>IF(TABLERO!$M$18="TB",FIXED(IF(TABLERO!$F$17&lt;&gt;"KVA",TABLERO!BB116*1000,TABLERO!BB116*1000/TABLERO!DA116),2)&amp;"+"&amp;FIXED(IF(TABLERO!$F$17&lt;&gt;"KVA",TABLERO!BT116*1000,TABLERO!BT116*1000/TABLERO!DA116),2)&amp;"+"&amp;IF(OR(TABLERO!BU116="",TABLERO!BU116=0),"",FIXED(TABLERO!BU116,2))&amp;"+"&amp;TABLERO!F116&amp;"+"&amp;TABLERO!G116&amp;"+"&amp;TABLERO!BV116&amp;"+"&amp;TABLERO!K116&amp;"+"&amp;TABLERO!J116&amp;"+"&amp;TABLERO!CT116&amp;"+"&amp;TABLERO!CS116&amp;"+"&amp;FIXED(TABLERO!CY116,2)&amp;"+"&amp;TABLERO!N116&amp;"+"&amp;IF(TABLERO!BB116=0,"",TABLERO!BX116&amp;" "&amp;TABLERO!ED116&amp;", "&amp;TABLERO!I116)&amp;"+"&amp;FIXED(TABLERO!BZ116,2)&amp;"+"&amp;TABLERO!CA116&amp;"+"&amp;TABLERO!CB116&amp;"+"&amp;FIXED(TABLERO!DL116,2)&amp;"+"&amp;TABLERO!F116&amp;"P-"&amp;TABLERO!BW116&amp;"A"&amp;"+"&amp;IF(TABLERO!CI116="-","     -     ",FIXED(IF(TABLERO!$F$17&lt;&gt;"KVA",TABLERO!CI116,TABLERO!CI116/TABLERO!$F$14),2))&amp;"+"&amp;IF(TABLERO!CJ116="-","     -     ",FIXED(IF(TABLERO!$F$17&lt;&gt;"KVA",TABLERO!CJ116,TABLERO!CJ116/TABLERO!$F$14),2))&amp;"+"&amp;IF(TABLERO!CK116="-","     -     ",FIXED(IF(TABLERO!$F$17&lt;&gt;"KVA",TABLERO!CK116,TABLERO!CK116/TABLERO!$F$14),2))&amp;"++++++++++1","++++++++++++++++++++++++++++++")</f>
        <v>#VALUE!</v>
      </c>
      <c r="BM116" s="279" t="str">
        <f t="shared" si="9"/>
        <v>TB+TOTAL DE PIEZAS</v>
      </c>
      <c r="BN116" s="304" t="str">
        <f t="shared" ref="BN116:CC131" si="13">IF(D$129="","","+"&amp;D116)</f>
        <v/>
      </c>
      <c r="BO116" s="304" t="str">
        <f t="shared" si="13"/>
        <v/>
      </c>
      <c r="BP116" s="304" t="str">
        <f t="shared" si="13"/>
        <v/>
      </c>
      <c r="BQ116" s="304" t="str">
        <f t="shared" si="13"/>
        <v/>
      </c>
      <c r="BR116" s="304" t="str">
        <f t="shared" si="13"/>
        <v/>
      </c>
      <c r="BS116" s="304" t="str">
        <f t="shared" si="13"/>
        <v/>
      </c>
      <c r="BT116" s="304" t="str">
        <f t="shared" si="13"/>
        <v/>
      </c>
      <c r="BU116" s="304" t="str">
        <f t="shared" si="13"/>
        <v/>
      </c>
      <c r="BV116" s="304" t="str">
        <f t="shared" si="13"/>
        <v/>
      </c>
      <c r="BW116" s="304" t="str">
        <f t="shared" si="13"/>
        <v/>
      </c>
      <c r="BX116" s="304" t="str">
        <f t="shared" si="13"/>
        <v/>
      </c>
      <c r="BY116" s="304" t="str">
        <f t="shared" si="13"/>
        <v/>
      </c>
      <c r="BZ116" s="304" t="str">
        <f t="shared" si="13"/>
        <v/>
      </c>
      <c r="CA116" s="304" t="str">
        <f t="shared" si="13"/>
        <v/>
      </c>
      <c r="CB116" s="304" t="str">
        <f t="shared" si="13"/>
        <v/>
      </c>
      <c r="CC116" s="304" t="str">
        <f t="shared" si="13"/>
        <v/>
      </c>
      <c r="CD116" s="304" t="str">
        <f t="shared" ref="CD116:CQ131" si="14">IF(T$129="","","+"&amp;T116)</f>
        <v/>
      </c>
      <c r="CE116" s="304" t="str">
        <f t="shared" si="14"/>
        <v/>
      </c>
      <c r="CF116" s="304" t="str">
        <f t="shared" si="14"/>
        <v/>
      </c>
      <c r="CG116" s="304" t="str">
        <f t="shared" si="14"/>
        <v/>
      </c>
      <c r="CH116" s="304" t="str">
        <f t="shared" si="14"/>
        <v/>
      </c>
      <c r="CI116" s="304" t="str">
        <f t="shared" si="14"/>
        <v/>
      </c>
      <c r="CJ116" s="304" t="str">
        <f t="shared" si="14"/>
        <v/>
      </c>
      <c r="CK116" s="304" t="str">
        <f t="shared" si="14"/>
        <v/>
      </c>
      <c r="CL116" s="304" t="str">
        <f t="shared" si="14"/>
        <v/>
      </c>
      <c r="CM116" s="304" t="str">
        <f t="shared" si="14"/>
        <v/>
      </c>
      <c r="CN116" s="304" t="str">
        <f t="shared" si="14"/>
        <v/>
      </c>
      <c r="CO116" s="304" t="str">
        <f t="shared" si="14"/>
        <v/>
      </c>
      <c r="CP116" s="304" t="str">
        <f t="shared" si="14"/>
        <v/>
      </c>
      <c r="CQ116" s="304" t="str">
        <f t="shared" si="14"/>
        <v/>
      </c>
      <c r="CR116" s="305" t="str" cm="1">
        <f t="array" ref="CR116">CONCATENATE(BM116,_xlfn.TEXTJOIN("",TRUE,IF(BN$129:CQ$129&lt;&gt;"","+"&amp;D116:AG116,"")))</f>
        <v>TB+TOTAL DE PIEZAS</v>
      </c>
      <c r="CS116" s="279">
        <f t="shared" si="5"/>
        <v>30</v>
      </c>
      <c r="CT116" s="279" t="str">
        <f t="shared" si="8"/>
        <v>+++++++++++++++++++++++++++++++</v>
      </c>
      <c r="CU116" s="291" t="str">
        <f t="shared" si="10"/>
        <v>TB+TOTAL DE PIEZAS+++++++++++++++++++++++++++++++</v>
      </c>
    </row>
    <row r="117" spans="1:184" ht="12.75" customHeight="1">
      <c r="B117" s="280"/>
      <c r="C117" s="271" t="s">
        <v>1761</v>
      </c>
      <c r="D117" s="312" t="str">
        <f>IF(OR(D29="",D116=""),"",FIXED(D29*D116,2))</f>
        <v/>
      </c>
      <c r="E117" s="312" t="str">
        <f t="shared" ref="E117:AG117" si="15">IF(OR(E29="",E116=""),"",FIXED(E29*E116,2))</f>
        <v/>
      </c>
      <c r="F117" s="312" t="str">
        <f t="shared" si="15"/>
        <v/>
      </c>
      <c r="G117" s="312" t="str">
        <f t="shared" si="15"/>
        <v/>
      </c>
      <c r="H117" s="312" t="str">
        <f t="shared" si="15"/>
        <v/>
      </c>
      <c r="I117" s="312" t="str">
        <f t="shared" si="15"/>
        <v/>
      </c>
      <c r="J117" s="312" t="str">
        <f t="shared" si="15"/>
        <v/>
      </c>
      <c r="K117" s="312" t="str">
        <f t="shared" si="15"/>
        <v/>
      </c>
      <c r="L117" s="312" t="str">
        <f t="shared" si="15"/>
        <v/>
      </c>
      <c r="M117" s="312" t="str">
        <f t="shared" si="15"/>
        <v/>
      </c>
      <c r="N117" s="312" t="str">
        <f t="shared" si="15"/>
        <v/>
      </c>
      <c r="O117" s="312" t="str">
        <f t="shared" si="15"/>
        <v/>
      </c>
      <c r="P117" s="312" t="str">
        <f t="shared" si="15"/>
        <v/>
      </c>
      <c r="Q117" s="312" t="str">
        <f t="shared" si="15"/>
        <v/>
      </c>
      <c r="R117" s="312" t="str">
        <f t="shared" si="15"/>
        <v/>
      </c>
      <c r="S117" s="312" t="str">
        <f t="shared" si="15"/>
        <v/>
      </c>
      <c r="T117" s="312" t="str">
        <f t="shared" si="15"/>
        <v/>
      </c>
      <c r="U117" s="312" t="str">
        <f t="shared" si="15"/>
        <v/>
      </c>
      <c r="V117" s="312" t="str">
        <f t="shared" si="15"/>
        <v/>
      </c>
      <c r="W117" s="312" t="str">
        <f t="shared" si="15"/>
        <v/>
      </c>
      <c r="X117" s="312" t="str">
        <f t="shared" si="15"/>
        <v/>
      </c>
      <c r="Y117" s="312" t="str">
        <f t="shared" si="15"/>
        <v/>
      </c>
      <c r="Z117" s="312" t="str">
        <f t="shared" si="15"/>
        <v/>
      </c>
      <c r="AA117" s="312" t="str">
        <f t="shared" si="15"/>
        <v/>
      </c>
      <c r="AB117" s="312" t="str">
        <f t="shared" si="15"/>
        <v/>
      </c>
      <c r="AC117" s="312" t="str">
        <f t="shared" si="15"/>
        <v/>
      </c>
      <c r="AD117" s="312" t="str">
        <f t="shared" si="15"/>
        <v/>
      </c>
      <c r="AE117" s="312" t="str">
        <f t="shared" si="15"/>
        <v/>
      </c>
      <c r="AF117" s="312" t="str">
        <f t="shared" si="15"/>
        <v/>
      </c>
      <c r="AG117" s="312" t="str">
        <f t="shared" si="15"/>
        <v/>
      </c>
      <c r="AH117" s="277"/>
      <c r="AI117" s="277"/>
      <c r="AJ117" s="315"/>
      <c r="AK117" s="316"/>
      <c r="AL117" s="316"/>
      <c r="AM117" s="316"/>
      <c r="AN117" s="315"/>
      <c r="AO117" s="316"/>
      <c r="AP117" s="315"/>
      <c r="AQ117" s="315"/>
      <c r="AR117" s="315"/>
      <c r="AS117" s="316"/>
      <c r="AT117" s="315"/>
      <c r="AU117" s="315"/>
      <c r="AV117" s="315"/>
      <c r="AW117" s="316"/>
      <c r="AX117" s="315"/>
      <c r="AY117" s="315"/>
      <c r="AZ117" s="282"/>
      <c r="BA117" s="315"/>
      <c r="BB117" s="315"/>
      <c r="BC117" s="317"/>
      <c r="BL117" s="289" t="str">
        <f>AH117&amp;"+"&amp;AI117&amp;"+"&amp;AJ117&amp;"+"&amp;AK117&amp;"+"&amp;AL117&amp;"+"&amp;AM117&amp;"+"&amp;AN117&amp;"+"&amp;AO117&amp;"+"&amp;AP117&amp;"+"&amp;AQ117&amp;"+"&amp;AR117&amp;"+"&amp;AS117&amp;"+"&amp;AT117&amp;"+"&amp;AV117&amp;"+"&amp;AW117&amp;"+"&amp;AX117&amp;"+"&amp;AY117&amp;"+"&amp;AZ117&amp;"+"&amp;BA117&amp;"+"&amp;BB117&amp;"+"&amp;BC117&amp;"++++++++++"&amp;A117</f>
        <v>++++++++++++++++++++++++++++++</v>
      </c>
      <c r="BM117" s="279" t="str">
        <f t="shared" si="9"/>
        <v>+TOTAL DE CARGA</v>
      </c>
      <c r="BN117" s="304" t="str">
        <f t="shared" si="13"/>
        <v/>
      </c>
      <c r="BO117" s="304" t="str">
        <f t="shared" si="13"/>
        <v/>
      </c>
      <c r="BP117" s="304" t="str">
        <f t="shared" si="13"/>
        <v/>
      </c>
      <c r="BQ117" s="304" t="str">
        <f t="shared" si="13"/>
        <v/>
      </c>
      <c r="BR117" s="304" t="str">
        <f t="shared" si="13"/>
        <v/>
      </c>
      <c r="BS117" s="304" t="str">
        <f t="shared" si="13"/>
        <v/>
      </c>
      <c r="BT117" s="304" t="str">
        <f t="shared" si="13"/>
        <v/>
      </c>
      <c r="BU117" s="304" t="str">
        <f t="shared" si="13"/>
        <v/>
      </c>
      <c r="BV117" s="304" t="str">
        <f t="shared" si="13"/>
        <v/>
      </c>
      <c r="BW117" s="304" t="str">
        <f t="shared" si="13"/>
        <v/>
      </c>
      <c r="BX117" s="304" t="str">
        <f t="shared" si="13"/>
        <v/>
      </c>
      <c r="BY117" s="304" t="str">
        <f t="shared" si="13"/>
        <v/>
      </c>
      <c r="BZ117" s="304" t="str">
        <f t="shared" si="13"/>
        <v/>
      </c>
      <c r="CA117" s="304" t="str">
        <f t="shared" si="13"/>
        <v/>
      </c>
      <c r="CB117" s="304" t="str">
        <f t="shared" si="13"/>
        <v/>
      </c>
      <c r="CC117" s="304" t="str">
        <f t="shared" si="13"/>
        <v/>
      </c>
      <c r="CD117" s="304" t="str">
        <f t="shared" si="14"/>
        <v/>
      </c>
      <c r="CE117" s="304" t="str">
        <f t="shared" si="14"/>
        <v/>
      </c>
      <c r="CF117" s="304" t="str">
        <f t="shared" si="14"/>
        <v/>
      </c>
      <c r="CG117" s="304" t="str">
        <f t="shared" si="14"/>
        <v/>
      </c>
      <c r="CH117" s="304" t="str">
        <f t="shared" si="14"/>
        <v/>
      </c>
      <c r="CI117" s="304" t="str">
        <f t="shared" si="14"/>
        <v/>
      </c>
      <c r="CJ117" s="304" t="str">
        <f t="shared" si="14"/>
        <v/>
      </c>
      <c r="CK117" s="304" t="str">
        <f t="shared" si="14"/>
        <v/>
      </c>
      <c r="CL117" s="304" t="str">
        <f t="shared" si="14"/>
        <v/>
      </c>
      <c r="CM117" s="304" t="str">
        <f t="shared" si="14"/>
        <v/>
      </c>
      <c r="CN117" s="304" t="str">
        <f t="shared" si="14"/>
        <v/>
      </c>
      <c r="CO117" s="304" t="str">
        <f t="shared" si="14"/>
        <v/>
      </c>
      <c r="CP117" s="304" t="str">
        <f t="shared" si="14"/>
        <v/>
      </c>
      <c r="CQ117" s="304" t="str">
        <f t="shared" si="14"/>
        <v/>
      </c>
      <c r="CR117" s="305" t="str">
        <f t="shared" ref="CR117:CR130" si="16">_xlfn.CONCAT(BM117:CQ117)</f>
        <v>+TOTAL DE CARGA</v>
      </c>
      <c r="CS117" s="279">
        <f t="shared" si="5"/>
        <v>30</v>
      </c>
      <c r="CT117" s="279" t="str">
        <f t="shared" si="8"/>
        <v>+++++++++++++++++++++++++++++++</v>
      </c>
      <c r="CU117" s="291" t="str">
        <f t="shared" si="10"/>
        <v>+TOTAL DE CARGA+++++++++++++++++++++++++++++++</v>
      </c>
    </row>
    <row r="118" spans="1:184" ht="12.75" customHeight="1">
      <c r="B118" s="280" t="s">
        <v>1472</v>
      </c>
      <c r="C118" s="271" t="str">
        <f>IF(TABLERO!E118=0,"",TABLERO!E118)</f>
        <v>TRAFO</v>
      </c>
      <c r="D118" s="312"/>
      <c r="E118" s="312"/>
      <c r="F118" s="312"/>
      <c r="G118" s="312"/>
      <c r="H118" s="312"/>
      <c r="I118" s="312"/>
      <c r="J118" s="312"/>
      <c r="K118" s="312"/>
      <c r="L118" s="312"/>
      <c r="M118" s="312"/>
      <c r="N118" s="312"/>
      <c r="O118" s="312"/>
      <c r="P118" s="312"/>
      <c r="Q118" s="312"/>
      <c r="R118" s="312"/>
      <c r="S118" s="312"/>
      <c r="T118" s="312"/>
      <c r="U118" s="312"/>
      <c r="V118" s="312"/>
      <c r="W118" s="309"/>
      <c r="X118" s="309"/>
      <c r="Y118" s="309"/>
      <c r="Z118" s="309"/>
      <c r="AA118" s="309"/>
      <c r="AB118" s="309"/>
      <c r="AC118" s="309"/>
      <c r="AD118" s="309"/>
      <c r="AE118" s="309"/>
      <c r="AF118" s="309"/>
      <c r="AG118" s="309"/>
      <c r="AH118" s="277" t="str">
        <f>IF(TABLERO!BB118=0,"",FIXED(IF(TABLERO!$F$17&lt;&gt;"KVA",TABLERO!BB118*1000,TABLERO!BB118*1000/TABLERO!DA118),2))</f>
        <v/>
      </c>
      <c r="AI118" s="277" t="str">
        <f>IF(TABLERO!BB118=0,"",FIXED(IF(TABLERO!$F$17&lt;&gt;"KVA",TABLERO!BT118*1000,TABLERO!BT118*1000/TABLERO!DA118),2))</f>
        <v/>
      </c>
      <c r="AJ118" s="272" t="str">
        <f>IF(OR(TABLERO!BU118="",TABLERO!BU118=0),"",FIXED(TABLERO!BU118,2))</f>
        <v/>
      </c>
      <c r="AK118" s="312" t="str">
        <f>IF(TABLERO!BB118=0,"",TABLERO!F118)</f>
        <v/>
      </c>
      <c r="AL118" s="312" t="str">
        <f>IF(TABLERO!BB118=0,"",TABLERO!G118)</f>
        <v/>
      </c>
      <c r="AM118" s="312" t="str">
        <f>IF(TABLERO!BB118=0,"",TABLERO!BV118)</f>
        <v/>
      </c>
      <c r="AN118" s="272" t="str">
        <f>IF(TABLERO!BB118=0,"",TABLERO!K118)</f>
        <v/>
      </c>
      <c r="AO118" s="312" t="str">
        <f>IF(TABLERO!BB118=0,"",TABLERO!J118)</f>
        <v/>
      </c>
      <c r="AP118" s="272" t="str">
        <f>IF(TABLERO!BB118=0,"",TABLERO!CT118)</f>
        <v/>
      </c>
      <c r="AQ118" s="272" t="str">
        <f>IF(TABLERO!BB118=0,"",TABLERO!CS118)</f>
        <v/>
      </c>
      <c r="AR118" s="272" t="str">
        <f>IF(TABLERO!BB118=0,"",FIXED(TABLERO!CY118,2))</f>
        <v/>
      </c>
      <c r="AS118" s="312" t="str">
        <f>IF(TABLERO!BB118=0,"",TABLERO!N118)</f>
        <v/>
      </c>
      <c r="AT118" s="271" t="str">
        <f>IF(TABLERO!BB118=0,"",TABLERO!BX118&amp;" "&amp;TABLERO!ED118&amp;", "&amp;TABLERO!I118)</f>
        <v/>
      </c>
      <c r="AU118" s="271"/>
      <c r="AV118" s="272" t="str">
        <f>IF(TABLERO!BB118=0,"",FIXED(TABLERO!BZ118,2))</f>
        <v/>
      </c>
      <c r="AW118" s="312" t="str">
        <f>IF(TABLERO!BB118=0,"",TABLERO!CA118)</f>
        <v/>
      </c>
      <c r="AX118" s="271" t="str">
        <f>IF(TABLERO!BB118=0,"",TABLERO!CB118)</f>
        <v/>
      </c>
      <c r="AY118" s="272" t="str">
        <f>IF(TABLERO!BB118=0,"",FIXED(TABLERO!DL118,2))</f>
        <v/>
      </c>
      <c r="AZ118" s="271" t="str">
        <f>IF(TABLERO!BB118=0,"",TABLERO!F118&amp;"P-"&amp;TABLERO!BW118&amp;"A")</f>
        <v/>
      </c>
      <c r="BA118" s="272" t="str">
        <f>IF(TABLERO!$BB118=0,"",IF(TABLERO!CI118="-","     -     ",FIXED(IF(TABLERO!$F$17&lt;&gt;"KVA",TABLERO!CI118,TABLERO!CI118/TABLERO!$F$14),2)))</f>
        <v/>
      </c>
      <c r="BB118" s="272" t="str">
        <f>IF(TABLERO!$BB118=0,"",IF(TABLERO!CJ118="-","     -     ",FIXED(IF(TABLERO!$F$17&lt;&gt;"KVA",TABLERO!CJ118,TABLERO!CJ118/TABLERO!$F$14),2)))</f>
        <v/>
      </c>
      <c r="BC118" s="272" t="str">
        <f>IF(TABLERO!$BB118=0,"",IF(TABLERO!CK118="-","     -     ",FIXED(IF(TABLERO!$F$17&lt;&gt;"KVA",TABLERO!CK118,TABLERO!CK118/TABLERO!$F$14),2)))</f>
        <v/>
      </c>
      <c r="BL118" s="289" t="str">
        <f>IF(TABLERO!$M$18="TR",FIXED(IF(TABLERO!$F$17&lt;&gt;"KVA",TABLERO!BB118*1000,TABLERO!BB118*1000/TABLERO!DA118),2)&amp;"+"&amp;FIXED(IF(TABLERO!$F$17&lt;&gt;"KVA",TABLERO!BT118*1000,TABLERO!BT118*1000/TABLERO!DA118),2)&amp;"+"&amp;IF(OR(TABLERO!BU118="",TABLERO!BU118=0),"",FIXED(TABLERO!BU118,2))&amp;"+"&amp;TABLERO!F118&amp;"+"&amp;TABLERO!G118&amp;"+"&amp;TABLERO!BV118&amp;"+"&amp;TABLERO!K118&amp;"+"&amp;TABLERO!J118&amp;"+"&amp;TABLERO!CT118&amp;"+"&amp;TABLERO!CS118&amp;"+"&amp;FIXED(TABLERO!CY118,2)&amp;"+"&amp;TABLERO!N118&amp;"+"&amp;IF(TABLERO!BB118=0,"",TABLERO!BX118&amp;" "&amp;TABLERO!ED118&amp;", "&amp;TABLERO!I118)&amp;"+"&amp;FIXED(TABLERO!BZ118,2)&amp;"+"&amp;TABLERO!CA118&amp;"+"&amp;TABLERO!CB118&amp;"+"&amp;FIXED(TABLERO!DL118,2)&amp;"+"&amp;TABLERO!F118&amp;"P-"&amp;TABLERO!BW118&amp;"A"&amp;"+"&amp;IF(TABLERO!CI118="-","     -     ",FIXED(IF(TABLERO!$F$17&lt;&gt;"KVA",TABLERO!CI118,TABLERO!CI118/TABLERO!$F$14),2))&amp;"+"&amp;IF(TABLERO!CJ118="-","     -     ",FIXED(IF(TABLERO!$F$17&lt;&gt;"KVA",TABLERO!CJ118,TABLERO!CJ118/TABLERO!$F$14),2))&amp;"+"&amp;IF(TABLERO!CK118="-","     -     ",FIXED(IF(TABLERO!$F$17&lt;&gt;"KVA",TABLERO!CK118,TABLERO!CK118/TABLERO!$F$14),2))&amp;"++++++++++1","++++++++++++++++++++++++++++++")</f>
        <v>++++++++++++++++++++++++++++++</v>
      </c>
      <c r="BM118" s="279" t="str">
        <f t="shared" si="9"/>
        <v>TRAFO+TRAFO</v>
      </c>
      <c r="BN118" s="304" t="str">
        <f t="shared" si="13"/>
        <v/>
      </c>
      <c r="BO118" s="304" t="str">
        <f t="shared" si="13"/>
        <v/>
      </c>
      <c r="BP118" s="304" t="str">
        <f t="shared" si="13"/>
        <v/>
      </c>
      <c r="BQ118" s="304" t="str">
        <f t="shared" si="13"/>
        <v/>
      </c>
      <c r="BR118" s="304" t="str">
        <f t="shared" si="13"/>
        <v/>
      </c>
      <c r="BS118" s="304" t="str">
        <f t="shared" si="13"/>
        <v/>
      </c>
      <c r="BT118" s="304" t="str">
        <f t="shared" si="13"/>
        <v/>
      </c>
      <c r="BU118" s="304" t="str">
        <f t="shared" si="13"/>
        <v/>
      </c>
      <c r="BV118" s="304" t="str">
        <f t="shared" si="13"/>
        <v/>
      </c>
      <c r="BW118" s="304" t="str">
        <f t="shared" si="13"/>
        <v/>
      </c>
      <c r="BX118" s="304" t="str">
        <f t="shared" si="13"/>
        <v/>
      </c>
      <c r="BY118" s="304" t="str">
        <f t="shared" si="13"/>
        <v/>
      </c>
      <c r="BZ118" s="304" t="str">
        <f t="shared" si="13"/>
        <v/>
      </c>
      <c r="CA118" s="304" t="str">
        <f t="shared" si="13"/>
        <v/>
      </c>
      <c r="CB118" s="304" t="str">
        <f t="shared" si="13"/>
        <v/>
      </c>
      <c r="CC118" s="304" t="str">
        <f t="shared" si="13"/>
        <v/>
      </c>
      <c r="CD118" s="304" t="str">
        <f t="shared" si="14"/>
        <v/>
      </c>
      <c r="CE118" s="304" t="str">
        <f t="shared" si="14"/>
        <v/>
      </c>
      <c r="CF118" s="304" t="str">
        <f t="shared" si="14"/>
        <v/>
      </c>
      <c r="CG118" s="304" t="str">
        <f t="shared" si="14"/>
        <v/>
      </c>
      <c r="CH118" s="304" t="str">
        <f t="shared" si="14"/>
        <v/>
      </c>
      <c r="CI118" s="304" t="str">
        <f t="shared" si="14"/>
        <v/>
      </c>
      <c r="CJ118" s="304" t="str">
        <f t="shared" si="14"/>
        <v/>
      </c>
      <c r="CK118" s="304" t="str">
        <f t="shared" si="14"/>
        <v/>
      </c>
      <c r="CL118" s="304" t="str">
        <f t="shared" si="14"/>
        <v/>
      </c>
      <c r="CM118" s="304" t="str">
        <f t="shared" si="14"/>
        <v/>
      </c>
      <c r="CN118" s="304" t="str">
        <f t="shared" si="14"/>
        <v/>
      </c>
      <c r="CO118" s="304" t="str">
        <f t="shared" si="14"/>
        <v/>
      </c>
      <c r="CP118" s="304" t="str">
        <f t="shared" si="14"/>
        <v/>
      </c>
      <c r="CQ118" s="304" t="str">
        <f t="shared" si="14"/>
        <v/>
      </c>
      <c r="CR118" s="305" t="str">
        <f t="shared" si="16"/>
        <v>TRAFO+TRAFO</v>
      </c>
      <c r="CS118" s="279">
        <f t="shared" si="5"/>
        <v>30</v>
      </c>
      <c r="CT118" s="279" t="str">
        <f t="shared" si="8"/>
        <v>+++++++++++++++++++++++++++++++</v>
      </c>
      <c r="CU118" s="319" t="s">
        <v>1796</v>
      </c>
    </row>
    <row r="119" spans="1:184" ht="12.75" customHeight="1">
      <c r="B119" s="280"/>
      <c r="C119" s="271" t="str">
        <f>IF(TABLERO!E119=0,"",TABLERO!E119)</f>
        <v/>
      </c>
      <c r="D119" s="312"/>
      <c r="E119" s="312"/>
      <c r="F119" s="312"/>
      <c r="G119" s="312"/>
      <c r="H119" s="312"/>
      <c r="I119" s="312"/>
      <c r="J119" s="312"/>
      <c r="K119" s="312"/>
      <c r="L119" s="312"/>
      <c r="M119" s="312"/>
      <c r="N119" s="312"/>
      <c r="O119" s="312"/>
      <c r="P119" s="312"/>
      <c r="Q119" s="312"/>
      <c r="R119" s="312"/>
      <c r="S119" s="312"/>
      <c r="T119" s="312"/>
      <c r="U119" s="312"/>
      <c r="V119" s="312"/>
      <c r="W119" s="309"/>
      <c r="X119" s="309"/>
      <c r="Y119" s="309"/>
      <c r="Z119" s="309"/>
      <c r="AA119" s="309"/>
      <c r="AB119" s="309"/>
      <c r="AC119" s="309"/>
      <c r="AD119" s="309"/>
      <c r="AE119" s="309"/>
      <c r="AF119" s="309"/>
      <c r="AG119" s="309"/>
      <c r="AH119" s="277"/>
      <c r="AI119" s="277"/>
      <c r="AJ119" s="272" t="str">
        <f>IF(OR(TABLERO!BU119="",TABLERO!BU119=0),"",TABLERO!BU119)</f>
        <v/>
      </c>
      <c r="AK119" s="312" t="str">
        <f>IF(TABLERO!BB119=0,"",TABLERO!F119)</f>
        <v/>
      </c>
      <c r="AL119" s="312" t="str">
        <f>IF(TABLERO!BB119=0,"",TABLERO!G119)</f>
        <v/>
      </c>
      <c r="AM119" s="312" t="str">
        <f>IF(TABLERO!BB119=0,"",TABLERO!BV119)</f>
        <v/>
      </c>
      <c r="AN119" s="272" t="str">
        <f>IF(TABLERO!BB119=0,"",TABLERO!K119)</f>
        <v/>
      </c>
      <c r="AO119" s="312" t="str">
        <f>IF(TABLERO!BB119=0,"",TABLERO!J119)</f>
        <v/>
      </c>
      <c r="AP119" s="272" t="str">
        <f>IF(TABLERO!BB119=0,"",TABLERO!CT119)</f>
        <v/>
      </c>
      <c r="AQ119" s="272" t="str">
        <f>IF(TABLERO!BB119=0,"",TABLERO!CS119)</f>
        <v/>
      </c>
      <c r="AR119" s="272" t="str">
        <f>IF(TABLERO!BB119=0,"",TABLERO!CY119)</f>
        <v/>
      </c>
      <c r="AS119" s="312" t="str">
        <f>IF(TABLERO!BB119=0,"",TABLERO!N119)</f>
        <v/>
      </c>
      <c r="AT119" s="271" t="str">
        <f>IF(TABLERO!BB119=0,"",TABLERO!BX119&amp;" "&amp;TABLERO!ED119)</f>
        <v/>
      </c>
      <c r="AU119" s="271"/>
      <c r="AV119" s="272" t="str">
        <f>IF(TABLERO!BB119=0,"",TABLERO!BZ119)</f>
        <v/>
      </c>
      <c r="AW119" s="312" t="str">
        <f>IF(TABLERO!BB119=0,"",TABLERO!CA119)</f>
        <v/>
      </c>
      <c r="AX119" s="271" t="str">
        <f>IF(TABLERO!BB119=0,"",TABLERO!CB119)</f>
        <v/>
      </c>
      <c r="AY119" s="272" t="str">
        <f>IF(TABLERO!BB119=0,"",TABLERO!DL119)</f>
        <v/>
      </c>
      <c r="AZ119" s="271" t="str">
        <f>IF(TABLERO!BB119=0,"",TABLERO!F119&amp;"P-"&amp;TABLERO!BW119&amp;"A")</f>
        <v/>
      </c>
      <c r="BA119" s="272" t="str">
        <f>IF(TABLERO!BB119=0,"",TABLERO!CI119)</f>
        <v/>
      </c>
      <c r="BB119" s="272" t="str">
        <f>IF(TABLERO!BB119=0,"",TABLERO!CJ119)</f>
        <v/>
      </c>
      <c r="BC119" s="278" t="str">
        <f>IF(TABLERO!BB119=0,"",TABLERO!CK119)</f>
        <v/>
      </c>
      <c r="BL119" s="318" t="s">
        <v>1795</v>
      </c>
      <c r="BM119" s="279" t="str">
        <f t="shared" si="9"/>
        <v>+</v>
      </c>
      <c r="BN119" s="304" t="str">
        <f t="shared" si="13"/>
        <v/>
      </c>
      <c r="BO119" s="304" t="str">
        <f t="shared" si="13"/>
        <v/>
      </c>
      <c r="BP119" s="304" t="str">
        <f t="shared" si="13"/>
        <v/>
      </c>
      <c r="BQ119" s="304" t="str">
        <f t="shared" si="13"/>
        <v/>
      </c>
      <c r="BR119" s="304" t="str">
        <f t="shared" si="13"/>
        <v/>
      </c>
      <c r="BS119" s="304" t="str">
        <f t="shared" si="13"/>
        <v/>
      </c>
      <c r="BT119" s="304" t="str">
        <f t="shared" si="13"/>
        <v/>
      </c>
      <c r="BU119" s="304" t="str">
        <f t="shared" si="13"/>
        <v/>
      </c>
      <c r="BV119" s="304" t="str">
        <f t="shared" si="13"/>
        <v/>
      </c>
      <c r="BW119" s="304" t="str">
        <f t="shared" si="13"/>
        <v/>
      </c>
      <c r="BX119" s="304" t="str">
        <f t="shared" si="13"/>
        <v/>
      </c>
      <c r="BY119" s="304" t="str">
        <f t="shared" si="13"/>
        <v/>
      </c>
      <c r="BZ119" s="304" t="str">
        <f t="shared" si="13"/>
        <v/>
      </c>
      <c r="CA119" s="304" t="str">
        <f t="shared" si="13"/>
        <v/>
      </c>
      <c r="CB119" s="304" t="str">
        <f t="shared" si="13"/>
        <v/>
      </c>
      <c r="CC119" s="304" t="str">
        <f t="shared" si="13"/>
        <v/>
      </c>
      <c r="CD119" s="304" t="str">
        <f t="shared" si="14"/>
        <v/>
      </c>
      <c r="CE119" s="304" t="str">
        <f t="shared" si="14"/>
        <v/>
      </c>
      <c r="CF119" s="304" t="str">
        <f t="shared" si="14"/>
        <v/>
      </c>
      <c r="CG119" s="304" t="str">
        <f t="shared" si="14"/>
        <v/>
      </c>
      <c r="CH119" s="304" t="str">
        <f t="shared" si="14"/>
        <v/>
      </c>
      <c r="CI119" s="304" t="str">
        <f t="shared" si="14"/>
        <v/>
      </c>
      <c r="CJ119" s="304" t="str">
        <f t="shared" si="14"/>
        <v/>
      </c>
      <c r="CK119" s="304" t="str">
        <f t="shared" si="14"/>
        <v/>
      </c>
      <c r="CL119" s="304" t="str">
        <f t="shared" si="14"/>
        <v/>
      </c>
      <c r="CM119" s="304" t="str">
        <f t="shared" si="14"/>
        <v/>
      </c>
      <c r="CN119" s="304" t="str">
        <f t="shared" si="14"/>
        <v/>
      </c>
      <c r="CO119" s="304" t="str">
        <f t="shared" si="14"/>
        <v/>
      </c>
      <c r="CP119" s="304" t="str">
        <f t="shared" si="14"/>
        <v/>
      </c>
      <c r="CQ119" s="304" t="str">
        <f t="shared" si="14"/>
        <v/>
      </c>
      <c r="CR119" s="305" t="str">
        <f t="shared" si="16"/>
        <v>+</v>
      </c>
      <c r="CS119" s="279">
        <f t="shared" si="5"/>
        <v>30</v>
      </c>
      <c r="CT119" s="279" t="str">
        <f t="shared" si="8"/>
        <v>+++++++++++++++++++++++++++++++</v>
      </c>
      <c r="CU119" s="291" t="s">
        <v>1797</v>
      </c>
    </row>
    <row r="120" spans="1:184" ht="12.75" customHeight="1">
      <c r="B120" s="280"/>
      <c r="C120" s="271" t="str">
        <f>IF(TABLERO!E120=0,"",TABLERO!E120)</f>
        <v>TRAFO</v>
      </c>
      <c r="D120" s="312"/>
      <c r="E120" s="312"/>
      <c r="F120" s="312"/>
      <c r="G120" s="312"/>
      <c r="H120" s="312"/>
      <c r="I120" s="312"/>
      <c r="J120" s="312"/>
      <c r="K120" s="312"/>
      <c r="L120" s="312"/>
      <c r="M120" s="312"/>
      <c r="N120" s="312"/>
      <c r="O120" s="312"/>
      <c r="P120" s="312"/>
      <c r="Q120" s="312"/>
      <c r="R120" s="312"/>
      <c r="S120" s="312"/>
      <c r="T120" s="312"/>
      <c r="U120" s="312"/>
      <c r="V120" s="312"/>
      <c r="W120" s="309"/>
      <c r="X120" s="309"/>
      <c r="Y120" s="309"/>
      <c r="Z120" s="309"/>
      <c r="AA120" s="309"/>
      <c r="AB120" s="309"/>
      <c r="AC120" s="309"/>
      <c r="AD120" s="309"/>
      <c r="AE120" s="309"/>
      <c r="AF120" s="309"/>
      <c r="AG120" s="309"/>
      <c r="AH120" s="277" t="str">
        <f>IF(TABLERO!BB120=0,"",FIXED(IF(TABLERO!$F$17&lt;&gt;"KVA",TABLERO!BB120*1000,TABLERO!BB120*1000/TABLERO!DA120),2))</f>
        <v/>
      </c>
      <c r="AI120" s="277" t="str">
        <f>IF(TABLERO!BB120=0,"",FIXED(IF(TABLERO!$F$17&lt;&gt;"KVA",TABLERO!BT120*1000,TABLERO!BT120*1000/TABLERO!DA120),2))</f>
        <v/>
      </c>
      <c r="AJ120" s="272" t="str">
        <f>IF(OR(TABLERO!BU120="",TABLERO!BU120=0),"",FIXED(TABLERO!BU120,2))</f>
        <v/>
      </c>
      <c r="AK120" s="312" t="str">
        <f>IF(TABLERO!BB120=0,"",TABLERO!F120)</f>
        <v/>
      </c>
      <c r="AL120" s="312" t="str">
        <f>IF(TABLERO!BB120=0,"",TABLERO!G120)</f>
        <v/>
      </c>
      <c r="AM120" s="312" t="str">
        <f>IF(TABLERO!BB120=0,"",TABLERO!BV120)</f>
        <v/>
      </c>
      <c r="AN120" s="272" t="str">
        <f>IF(TABLERO!BB120=0,"",TABLERO!K120)</f>
        <v/>
      </c>
      <c r="AO120" s="312" t="str">
        <f>IF(TABLERO!BB120=0,"",TABLERO!J120)</f>
        <v/>
      </c>
      <c r="AP120" s="272" t="str">
        <f>IF(TABLERO!BB120=0,"",TABLERO!CT120)</f>
        <v/>
      </c>
      <c r="AQ120" s="272" t="str">
        <f>IF(TABLERO!BB120=0,"",TABLERO!CS120)</f>
        <v/>
      </c>
      <c r="AR120" s="272" t="str">
        <f>IF(TABLERO!BB120=0,"",FIXED(TABLERO!CY120,2))</f>
        <v/>
      </c>
      <c r="AS120" s="312" t="str">
        <f>IF(TABLERO!BB120=0,"",TABLERO!N120)</f>
        <v/>
      </c>
      <c r="AT120" s="271" t="str">
        <f>IF(TABLERO!BB120=0,"",TABLERO!BX120&amp;" "&amp;TABLERO!ED120&amp;", "&amp;TABLERO!I120)</f>
        <v/>
      </c>
      <c r="AU120" s="271"/>
      <c r="AV120" s="272" t="str">
        <f>IF(TABLERO!BB120=0,"",FIXED(TABLERO!BZ120,2))</f>
        <v/>
      </c>
      <c r="AW120" s="312" t="str">
        <f>IF(TABLERO!BB120=0,"",TABLERO!CA120)</f>
        <v/>
      </c>
      <c r="AX120" s="271" t="str">
        <f>IF(TABLERO!BB120=0,"",TABLERO!CB120)</f>
        <v/>
      </c>
      <c r="AY120" s="272" t="str">
        <f>IF(TABLERO!BB120=0,"",FIXED(TABLERO!DL120,2))</f>
        <v/>
      </c>
      <c r="AZ120" s="271" t="str">
        <f>IF(TABLERO!BB120=0,"",TABLERO!F120&amp;"P-"&amp;TABLERO!BW120&amp;"A")</f>
        <v/>
      </c>
      <c r="BA120" s="272" t="str">
        <f>IF(TABLERO!$BB120=0,"",IF(TABLERO!CI120="-","     -     ",FIXED(IF(TABLERO!$F$17&lt;&gt;"KVA",TABLERO!CI120,TABLERO!CI120/TABLERO!$F$14),2)))</f>
        <v/>
      </c>
      <c r="BB120" s="272" t="str">
        <f>IF(TABLERO!$BB120=0,"",IF(TABLERO!CJ120="-","     -     ",FIXED(IF(TABLERO!$F$17&lt;&gt;"KVA",TABLERO!CJ120,TABLERO!CJ120/TABLERO!$F$14),2)))</f>
        <v/>
      </c>
      <c r="BC120" s="272" t="str">
        <f>IF(TABLERO!$BB120=0,"",IF(TABLERO!CK120="-","     -     ",FIXED(IF(TABLERO!$F$17&lt;&gt;"KVA",TABLERO!CK120,TABLERO!CK120/TABLERO!$F$14),2)))</f>
        <v/>
      </c>
      <c r="BL120" s="289" t="str">
        <f>IF(TABLERO!$M$18=" ",FIXED(IF(TABLERO!$F$17&lt;&gt;"KVA",TABLERO!BB120*1000,TABLERO!BB120*1000/TABLERO!DA120),2)&amp;"+"&amp;FIXED(IF(TABLERO!$F$17&lt;&gt;"KVA",TABLERO!BT120*1000,TABLERO!BT120*1000/TABLERO!DA120),2)&amp;"+"&amp;IF(OR(TABLERO!BU120="",TABLERO!BU120=0),"",FIXED(TABLERO!BU120,2))&amp;"+"&amp;TABLERO!F120&amp;"+"&amp;TABLERO!G120&amp;"+"&amp;TABLERO!BV120&amp;"+"&amp;TABLERO!K120&amp;"+"&amp;TABLERO!J120&amp;"+"&amp;TABLERO!CT120&amp;"+"&amp;TABLERO!CS120&amp;"+"&amp;FIXED(TABLERO!CY120,2)&amp;"+"&amp;TABLERO!N120&amp;"+"&amp;IF(TABLERO!BB120=0,"",TABLERO!BX120&amp;" "&amp;TABLERO!ED120&amp;", "&amp;TABLERO!I120)&amp;"+"&amp;FIXED(TABLERO!BZ120,2)&amp;"+"&amp;TABLERO!CA120&amp;"+"&amp;TABLERO!CB120&amp;"+"&amp;FIXED(TABLERO!DL120,2)&amp;"+"&amp;TABLERO!F120&amp;"P-"&amp;TABLERO!BW120&amp;"A"&amp;"+"&amp;IF(TABLERO!CI120="-","     -     ",FIXED(IF(TABLERO!$F$17&lt;&gt;"KVA",TABLERO!CI120,TABLERO!CI120/TABLERO!$F$14),2))&amp;"+"&amp;IF(TABLERO!CJ120="-","     -     ",FIXED(IF(TABLERO!$F$17&lt;&gt;"KVA",TABLERO!CJ120,TABLERO!CJ120/TABLERO!$F$14),2))&amp;"+"&amp;IF(TABLERO!CK120="-","     -     ",FIXED(IF(TABLERO!$F$17&lt;&gt;"KVA",TABLERO!CK120,TABLERO!CK120/TABLERO!$F$14),2))&amp;"++++++++++"&amp;A120,"++++++++++++++++++++++++++++++")</f>
        <v>++++++++++++++++++++++++++++++</v>
      </c>
      <c r="BM120" s="279" t="str">
        <f t="shared" si="9"/>
        <v>+TRAFO</v>
      </c>
      <c r="BN120" s="304" t="str">
        <f t="shared" si="13"/>
        <v/>
      </c>
      <c r="BO120" s="304" t="str">
        <f t="shared" si="13"/>
        <v/>
      </c>
      <c r="BP120" s="304" t="str">
        <f t="shared" si="13"/>
        <v/>
      </c>
      <c r="BQ120" s="304" t="str">
        <f t="shared" si="13"/>
        <v/>
      </c>
      <c r="BR120" s="304" t="str">
        <f t="shared" si="13"/>
        <v/>
      </c>
      <c r="BS120" s="304" t="str">
        <f t="shared" si="13"/>
        <v/>
      </c>
      <c r="BT120" s="304" t="str">
        <f t="shared" si="13"/>
        <v/>
      </c>
      <c r="BU120" s="304" t="str">
        <f t="shared" si="13"/>
        <v/>
      </c>
      <c r="BV120" s="304" t="str">
        <f t="shared" si="13"/>
        <v/>
      </c>
      <c r="BW120" s="304" t="str">
        <f t="shared" si="13"/>
        <v/>
      </c>
      <c r="BX120" s="304" t="str">
        <f t="shared" si="13"/>
        <v/>
      </c>
      <c r="BY120" s="304" t="str">
        <f t="shared" si="13"/>
        <v/>
      </c>
      <c r="BZ120" s="304" t="str">
        <f t="shared" si="13"/>
        <v/>
      </c>
      <c r="CA120" s="304" t="str">
        <f t="shared" si="13"/>
        <v/>
      </c>
      <c r="CB120" s="304" t="str">
        <f t="shared" si="13"/>
        <v/>
      </c>
      <c r="CC120" s="304" t="str">
        <f t="shared" si="13"/>
        <v/>
      </c>
      <c r="CD120" s="304" t="str">
        <f t="shared" si="14"/>
        <v/>
      </c>
      <c r="CE120" s="304" t="str">
        <f t="shared" si="14"/>
        <v/>
      </c>
      <c r="CF120" s="304" t="str">
        <f t="shared" si="14"/>
        <v/>
      </c>
      <c r="CG120" s="304" t="str">
        <f t="shared" si="14"/>
        <v/>
      </c>
      <c r="CH120" s="304" t="str">
        <f t="shared" si="14"/>
        <v/>
      </c>
      <c r="CI120" s="304" t="str">
        <f t="shared" si="14"/>
        <v/>
      </c>
      <c r="CJ120" s="304" t="str">
        <f t="shared" si="14"/>
        <v/>
      </c>
      <c r="CK120" s="304" t="str">
        <f t="shared" si="14"/>
        <v/>
      </c>
      <c r="CL120" s="304" t="str">
        <f t="shared" si="14"/>
        <v/>
      </c>
      <c r="CM120" s="304" t="str">
        <f t="shared" si="14"/>
        <v/>
      </c>
      <c r="CN120" s="304" t="str">
        <f t="shared" si="14"/>
        <v/>
      </c>
      <c r="CO120" s="304" t="str">
        <f t="shared" si="14"/>
        <v/>
      </c>
      <c r="CP120" s="304" t="str">
        <f t="shared" si="14"/>
        <v/>
      </c>
      <c r="CQ120" s="304" t="str">
        <f t="shared" si="14"/>
        <v/>
      </c>
      <c r="CR120" s="305" t="str">
        <f t="shared" si="16"/>
        <v>+TRAFO</v>
      </c>
      <c r="CS120" s="279">
        <f t="shared" si="5"/>
        <v>30</v>
      </c>
      <c r="CT120" s="279" t="str">
        <f t="shared" si="8"/>
        <v>+++++++++++++++++++++++++++++++</v>
      </c>
      <c r="CU120" s="291" t="s">
        <v>1797</v>
      </c>
    </row>
    <row r="121" spans="1:184" ht="12.75" customHeight="1">
      <c r="B121" s="280"/>
      <c r="C121" s="271" t="str">
        <f>IF(TABLERO!E121=0,"",TABLERO!E121)</f>
        <v/>
      </c>
      <c r="D121" s="312"/>
      <c r="E121" s="312"/>
      <c r="F121" s="312"/>
      <c r="G121" s="312"/>
      <c r="H121" s="312"/>
      <c r="I121" s="312"/>
      <c r="J121" s="312"/>
      <c r="K121" s="312"/>
      <c r="L121" s="312"/>
      <c r="M121" s="312"/>
      <c r="N121" s="312"/>
      <c r="O121" s="312"/>
      <c r="P121" s="312"/>
      <c r="Q121" s="312"/>
      <c r="R121" s="312"/>
      <c r="S121" s="312"/>
      <c r="T121" s="312"/>
      <c r="U121" s="312"/>
      <c r="V121" s="312"/>
      <c r="W121" s="309"/>
      <c r="X121" s="309"/>
      <c r="Y121" s="309"/>
      <c r="Z121" s="309"/>
      <c r="AA121" s="309"/>
      <c r="AB121" s="309"/>
      <c r="AC121" s="309"/>
      <c r="AD121" s="309"/>
      <c r="AE121" s="309"/>
      <c r="AF121" s="309"/>
      <c r="AG121" s="309"/>
      <c r="AH121" s="277"/>
      <c r="AI121" s="277"/>
      <c r="AJ121" s="272" t="str">
        <f>IF(OR(TABLERO!BU121="",TABLERO!BU121=0),"",TABLERO!BU121)</f>
        <v/>
      </c>
      <c r="AK121" s="312" t="str">
        <f>IF(TABLERO!BB121=0,"",TABLERO!F121)</f>
        <v/>
      </c>
      <c r="AL121" s="312" t="str">
        <f>IF(TABLERO!BB121=0,"",TABLERO!G121)</f>
        <v/>
      </c>
      <c r="AM121" s="312" t="str">
        <f>IF(TABLERO!BB121=0,"",TABLERO!BV121)</f>
        <v/>
      </c>
      <c r="AN121" s="272" t="str">
        <f>IF(TABLERO!BB121=0,"",TABLERO!K121)</f>
        <v/>
      </c>
      <c r="AO121" s="312" t="str">
        <f>IF(TABLERO!BB121=0,"",TABLERO!J121)</f>
        <v/>
      </c>
      <c r="AP121" s="272" t="str">
        <f>IF(TABLERO!BB121=0,"",TABLERO!CT121)</f>
        <v/>
      </c>
      <c r="AQ121" s="272" t="str">
        <f>IF(TABLERO!BB121=0,"",TABLERO!CS121)</f>
        <v/>
      </c>
      <c r="AR121" s="272" t="str">
        <f>IF(TABLERO!BB121=0,"",TABLERO!CY121)</f>
        <v/>
      </c>
      <c r="AS121" s="312" t="str">
        <f>IF(TABLERO!BB121=0,"",TABLERO!N121)</f>
        <v/>
      </c>
      <c r="AT121" s="271" t="str">
        <f>IF(TABLERO!BB121=0,"",TABLERO!BX121&amp;" "&amp;TABLERO!ED121)</f>
        <v/>
      </c>
      <c r="AU121" s="271"/>
      <c r="AV121" s="272" t="str">
        <f>IF(TABLERO!BB121=0,"",TABLERO!BZ121)</f>
        <v/>
      </c>
      <c r="AW121" s="312" t="str">
        <f>IF(TABLERO!BB121=0,"",TABLERO!CA121)</f>
        <v/>
      </c>
      <c r="AX121" s="271" t="str">
        <f>IF(TABLERO!BB121=0,"",TABLERO!CB121)</f>
        <v/>
      </c>
      <c r="AY121" s="272" t="str">
        <f>IF(TABLERO!BB121=0,"",TABLERO!DL121)</f>
        <v/>
      </c>
      <c r="AZ121" s="271" t="str">
        <f>IF(TABLERO!BB121=0,"",TABLERO!F121&amp;"P-"&amp;TABLERO!BW121&amp;"A")</f>
        <v/>
      </c>
      <c r="BA121" s="272" t="str">
        <f>IF(TABLERO!BB121=0,"",TABLERO!CI121)</f>
        <v/>
      </c>
      <c r="BB121" s="272" t="str">
        <f>IF(TABLERO!BB121=0,"",TABLERO!CJ121)</f>
        <v/>
      </c>
      <c r="BC121" s="278" t="str">
        <f>IF(TABLERO!BB121=0,"",TABLERO!CK121)</f>
        <v/>
      </c>
      <c r="BL121" s="318" t="s">
        <v>1795</v>
      </c>
      <c r="BM121" s="279" t="str">
        <f t="shared" si="9"/>
        <v>+</v>
      </c>
      <c r="BN121" s="304" t="str">
        <f t="shared" si="13"/>
        <v/>
      </c>
      <c r="BO121" s="304" t="str">
        <f t="shared" si="13"/>
        <v/>
      </c>
      <c r="BP121" s="304" t="str">
        <f t="shared" si="13"/>
        <v/>
      </c>
      <c r="BQ121" s="304" t="str">
        <f t="shared" si="13"/>
        <v/>
      </c>
      <c r="BR121" s="304" t="str">
        <f t="shared" si="13"/>
        <v/>
      </c>
      <c r="BS121" s="304" t="str">
        <f t="shared" si="13"/>
        <v/>
      </c>
      <c r="BT121" s="304" t="str">
        <f t="shared" si="13"/>
        <v/>
      </c>
      <c r="BU121" s="304" t="str">
        <f t="shared" si="13"/>
        <v/>
      </c>
      <c r="BV121" s="304" t="str">
        <f t="shared" si="13"/>
        <v/>
      </c>
      <c r="BW121" s="304" t="str">
        <f t="shared" si="13"/>
        <v/>
      </c>
      <c r="BX121" s="304" t="str">
        <f t="shared" si="13"/>
        <v/>
      </c>
      <c r="BY121" s="304" t="str">
        <f t="shared" si="13"/>
        <v/>
      </c>
      <c r="BZ121" s="304" t="str">
        <f t="shared" si="13"/>
        <v/>
      </c>
      <c r="CA121" s="304" t="str">
        <f t="shared" si="13"/>
        <v/>
      </c>
      <c r="CB121" s="304" t="str">
        <f t="shared" si="13"/>
        <v/>
      </c>
      <c r="CC121" s="304" t="str">
        <f t="shared" si="13"/>
        <v/>
      </c>
      <c r="CD121" s="304" t="str">
        <f t="shared" si="14"/>
        <v/>
      </c>
      <c r="CE121" s="304" t="str">
        <f t="shared" si="14"/>
        <v/>
      </c>
      <c r="CF121" s="304" t="str">
        <f t="shared" si="14"/>
        <v/>
      </c>
      <c r="CG121" s="304" t="str">
        <f t="shared" si="14"/>
        <v/>
      </c>
      <c r="CH121" s="304" t="str">
        <f t="shared" si="14"/>
        <v/>
      </c>
      <c r="CI121" s="304" t="str">
        <f t="shared" si="14"/>
        <v/>
      </c>
      <c r="CJ121" s="304" t="str">
        <f t="shared" si="14"/>
        <v/>
      </c>
      <c r="CK121" s="304" t="str">
        <f t="shared" si="14"/>
        <v/>
      </c>
      <c r="CL121" s="304" t="str">
        <f t="shared" si="14"/>
        <v/>
      </c>
      <c r="CM121" s="304" t="str">
        <f t="shared" si="14"/>
        <v/>
      </c>
      <c r="CN121" s="304" t="str">
        <f t="shared" si="14"/>
        <v/>
      </c>
      <c r="CO121" s="304" t="str">
        <f t="shared" si="14"/>
        <v/>
      </c>
      <c r="CP121" s="304" t="str">
        <f t="shared" si="14"/>
        <v/>
      </c>
      <c r="CQ121" s="304" t="str">
        <f t="shared" si="14"/>
        <v/>
      </c>
      <c r="CR121" s="305" t="str">
        <f t="shared" si="16"/>
        <v>+</v>
      </c>
      <c r="CS121" s="279">
        <f t="shared" si="5"/>
        <v>30</v>
      </c>
      <c r="CT121" s="279" t="str">
        <f t="shared" si="8"/>
        <v>+++++++++++++++++++++++++++++++</v>
      </c>
      <c r="CU121" s="291" t="s">
        <v>1797</v>
      </c>
    </row>
    <row r="122" spans="1:184" ht="12.75" customHeight="1">
      <c r="B122" s="280" t="s">
        <v>1207</v>
      </c>
      <c r="C122" s="271" t="str">
        <f>IF(TABLERO!E122=0,"",TABLERO!E122)</f>
        <v>TRANSFER</v>
      </c>
      <c r="D122" s="312"/>
      <c r="E122" s="312"/>
      <c r="F122" s="312"/>
      <c r="G122" s="312"/>
      <c r="H122" s="312"/>
      <c r="I122" s="312"/>
      <c r="J122" s="312"/>
      <c r="K122" s="312"/>
      <c r="L122" s="312"/>
      <c r="M122" s="312"/>
      <c r="N122" s="312"/>
      <c r="O122" s="312"/>
      <c r="P122" s="312"/>
      <c r="Q122" s="312"/>
      <c r="R122" s="312"/>
      <c r="S122" s="312"/>
      <c r="T122" s="312"/>
      <c r="U122" s="312"/>
      <c r="V122" s="312"/>
      <c r="W122" s="309"/>
      <c r="X122" s="309"/>
      <c r="Y122" s="309"/>
      <c r="Z122" s="309"/>
      <c r="AA122" s="309"/>
      <c r="AB122" s="309"/>
      <c r="AC122" s="309"/>
      <c r="AD122" s="309"/>
      <c r="AE122" s="309"/>
      <c r="AF122" s="309"/>
      <c r="AG122" s="309"/>
      <c r="AH122" s="277" t="str">
        <f>IF(TABLERO!BB122=0,"",FIXED(IF(TABLERO!$F$17&lt;&gt;"KVA",TABLERO!BB122*1000,TABLERO!BB122*1000/TABLERO!DA122),2))</f>
        <v/>
      </c>
      <c r="AI122" s="277" t="str">
        <f>IF(TABLERO!BB122=0,"",FIXED(IF(TABLERO!$F$17&lt;&gt;"KVA",TABLERO!BT122*1000,TABLERO!BT122*1000/TABLERO!DA122),2))</f>
        <v/>
      </c>
      <c r="AJ122" s="272" t="str">
        <f>IF(OR(TABLERO!BU122="",TABLERO!BU122=0),"",FIXED(TABLERO!BU122,2))</f>
        <v/>
      </c>
      <c r="AK122" s="312" t="str">
        <f>IF(TABLERO!BB122=0,"",TABLERO!F122)</f>
        <v/>
      </c>
      <c r="AL122" s="312" t="str">
        <f>IF(TABLERO!BB122=0,"",TABLERO!G122)</f>
        <v/>
      </c>
      <c r="AM122" s="312" t="str">
        <f>IF(TABLERO!BB122=0,"",TABLERO!BV122)</f>
        <v/>
      </c>
      <c r="AN122" s="272" t="str">
        <f>IF(TABLERO!BB122=0,"",TABLERO!K122)</f>
        <v/>
      </c>
      <c r="AO122" s="312" t="str">
        <f>IF(TABLERO!BB122=0,"",TABLERO!J122)</f>
        <v/>
      </c>
      <c r="AP122" s="272" t="str">
        <f>IF(TABLERO!BB122=0,"",TABLERO!CT122)</f>
        <v/>
      </c>
      <c r="AQ122" s="272" t="str">
        <f>IF(TABLERO!BB122=0,"",TABLERO!CS122)</f>
        <v/>
      </c>
      <c r="AR122" s="272" t="str">
        <f>IF(TABLERO!BB122=0,"",FIXED(TABLERO!CY122,2))</f>
        <v/>
      </c>
      <c r="AS122" s="312" t="str">
        <f>IF(TABLERO!BB122=0,"",TABLERO!N122)</f>
        <v/>
      </c>
      <c r="AT122" s="271" t="str">
        <f>IF(TABLERO!BB122=0,"",TABLERO!BX122&amp;" "&amp;TABLERO!ED122&amp;", "&amp;TABLERO!I122)</f>
        <v/>
      </c>
      <c r="AU122" s="271"/>
      <c r="AV122" s="272" t="str">
        <f>IF(TABLERO!BB122=0,"",FIXED(TABLERO!BZ122,2))</f>
        <v/>
      </c>
      <c r="AW122" s="312" t="str">
        <f>IF(TABLERO!BB122=0,"",TABLERO!CA122)</f>
        <v/>
      </c>
      <c r="AX122" s="271" t="str">
        <f>IF(TABLERO!BB122=0,"",TABLERO!CB122)</f>
        <v/>
      </c>
      <c r="AY122" s="272" t="str">
        <f>IF(TABLERO!BB122=0,"",FIXED(TABLERO!DL122,2))</f>
        <v/>
      </c>
      <c r="AZ122" s="271" t="str">
        <f>IF(TABLERO!BB122=0,"",TABLERO!F122&amp;"P-"&amp;TABLERO!BW122&amp;"A")</f>
        <v/>
      </c>
      <c r="BA122" s="272" t="str">
        <f>IF(TABLERO!$BB122=0,"",IF(TABLERO!CI122="-","     -     ",FIXED(IF(TABLERO!$F$17&lt;&gt;"KVA",TABLERO!CI122,TABLERO!CI122/TABLERO!$F$14),2)))</f>
        <v/>
      </c>
      <c r="BB122" s="272" t="str">
        <f>IF(TABLERO!$BB122=0,"",IF(TABLERO!CJ122="-","     -     ",FIXED(IF(TABLERO!$F$17&lt;&gt;"KVA",TABLERO!CJ122,TABLERO!CJ122/TABLERO!$F$14),2)))</f>
        <v/>
      </c>
      <c r="BC122" s="272" t="str">
        <f>IF(TABLERO!$BB122=0,"",IF(TABLERO!CK122="-","     -     ",FIXED(IF(TABLERO!$F$17&lt;&gt;"KVA",TABLERO!CK122,TABLERO!CK122/TABLERO!$F$14),2)))</f>
        <v/>
      </c>
      <c r="BL122" s="289" t="str">
        <f>IF(TABLERO!$M$18="PE",FIXED(IF(TABLERO!$F$17&lt;&gt;"KVA",TABLERO!BB122*1000,TABLERO!BB122*1000/TABLERO!DA122),2)&amp;"+"&amp;FIXED(IF(TABLERO!$F$17&lt;&gt;"KVA",TABLERO!BT122*1000,TABLERO!BT122*1000/TABLERO!DA122),2)&amp;"+"&amp;IF(OR(TABLERO!BU122="",TABLERO!BU122=0),"",FIXED(TABLERO!BU122,2))&amp;"+"&amp;TABLERO!F122&amp;"+"&amp;TABLERO!G122&amp;"+"&amp;TABLERO!BV122&amp;"+"&amp;TABLERO!K122&amp;"+"&amp;TABLERO!J122&amp;"+"&amp;TABLERO!CT122&amp;"+"&amp;TABLERO!CS122&amp;"+"&amp;FIXED(TABLERO!CY122,2)&amp;"+"&amp;TABLERO!N122&amp;"+"&amp;IF(TABLERO!BB122=0,"",TABLERO!BX122&amp;" "&amp;TABLERO!ED122&amp;", "&amp;TABLERO!I122)&amp;"+"&amp;FIXED(TABLERO!BZ122,2)&amp;"+"&amp;TABLERO!CA122&amp;"+"&amp;TABLERO!CB122&amp;"+"&amp;FIXED(TABLERO!DL122,2)&amp;"+"&amp;TABLERO!F122&amp;"P-"&amp;TABLERO!BW122&amp;"A"&amp;"+"&amp;IF(TABLERO!CI122="-","     -     ",FIXED(IF(TABLERO!$F$17&lt;&gt;"KVA",TABLERO!CI122,TABLERO!CI122/TABLERO!$F$14),2))&amp;"+"&amp;IF(TABLERO!CJ122="-","     -     ",FIXED(IF(TABLERO!$F$17&lt;&gt;"KVA",TABLERO!CJ122,TABLERO!CJ122/TABLERO!$F$14),2))&amp;"+"&amp;IF(TABLERO!CK122="-","     -     ",FIXED(IF(TABLERO!$F$17&lt;&gt;"KVA",TABLERO!CK122,TABLERO!CK122/TABLERO!$F$14),2))&amp;"++++++++++1","++++++++++++++++++++++++++++++")</f>
        <v>++++++++++++++++++++++++++++++</v>
      </c>
      <c r="BM122" s="279" t="str">
        <f t="shared" si="9"/>
        <v>PE+TRANSFER</v>
      </c>
      <c r="BN122" s="304" t="str">
        <f t="shared" si="13"/>
        <v/>
      </c>
      <c r="BO122" s="304" t="str">
        <f t="shared" si="13"/>
        <v/>
      </c>
      <c r="BP122" s="304" t="str">
        <f t="shared" si="13"/>
        <v/>
      </c>
      <c r="BQ122" s="304" t="str">
        <f t="shared" si="13"/>
        <v/>
      </c>
      <c r="BR122" s="304" t="str">
        <f t="shared" si="13"/>
        <v/>
      </c>
      <c r="BS122" s="304" t="str">
        <f t="shared" si="13"/>
        <v/>
      </c>
      <c r="BT122" s="304" t="str">
        <f t="shared" si="13"/>
        <v/>
      </c>
      <c r="BU122" s="304" t="str">
        <f t="shared" si="13"/>
        <v/>
      </c>
      <c r="BV122" s="304" t="str">
        <f t="shared" si="13"/>
        <v/>
      </c>
      <c r="BW122" s="304" t="str">
        <f t="shared" si="13"/>
        <v/>
      </c>
      <c r="BX122" s="304" t="str">
        <f t="shared" si="13"/>
        <v/>
      </c>
      <c r="BY122" s="304" t="str">
        <f t="shared" si="13"/>
        <v/>
      </c>
      <c r="BZ122" s="304" t="str">
        <f t="shared" si="13"/>
        <v/>
      </c>
      <c r="CA122" s="304" t="str">
        <f t="shared" si="13"/>
        <v/>
      </c>
      <c r="CB122" s="304" t="str">
        <f t="shared" si="13"/>
        <v/>
      </c>
      <c r="CC122" s="304" t="str">
        <f t="shared" si="13"/>
        <v/>
      </c>
      <c r="CD122" s="304" t="str">
        <f t="shared" si="14"/>
        <v/>
      </c>
      <c r="CE122" s="304" t="str">
        <f t="shared" si="14"/>
        <v/>
      </c>
      <c r="CF122" s="304" t="str">
        <f t="shared" si="14"/>
        <v/>
      </c>
      <c r="CG122" s="304" t="str">
        <f t="shared" si="14"/>
        <v/>
      </c>
      <c r="CH122" s="304" t="str">
        <f t="shared" si="14"/>
        <v/>
      </c>
      <c r="CI122" s="304" t="str">
        <f t="shared" si="14"/>
        <v/>
      </c>
      <c r="CJ122" s="304" t="str">
        <f t="shared" si="14"/>
        <v/>
      </c>
      <c r="CK122" s="304" t="str">
        <f t="shared" si="14"/>
        <v/>
      </c>
      <c r="CL122" s="304" t="str">
        <f t="shared" si="14"/>
        <v/>
      </c>
      <c r="CM122" s="304" t="str">
        <f t="shared" si="14"/>
        <v/>
      </c>
      <c r="CN122" s="304" t="str">
        <f t="shared" si="14"/>
        <v/>
      </c>
      <c r="CO122" s="304" t="str">
        <f t="shared" si="14"/>
        <v/>
      </c>
      <c r="CP122" s="304" t="str">
        <f t="shared" si="14"/>
        <v/>
      </c>
      <c r="CQ122" s="304" t="str">
        <f t="shared" si="14"/>
        <v/>
      </c>
      <c r="CR122" s="305" t="str">
        <f t="shared" si="16"/>
        <v>PE+TRANSFER</v>
      </c>
      <c r="CS122" s="279">
        <f t="shared" si="5"/>
        <v>30</v>
      </c>
      <c r="CT122" s="279" t="str">
        <f t="shared" si="8"/>
        <v>+++++++++++++++++++++++++++++++</v>
      </c>
      <c r="CU122" s="291" t="s">
        <v>1797</v>
      </c>
    </row>
    <row r="123" spans="1:184" ht="12.75" customHeight="1">
      <c r="B123" s="280"/>
      <c r="C123" s="271" t="str">
        <f>IF(TABLERO!E123=0,"",TABLERO!E123)</f>
        <v/>
      </c>
      <c r="D123" s="312"/>
      <c r="E123" s="312"/>
      <c r="F123" s="312"/>
      <c r="G123" s="312"/>
      <c r="H123" s="312"/>
      <c r="I123" s="312"/>
      <c r="J123" s="312"/>
      <c r="K123" s="312"/>
      <c r="L123" s="312"/>
      <c r="M123" s="312"/>
      <c r="N123" s="312"/>
      <c r="O123" s="312"/>
      <c r="P123" s="312"/>
      <c r="Q123" s="312"/>
      <c r="R123" s="312"/>
      <c r="S123" s="312"/>
      <c r="T123" s="312"/>
      <c r="U123" s="312"/>
      <c r="V123" s="312"/>
      <c r="W123" s="309"/>
      <c r="X123" s="309"/>
      <c r="Y123" s="309"/>
      <c r="Z123" s="309"/>
      <c r="AA123" s="309"/>
      <c r="AB123" s="309"/>
      <c r="AC123" s="309"/>
      <c r="AD123" s="309"/>
      <c r="AE123" s="309"/>
      <c r="AF123" s="309"/>
      <c r="AG123" s="309"/>
      <c r="AH123" s="277"/>
      <c r="AI123" s="277"/>
      <c r="AJ123" s="272" t="str">
        <f>IF(OR(TABLERO!BU123="",TABLERO!BU123=0),"",TABLERO!BU123)</f>
        <v/>
      </c>
      <c r="AK123" s="312" t="str">
        <f>IF(TABLERO!BB123=0,"",TABLERO!F123)</f>
        <v/>
      </c>
      <c r="AL123" s="312" t="str">
        <f>IF(TABLERO!BB123=0,"",TABLERO!G123)</f>
        <v/>
      </c>
      <c r="AM123" s="312" t="str">
        <f>IF(TABLERO!BB123=0,"",TABLERO!BV123)</f>
        <v/>
      </c>
      <c r="AN123" s="272" t="str">
        <f>IF(TABLERO!BB123=0,"",TABLERO!K123)</f>
        <v/>
      </c>
      <c r="AO123" s="312" t="str">
        <f>IF(TABLERO!BB123=0,"",TABLERO!J123)</f>
        <v/>
      </c>
      <c r="AP123" s="272" t="str">
        <f>IF(TABLERO!BB123=0,"",TABLERO!CT123)</f>
        <v/>
      </c>
      <c r="AQ123" s="272" t="str">
        <f>IF(TABLERO!BB123=0,"",TABLERO!CS123)</f>
        <v/>
      </c>
      <c r="AR123" s="272" t="str">
        <f>IF(TABLERO!BB123=0,"",TABLERO!CY123)</f>
        <v/>
      </c>
      <c r="AS123" s="312" t="str">
        <f>IF(TABLERO!BB123=0,"",TABLERO!N123)</f>
        <v/>
      </c>
      <c r="AT123" s="271" t="str">
        <f>IF(TABLERO!BB123=0,"",TABLERO!BX123&amp;" "&amp;TABLERO!ED123)</f>
        <v/>
      </c>
      <c r="AU123" s="271"/>
      <c r="AV123" s="272" t="str">
        <f>IF(TABLERO!BB123=0,"",TABLERO!BZ123)</f>
        <v/>
      </c>
      <c r="AW123" s="312" t="str">
        <f>IF(TABLERO!BB123=0,"",TABLERO!CA123)</f>
        <v/>
      </c>
      <c r="AX123" s="271" t="str">
        <f>IF(TABLERO!BB123=0,"",TABLERO!CB123)</f>
        <v/>
      </c>
      <c r="AY123" s="272" t="str">
        <f>IF(TABLERO!BB123=0,"",TABLERO!DL123)</f>
        <v/>
      </c>
      <c r="AZ123" s="271" t="str">
        <f>IF(TABLERO!BB123=0,"",TABLERO!F123&amp;"P-"&amp;TABLERO!BW123&amp;"A")</f>
        <v/>
      </c>
      <c r="BA123" s="272" t="str">
        <f>IF(TABLERO!BB123=0,"",TABLERO!CI123)</f>
        <v/>
      </c>
      <c r="BB123" s="272" t="str">
        <f>IF(TABLERO!BB123=0,"",TABLERO!CJ123)</f>
        <v/>
      </c>
      <c r="BC123" s="278" t="str">
        <f>IF(TABLERO!BB123=0,"",TABLERO!CK123)</f>
        <v/>
      </c>
      <c r="BL123" s="318" t="s">
        <v>1795</v>
      </c>
      <c r="BM123" s="279" t="str">
        <f t="shared" si="9"/>
        <v>+</v>
      </c>
      <c r="BN123" s="304" t="str">
        <f t="shared" si="13"/>
        <v/>
      </c>
      <c r="BO123" s="304" t="str">
        <f t="shared" si="13"/>
        <v/>
      </c>
      <c r="BP123" s="304" t="str">
        <f t="shared" si="13"/>
        <v/>
      </c>
      <c r="BQ123" s="304" t="str">
        <f t="shared" si="13"/>
        <v/>
      </c>
      <c r="BR123" s="304" t="str">
        <f t="shared" si="13"/>
        <v/>
      </c>
      <c r="BS123" s="304" t="str">
        <f t="shared" si="13"/>
        <v/>
      </c>
      <c r="BT123" s="304" t="str">
        <f t="shared" si="13"/>
        <v/>
      </c>
      <c r="BU123" s="304" t="str">
        <f t="shared" si="13"/>
        <v/>
      </c>
      <c r="BV123" s="304" t="str">
        <f t="shared" si="13"/>
        <v/>
      </c>
      <c r="BW123" s="304" t="str">
        <f t="shared" si="13"/>
        <v/>
      </c>
      <c r="BX123" s="304" t="str">
        <f t="shared" si="13"/>
        <v/>
      </c>
      <c r="BY123" s="304" t="str">
        <f t="shared" si="13"/>
        <v/>
      </c>
      <c r="BZ123" s="304" t="str">
        <f t="shared" si="13"/>
        <v/>
      </c>
      <c r="CA123" s="304" t="str">
        <f t="shared" si="13"/>
        <v/>
      </c>
      <c r="CB123" s="304" t="str">
        <f t="shared" si="13"/>
        <v/>
      </c>
      <c r="CC123" s="304" t="str">
        <f t="shared" si="13"/>
        <v/>
      </c>
      <c r="CD123" s="304" t="str">
        <f t="shared" si="14"/>
        <v/>
      </c>
      <c r="CE123" s="304" t="str">
        <f t="shared" si="14"/>
        <v/>
      </c>
      <c r="CF123" s="304" t="str">
        <f t="shared" si="14"/>
        <v/>
      </c>
      <c r="CG123" s="304" t="str">
        <f t="shared" si="14"/>
        <v/>
      </c>
      <c r="CH123" s="304" t="str">
        <f t="shared" si="14"/>
        <v/>
      </c>
      <c r="CI123" s="304" t="str">
        <f t="shared" si="14"/>
        <v/>
      </c>
      <c r="CJ123" s="304" t="str">
        <f t="shared" si="14"/>
        <v/>
      </c>
      <c r="CK123" s="304" t="str">
        <f t="shared" si="14"/>
        <v/>
      </c>
      <c r="CL123" s="304" t="str">
        <f t="shared" si="14"/>
        <v/>
      </c>
      <c r="CM123" s="304" t="str">
        <f t="shared" si="14"/>
        <v/>
      </c>
      <c r="CN123" s="304" t="str">
        <f t="shared" si="14"/>
        <v/>
      </c>
      <c r="CO123" s="304" t="str">
        <f t="shared" si="14"/>
        <v/>
      </c>
      <c r="CP123" s="304" t="str">
        <f t="shared" si="14"/>
        <v/>
      </c>
      <c r="CQ123" s="304" t="str">
        <f t="shared" si="14"/>
        <v/>
      </c>
      <c r="CR123" s="305" t="str">
        <f t="shared" si="16"/>
        <v>+</v>
      </c>
      <c r="CS123" s="279">
        <f t="shared" si="5"/>
        <v>30</v>
      </c>
      <c r="CT123" s="279" t="str">
        <f t="shared" si="8"/>
        <v>+++++++++++++++++++++++++++++++</v>
      </c>
      <c r="CU123" s="291" t="s">
        <v>1797</v>
      </c>
    </row>
    <row r="124" spans="1:184" ht="12.75" customHeight="1">
      <c r="B124" s="280"/>
      <c r="C124" s="271" t="str">
        <f>IF(TABLERO!E124=0,"",TABLERO!E124)</f>
        <v>PLANTA</v>
      </c>
      <c r="D124" s="312"/>
      <c r="E124" s="312"/>
      <c r="F124" s="312"/>
      <c r="G124" s="312"/>
      <c r="H124" s="312"/>
      <c r="I124" s="312"/>
      <c r="J124" s="312"/>
      <c r="K124" s="312"/>
      <c r="L124" s="312"/>
      <c r="M124" s="312"/>
      <c r="N124" s="312"/>
      <c r="O124" s="312"/>
      <c r="P124" s="312"/>
      <c r="Q124" s="312"/>
      <c r="R124" s="312"/>
      <c r="S124" s="312"/>
      <c r="T124" s="312"/>
      <c r="U124" s="312"/>
      <c r="V124" s="312"/>
      <c r="W124" s="309"/>
      <c r="X124" s="309"/>
      <c r="Y124" s="309"/>
      <c r="Z124" s="309"/>
      <c r="AA124" s="309"/>
      <c r="AB124" s="309"/>
      <c r="AC124" s="309"/>
      <c r="AD124" s="309"/>
      <c r="AE124" s="309"/>
      <c r="AF124" s="309"/>
      <c r="AG124" s="309"/>
      <c r="AH124" s="277" t="str">
        <f>IF(TABLERO!BB124=0,"",FIXED(IF(TABLERO!$F$17&lt;&gt;"KVA",TABLERO!BB124*1000,TABLERO!BB124*1000/TABLERO!DA124),2))</f>
        <v/>
      </c>
      <c r="AI124" s="277" t="str">
        <f>IF(TABLERO!BB124=0,"",FIXED(IF(TABLERO!$F$17&lt;&gt;"KVA",TABLERO!BT124*1000,TABLERO!BT124*1000/TABLERO!DA124),2))</f>
        <v/>
      </c>
      <c r="AJ124" s="272" t="str">
        <f>IF(OR(TABLERO!BU124="",TABLERO!BU124=0),"",FIXED(TABLERO!BU124,2))</f>
        <v/>
      </c>
      <c r="AK124" s="312" t="str">
        <f>IF(TABLERO!BB124=0,"",TABLERO!F124)</f>
        <v/>
      </c>
      <c r="AL124" s="312" t="str">
        <f>IF(TABLERO!BB124=0,"",TABLERO!G124)</f>
        <v/>
      </c>
      <c r="AM124" s="312" t="str">
        <f>IF(TABLERO!BB124=0,"",TABLERO!BV124)</f>
        <v/>
      </c>
      <c r="AN124" s="272" t="str">
        <f>IF(TABLERO!BB124=0,"",TABLERO!K124)</f>
        <v/>
      </c>
      <c r="AO124" s="312" t="str">
        <f>IF(TABLERO!BB124=0,"",TABLERO!J124)</f>
        <v/>
      </c>
      <c r="AP124" s="272" t="str">
        <f>IF(TABLERO!BB124=0,"",TABLERO!CT124)</f>
        <v/>
      </c>
      <c r="AQ124" s="272" t="str">
        <f>IF(TABLERO!BB124=0,"",TABLERO!CS124)</f>
        <v/>
      </c>
      <c r="AR124" s="272" t="str">
        <f>IF(TABLERO!BB124=0,"",FIXED(TABLERO!CY124,2))</f>
        <v/>
      </c>
      <c r="AS124" s="312" t="str">
        <f>IF(TABLERO!BB124=0,"",TABLERO!N124)</f>
        <v/>
      </c>
      <c r="AT124" s="271" t="str">
        <f>IF(TABLERO!BB124=0,"",TABLERO!BX124&amp;" "&amp;TABLERO!ED124&amp;", "&amp;TABLERO!I124)</f>
        <v/>
      </c>
      <c r="AU124" s="271"/>
      <c r="AV124" s="272" t="str">
        <f>IF(TABLERO!BB124=0,"",FIXED(TABLERO!BZ124,2))</f>
        <v/>
      </c>
      <c r="AW124" s="312" t="str">
        <f>IF(TABLERO!BB124=0,"",TABLERO!CA124)</f>
        <v/>
      </c>
      <c r="AX124" s="271" t="str">
        <f>IF(TABLERO!BB124=0,"",TABLERO!CB124)</f>
        <v/>
      </c>
      <c r="AY124" s="272" t="str">
        <f>IF(TABLERO!BB124=0,"",FIXED(TABLERO!DL124,2))</f>
        <v/>
      </c>
      <c r="AZ124" s="271" t="str">
        <f>IF(TABLERO!BB124=0,"",TABLERO!F124&amp;"P-"&amp;TABLERO!BW124&amp;"A")</f>
        <v/>
      </c>
      <c r="BA124" s="272" t="str">
        <f>IF(TABLERO!$BB124=0,"",IF(TABLERO!CI124="-","     -     ",FIXED(IF(TABLERO!$F$17&lt;&gt;"KVA",TABLERO!CI124,TABLERO!CI124/TABLERO!$F$14),2)))</f>
        <v/>
      </c>
      <c r="BB124" s="272" t="str">
        <f>IF(TABLERO!$BB124=0,"",IF(TABLERO!CJ124="-","     -     ",FIXED(IF(TABLERO!$F$17&lt;&gt;"KVA",TABLERO!CJ124,TABLERO!CJ124/TABLERO!$F$14),2)))</f>
        <v/>
      </c>
      <c r="BC124" s="272" t="str">
        <f>IF(TABLERO!$BB124=0,"",IF(TABLERO!CK124="-","     -     ",FIXED(IF(TABLERO!$F$17&lt;&gt;"KVA",TABLERO!CK124,TABLERO!CK124/TABLERO!$F$14),2)))</f>
        <v/>
      </c>
      <c r="BL124" s="289" t="str">
        <f>IF(TABLERO!$M$18=" ",FIXED(IF(TABLERO!$F$17&lt;&gt;"KVA",TABLERO!BB124*1000,TABLERO!BB124*1000/TABLERO!DA124),2)&amp;"+"&amp;FIXED(IF(TABLERO!$F$17&lt;&gt;"KVA",TABLERO!BT124*1000,TABLERO!BT124*1000/TABLERO!DA124),2)&amp;"+"&amp;IF(OR(TABLERO!BU124="",TABLERO!BU124=0),"",FIXED(TABLERO!BU124,2))&amp;"+"&amp;TABLERO!F124&amp;"+"&amp;TABLERO!G124&amp;"+"&amp;TABLERO!BV124&amp;"+"&amp;TABLERO!K124&amp;"+"&amp;TABLERO!J124&amp;"+"&amp;TABLERO!CT124&amp;"+"&amp;TABLERO!CS124&amp;"+"&amp;FIXED(TABLERO!CY124,2)&amp;"+"&amp;TABLERO!N124&amp;"+"&amp;IF(TABLERO!BB124=0,"",TABLERO!BX124&amp;" "&amp;TABLERO!ED124&amp;", "&amp;TABLERO!I124)&amp;"+"&amp;FIXED(TABLERO!BZ124,2)&amp;"+"&amp;TABLERO!CA124&amp;"+"&amp;TABLERO!CB124&amp;"+"&amp;FIXED(TABLERO!DL124,2)&amp;"+"&amp;TABLERO!F124&amp;"P-"&amp;TABLERO!BW124&amp;"A"&amp;"+"&amp;IF(TABLERO!CI124="-","     -     ",FIXED(IF(TABLERO!$F$17&lt;&gt;"KVA",TABLERO!CI124,TABLERO!CI124/TABLERO!$F$14),2))&amp;"+"&amp;IF(TABLERO!CJ124="-","     -     ",FIXED(IF(TABLERO!$F$17&lt;&gt;"KVA",TABLERO!CJ124,TABLERO!CJ124/TABLERO!$F$14),2))&amp;"+"&amp;IF(TABLERO!CK124="-","     -     ",FIXED(IF(TABLERO!$F$17&lt;&gt;"KVA",TABLERO!CK124,TABLERO!CK124/TABLERO!$F$14),2))&amp;"++++++++++"&amp;A124,"++++++++++++++++++++++++++++++")</f>
        <v>++++++++++++++++++++++++++++++</v>
      </c>
      <c r="BM124" s="279" t="str">
        <f t="shared" si="9"/>
        <v>+PLANTA</v>
      </c>
      <c r="BN124" s="304" t="str">
        <f t="shared" si="13"/>
        <v/>
      </c>
      <c r="BO124" s="304" t="str">
        <f t="shared" si="13"/>
        <v/>
      </c>
      <c r="BP124" s="304" t="str">
        <f t="shared" si="13"/>
        <v/>
      </c>
      <c r="BQ124" s="304" t="str">
        <f t="shared" si="13"/>
        <v/>
      </c>
      <c r="BR124" s="304" t="str">
        <f t="shared" si="13"/>
        <v/>
      </c>
      <c r="BS124" s="304" t="str">
        <f t="shared" si="13"/>
        <v/>
      </c>
      <c r="BT124" s="304" t="str">
        <f t="shared" si="13"/>
        <v/>
      </c>
      <c r="BU124" s="304" t="str">
        <f t="shared" si="13"/>
        <v/>
      </c>
      <c r="BV124" s="304" t="str">
        <f t="shared" si="13"/>
        <v/>
      </c>
      <c r="BW124" s="304" t="str">
        <f t="shared" si="13"/>
        <v/>
      </c>
      <c r="BX124" s="304" t="str">
        <f t="shared" si="13"/>
        <v/>
      </c>
      <c r="BY124" s="304" t="str">
        <f t="shared" si="13"/>
        <v/>
      </c>
      <c r="BZ124" s="304" t="str">
        <f t="shared" si="13"/>
        <v/>
      </c>
      <c r="CA124" s="304" t="str">
        <f t="shared" si="13"/>
        <v/>
      </c>
      <c r="CB124" s="304" t="str">
        <f t="shared" si="13"/>
        <v/>
      </c>
      <c r="CC124" s="304" t="str">
        <f t="shared" si="13"/>
        <v/>
      </c>
      <c r="CD124" s="304" t="str">
        <f t="shared" si="14"/>
        <v/>
      </c>
      <c r="CE124" s="304" t="str">
        <f t="shared" si="14"/>
        <v/>
      </c>
      <c r="CF124" s="304" t="str">
        <f t="shared" si="14"/>
        <v/>
      </c>
      <c r="CG124" s="304" t="str">
        <f t="shared" si="14"/>
        <v/>
      </c>
      <c r="CH124" s="304" t="str">
        <f t="shared" si="14"/>
        <v/>
      </c>
      <c r="CI124" s="304" t="str">
        <f t="shared" si="14"/>
        <v/>
      </c>
      <c r="CJ124" s="304" t="str">
        <f t="shared" si="14"/>
        <v/>
      </c>
      <c r="CK124" s="304" t="str">
        <f t="shared" si="14"/>
        <v/>
      </c>
      <c r="CL124" s="304" t="str">
        <f t="shared" si="14"/>
        <v/>
      </c>
      <c r="CM124" s="304" t="str">
        <f t="shared" si="14"/>
        <v/>
      </c>
      <c r="CN124" s="304" t="str">
        <f t="shared" si="14"/>
        <v/>
      </c>
      <c r="CO124" s="304" t="str">
        <f t="shared" si="14"/>
        <v/>
      </c>
      <c r="CP124" s="304" t="str">
        <f t="shared" si="14"/>
        <v/>
      </c>
      <c r="CQ124" s="304" t="str">
        <f t="shared" si="14"/>
        <v/>
      </c>
      <c r="CR124" s="305" t="str">
        <f t="shared" si="16"/>
        <v>+PLANTA</v>
      </c>
      <c r="CS124" s="279">
        <f t="shared" si="5"/>
        <v>30</v>
      </c>
      <c r="CT124" s="279" t="str">
        <f t="shared" si="8"/>
        <v>+++++++++++++++++++++++++++++++</v>
      </c>
      <c r="CU124" s="291" t="s">
        <v>1797</v>
      </c>
    </row>
    <row r="125" spans="1:184" ht="12.75" customHeight="1">
      <c r="B125" s="280"/>
      <c r="C125" s="271"/>
      <c r="D125" s="312"/>
      <c r="E125" s="312"/>
      <c r="F125" s="312"/>
      <c r="G125" s="312"/>
      <c r="H125" s="312"/>
      <c r="I125" s="312"/>
      <c r="J125" s="312"/>
      <c r="K125" s="312"/>
      <c r="L125" s="312"/>
      <c r="M125" s="312"/>
      <c r="N125" s="312"/>
      <c r="O125" s="312"/>
      <c r="P125" s="312"/>
      <c r="Q125" s="312"/>
      <c r="R125" s="312"/>
      <c r="S125" s="312"/>
      <c r="T125" s="312"/>
      <c r="U125" s="312"/>
      <c r="V125" s="312"/>
      <c r="W125" s="309"/>
      <c r="X125" s="309"/>
      <c r="Y125" s="309"/>
      <c r="Z125" s="309"/>
      <c r="AA125" s="309"/>
      <c r="AB125" s="309"/>
      <c r="AC125" s="309"/>
      <c r="AD125" s="309"/>
      <c r="AE125" s="309"/>
      <c r="AF125" s="309"/>
      <c r="AG125" s="309"/>
      <c r="AH125" s="277"/>
      <c r="AI125" s="277"/>
      <c r="AJ125" s="272"/>
      <c r="AK125" s="312"/>
      <c r="AL125" s="312"/>
      <c r="AM125" s="312"/>
      <c r="AN125" s="272"/>
      <c r="AO125" s="312"/>
      <c r="AP125" s="272"/>
      <c r="AQ125" s="272"/>
      <c r="AR125" s="272"/>
      <c r="AS125" s="312"/>
      <c r="AT125" s="310"/>
      <c r="AU125" s="311"/>
      <c r="AV125" s="272"/>
      <c r="AW125" s="312"/>
      <c r="AX125" s="271"/>
      <c r="AY125" s="272"/>
      <c r="AZ125" s="310"/>
      <c r="BA125" s="272"/>
      <c r="BB125" s="272"/>
      <c r="BC125" s="278"/>
      <c r="BL125" s="318" t="s">
        <v>1795</v>
      </c>
      <c r="BM125" s="279" t="str">
        <f t="shared" si="9"/>
        <v>+</v>
      </c>
      <c r="BN125" s="304" t="str">
        <f t="shared" si="13"/>
        <v/>
      </c>
      <c r="BO125" s="304" t="str">
        <f t="shared" si="13"/>
        <v/>
      </c>
      <c r="BP125" s="304" t="str">
        <f t="shared" si="13"/>
        <v/>
      </c>
      <c r="BQ125" s="304" t="str">
        <f t="shared" si="13"/>
        <v/>
      </c>
      <c r="BR125" s="304" t="str">
        <f t="shared" si="13"/>
        <v/>
      </c>
      <c r="BS125" s="304" t="str">
        <f t="shared" si="13"/>
        <v/>
      </c>
      <c r="BT125" s="304" t="str">
        <f t="shared" si="13"/>
        <v/>
      </c>
      <c r="BU125" s="304" t="str">
        <f t="shared" si="13"/>
        <v/>
      </c>
      <c r="BV125" s="304" t="str">
        <f t="shared" si="13"/>
        <v/>
      </c>
      <c r="BW125" s="304" t="str">
        <f t="shared" si="13"/>
        <v/>
      </c>
      <c r="BX125" s="304" t="str">
        <f t="shared" si="13"/>
        <v/>
      </c>
      <c r="BY125" s="304" t="str">
        <f t="shared" si="13"/>
        <v/>
      </c>
      <c r="BZ125" s="304" t="str">
        <f t="shared" si="13"/>
        <v/>
      </c>
      <c r="CA125" s="304" t="str">
        <f t="shared" si="13"/>
        <v/>
      </c>
      <c r="CB125" s="304" t="str">
        <f t="shared" si="13"/>
        <v/>
      </c>
      <c r="CC125" s="304" t="str">
        <f t="shared" si="13"/>
        <v/>
      </c>
      <c r="CD125" s="304" t="str">
        <f t="shared" si="14"/>
        <v/>
      </c>
      <c r="CE125" s="304" t="str">
        <f t="shared" si="14"/>
        <v/>
      </c>
      <c r="CF125" s="304" t="str">
        <f t="shared" si="14"/>
        <v/>
      </c>
      <c r="CG125" s="304" t="str">
        <f t="shared" si="14"/>
        <v/>
      </c>
      <c r="CH125" s="304" t="str">
        <f t="shared" si="14"/>
        <v/>
      </c>
      <c r="CI125" s="304" t="str">
        <f t="shared" si="14"/>
        <v/>
      </c>
      <c r="CJ125" s="304" t="str">
        <f t="shared" si="14"/>
        <v/>
      </c>
      <c r="CK125" s="304" t="str">
        <f t="shared" si="14"/>
        <v/>
      </c>
      <c r="CL125" s="304" t="str">
        <f t="shared" si="14"/>
        <v/>
      </c>
      <c r="CM125" s="304" t="str">
        <f t="shared" si="14"/>
        <v/>
      </c>
      <c r="CN125" s="304" t="str">
        <f t="shared" si="14"/>
        <v/>
      </c>
      <c r="CO125" s="304" t="str">
        <f t="shared" si="14"/>
        <v/>
      </c>
      <c r="CP125" s="304" t="str">
        <f t="shared" si="14"/>
        <v/>
      </c>
      <c r="CQ125" s="304" t="str">
        <f t="shared" si="14"/>
        <v/>
      </c>
      <c r="CR125" s="305" t="str">
        <f t="shared" si="16"/>
        <v>+</v>
      </c>
      <c r="CS125" s="279">
        <f t="shared" si="5"/>
        <v>30</v>
      </c>
      <c r="CT125" s="279" t="str">
        <f t="shared" si="8"/>
        <v>+++++++++++++++++++++++++++++++</v>
      </c>
      <c r="CU125" s="291" t="s">
        <v>1797</v>
      </c>
    </row>
    <row r="126" spans="1:184" ht="12.75" customHeight="1">
      <c r="B126" s="280" t="s">
        <v>1199</v>
      </c>
      <c r="C126" s="271" t="str">
        <f>IF(TABLERO!E126=0,"",TABLERO!E126)</f>
        <v>TB</v>
      </c>
      <c r="D126" s="312"/>
      <c r="E126" s="312"/>
      <c r="F126" s="312"/>
      <c r="G126" s="312"/>
      <c r="H126" s="312"/>
      <c r="I126" s="312"/>
      <c r="J126" s="312"/>
      <c r="K126" s="312"/>
      <c r="L126" s="312"/>
      <c r="M126" s="312"/>
      <c r="N126" s="312"/>
      <c r="O126" s="312"/>
      <c r="P126" s="312"/>
      <c r="Q126" s="312"/>
      <c r="R126" s="312"/>
      <c r="S126" s="312"/>
      <c r="T126" s="312"/>
      <c r="U126" s="312"/>
      <c r="V126" s="312"/>
      <c r="W126" s="309"/>
      <c r="X126" s="309"/>
      <c r="Y126" s="309"/>
      <c r="Z126" s="309"/>
      <c r="AA126" s="309"/>
      <c r="AB126" s="309"/>
      <c r="AC126" s="309"/>
      <c r="AD126" s="309"/>
      <c r="AE126" s="309"/>
      <c r="AF126" s="309"/>
      <c r="AG126" s="309"/>
      <c r="AH126" s="277" t="str">
        <f>IF(TABLERO!BB126=0,"",FIXED(IF(TABLERO!$F$17&lt;&gt;"KVA",TABLERO!BB126*1000,TABLERO!BB126*1000/TABLERO!DA126),2))</f>
        <v/>
      </c>
      <c r="AI126" s="277" t="str">
        <f>IF(TABLERO!BB126=0,"",FIXED(IF(TABLERO!$F$17&lt;&gt;"KVA",TABLERO!BT126*1000,TABLERO!BT126*1000/TABLERO!DA126),2))</f>
        <v/>
      </c>
      <c r="AJ126" s="272" t="str">
        <f>IF(OR(TABLERO!BU126="",TABLERO!BU126=0),"",FIXED(TABLERO!BU126,2))</f>
        <v/>
      </c>
      <c r="AK126" s="312" t="str">
        <f>IF(TABLERO!BB126=0,"",TABLERO!F126)</f>
        <v/>
      </c>
      <c r="AL126" s="312" t="str">
        <f>IF(TABLERO!BB126=0,"",TABLERO!G126)</f>
        <v/>
      </c>
      <c r="AM126" s="312" t="str">
        <f>IF(TABLERO!BB126=0,"",TABLERO!BV126)</f>
        <v/>
      </c>
      <c r="AN126" s="272" t="str">
        <f>IF(TABLERO!BB126=0,"",TABLERO!K126)</f>
        <v/>
      </c>
      <c r="AO126" s="312" t="str">
        <f>IF(TABLERO!BB126=0,"",TABLERO!J126)</f>
        <v/>
      </c>
      <c r="AP126" s="272" t="str">
        <f>IF(TABLERO!BB126=0,"",TABLERO!CT126)</f>
        <v/>
      </c>
      <c r="AQ126" s="272" t="str">
        <f>IF(TABLERO!BB126=0,"",TABLERO!CS126)</f>
        <v/>
      </c>
      <c r="AR126" s="272" t="str">
        <f>IF(TABLERO!BB126=0,"",FIXED(TABLERO!CY126,2))</f>
        <v/>
      </c>
      <c r="AS126" s="312" t="str">
        <f>IF(TABLERO!BB126=0,"",TABLERO!N126)</f>
        <v/>
      </c>
      <c r="AT126" s="271" t="str">
        <f>IF(TABLERO!BB126=0,"",TABLERO!BX126&amp;" "&amp;TABLERO!ED126&amp;", "&amp;TABLERO!I126)</f>
        <v/>
      </c>
      <c r="AU126" s="271"/>
      <c r="AV126" s="272" t="str">
        <f>IF(TABLERO!BB126=0,"",FIXED(TABLERO!BZ126,2))</f>
        <v/>
      </c>
      <c r="AW126" s="312" t="str">
        <f>IF(TABLERO!BB126=0,"",TABLERO!CA126)</f>
        <v/>
      </c>
      <c r="AX126" s="271" t="str">
        <f>IF(TABLERO!BB126=0,"",TABLERO!CB126)</f>
        <v/>
      </c>
      <c r="AY126" s="272" t="str">
        <f>IF(TABLERO!BB126=0,"",FIXED(TABLERO!DL126,2))</f>
        <v/>
      </c>
      <c r="AZ126" s="271" t="str">
        <f>IF(TABLERO!BB126=0,"",TABLERO!F126&amp;"P-"&amp;TABLERO!BW126&amp;"A")</f>
        <v/>
      </c>
      <c r="BA126" s="272" t="str">
        <f>IF(TABLERO!$BB126=0,"",IF(TABLERO!CI126="-","     -     ",FIXED(IF(TABLERO!$F$17&lt;&gt;"KVA",TABLERO!CI126,TABLERO!CI126/TABLERO!$F$14),2)))</f>
        <v/>
      </c>
      <c r="BB126" s="272" t="str">
        <f>IF(TABLERO!$BB126=0,"",IF(TABLERO!CJ126="-","     -     ",FIXED(IF(TABLERO!$F$17&lt;&gt;"KVA",TABLERO!CJ126,TABLERO!CJ126/TABLERO!$F$14),2)))</f>
        <v/>
      </c>
      <c r="BC126" s="272" t="str">
        <f>IF(TABLERO!$BB126=0,"",IF(TABLERO!CK126="-","     -     ",FIXED(IF(TABLERO!$F$17&lt;&gt;"KVA",TABLERO!CK126,TABLERO!CK126/TABLERO!$F$14),2)))</f>
        <v/>
      </c>
      <c r="BL126" s="289" t="str">
        <f>IF(OR(TABLERO!$M$18= "UPS", TABLERO!$M$18="REG"),FIXED(IF(TABLERO!$F$17&lt;&gt;"KVA",TABLERO!BB126*1000,TABLERO!BB126*1000/TABLERO!DA126),2)&amp;"+"&amp;FIXED(IF(TABLERO!$F$17&lt;&gt;"KVA",TABLERO!BT126*1000,TABLERO!BT126*1000/TABLERO!DA126),2)&amp;"+"&amp;IF(OR(TABLERO!BU126="",TABLERO!BU126=0),"",FIXED(TABLERO!BU126,2))&amp;"+"&amp;TABLERO!F126&amp;"+"&amp;TABLERO!G126&amp;"+"&amp;TABLERO!BV126&amp;"+"&amp;TABLERO!K126&amp;"+"&amp;TABLERO!J126&amp;"+"&amp;TABLERO!CT126&amp;"+"&amp;TABLERO!CS126&amp;"+"&amp;FIXED(TABLERO!CY126,2)&amp;"+"&amp;TABLERO!N126&amp;"+"&amp;IF(TABLERO!BB126=0,"",TABLERO!BX126&amp;" "&amp;TABLERO!ED126&amp;", "&amp;TABLERO!I126)&amp;"+"&amp;FIXED(TABLERO!BZ126,2)&amp;"+"&amp;TABLERO!CA126&amp;"+"&amp;TABLERO!CB126&amp;"+"&amp;FIXED(TABLERO!DL126,2)&amp;"+"&amp;TABLERO!F126&amp;"P-"&amp;TABLERO!BW126&amp;"A"&amp;"+"&amp;IF(TABLERO!CI126="-","     -     ",FIXED(IF(TABLERO!$F$17&lt;&gt;"KVA",TABLERO!CI126,TABLERO!CI126/TABLERO!$F$14),2))&amp;"+"&amp;IF(TABLERO!CJ126="-","     -     ",FIXED(IF(TABLERO!$F$17&lt;&gt;"KVA",TABLERO!CJ126,TABLERO!CJ126/TABLERO!$F$14),2))&amp;"+"&amp;IF(TABLERO!CK126="-","     -     ",FIXED(IF(TABLERO!$F$17&lt;&gt;"KVA",TABLERO!CK126,TABLERO!CK126/TABLERO!$F$14),2))&amp;"++++++++++1","++++++++++++++++++++++++++++++")</f>
        <v>++++++++++++++++++++++++++++++</v>
      </c>
      <c r="BM126" s="279" t="str">
        <f t="shared" si="9"/>
        <v>UPS+TB</v>
      </c>
      <c r="BN126" s="304" t="str">
        <f t="shared" si="13"/>
        <v/>
      </c>
      <c r="BO126" s="304" t="str">
        <f t="shared" si="13"/>
        <v/>
      </c>
      <c r="BP126" s="304" t="str">
        <f t="shared" si="13"/>
        <v/>
      </c>
      <c r="BQ126" s="304" t="str">
        <f t="shared" si="13"/>
        <v/>
      </c>
      <c r="BR126" s="304" t="str">
        <f t="shared" si="13"/>
        <v/>
      </c>
      <c r="BS126" s="304" t="str">
        <f t="shared" si="13"/>
        <v/>
      </c>
      <c r="BT126" s="304" t="str">
        <f t="shared" si="13"/>
        <v/>
      </c>
      <c r="BU126" s="304" t="str">
        <f t="shared" si="13"/>
        <v/>
      </c>
      <c r="BV126" s="304" t="str">
        <f t="shared" si="13"/>
        <v/>
      </c>
      <c r="BW126" s="304" t="str">
        <f t="shared" si="13"/>
        <v/>
      </c>
      <c r="BX126" s="304" t="str">
        <f t="shared" si="13"/>
        <v/>
      </c>
      <c r="BY126" s="304" t="str">
        <f t="shared" si="13"/>
        <v/>
      </c>
      <c r="BZ126" s="304" t="str">
        <f t="shared" si="13"/>
        <v/>
      </c>
      <c r="CA126" s="304" t="str">
        <f t="shared" si="13"/>
        <v/>
      </c>
      <c r="CB126" s="304" t="str">
        <f t="shared" si="13"/>
        <v/>
      </c>
      <c r="CC126" s="304" t="str">
        <f t="shared" si="13"/>
        <v/>
      </c>
      <c r="CD126" s="304" t="str">
        <f t="shared" si="14"/>
        <v/>
      </c>
      <c r="CE126" s="304" t="str">
        <f t="shared" si="14"/>
        <v/>
      </c>
      <c r="CF126" s="304" t="str">
        <f t="shared" si="14"/>
        <v/>
      </c>
      <c r="CG126" s="304" t="str">
        <f t="shared" si="14"/>
        <v/>
      </c>
      <c r="CH126" s="304" t="str">
        <f t="shared" si="14"/>
        <v/>
      </c>
      <c r="CI126" s="304" t="str">
        <f t="shared" si="14"/>
        <v/>
      </c>
      <c r="CJ126" s="304" t="str">
        <f t="shared" si="14"/>
        <v/>
      </c>
      <c r="CK126" s="304" t="str">
        <f t="shared" si="14"/>
        <v/>
      </c>
      <c r="CL126" s="304" t="str">
        <f t="shared" si="14"/>
        <v/>
      </c>
      <c r="CM126" s="304" t="str">
        <f t="shared" si="14"/>
        <v/>
      </c>
      <c r="CN126" s="304" t="str">
        <f t="shared" si="14"/>
        <v/>
      </c>
      <c r="CO126" s="304" t="str">
        <f t="shared" si="14"/>
        <v/>
      </c>
      <c r="CP126" s="304" t="str">
        <f t="shared" si="14"/>
        <v/>
      </c>
      <c r="CQ126" s="304" t="str">
        <f t="shared" si="14"/>
        <v/>
      </c>
      <c r="CR126" s="305" t="str">
        <f t="shared" si="16"/>
        <v>UPS+TB</v>
      </c>
      <c r="CS126" s="279">
        <f t="shared" si="5"/>
        <v>30</v>
      </c>
      <c r="CT126" s="279" t="str">
        <f t="shared" si="8"/>
        <v>+++++++++++++++++++++++++++++++</v>
      </c>
      <c r="CU126" s="291" t="s">
        <v>1797</v>
      </c>
    </row>
    <row r="127" spans="1:184" ht="12.75" customHeight="1">
      <c r="B127" s="280"/>
      <c r="C127" s="271"/>
      <c r="D127" s="312"/>
      <c r="E127" s="312"/>
      <c r="F127" s="312"/>
      <c r="G127" s="312"/>
      <c r="H127" s="312"/>
      <c r="I127" s="312"/>
      <c r="J127" s="312"/>
      <c r="K127" s="312"/>
      <c r="L127" s="312"/>
      <c r="M127" s="312"/>
      <c r="N127" s="312"/>
      <c r="O127" s="312"/>
      <c r="P127" s="312"/>
      <c r="Q127" s="312"/>
      <c r="R127" s="312"/>
      <c r="S127" s="312"/>
      <c r="T127" s="312"/>
      <c r="U127" s="312"/>
      <c r="V127" s="312"/>
      <c r="W127" s="309"/>
      <c r="X127" s="309"/>
      <c r="Y127" s="309"/>
      <c r="Z127" s="309"/>
      <c r="AA127" s="309"/>
      <c r="AB127" s="309"/>
      <c r="AC127" s="309"/>
      <c r="AD127" s="309"/>
      <c r="AE127" s="309"/>
      <c r="AF127" s="309"/>
      <c r="AG127" s="309"/>
      <c r="AH127" s="277"/>
      <c r="AI127" s="277"/>
      <c r="AJ127" s="272"/>
      <c r="AK127" s="312"/>
      <c r="AL127" s="312"/>
      <c r="AM127" s="312"/>
      <c r="AN127" s="272"/>
      <c r="AO127" s="312"/>
      <c r="AP127" s="272"/>
      <c r="AQ127" s="272"/>
      <c r="AR127" s="272"/>
      <c r="AS127" s="312"/>
      <c r="AT127" s="310"/>
      <c r="AU127" s="311"/>
      <c r="AV127" s="272"/>
      <c r="AW127" s="312"/>
      <c r="AX127" s="271"/>
      <c r="AY127" s="272"/>
      <c r="AZ127" s="310"/>
      <c r="BA127" s="272"/>
      <c r="BB127" s="272"/>
      <c r="BC127" s="278"/>
      <c r="BL127" s="318" t="s">
        <v>1795</v>
      </c>
      <c r="BM127" s="279" t="str">
        <f t="shared" si="9"/>
        <v>+</v>
      </c>
      <c r="BN127" s="304" t="str">
        <f t="shared" si="13"/>
        <v/>
      </c>
      <c r="BO127" s="304" t="str">
        <f t="shared" si="13"/>
        <v/>
      </c>
      <c r="BP127" s="304" t="str">
        <f t="shared" si="13"/>
        <v/>
      </c>
      <c r="BQ127" s="304" t="str">
        <f t="shared" si="13"/>
        <v/>
      </c>
      <c r="BR127" s="304" t="str">
        <f t="shared" si="13"/>
        <v/>
      </c>
      <c r="BS127" s="304" t="str">
        <f t="shared" si="13"/>
        <v/>
      </c>
      <c r="BT127" s="304" t="str">
        <f t="shared" si="13"/>
        <v/>
      </c>
      <c r="BU127" s="304" t="str">
        <f t="shared" si="13"/>
        <v/>
      </c>
      <c r="BV127" s="304" t="str">
        <f t="shared" si="13"/>
        <v/>
      </c>
      <c r="BW127" s="304" t="str">
        <f t="shared" si="13"/>
        <v/>
      </c>
      <c r="BX127" s="304" t="str">
        <f t="shared" si="13"/>
        <v/>
      </c>
      <c r="BY127" s="304" t="str">
        <f t="shared" si="13"/>
        <v/>
      </c>
      <c r="BZ127" s="304" t="str">
        <f t="shared" si="13"/>
        <v/>
      </c>
      <c r="CA127" s="304" t="str">
        <f t="shared" si="13"/>
        <v/>
      </c>
      <c r="CB127" s="304" t="str">
        <f t="shared" si="13"/>
        <v/>
      </c>
      <c r="CC127" s="304" t="str">
        <f t="shared" si="13"/>
        <v/>
      </c>
      <c r="CD127" s="304" t="str">
        <f t="shared" si="14"/>
        <v/>
      </c>
      <c r="CE127" s="304" t="str">
        <f t="shared" si="14"/>
        <v/>
      </c>
      <c r="CF127" s="304" t="str">
        <f t="shared" si="14"/>
        <v/>
      </c>
      <c r="CG127" s="304" t="str">
        <f t="shared" si="14"/>
        <v/>
      </c>
      <c r="CH127" s="304" t="str">
        <f t="shared" si="14"/>
        <v/>
      </c>
      <c r="CI127" s="304" t="str">
        <f t="shared" si="14"/>
        <v/>
      </c>
      <c r="CJ127" s="304" t="str">
        <f t="shared" si="14"/>
        <v/>
      </c>
      <c r="CK127" s="304" t="str">
        <f t="shared" si="14"/>
        <v/>
      </c>
      <c r="CL127" s="304" t="str">
        <f t="shared" si="14"/>
        <v/>
      </c>
      <c r="CM127" s="304" t="str">
        <f t="shared" si="14"/>
        <v/>
      </c>
      <c r="CN127" s="304" t="str">
        <f t="shared" si="14"/>
        <v/>
      </c>
      <c r="CO127" s="304" t="str">
        <f t="shared" si="14"/>
        <v/>
      </c>
      <c r="CP127" s="304" t="str">
        <f t="shared" si="14"/>
        <v/>
      </c>
      <c r="CQ127" s="304" t="str">
        <f t="shared" si="14"/>
        <v/>
      </c>
      <c r="CR127" s="305" t="str">
        <f t="shared" si="16"/>
        <v>+</v>
      </c>
      <c r="CS127" s="279">
        <f t="shared" si="5"/>
        <v>30</v>
      </c>
      <c r="CT127" s="279" t="str">
        <f t="shared" si="8"/>
        <v>+++++++++++++++++++++++++++++++</v>
      </c>
      <c r="CU127" s="291" t="s">
        <v>1797</v>
      </c>
    </row>
    <row r="128" spans="1:184" ht="12.75" customHeight="1">
      <c r="B128" s="280"/>
      <c r="C128" s="271" t="str">
        <f>IF(TABLERO!E128=0,"",TABLERO!E128)</f>
        <v>TB</v>
      </c>
      <c r="D128" s="312"/>
      <c r="E128" s="312"/>
      <c r="F128" s="312"/>
      <c r="G128" s="312"/>
      <c r="H128" s="312"/>
      <c r="I128" s="312"/>
      <c r="J128" s="312"/>
      <c r="K128" s="312"/>
      <c r="L128" s="312"/>
      <c r="M128" s="312"/>
      <c r="N128" s="312"/>
      <c r="O128" s="312"/>
      <c r="P128" s="312"/>
      <c r="Q128" s="312"/>
      <c r="R128" s="312"/>
      <c r="S128" s="312"/>
      <c r="T128" s="312"/>
      <c r="U128" s="312"/>
      <c r="V128" s="312"/>
      <c r="W128" s="309"/>
      <c r="X128" s="309"/>
      <c r="Y128" s="309"/>
      <c r="Z128" s="309"/>
      <c r="AA128" s="309"/>
      <c r="AB128" s="309"/>
      <c r="AC128" s="309"/>
      <c r="AD128" s="309"/>
      <c r="AE128" s="309"/>
      <c r="AF128" s="309"/>
      <c r="AG128" s="309"/>
      <c r="AH128" s="277" t="str">
        <f>IF(TABLERO!BB128=0,"",FIXED(IF(TABLERO!$F$17&lt;&gt;"KVA",TABLERO!BB128*1000,TABLERO!BB128*1000/TABLERO!DA128),2))</f>
        <v/>
      </c>
      <c r="AI128" s="277" t="str">
        <f>IF(TABLERO!BB128=0,"",FIXED(IF(TABLERO!$F$17&lt;&gt;"KVA",TABLERO!BT128*1000,TABLERO!BT128*1000/TABLERO!DA128),2))</f>
        <v/>
      </c>
      <c r="AJ128" s="272" t="str">
        <f>IF(OR(TABLERO!BU128="",TABLERO!BU128=0),"",FIXED(TABLERO!BU128,2))</f>
        <v/>
      </c>
      <c r="AK128" s="312" t="str">
        <f>IF(TABLERO!BB128=0,"",TABLERO!F128)</f>
        <v/>
      </c>
      <c r="AL128" s="312" t="str">
        <f>IF(TABLERO!BB128=0,"",TABLERO!G128)</f>
        <v/>
      </c>
      <c r="AM128" s="312" t="str">
        <f>IF(TABLERO!BB128=0,"",TABLERO!BV128)</f>
        <v/>
      </c>
      <c r="AN128" s="272" t="str">
        <f>IF(TABLERO!BB128=0,"",TABLERO!K128)</f>
        <v/>
      </c>
      <c r="AO128" s="312" t="str">
        <f>IF(TABLERO!BB128=0,"",TABLERO!J128)</f>
        <v/>
      </c>
      <c r="AP128" s="272" t="str">
        <f>IF(TABLERO!BB128=0,"",TABLERO!CT128)</f>
        <v/>
      </c>
      <c r="AQ128" s="272" t="str">
        <f>IF(TABLERO!BB128=0,"",TABLERO!CS128)</f>
        <v/>
      </c>
      <c r="AR128" s="272" t="str">
        <f>IF(TABLERO!BB128=0,"",FIXED(TABLERO!CY128,2))</f>
        <v/>
      </c>
      <c r="AS128" s="312" t="str">
        <f>IF(TABLERO!BB128=0,"",TABLERO!N128)</f>
        <v/>
      </c>
      <c r="AT128" s="271" t="str">
        <f>IF(TABLERO!BB128=0,"",TABLERO!BX128&amp;" "&amp;TABLERO!ED128&amp;", "&amp;TABLERO!I128)</f>
        <v/>
      </c>
      <c r="AU128" s="271"/>
      <c r="AV128" s="272" t="str">
        <f>IF(TABLERO!BB128=0,"",FIXED(TABLERO!BZ128,2))</f>
        <v/>
      </c>
      <c r="AW128" s="312" t="str">
        <f>IF(TABLERO!BB128=0,"",TABLERO!CA128)</f>
        <v/>
      </c>
      <c r="AX128" s="271" t="str">
        <f>IF(TABLERO!BB128=0,"",TABLERO!CB128)</f>
        <v/>
      </c>
      <c r="AY128" s="272" t="str">
        <f>IF(TABLERO!BB128=0,"",FIXED(TABLERO!DL128,2))</f>
        <v/>
      </c>
      <c r="AZ128" s="271" t="str">
        <f>IF(TABLERO!BB128=0,"",TABLERO!F128&amp;"P-"&amp;TABLERO!BW128&amp;"A")</f>
        <v/>
      </c>
      <c r="BA128" s="272" t="str">
        <f>IF(TABLERO!$BB128=0,"",IF(TABLERO!CI128="-","     -     ",FIXED(IF(TABLERO!$F$17&lt;&gt;"KVA",TABLERO!CI128,TABLERO!CI128/TABLERO!$F$14),2)))</f>
        <v/>
      </c>
      <c r="BB128" s="272" t="str">
        <f>IF(TABLERO!$BB128=0,"",IF(TABLERO!CJ128="-","     -     ",FIXED(IF(TABLERO!$F$17&lt;&gt;"KVA",TABLERO!CJ128,TABLERO!CJ128/TABLERO!$F$14),2)))</f>
        <v/>
      </c>
      <c r="BC128" s="272" t="str">
        <f>IF(TABLERO!$BB128=0,"",IF(TABLERO!CK128="-","     -     ",FIXED(IF(TABLERO!$F$17&lt;&gt;"KVA",TABLERO!CK128,TABLERO!CK128/TABLERO!$F$14),2)))</f>
        <v/>
      </c>
      <c r="BL128" s="318" t="s">
        <v>1832</v>
      </c>
      <c r="BM128" s="279" t="str">
        <f t="shared" si="9"/>
        <v>+TB</v>
      </c>
      <c r="BN128" s="304" t="str">
        <f t="shared" si="13"/>
        <v/>
      </c>
      <c r="BO128" s="304" t="str">
        <f t="shared" si="13"/>
        <v/>
      </c>
      <c r="BP128" s="304" t="str">
        <f t="shared" si="13"/>
        <v/>
      </c>
      <c r="BQ128" s="304" t="str">
        <f t="shared" si="13"/>
        <v/>
      </c>
      <c r="BR128" s="304" t="str">
        <f t="shared" si="13"/>
        <v/>
      </c>
      <c r="BS128" s="304" t="str">
        <f t="shared" si="13"/>
        <v/>
      </c>
      <c r="BT128" s="304" t="str">
        <f t="shared" si="13"/>
        <v/>
      </c>
      <c r="BU128" s="304" t="str">
        <f t="shared" si="13"/>
        <v/>
      </c>
      <c r="BV128" s="304" t="str">
        <f t="shared" si="13"/>
        <v/>
      </c>
      <c r="BW128" s="304" t="str">
        <f t="shared" si="13"/>
        <v/>
      </c>
      <c r="BX128" s="304" t="str">
        <f t="shared" si="13"/>
        <v/>
      </c>
      <c r="BY128" s="304" t="str">
        <f t="shared" si="13"/>
        <v/>
      </c>
      <c r="BZ128" s="304" t="str">
        <f t="shared" si="13"/>
        <v/>
      </c>
      <c r="CA128" s="304" t="str">
        <f t="shared" si="13"/>
        <v/>
      </c>
      <c r="CB128" s="304" t="str">
        <f t="shared" si="13"/>
        <v/>
      </c>
      <c r="CC128" s="304" t="str">
        <f t="shared" si="13"/>
        <v/>
      </c>
      <c r="CD128" s="304" t="str">
        <f t="shared" si="14"/>
        <v/>
      </c>
      <c r="CE128" s="304" t="str">
        <f t="shared" si="14"/>
        <v/>
      </c>
      <c r="CF128" s="304" t="str">
        <f t="shared" si="14"/>
        <v/>
      </c>
      <c r="CG128" s="304" t="str">
        <f t="shared" si="14"/>
        <v/>
      </c>
      <c r="CH128" s="304" t="str">
        <f t="shared" si="14"/>
        <v/>
      </c>
      <c r="CI128" s="304" t="str">
        <f t="shared" si="14"/>
        <v/>
      </c>
      <c r="CJ128" s="304" t="str">
        <f t="shared" si="14"/>
        <v/>
      </c>
      <c r="CK128" s="304" t="str">
        <f t="shared" si="14"/>
        <v/>
      </c>
      <c r="CL128" s="304" t="str">
        <f t="shared" si="14"/>
        <v/>
      </c>
      <c r="CM128" s="304" t="str">
        <f t="shared" si="14"/>
        <v/>
      </c>
      <c r="CN128" s="304" t="str">
        <f t="shared" si="14"/>
        <v/>
      </c>
      <c r="CO128" s="304" t="str">
        <f t="shared" si="14"/>
        <v/>
      </c>
      <c r="CP128" s="304" t="str">
        <f t="shared" si="14"/>
        <v/>
      </c>
      <c r="CQ128" s="304" t="str">
        <f t="shared" si="14"/>
        <v/>
      </c>
      <c r="CR128" s="305" t="str">
        <f t="shared" si="16"/>
        <v>+TB</v>
      </c>
      <c r="CS128" s="279">
        <f t="shared" si="5"/>
        <v>30</v>
      </c>
      <c r="CT128" s="279" t="str">
        <f t="shared" si="8"/>
        <v>+++++++++++++++++++++++++++++++</v>
      </c>
      <c r="CU128" s="291" t="s">
        <v>1797</v>
      </c>
    </row>
    <row r="129" spans="2:99">
      <c r="B129" s="280"/>
      <c r="C129" s="271" t="s">
        <v>1760</v>
      </c>
      <c r="D129" s="312" t="str">
        <f t="shared" ref="D129:AG130" si="17">D116</f>
        <v/>
      </c>
      <c r="E129" s="312" t="str">
        <f t="shared" si="17"/>
        <v/>
      </c>
      <c r="F129" s="312" t="str">
        <f t="shared" si="17"/>
        <v/>
      </c>
      <c r="G129" s="312" t="str">
        <f t="shared" si="17"/>
        <v/>
      </c>
      <c r="H129" s="312" t="str">
        <f t="shared" si="17"/>
        <v/>
      </c>
      <c r="I129" s="312" t="str">
        <f t="shared" si="17"/>
        <v/>
      </c>
      <c r="J129" s="312" t="str">
        <f t="shared" si="17"/>
        <v/>
      </c>
      <c r="K129" s="312" t="str">
        <f t="shared" si="17"/>
        <v/>
      </c>
      <c r="L129" s="312" t="str">
        <f t="shared" si="17"/>
        <v/>
      </c>
      <c r="M129" s="312" t="str">
        <f t="shared" si="17"/>
        <v/>
      </c>
      <c r="N129" s="312" t="str">
        <f t="shared" si="17"/>
        <v/>
      </c>
      <c r="O129" s="312" t="str">
        <f t="shared" si="17"/>
        <v/>
      </c>
      <c r="P129" s="312" t="str">
        <f t="shared" si="17"/>
        <v/>
      </c>
      <c r="Q129" s="312" t="str">
        <f t="shared" si="17"/>
        <v/>
      </c>
      <c r="R129" s="312" t="str">
        <f t="shared" si="17"/>
        <v/>
      </c>
      <c r="S129" s="312" t="str">
        <f t="shared" si="17"/>
        <v/>
      </c>
      <c r="T129" s="312" t="str">
        <f t="shared" si="17"/>
        <v/>
      </c>
      <c r="U129" s="312" t="str">
        <f t="shared" si="17"/>
        <v/>
      </c>
      <c r="V129" s="312" t="str">
        <f t="shared" si="17"/>
        <v/>
      </c>
      <c r="W129" s="312" t="str">
        <f t="shared" si="17"/>
        <v/>
      </c>
      <c r="X129" s="312" t="str">
        <f t="shared" si="17"/>
        <v/>
      </c>
      <c r="Y129" s="312" t="str">
        <f t="shared" si="17"/>
        <v/>
      </c>
      <c r="Z129" s="312" t="str">
        <f t="shared" si="17"/>
        <v/>
      </c>
      <c r="AA129" s="312" t="str">
        <f t="shared" si="17"/>
        <v/>
      </c>
      <c r="AB129" s="312" t="str">
        <f t="shared" si="17"/>
        <v/>
      </c>
      <c r="AC129" s="312" t="str">
        <f t="shared" si="17"/>
        <v/>
      </c>
      <c r="AD129" s="312" t="str">
        <f t="shared" si="17"/>
        <v/>
      </c>
      <c r="AE129" s="312" t="str">
        <f t="shared" si="17"/>
        <v/>
      </c>
      <c r="AF129" s="312" t="str">
        <f t="shared" si="17"/>
        <v/>
      </c>
      <c r="AG129" s="312" t="str">
        <f t="shared" si="17"/>
        <v/>
      </c>
      <c r="AH129" s="277" t="str">
        <f>IF(TABLERO!$M$18="UPS",AH126,IF(TABLERO!$M$18="PE",CUADROACAD!AH122,IF(TABLERO!$M$18="TR",AH118,AH116)))</f>
        <v>0.00</v>
      </c>
      <c r="AI129" s="277" t="str">
        <f>IF(TABLERO!$M$18="UPS",AI126,IF(TABLERO!$M$18="PE",CUADROACAD!AI122,IF(TABLERO!$M$18="TR",AI118,AI116)))</f>
        <v>0.00</v>
      </c>
      <c r="AJ129" s="277" t="str">
        <f>IF(TABLERO!$M$18="UPS",AJ126,IF(TABLERO!$M$18="PE",CUADROACAD!AJ122,IF(TABLERO!$M$18="TR",AJ118,AJ116)))</f>
        <v/>
      </c>
      <c r="AK129" s="312">
        <f>IF(TABLERO!$M$18="UPS",AK126,IF(TABLERO!$M$18="PE",CUADROACAD!AK122,IF(TABLERO!$M$18="TR",AK118,AK116)))</f>
        <v>3</v>
      </c>
      <c r="AL129" s="312">
        <f>IF(TABLERO!$M$18="UPS",AL126,IF(TABLERO!$M$18="PE",CUADROACAD!AL122,IF(TABLERO!$M$18="TR",AL118,AL116)))</f>
        <v>4</v>
      </c>
      <c r="AM129" s="312">
        <f>IF(TABLERO!$M$18="UPS",AM126,IF(TABLERO!$M$18="PE",CUADROACAD!AM122,IF(TABLERO!$M$18="TR",AM118,AM116)))</f>
        <v>220</v>
      </c>
      <c r="AN129" s="277" t="str">
        <f>IF(TABLERO!$M$18="UPS",AN126,IF(TABLERO!$M$18="PE",CUADROACAD!AN122,IF(TABLERO!$M$18="TR",AN118,AN116)))</f>
        <v/>
      </c>
      <c r="AO129" s="312">
        <f>IF(TABLERO!$M$18="UPS",AO126,IF(TABLERO!$M$18="PE",CUADROACAD!AO122,IF(TABLERO!$M$18="TR",AO118,AO116)))</f>
        <v>4</v>
      </c>
      <c r="AP129" s="277" t="str">
        <f>IF(TABLERO!$M$18="UPS",AP126,IF(TABLERO!$M$18="PE",CUADROACAD!AP122,IF(TABLERO!$M$18="TR",AP118,AP116)))</f>
        <v/>
      </c>
      <c r="AQ129" s="277" t="str">
        <f>IF(TABLERO!$M$18="UPS",AQ126,IF(TABLERO!$M$18="PE",CUADROACAD!AQ122,IF(TABLERO!$M$18="TR",AQ118,AQ116)))</f>
        <v/>
      </c>
      <c r="AR129" s="277" t="str">
        <f>IF(TABLERO!$M$18="UPS",AR126,IF(TABLERO!$M$18="PE",CUADROACAD!AR122,IF(TABLERO!$M$18="TR",AR118,AR116)))</f>
        <v>0.00</v>
      </c>
      <c r="AS129" s="312">
        <f>IF(TABLERO!$M$18="UPS",AS126,IF(TABLERO!$M$18="PE",CUADROACAD!AS122,IF(TABLERO!$M$18="TR",AS118,AS116)))</f>
        <v>1</v>
      </c>
      <c r="AT129" s="1161" t="str">
        <f>IF(TABLERO!$M$18="UPS",AT126,IF(TABLERO!$M$18="PE",CUADROACAD!AT122,IF(TABLERO!$M$18="TR",AT118,AT116)))</f>
        <v/>
      </c>
      <c r="AU129" s="1162"/>
      <c r="AV129" s="284" t="e">
        <f>IF(TABLERO!$M$18="UPS",AV126,IF(TABLERO!$M$18="PE",CUADROACAD!AV122,IF(TABLERO!$M$18="TR",AV118,AV116)))</f>
        <v>#VALUE!</v>
      </c>
      <c r="AW129" s="312" t="str">
        <f>IF(TABLERO!$M$18="UPS",AW126,IF(TABLERO!$M$18="PE",CUADROACAD!AW122,IF(TABLERO!$M$18="TR",AW118,AW116)))</f>
        <v/>
      </c>
      <c r="AX129" s="277" t="str">
        <f>IF(TABLERO!$M$18="UPS",AX126,IF(TABLERO!$M$18="PE",CUADROACAD!AX122,IF(TABLERO!$M$18="TR",AX118,AX116)))</f>
        <v/>
      </c>
      <c r="AY129" s="277" t="str">
        <f>IF(TABLERO!$M$18="UPS",AY126,IF(TABLERO!$M$18="PE",CUADROACAD!AY122,IF(TABLERO!$M$18="TR",AY118,AY116)))</f>
        <v>0.00</v>
      </c>
      <c r="AZ129" s="281" t="str">
        <f>IF(TABLERO!$M$18="UPS",AZ126,IF(TABLERO!$M$18="PE",CUADROACAD!AZ122,IF(TABLERO!$M$18="TR",AZ118,AZ116)))</f>
        <v/>
      </c>
      <c r="BA129" s="277" t="str">
        <f>IF(TABLERO!$M$18="UPS",BA126,IF(TABLERO!$M$18="PE",CUADROACAD!BA122,IF(TABLERO!$M$18="TR",BA118,BA116)))</f>
        <v>0.00</v>
      </c>
      <c r="BB129" s="277" t="str">
        <f>IF(TABLERO!$M$18="UPS",BB126,IF(TABLERO!$M$18="PE",CUADROACAD!BB122,IF(TABLERO!$M$18="TR",BB118,BB116)))</f>
        <v>0.00</v>
      </c>
      <c r="BC129" s="320" t="str">
        <f>IF(TABLERO!$M$18="UPS",BC126,IF(TABLERO!$M$18="PE",CUADROACAD!BC122,IF(TABLERO!$M$18="TR",BC118,BC116)))</f>
        <v>0.00</v>
      </c>
      <c r="BK129" s="279" t="s">
        <v>1793</v>
      </c>
      <c r="BL129" s="289" t="s">
        <v>1832</v>
      </c>
      <c r="BM129" s="279" t="str">
        <f t="shared" si="9"/>
        <v>+TOTAL DE PIEZAS</v>
      </c>
      <c r="BN129" s="304" t="str">
        <f t="shared" si="13"/>
        <v/>
      </c>
      <c r="BO129" s="304" t="str">
        <f t="shared" si="13"/>
        <v/>
      </c>
      <c r="BP129" s="304" t="str">
        <f t="shared" si="13"/>
        <v/>
      </c>
      <c r="BQ129" s="304" t="str">
        <f t="shared" si="13"/>
        <v/>
      </c>
      <c r="BR129" s="304" t="str">
        <f t="shared" si="13"/>
        <v/>
      </c>
      <c r="BS129" s="304" t="str">
        <f t="shared" si="13"/>
        <v/>
      </c>
      <c r="BT129" s="304" t="str">
        <f t="shared" si="13"/>
        <v/>
      </c>
      <c r="BU129" s="304" t="str">
        <f t="shared" si="13"/>
        <v/>
      </c>
      <c r="BV129" s="304" t="str">
        <f t="shared" si="13"/>
        <v/>
      </c>
      <c r="BW129" s="304" t="str">
        <f t="shared" si="13"/>
        <v/>
      </c>
      <c r="BX129" s="304" t="str">
        <f t="shared" si="13"/>
        <v/>
      </c>
      <c r="BY129" s="304" t="str">
        <f t="shared" si="13"/>
        <v/>
      </c>
      <c r="BZ129" s="304" t="str">
        <f t="shared" si="13"/>
        <v/>
      </c>
      <c r="CA129" s="304" t="str">
        <f t="shared" si="13"/>
        <v/>
      </c>
      <c r="CB129" s="304" t="str">
        <f t="shared" si="13"/>
        <v/>
      </c>
      <c r="CC129" s="304" t="str">
        <f t="shared" si="13"/>
        <v/>
      </c>
      <c r="CD129" s="304" t="str">
        <f t="shared" si="14"/>
        <v/>
      </c>
      <c r="CE129" s="304" t="str">
        <f t="shared" si="14"/>
        <v/>
      </c>
      <c r="CF129" s="304" t="str">
        <f t="shared" si="14"/>
        <v/>
      </c>
      <c r="CG129" s="304" t="str">
        <f t="shared" si="14"/>
        <v/>
      </c>
      <c r="CH129" s="304" t="str">
        <f t="shared" si="14"/>
        <v/>
      </c>
      <c r="CI129" s="304" t="str">
        <f t="shared" si="14"/>
        <v/>
      </c>
      <c r="CJ129" s="304" t="str">
        <f t="shared" si="14"/>
        <v/>
      </c>
      <c r="CK129" s="304" t="str">
        <f t="shared" si="14"/>
        <v/>
      </c>
      <c r="CL129" s="304" t="str">
        <f t="shared" si="14"/>
        <v/>
      </c>
      <c r="CM129" s="304" t="str">
        <f t="shared" si="14"/>
        <v/>
      </c>
      <c r="CN129" s="304" t="str">
        <f t="shared" si="14"/>
        <v/>
      </c>
      <c r="CO129" s="304" t="str">
        <f t="shared" si="14"/>
        <v/>
      </c>
      <c r="CP129" s="304" t="str">
        <f t="shared" si="14"/>
        <v/>
      </c>
      <c r="CQ129" s="304" t="str">
        <f t="shared" si="14"/>
        <v/>
      </c>
      <c r="CR129" s="305" t="str">
        <f t="shared" si="16"/>
        <v>+TOTAL DE PIEZAS</v>
      </c>
      <c r="CS129" s="279">
        <f t="shared" si="5"/>
        <v>30</v>
      </c>
      <c r="CT129" s="279" t="str">
        <f t="shared" si="8"/>
        <v>+++++++++++++++++++++++++++++++</v>
      </c>
      <c r="CU129" s="291" t="str">
        <f>CR129&amp;CT129&amp;"1"</f>
        <v>+TOTAL DE PIEZAS+++++++++++++++++++++++++++++++1</v>
      </c>
    </row>
    <row r="130" spans="2:99" ht="13.8" thickBot="1">
      <c r="B130" s="285"/>
      <c r="C130" s="286" t="s">
        <v>1761</v>
      </c>
      <c r="D130" s="287" t="str">
        <f t="shared" si="17"/>
        <v/>
      </c>
      <c r="E130" s="287" t="str">
        <f t="shared" si="17"/>
        <v/>
      </c>
      <c r="F130" s="287" t="str">
        <f t="shared" si="17"/>
        <v/>
      </c>
      <c r="G130" s="287" t="str">
        <f t="shared" si="17"/>
        <v/>
      </c>
      <c r="H130" s="287" t="str">
        <f t="shared" si="17"/>
        <v/>
      </c>
      <c r="I130" s="287" t="str">
        <f t="shared" si="17"/>
        <v/>
      </c>
      <c r="J130" s="287" t="str">
        <f t="shared" si="17"/>
        <v/>
      </c>
      <c r="K130" s="287" t="str">
        <f t="shared" si="17"/>
        <v/>
      </c>
      <c r="L130" s="287" t="str">
        <f t="shared" si="17"/>
        <v/>
      </c>
      <c r="M130" s="287" t="str">
        <f t="shared" si="17"/>
        <v/>
      </c>
      <c r="N130" s="287" t="str">
        <f t="shared" si="17"/>
        <v/>
      </c>
      <c r="O130" s="287" t="str">
        <f t="shared" si="17"/>
        <v/>
      </c>
      <c r="P130" s="287" t="str">
        <f t="shared" si="17"/>
        <v/>
      </c>
      <c r="Q130" s="287" t="str">
        <f t="shared" si="17"/>
        <v/>
      </c>
      <c r="R130" s="287" t="str">
        <f t="shared" si="17"/>
        <v/>
      </c>
      <c r="S130" s="287" t="str">
        <f t="shared" si="17"/>
        <v/>
      </c>
      <c r="T130" s="287" t="str">
        <f t="shared" si="17"/>
        <v/>
      </c>
      <c r="U130" s="287" t="str">
        <f t="shared" si="17"/>
        <v/>
      </c>
      <c r="V130" s="287" t="str">
        <f t="shared" si="17"/>
        <v/>
      </c>
      <c r="W130" s="287" t="str">
        <f t="shared" si="17"/>
        <v/>
      </c>
      <c r="X130" s="287" t="str">
        <f t="shared" si="17"/>
        <v/>
      </c>
      <c r="Y130" s="287" t="str">
        <f t="shared" si="17"/>
        <v/>
      </c>
      <c r="Z130" s="287" t="str">
        <f t="shared" si="17"/>
        <v/>
      </c>
      <c r="AA130" s="287" t="str">
        <f t="shared" si="17"/>
        <v/>
      </c>
      <c r="AB130" s="287" t="str">
        <f t="shared" si="17"/>
        <v/>
      </c>
      <c r="AC130" s="287" t="str">
        <f t="shared" si="17"/>
        <v/>
      </c>
      <c r="AD130" s="287" t="str">
        <f t="shared" si="17"/>
        <v/>
      </c>
      <c r="AE130" s="287" t="str">
        <f t="shared" si="17"/>
        <v/>
      </c>
      <c r="AF130" s="287" t="str">
        <f t="shared" si="17"/>
        <v/>
      </c>
      <c r="AG130" s="287" t="str">
        <f t="shared" si="17"/>
        <v/>
      </c>
      <c r="AH130" s="321"/>
      <c r="AI130" s="322"/>
      <c r="AJ130" s="322"/>
      <c r="AK130" s="323"/>
      <c r="AL130" s="323"/>
      <c r="AM130" s="323"/>
      <c r="AN130" s="322"/>
      <c r="AO130" s="323"/>
      <c r="AP130" s="322"/>
      <c r="AQ130" s="322"/>
      <c r="AR130" s="322"/>
      <c r="AS130" s="323"/>
      <c r="AT130" s="1163"/>
      <c r="AU130" s="1163"/>
      <c r="AV130" s="322"/>
      <c r="AW130" s="323"/>
      <c r="AX130" s="322"/>
      <c r="AY130" s="322"/>
      <c r="AZ130" s="288"/>
      <c r="BA130" s="322"/>
      <c r="BB130" s="322"/>
      <c r="BC130" s="324"/>
      <c r="BK130" s="279" t="s">
        <v>1793</v>
      </c>
      <c r="BL130" s="289" t="str">
        <f>AH130&amp;"+"&amp;AI130&amp;"+"&amp;AJ130&amp;"+"&amp;AK130&amp;"+"&amp;AL130&amp;"+"&amp;AM130&amp;"+"&amp;AN130&amp;"+"&amp;AO130&amp;"+"&amp;AP130&amp;"+"&amp;AQ130&amp;"+"&amp;AR130&amp;"+"&amp;AS130&amp;"+"&amp;AT130&amp;"+"&amp;AV130&amp;"+"&amp;AW130&amp;"+"&amp;AX130&amp;"+"&amp;AY130&amp;"+"&amp;AZ130&amp;"+"&amp;BA130&amp;"+"&amp;BB130&amp;"+"&amp;BC130&amp;"++++++++++FINAL"</f>
        <v>++++++++++++++++++++++++++++++FINAL</v>
      </c>
      <c r="BM130" s="279" t="str">
        <f t="shared" si="9"/>
        <v>+TOTAL DE CARGA</v>
      </c>
      <c r="BN130" s="304" t="str">
        <f t="shared" si="13"/>
        <v/>
      </c>
      <c r="BO130" s="304" t="str">
        <f t="shared" si="13"/>
        <v/>
      </c>
      <c r="BP130" s="304" t="str">
        <f t="shared" si="13"/>
        <v/>
      </c>
      <c r="BQ130" s="304" t="str">
        <f t="shared" si="13"/>
        <v/>
      </c>
      <c r="BR130" s="304" t="str">
        <f t="shared" si="13"/>
        <v/>
      </c>
      <c r="BS130" s="304" t="str">
        <f t="shared" si="13"/>
        <v/>
      </c>
      <c r="BT130" s="304" t="str">
        <f t="shared" si="13"/>
        <v/>
      </c>
      <c r="BU130" s="304" t="str">
        <f t="shared" si="13"/>
        <v/>
      </c>
      <c r="BV130" s="304" t="str">
        <f t="shared" si="13"/>
        <v/>
      </c>
      <c r="BW130" s="304" t="str">
        <f t="shared" si="13"/>
        <v/>
      </c>
      <c r="BX130" s="304" t="str">
        <f t="shared" si="13"/>
        <v/>
      </c>
      <c r="BY130" s="304" t="str">
        <f t="shared" si="13"/>
        <v/>
      </c>
      <c r="BZ130" s="304" t="str">
        <f t="shared" si="13"/>
        <v/>
      </c>
      <c r="CA130" s="304" t="str">
        <f t="shared" si="13"/>
        <v/>
      </c>
      <c r="CB130" s="304" t="str">
        <f t="shared" si="13"/>
        <v/>
      </c>
      <c r="CC130" s="304" t="str">
        <f t="shared" si="13"/>
        <v/>
      </c>
      <c r="CD130" s="304" t="str">
        <f t="shared" si="14"/>
        <v/>
      </c>
      <c r="CE130" s="304" t="str">
        <f t="shared" si="14"/>
        <v/>
      </c>
      <c r="CF130" s="304" t="str">
        <f t="shared" si="14"/>
        <v/>
      </c>
      <c r="CG130" s="304" t="str">
        <f t="shared" si="14"/>
        <v/>
      </c>
      <c r="CH130" s="304" t="str">
        <f t="shared" si="14"/>
        <v/>
      </c>
      <c r="CI130" s="304" t="str">
        <f t="shared" si="14"/>
        <v/>
      </c>
      <c r="CJ130" s="304" t="str">
        <f t="shared" si="14"/>
        <v/>
      </c>
      <c r="CK130" s="304" t="str">
        <f t="shared" si="14"/>
        <v/>
      </c>
      <c r="CL130" s="304" t="str">
        <f t="shared" si="14"/>
        <v/>
      </c>
      <c r="CM130" s="304" t="str">
        <f t="shared" si="14"/>
        <v/>
      </c>
      <c r="CN130" s="304" t="str">
        <f t="shared" si="14"/>
        <v/>
      </c>
      <c r="CO130" s="304" t="str">
        <f t="shared" si="14"/>
        <v/>
      </c>
      <c r="CP130" s="304" t="str">
        <f t="shared" si="14"/>
        <v/>
      </c>
      <c r="CQ130" s="304" t="str">
        <f t="shared" si="14"/>
        <v/>
      </c>
      <c r="CR130" s="305" t="str">
        <f t="shared" si="16"/>
        <v>+TOTAL DE CARGA</v>
      </c>
      <c r="CS130" s="279">
        <f t="shared" ref="CS130" si="18">COUNTIF(BM130:CQ130,"")</f>
        <v>30</v>
      </c>
      <c r="CT130" s="279" t="str">
        <f t="shared" si="8"/>
        <v>+++++++++++++++++++++++++++++++</v>
      </c>
      <c r="CU130" s="291" t="str">
        <f>CR130&amp;CT130&amp;"4"</f>
        <v>+TOTAL DE CARGA+++++++++++++++++++++++++++++++4</v>
      </c>
    </row>
    <row r="131" spans="2:99">
      <c r="AK131" s="304"/>
      <c r="AL131" s="304"/>
      <c r="AM131" s="304"/>
      <c r="AO131" s="304"/>
      <c r="AS131" s="304"/>
      <c r="AW131" s="325"/>
      <c r="BM131" s="279" t="str">
        <f t="shared" si="9"/>
        <v>+</v>
      </c>
      <c r="BN131" s="279" t="str">
        <f t="shared" si="13"/>
        <v/>
      </c>
      <c r="BO131" s="279" t="str">
        <f t="shared" si="13"/>
        <v/>
      </c>
      <c r="BP131" s="279" t="str">
        <f t="shared" si="13"/>
        <v/>
      </c>
      <c r="BQ131" s="279" t="str">
        <f t="shared" si="13"/>
        <v/>
      </c>
      <c r="BR131" s="279" t="str">
        <f t="shared" si="13"/>
        <v/>
      </c>
      <c r="BS131" s="279" t="str">
        <f t="shared" si="13"/>
        <v/>
      </c>
      <c r="BT131" s="279" t="str">
        <f t="shared" si="13"/>
        <v/>
      </c>
      <c r="BU131" s="279" t="str">
        <f t="shared" si="13"/>
        <v/>
      </c>
      <c r="BV131" s="279" t="str">
        <f t="shared" si="13"/>
        <v/>
      </c>
      <c r="BW131" s="279" t="str">
        <f t="shared" si="13"/>
        <v/>
      </c>
      <c r="BX131" s="279" t="str">
        <f t="shared" si="13"/>
        <v/>
      </c>
      <c r="BY131" s="279" t="str">
        <f t="shared" si="13"/>
        <v/>
      </c>
      <c r="BZ131" s="279" t="str">
        <f t="shared" si="13"/>
        <v/>
      </c>
      <c r="CA131" s="279" t="str">
        <f t="shared" si="13"/>
        <v/>
      </c>
      <c r="CB131" s="279" t="str">
        <f t="shared" si="13"/>
        <v/>
      </c>
      <c r="CC131" s="279" t="str">
        <f t="shared" ref="CC131:CH131" si="19">IF(S$129="","","+"&amp;S131)</f>
        <v/>
      </c>
      <c r="CD131" s="279" t="str">
        <f t="shared" si="19"/>
        <v/>
      </c>
      <c r="CE131" s="279" t="str">
        <f t="shared" si="19"/>
        <v/>
      </c>
      <c r="CF131" s="279" t="str">
        <f t="shared" si="19"/>
        <v/>
      </c>
      <c r="CG131" s="279" t="str">
        <f t="shared" si="19"/>
        <v/>
      </c>
      <c r="CH131" s="279" t="str">
        <f t="shared" si="19"/>
        <v/>
      </c>
      <c r="CI131" s="279" t="str">
        <f t="shared" si="14"/>
        <v/>
      </c>
      <c r="CJ131" s="279" t="str">
        <f t="shared" si="14"/>
        <v/>
      </c>
      <c r="CK131" s="279" t="str">
        <f t="shared" si="14"/>
        <v/>
      </c>
      <c r="CL131" s="279" t="str">
        <f t="shared" si="14"/>
        <v/>
      </c>
      <c r="CM131" s="279" t="str">
        <f t="shared" si="14"/>
        <v/>
      </c>
      <c r="CN131" s="279" t="str">
        <f t="shared" si="14"/>
        <v/>
      </c>
      <c r="CO131" s="279" t="str">
        <f t="shared" si="14"/>
        <v/>
      </c>
      <c r="CP131" s="279" t="str">
        <f t="shared" si="14"/>
        <v/>
      </c>
      <c r="CQ131" s="279" t="str">
        <f t="shared" si="14"/>
        <v/>
      </c>
    </row>
    <row r="132" spans="2:99">
      <c r="AO132" s="304"/>
      <c r="AS132" s="304"/>
      <c r="AW132" s="325"/>
    </row>
    <row r="133" spans="2:99">
      <c r="AS133" s="304"/>
      <c r="AW133" s="325"/>
    </row>
    <row r="134" spans="2:99">
      <c r="AS134" s="304"/>
    </row>
    <row r="135" spans="2:99">
      <c r="CS135" s="279">
        <v>0</v>
      </c>
      <c r="CT135" s="326" t="s">
        <v>1794</v>
      </c>
    </row>
    <row r="136" spans="2:99">
      <c r="CS136" s="279">
        <v>1</v>
      </c>
      <c r="CT136" s="326" t="s">
        <v>1798</v>
      </c>
    </row>
    <row r="137" spans="2:99">
      <c r="CS137" s="279">
        <v>2</v>
      </c>
      <c r="CT137" s="326" t="s">
        <v>1799</v>
      </c>
    </row>
    <row r="138" spans="2:99">
      <c r="CS138" s="279">
        <v>3</v>
      </c>
      <c r="CT138" s="326" t="s">
        <v>1800</v>
      </c>
    </row>
    <row r="139" spans="2:99">
      <c r="CS139" s="279">
        <v>4</v>
      </c>
      <c r="CT139" s="326" t="s">
        <v>1801</v>
      </c>
    </row>
    <row r="140" spans="2:99">
      <c r="CS140" s="279">
        <v>5</v>
      </c>
      <c r="CT140" s="326" t="s">
        <v>1802</v>
      </c>
    </row>
    <row r="141" spans="2:99">
      <c r="CS141" s="279">
        <v>6</v>
      </c>
      <c r="CT141" s="326" t="s">
        <v>1803</v>
      </c>
    </row>
    <row r="142" spans="2:99">
      <c r="CS142" s="279">
        <v>7</v>
      </c>
      <c r="CT142" s="326" t="s">
        <v>1804</v>
      </c>
    </row>
    <row r="143" spans="2:99">
      <c r="CS143" s="279">
        <v>8</v>
      </c>
      <c r="CT143" s="326" t="s">
        <v>1805</v>
      </c>
    </row>
    <row r="144" spans="2:99">
      <c r="CS144" s="279">
        <v>9</v>
      </c>
      <c r="CT144" s="326" t="s">
        <v>1806</v>
      </c>
    </row>
    <row r="145" spans="97:98">
      <c r="CS145" s="279">
        <v>10</v>
      </c>
      <c r="CT145" s="326" t="s">
        <v>1807</v>
      </c>
    </row>
    <row r="146" spans="97:98">
      <c r="CS146" s="279">
        <v>11</v>
      </c>
      <c r="CT146" s="326" t="s">
        <v>1808</v>
      </c>
    </row>
    <row r="147" spans="97:98">
      <c r="CS147" s="279">
        <v>12</v>
      </c>
      <c r="CT147" s="326" t="s">
        <v>1809</v>
      </c>
    </row>
    <row r="148" spans="97:98">
      <c r="CS148" s="279">
        <v>13</v>
      </c>
      <c r="CT148" s="326" t="s">
        <v>1810</v>
      </c>
    </row>
    <row r="149" spans="97:98">
      <c r="CS149" s="279">
        <v>14</v>
      </c>
      <c r="CT149" s="326" t="s">
        <v>1811</v>
      </c>
    </row>
    <row r="150" spans="97:98">
      <c r="CS150" s="279">
        <v>15</v>
      </c>
      <c r="CT150" s="326" t="s">
        <v>1812</v>
      </c>
    </row>
    <row r="151" spans="97:98">
      <c r="CS151" s="279">
        <v>16</v>
      </c>
      <c r="CT151" s="326" t="s">
        <v>1813</v>
      </c>
    </row>
    <row r="152" spans="97:98">
      <c r="CS152" s="279">
        <v>17</v>
      </c>
      <c r="CT152" s="326" t="s">
        <v>1814</v>
      </c>
    </row>
    <row r="153" spans="97:98">
      <c r="CS153" s="279">
        <v>18</v>
      </c>
      <c r="CT153" s="326" t="s">
        <v>1815</v>
      </c>
    </row>
    <row r="154" spans="97:98">
      <c r="CS154" s="279">
        <v>19</v>
      </c>
      <c r="CT154" s="326" t="s">
        <v>1816</v>
      </c>
    </row>
    <row r="155" spans="97:98">
      <c r="CS155" s="279">
        <v>20</v>
      </c>
      <c r="CT155" s="326" t="s">
        <v>1817</v>
      </c>
    </row>
    <row r="156" spans="97:98">
      <c r="CS156" s="279">
        <v>21</v>
      </c>
      <c r="CT156" s="326" t="s">
        <v>1818</v>
      </c>
    </row>
    <row r="157" spans="97:98">
      <c r="CS157" s="279">
        <v>22</v>
      </c>
      <c r="CT157" s="326" t="s">
        <v>1819</v>
      </c>
    </row>
    <row r="158" spans="97:98">
      <c r="CS158" s="279">
        <v>23</v>
      </c>
      <c r="CT158" s="326" t="s">
        <v>1820</v>
      </c>
    </row>
    <row r="159" spans="97:98">
      <c r="CS159" s="279">
        <v>24</v>
      </c>
      <c r="CT159" s="326" t="s">
        <v>1821</v>
      </c>
    </row>
    <row r="160" spans="97:98">
      <c r="CS160" s="279">
        <v>25</v>
      </c>
      <c r="CT160" s="326" t="s">
        <v>1822</v>
      </c>
    </row>
    <row r="161" spans="96:99">
      <c r="CS161" s="279">
        <v>26</v>
      </c>
      <c r="CT161" s="326" t="s">
        <v>1823</v>
      </c>
    </row>
    <row r="162" spans="96:99">
      <c r="CS162" s="279">
        <v>27</v>
      </c>
      <c r="CT162" s="326" t="s">
        <v>1824</v>
      </c>
    </row>
    <row r="163" spans="96:99">
      <c r="CS163" s="279">
        <v>28</v>
      </c>
      <c r="CT163" s="326" t="s">
        <v>1797</v>
      </c>
    </row>
    <row r="164" spans="96:99">
      <c r="CS164" s="279">
        <v>29</v>
      </c>
      <c r="CT164" s="326" t="s">
        <v>1795</v>
      </c>
    </row>
    <row r="165" spans="96:99">
      <c r="CS165" s="279">
        <v>30</v>
      </c>
      <c r="CT165" s="326" t="s">
        <v>1825</v>
      </c>
    </row>
    <row r="166" spans="96:99">
      <c r="CT166" s="326" t="s">
        <v>1825</v>
      </c>
    </row>
    <row r="170" spans="96:99">
      <c r="CR170" s="305" t="str">
        <f t="shared" ref="CR170" si="20">BM170&amp;BN170&amp;BO170&amp;BP170&amp;BQ170&amp;BR170&amp;BS170&amp;BT170&amp;BU170&amp;BV170&amp;BW170&amp;BX170&amp;BY170&amp;BZ170&amp;CA170&amp;CB170&amp;CC170&amp;CD170&amp;CE170&amp;CF170&amp;CG170&amp;CH170&amp;CI170&amp;CJ170&amp;CK170&amp;CL170&amp;CM170&amp;CN170&amp;CO170&amp;CP170&amp;CQ170</f>
        <v/>
      </c>
      <c r="CS170" s="279">
        <f t="shared" ref="CS170" si="21">COUNTIF(BM170:CQ170,"")</f>
        <v>31</v>
      </c>
      <c r="CT170" s="279" t="str">
        <f t="shared" ref="CT170" si="22">VLOOKUP(CS170,$CS$135:$CT$165,2)</f>
        <v>+++++++++++++++++++++++++++++++</v>
      </c>
      <c r="CU170" s="291" t="str">
        <f t="shared" ref="CU170" si="23">CR170&amp;CT170&amp;A170</f>
        <v>+++++++++++++++++++++++++++++++</v>
      </c>
    </row>
  </sheetData>
  <sheetProtection algorithmName="SHA-512" hashValue="tG8+uqlfy63NbR5ch3A1x9t6d/z32xxtmmhYNzmSZXuWSyj80/AYgsMSV5OxFUzc5NinU2JvnYK+VtjyPLGRlQ==" saltValue="sKZTuCcqTQfRlkyYlWu4IA==" spinCount="100000" sheet="1" objects="1" scenarios="1"/>
  <mergeCells count="193">
    <mergeCell ref="AQ12:AR12"/>
    <mergeCell ref="AQ13:AR13"/>
    <mergeCell ref="AQ14:AR14"/>
    <mergeCell ref="AH15:AJ17"/>
    <mergeCell ref="AK15:AR15"/>
    <mergeCell ref="AQ7:AS7"/>
    <mergeCell ref="A8:C9"/>
    <mergeCell ref="AQ8:AR8"/>
    <mergeCell ref="AQ9:AR9"/>
    <mergeCell ref="AQ10:AR10"/>
    <mergeCell ref="AQ11:AR11"/>
    <mergeCell ref="AS15:AW15"/>
    <mergeCell ref="AH18:AJ18"/>
    <mergeCell ref="AH19:AJ19"/>
    <mergeCell ref="AH20:AJ20"/>
    <mergeCell ref="AH21:AJ21"/>
    <mergeCell ref="AU21:AW21"/>
    <mergeCell ref="BA15:BA24"/>
    <mergeCell ref="BB15:BC21"/>
    <mergeCell ref="AK16:AN16"/>
    <mergeCell ref="AO16:AR16"/>
    <mergeCell ref="AS16:AT16"/>
    <mergeCell ref="AU16:AW16"/>
    <mergeCell ref="AY16:AZ16"/>
    <mergeCell ref="AK17:AN17"/>
    <mergeCell ref="AO17:AR17"/>
    <mergeCell ref="AS17:AT17"/>
    <mergeCell ref="AU17:AW17"/>
    <mergeCell ref="AY17:AZ17"/>
    <mergeCell ref="AK18:AR19"/>
    <mergeCell ref="AS18:AT18"/>
    <mergeCell ref="AU18:AW18"/>
    <mergeCell ref="AY18:AZ18"/>
    <mergeCell ref="AS19:AT19"/>
    <mergeCell ref="AU19:AW19"/>
    <mergeCell ref="AY19:AZ19"/>
    <mergeCell ref="AK20:AR21"/>
    <mergeCell ref="AS20:AT20"/>
    <mergeCell ref="AU20:AW20"/>
    <mergeCell ref="AY20:AZ20"/>
    <mergeCell ref="AS21:AT21"/>
    <mergeCell ref="AY21:AZ21"/>
    <mergeCell ref="AH22:AJ23"/>
    <mergeCell ref="AK22:AR23"/>
    <mergeCell ref="AS22:AT22"/>
    <mergeCell ref="AU22:AW22"/>
    <mergeCell ref="AY22:AZ22"/>
    <mergeCell ref="AS23:AT24"/>
    <mergeCell ref="AU23:AW24"/>
    <mergeCell ref="AX23:AX24"/>
    <mergeCell ref="AY23:AZ24"/>
    <mergeCell ref="C27:C28"/>
    <mergeCell ref="D27:D28"/>
    <mergeCell ref="E27:E28"/>
    <mergeCell ref="F27:F28"/>
    <mergeCell ref="G27:G28"/>
    <mergeCell ref="H27:H28"/>
    <mergeCell ref="I27:I28"/>
    <mergeCell ref="J27:J28"/>
    <mergeCell ref="AH24:AR24"/>
    <mergeCell ref="AH25:AM26"/>
    <mergeCell ref="AN25:AV26"/>
    <mergeCell ref="AI27:AI29"/>
    <mergeCell ref="AJ27:AJ29"/>
    <mergeCell ref="AK27:AK29"/>
    <mergeCell ref="AL27:AL29"/>
    <mergeCell ref="Q27:Q28"/>
    <mergeCell ref="R27:R28"/>
    <mergeCell ref="S27:S28"/>
    <mergeCell ref="T27:T28"/>
    <mergeCell ref="U27:U28"/>
    <mergeCell ref="V27:V28"/>
    <mergeCell ref="K27:K28"/>
    <mergeCell ref="L27:L28"/>
    <mergeCell ref="M27:M28"/>
    <mergeCell ref="N27:N28"/>
    <mergeCell ref="O27:O28"/>
    <mergeCell ref="P27:P28"/>
    <mergeCell ref="AC27:AC28"/>
    <mergeCell ref="AD27:AD28"/>
    <mergeCell ref="AE27:AE28"/>
    <mergeCell ref="AF27:AF28"/>
    <mergeCell ref="AG27:AG28"/>
    <mergeCell ref="AH27:AH29"/>
    <mergeCell ref="W27:W28"/>
    <mergeCell ref="X27:X28"/>
    <mergeCell ref="Y27:Y28"/>
    <mergeCell ref="Z27:Z28"/>
    <mergeCell ref="AA27:AA28"/>
    <mergeCell ref="AB27:AB28"/>
    <mergeCell ref="AS27:AS29"/>
    <mergeCell ref="AT27:AU29"/>
    <mergeCell ref="AV27:AV29"/>
    <mergeCell ref="BA28:BC28"/>
    <mergeCell ref="AT30:AU30"/>
    <mergeCell ref="AT31:AU31"/>
    <mergeCell ref="AM27:AM29"/>
    <mergeCell ref="AN27:AN29"/>
    <mergeCell ref="AO27:AO29"/>
    <mergeCell ref="AP27:AP29"/>
    <mergeCell ref="AQ27:AQ29"/>
    <mergeCell ref="AR27:AR29"/>
    <mergeCell ref="AZ25:AZ29"/>
    <mergeCell ref="BA25:BC27"/>
    <mergeCell ref="AW25:AW29"/>
    <mergeCell ref="AX25:AX29"/>
    <mergeCell ref="AY25:AY29"/>
    <mergeCell ref="AT38:AU38"/>
    <mergeCell ref="AT39:AU39"/>
    <mergeCell ref="AT40:AU40"/>
    <mergeCell ref="AT41:AU41"/>
    <mergeCell ref="AT42:AU42"/>
    <mergeCell ref="AT43:AU43"/>
    <mergeCell ref="AT32:AU32"/>
    <mergeCell ref="AT33:AU33"/>
    <mergeCell ref="AT34:AU34"/>
    <mergeCell ref="AT35:AU35"/>
    <mergeCell ref="AT36:AU36"/>
    <mergeCell ref="AT37:AU37"/>
    <mergeCell ref="AT50:AU50"/>
    <mergeCell ref="AT51:AU51"/>
    <mergeCell ref="AT52:AU52"/>
    <mergeCell ref="AT53:AU53"/>
    <mergeCell ref="AT54:AU54"/>
    <mergeCell ref="AT55:AU55"/>
    <mergeCell ref="AT44:AU44"/>
    <mergeCell ref="AT45:AU45"/>
    <mergeCell ref="AT46:AU46"/>
    <mergeCell ref="AT47:AU47"/>
    <mergeCell ref="AT48:AU48"/>
    <mergeCell ref="AT49:AU49"/>
    <mergeCell ref="AT62:AU62"/>
    <mergeCell ref="AT63:AU63"/>
    <mergeCell ref="AT64:AU64"/>
    <mergeCell ref="AT65:AU65"/>
    <mergeCell ref="AT66:AU66"/>
    <mergeCell ref="AT67:AU67"/>
    <mergeCell ref="AT56:AU56"/>
    <mergeCell ref="AT57:AU57"/>
    <mergeCell ref="AT58:AU58"/>
    <mergeCell ref="AT59:AU59"/>
    <mergeCell ref="AT60:AU60"/>
    <mergeCell ref="AT61:AU61"/>
    <mergeCell ref="AT74:AU74"/>
    <mergeCell ref="AT75:AU75"/>
    <mergeCell ref="AT76:AU76"/>
    <mergeCell ref="AT77:AU77"/>
    <mergeCell ref="AT78:AU78"/>
    <mergeCell ref="AT79:AU79"/>
    <mergeCell ref="AT68:AU68"/>
    <mergeCell ref="AT69:AU69"/>
    <mergeCell ref="AT70:AU70"/>
    <mergeCell ref="AT71:AU71"/>
    <mergeCell ref="AT72:AU72"/>
    <mergeCell ref="AT73:AU73"/>
    <mergeCell ref="AT86:AU86"/>
    <mergeCell ref="AT87:AU87"/>
    <mergeCell ref="AT88:AU88"/>
    <mergeCell ref="AT89:AU89"/>
    <mergeCell ref="AT90:AU90"/>
    <mergeCell ref="AT91:AU91"/>
    <mergeCell ref="AT80:AU80"/>
    <mergeCell ref="AT81:AU81"/>
    <mergeCell ref="AT82:AU82"/>
    <mergeCell ref="AT83:AU83"/>
    <mergeCell ref="AT84:AU84"/>
    <mergeCell ref="AT85:AU85"/>
    <mergeCell ref="AT98:AU98"/>
    <mergeCell ref="AT99:AU99"/>
    <mergeCell ref="AT100:AU100"/>
    <mergeCell ref="AT101:AU101"/>
    <mergeCell ref="AT102:AU102"/>
    <mergeCell ref="AT103:AU103"/>
    <mergeCell ref="AT92:AU92"/>
    <mergeCell ref="AT93:AU93"/>
    <mergeCell ref="AT94:AU94"/>
    <mergeCell ref="AT95:AU95"/>
    <mergeCell ref="AT96:AU96"/>
    <mergeCell ref="AT97:AU97"/>
    <mergeCell ref="AT129:AU129"/>
    <mergeCell ref="AT130:AU130"/>
    <mergeCell ref="AT110:AU110"/>
    <mergeCell ref="AT111:AU111"/>
    <mergeCell ref="AT112:AU112"/>
    <mergeCell ref="AT113:AU113"/>
    <mergeCell ref="AT114:AU114"/>
    <mergeCell ref="AT115:AU115"/>
    <mergeCell ref="AT104:AU104"/>
    <mergeCell ref="AT105:AU105"/>
    <mergeCell ref="AT106:AU106"/>
    <mergeCell ref="AT107:AU107"/>
    <mergeCell ref="AT108:AU108"/>
    <mergeCell ref="AT109:AU109"/>
  </mergeCells>
  <conditionalFormatting sqref="D14:AG14">
    <cfRule type="cellIs" dxfId="603" priority="1" stopIfTrue="1" operator="equal">
      <formula>""</formula>
    </cfRule>
  </conditionalFormatting>
  <pageMargins left="0.75" right="0.75" top="1" bottom="1" header="0" footer="0"/>
  <pageSetup orientation="portrait" horizontalDpi="1200" verticalDpi="1200" r:id="rId1"/>
  <headerFooter alignWithMargins="0"/>
  <ignoredErrors>
    <ignoredError sqref="CU27 AS10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/>
  <dimension ref="B2:H49"/>
  <sheetViews>
    <sheetView workbookViewId="0">
      <selection activeCell="J19" sqref="J19"/>
    </sheetView>
  </sheetViews>
  <sheetFormatPr baseColWidth="10" defaultColWidth="11.44140625" defaultRowHeight="13.2"/>
  <cols>
    <col min="3" max="4" width="14.44140625" customWidth="1"/>
    <col min="7" max="7" width="19.21875" bestFit="1" customWidth="1"/>
    <col min="8" max="8" width="4.77734375" bestFit="1" customWidth="1"/>
  </cols>
  <sheetData>
    <row r="2" spans="2:8">
      <c r="C2" s="138" t="s">
        <v>1502</v>
      </c>
      <c r="D2" t="str">
        <f>DATOS!L4</f>
        <v>NQ424AB225</v>
      </c>
    </row>
    <row r="3" spans="2:8">
      <c r="C3" s="138" t="s">
        <v>1503</v>
      </c>
      <c r="D3" t="str">
        <f>DATOS!L5</f>
        <v>SQUARED</v>
      </c>
    </row>
    <row r="4" spans="2:8">
      <c r="C4" s="138" t="s">
        <v>1504</v>
      </c>
      <c r="D4">
        <f>SUM(D8:D49)</f>
        <v>0</v>
      </c>
    </row>
    <row r="5" spans="2:8">
      <c r="C5" s="138" t="s">
        <v>1505</v>
      </c>
      <c r="D5" t="str">
        <f>IF(DATOS!F24="TB",TABLERO!ET116,IF(DATOS!F24="TR",TABLERO!ET118,IF(DATOS!F24="PE",TABLERO!ET124,IF(DATOS!F24="UPS",TABLERO!ET128,""))))</f>
        <v/>
      </c>
      <c r="G5" s="256" t="s">
        <v>1506</v>
      </c>
      <c r="H5" s="257"/>
    </row>
    <row r="6" spans="2:8">
      <c r="C6" s="138" t="s">
        <v>1507</v>
      </c>
      <c r="G6" s="256" t="s">
        <v>1298</v>
      </c>
      <c r="H6" s="257" t="s">
        <v>1386</v>
      </c>
    </row>
    <row r="7" spans="2:8">
      <c r="B7" t="s">
        <v>1508</v>
      </c>
      <c r="C7" t="s">
        <v>1298</v>
      </c>
      <c r="D7" t="s">
        <v>1509</v>
      </c>
      <c r="E7" t="s">
        <v>1510</v>
      </c>
      <c r="G7" s="258"/>
      <c r="H7" s="257">
        <v>39</v>
      </c>
    </row>
    <row r="8" spans="2:8">
      <c r="B8" s="108">
        <v>1</v>
      </c>
      <c r="C8" t="str">
        <f>TABLERO!ET31</f>
        <v/>
      </c>
      <c r="D8" t="str">
        <f>IF(C8&lt;&gt;"",TABLERO!F31,"")</f>
        <v/>
      </c>
      <c r="E8" t="str">
        <f>IF(C8&lt;&gt;"",1,"")</f>
        <v/>
      </c>
      <c r="G8" s="842" t="s">
        <v>2000</v>
      </c>
      <c r="H8" s="843">
        <v>2</v>
      </c>
    </row>
    <row r="9" spans="2:8">
      <c r="B9" s="108">
        <v>2</v>
      </c>
      <c r="C9" t="str">
        <f>TABLERO!ET32</f>
        <v/>
      </c>
      <c r="D9" t="str">
        <f>IF(C9&lt;&gt;"",TABLERO!F32,"")</f>
        <v/>
      </c>
      <c r="E9" t="str">
        <f t="shared" ref="E9:E49" si="0">IF(C9&lt;&gt;"",1,"")</f>
        <v/>
      </c>
      <c r="G9" s="842" t="s">
        <v>2001</v>
      </c>
      <c r="H9" s="843">
        <v>1</v>
      </c>
    </row>
    <row r="10" spans="2:8">
      <c r="B10" s="108">
        <v>3</v>
      </c>
      <c r="C10" t="str">
        <f>TABLERO!ET33</f>
        <v/>
      </c>
      <c r="D10" t="str">
        <f>IF(C10&lt;&gt;"",TABLERO!F33,"")</f>
        <v/>
      </c>
      <c r="E10" t="str">
        <f t="shared" si="0"/>
        <v/>
      </c>
      <c r="G10" s="259" t="s">
        <v>353</v>
      </c>
      <c r="H10" s="844">
        <v>42</v>
      </c>
    </row>
    <row r="11" spans="2:8">
      <c r="B11" s="108">
        <v>4</v>
      </c>
      <c r="C11" t="str">
        <f>TABLERO!ET34</f>
        <v/>
      </c>
      <c r="D11" t="str">
        <f>IF(C11&lt;&gt;"",TABLERO!F34,"")</f>
        <v/>
      </c>
      <c r="E11" t="str">
        <f t="shared" si="0"/>
        <v/>
      </c>
    </row>
    <row r="12" spans="2:8">
      <c r="B12" s="108">
        <v>5</v>
      </c>
      <c r="C12" t="str">
        <f>TABLERO!ET35</f>
        <v/>
      </c>
      <c r="D12" t="str">
        <f>IF(C12&lt;&gt;"",TABLERO!F35,"")</f>
        <v/>
      </c>
      <c r="E12" t="str">
        <f t="shared" si="0"/>
        <v/>
      </c>
    </row>
    <row r="13" spans="2:8">
      <c r="B13" s="108">
        <v>6</v>
      </c>
      <c r="C13" t="str">
        <f>TABLERO!ET36</f>
        <v/>
      </c>
      <c r="D13" t="str">
        <f>IF(C13&lt;&gt;"",TABLERO!F36,"")</f>
        <v/>
      </c>
      <c r="E13" t="str">
        <f t="shared" si="0"/>
        <v/>
      </c>
    </row>
    <row r="14" spans="2:8">
      <c r="B14" s="108">
        <v>7</v>
      </c>
      <c r="C14" t="str">
        <f>TABLERO!ET37</f>
        <v/>
      </c>
      <c r="D14" t="str">
        <f>IF(C14&lt;&gt;"",TABLERO!F37,"")</f>
        <v/>
      </c>
      <c r="E14" t="str">
        <f t="shared" si="0"/>
        <v/>
      </c>
    </row>
    <row r="15" spans="2:8">
      <c r="B15" s="108">
        <v>8</v>
      </c>
      <c r="C15" t="str">
        <f>TABLERO!ET38</f>
        <v/>
      </c>
      <c r="D15" t="str">
        <f>IF(C15&lt;&gt;"",TABLERO!F38,"")</f>
        <v/>
      </c>
      <c r="E15" t="str">
        <f t="shared" si="0"/>
        <v/>
      </c>
    </row>
    <row r="16" spans="2:8">
      <c r="B16" s="108">
        <v>9</v>
      </c>
      <c r="C16" t="str">
        <f>TABLERO!ET39</f>
        <v/>
      </c>
      <c r="D16" t="str">
        <f>IF(C16&lt;&gt;"",TABLERO!F39,"")</f>
        <v/>
      </c>
      <c r="E16" t="str">
        <f t="shared" si="0"/>
        <v/>
      </c>
    </row>
    <row r="17" spans="2:5">
      <c r="B17" s="108">
        <v>10</v>
      </c>
      <c r="C17" t="str">
        <f>TABLERO!ET40</f>
        <v/>
      </c>
      <c r="D17" t="str">
        <f>IF(C17&lt;&gt;"",TABLERO!F40,"")</f>
        <v/>
      </c>
      <c r="E17" t="str">
        <f t="shared" si="0"/>
        <v/>
      </c>
    </row>
    <row r="18" spans="2:5">
      <c r="B18" s="108">
        <v>11</v>
      </c>
      <c r="C18" t="str">
        <f>TABLERO!ET41</f>
        <v/>
      </c>
      <c r="D18" t="str">
        <f>IF(C18&lt;&gt;"",TABLERO!F41,"")</f>
        <v/>
      </c>
      <c r="E18" t="str">
        <f t="shared" si="0"/>
        <v/>
      </c>
    </row>
    <row r="19" spans="2:5">
      <c r="B19" s="108">
        <v>12</v>
      </c>
      <c r="C19" t="str">
        <f>TABLERO!ET42</f>
        <v/>
      </c>
      <c r="D19" t="str">
        <f>IF(C19&lt;&gt;"",TABLERO!F42,"")</f>
        <v/>
      </c>
      <c r="E19" t="str">
        <f t="shared" si="0"/>
        <v/>
      </c>
    </row>
    <row r="20" spans="2:5">
      <c r="B20" s="108">
        <v>13</v>
      </c>
      <c r="C20" t="str">
        <f>TABLERO!ET43</f>
        <v/>
      </c>
      <c r="D20" t="str">
        <f>IF(C20&lt;&gt;"",TABLERO!F43,"")</f>
        <v/>
      </c>
      <c r="E20" t="str">
        <f t="shared" si="0"/>
        <v/>
      </c>
    </row>
    <row r="21" spans="2:5">
      <c r="B21" s="108">
        <v>14</v>
      </c>
      <c r="C21" t="str">
        <f>TABLERO!ET44</f>
        <v/>
      </c>
      <c r="D21" t="str">
        <f>IF(C21&lt;&gt;"",TABLERO!F44,"")</f>
        <v/>
      </c>
      <c r="E21" t="str">
        <f t="shared" si="0"/>
        <v/>
      </c>
    </row>
    <row r="22" spans="2:5">
      <c r="B22" s="108">
        <v>15</v>
      </c>
      <c r="C22" t="str">
        <f>TABLERO!ET45</f>
        <v/>
      </c>
      <c r="D22" t="str">
        <f>IF(C22&lt;&gt;"",TABLERO!F45,"")</f>
        <v/>
      </c>
      <c r="E22" t="str">
        <f t="shared" si="0"/>
        <v/>
      </c>
    </row>
    <row r="23" spans="2:5">
      <c r="B23" s="108">
        <v>16</v>
      </c>
      <c r="C23" t="str">
        <f>TABLERO!ET46</f>
        <v/>
      </c>
      <c r="D23" t="str">
        <f>IF(C23&lt;&gt;"",TABLERO!F46,"")</f>
        <v/>
      </c>
      <c r="E23" t="str">
        <f t="shared" si="0"/>
        <v/>
      </c>
    </row>
    <row r="24" spans="2:5">
      <c r="B24" s="108">
        <v>17</v>
      </c>
      <c r="C24" t="str">
        <f>TABLERO!ET47</f>
        <v/>
      </c>
      <c r="D24" t="str">
        <f>IF(C24&lt;&gt;"",TABLERO!F47,"")</f>
        <v/>
      </c>
      <c r="E24" t="str">
        <f t="shared" si="0"/>
        <v/>
      </c>
    </row>
    <row r="25" spans="2:5">
      <c r="B25" s="108">
        <v>18</v>
      </c>
      <c r="C25" t="str">
        <f>TABLERO!ET48</f>
        <v/>
      </c>
      <c r="D25" t="str">
        <f>IF(C25&lt;&gt;"",TABLERO!F48,"")</f>
        <v/>
      </c>
      <c r="E25" t="str">
        <f t="shared" si="0"/>
        <v/>
      </c>
    </row>
    <row r="26" spans="2:5">
      <c r="B26" s="108">
        <v>19</v>
      </c>
      <c r="C26" t="str">
        <f>TABLERO!ET49</f>
        <v/>
      </c>
      <c r="D26" t="str">
        <f>IF(C26&lt;&gt;"",TABLERO!F49,"")</f>
        <v/>
      </c>
      <c r="E26" t="str">
        <f t="shared" si="0"/>
        <v/>
      </c>
    </row>
    <row r="27" spans="2:5">
      <c r="B27" s="108">
        <v>20</v>
      </c>
      <c r="C27" t="str">
        <f>TABLERO!ET50</f>
        <v/>
      </c>
      <c r="D27" t="str">
        <f>IF(C27&lt;&gt;"",TABLERO!F50,"")</f>
        <v/>
      </c>
      <c r="E27" t="str">
        <f t="shared" si="0"/>
        <v/>
      </c>
    </row>
    <row r="28" spans="2:5">
      <c r="B28" s="108">
        <v>21</v>
      </c>
      <c r="C28" t="str">
        <f>TABLERO!ET51</f>
        <v/>
      </c>
      <c r="D28" t="str">
        <f>IF(C28&lt;&gt;"",TABLERO!F51,"")</f>
        <v/>
      </c>
      <c r="E28" t="str">
        <f t="shared" si="0"/>
        <v/>
      </c>
    </row>
    <row r="29" spans="2:5">
      <c r="B29" s="108">
        <v>22</v>
      </c>
      <c r="C29" t="str">
        <f>TABLERO!ET52</f>
        <v/>
      </c>
      <c r="D29" t="str">
        <f>IF(C29&lt;&gt;"",TABLERO!F52,"")</f>
        <v/>
      </c>
      <c r="E29" t="str">
        <f t="shared" si="0"/>
        <v/>
      </c>
    </row>
    <row r="30" spans="2:5">
      <c r="B30" s="108">
        <v>23</v>
      </c>
      <c r="C30" t="str">
        <f>TABLERO!ET53</f>
        <v/>
      </c>
      <c r="D30" t="str">
        <f>IF(C30&lt;&gt;"",TABLERO!F53,"")</f>
        <v/>
      </c>
      <c r="E30" t="str">
        <f t="shared" si="0"/>
        <v/>
      </c>
    </row>
    <row r="31" spans="2:5">
      <c r="B31" s="108">
        <v>24</v>
      </c>
      <c r="C31" t="str">
        <f>TABLERO!ET54</f>
        <v/>
      </c>
      <c r="D31" t="str">
        <f>IF(C31&lt;&gt;"",TABLERO!F54,"")</f>
        <v/>
      </c>
      <c r="E31" t="str">
        <f t="shared" si="0"/>
        <v/>
      </c>
    </row>
    <row r="32" spans="2:5">
      <c r="B32" s="108">
        <v>25</v>
      </c>
      <c r="C32" t="str">
        <f>TABLERO!ET55</f>
        <v/>
      </c>
      <c r="D32" t="str">
        <f>IF(C32&lt;&gt;"",TABLERO!F55,"")</f>
        <v/>
      </c>
      <c r="E32" t="str">
        <f t="shared" si="0"/>
        <v/>
      </c>
    </row>
    <row r="33" spans="2:5">
      <c r="B33" s="108">
        <v>26</v>
      </c>
      <c r="C33" t="str">
        <f>TABLERO!ET56</f>
        <v/>
      </c>
      <c r="D33" t="str">
        <f>IF(C33&lt;&gt;"",TABLERO!F56,"")</f>
        <v/>
      </c>
      <c r="E33" t="str">
        <f t="shared" si="0"/>
        <v/>
      </c>
    </row>
    <row r="34" spans="2:5">
      <c r="B34" s="108">
        <v>27</v>
      </c>
      <c r="C34" t="str">
        <f>TABLERO!ET57</f>
        <v/>
      </c>
      <c r="D34" t="str">
        <f>IF(C34&lt;&gt;"",TABLERO!F57,"")</f>
        <v/>
      </c>
      <c r="E34" t="str">
        <f t="shared" si="0"/>
        <v/>
      </c>
    </row>
    <row r="35" spans="2:5">
      <c r="B35" s="108">
        <v>28</v>
      </c>
      <c r="C35" t="str">
        <f>TABLERO!ET58</f>
        <v/>
      </c>
      <c r="D35" t="str">
        <f>IF(C35&lt;&gt;"",TABLERO!F58,"")</f>
        <v/>
      </c>
      <c r="E35" t="str">
        <f t="shared" si="0"/>
        <v/>
      </c>
    </row>
    <row r="36" spans="2:5">
      <c r="B36" s="108">
        <v>29</v>
      </c>
      <c r="C36" t="str">
        <f>TABLERO!ET59</f>
        <v/>
      </c>
      <c r="D36" t="str">
        <f>IF(C36&lt;&gt;"",TABLERO!F59,"")</f>
        <v/>
      </c>
      <c r="E36" t="str">
        <f t="shared" si="0"/>
        <v/>
      </c>
    </row>
    <row r="37" spans="2:5">
      <c r="B37" s="108">
        <v>30</v>
      </c>
      <c r="C37" t="str">
        <f>TABLERO!ET60</f>
        <v/>
      </c>
      <c r="D37" t="str">
        <f>IF(C37&lt;&gt;"",TABLERO!F60,"")</f>
        <v/>
      </c>
      <c r="E37" t="str">
        <f t="shared" si="0"/>
        <v/>
      </c>
    </row>
    <row r="38" spans="2:5">
      <c r="B38" s="108">
        <v>31</v>
      </c>
      <c r="C38" t="str">
        <f>TABLERO!ET61</f>
        <v/>
      </c>
      <c r="D38" t="str">
        <f>IF(C38&lt;&gt;"",TABLERO!F61,"")</f>
        <v/>
      </c>
      <c r="E38" t="str">
        <f t="shared" si="0"/>
        <v/>
      </c>
    </row>
    <row r="39" spans="2:5">
      <c r="B39" s="108">
        <v>32</v>
      </c>
      <c r="C39" t="str">
        <f>TABLERO!ET62</f>
        <v/>
      </c>
      <c r="D39" t="str">
        <f>IF(C39&lt;&gt;"",TABLERO!F62,"")</f>
        <v/>
      </c>
      <c r="E39" t="str">
        <f t="shared" si="0"/>
        <v/>
      </c>
    </row>
    <row r="40" spans="2:5">
      <c r="B40" s="108">
        <v>33</v>
      </c>
      <c r="C40" t="str">
        <f>TABLERO!ET63</f>
        <v/>
      </c>
      <c r="D40" t="str">
        <f>IF(C40&lt;&gt;"",TABLERO!F63,"")</f>
        <v/>
      </c>
      <c r="E40" t="str">
        <f t="shared" si="0"/>
        <v/>
      </c>
    </row>
    <row r="41" spans="2:5">
      <c r="B41" s="108">
        <v>34</v>
      </c>
      <c r="C41" t="str">
        <f>TABLERO!ET64</f>
        <v/>
      </c>
      <c r="D41" t="str">
        <f>IF(C41&lt;&gt;"",TABLERO!F64,"")</f>
        <v/>
      </c>
      <c r="E41" t="str">
        <f t="shared" si="0"/>
        <v/>
      </c>
    </row>
    <row r="42" spans="2:5">
      <c r="B42" s="108">
        <v>35</v>
      </c>
      <c r="C42" t="str">
        <f>TABLERO!ET65</f>
        <v/>
      </c>
      <c r="D42" t="str">
        <f>IF(C42&lt;&gt;"",TABLERO!F65,"")</f>
        <v/>
      </c>
      <c r="E42" t="str">
        <f t="shared" si="0"/>
        <v/>
      </c>
    </row>
    <row r="43" spans="2:5">
      <c r="B43" s="108">
        <v>36</v>
      </c>
      <c r="C43" t="str">
        <f>TABLERO!ET66</f>
        <v/>
      </c>
      <c r="D43" t="str">
        <f>IF(C43&lt;&gt;"",TABLERO!F66,"")</f>
        <v/>
      </c>
      <c r="E43" t="str">
        <f t="shared" si="0"/>
        <v/>
      </c>
    </row>
    <row r="44" spans="2:5">
      <c r="B44" s="108">
        <v>37</v>
      </c>
      <c r="C44" t="str">
        <f>TABLERO!ET67</f>
        <v/>
      </c>
      <c r="D44" t="str">
        <f>IF(C44&lt;&gt;"",TABLERO!F67,"")</f>
        <v/>
      </c>
      <c r="E44" t="str">
        <f t="shared" si="0"/>
        <v/>
      </c>
    </row>
    <row r="45" spans="2:5">
      <c r="B45" s="108">
        <v>38</v>
      </c>
      <c r="C45" t="str">
        <f>TABLERO!ET68</f>
        <v/>
      </c>
      <c r="D45" t="str">
        <f>IF(C45&lt;&gt;"",TABLERO!F68,"")</f>
        <v/>
      </c>
      <c r="E45" t="str">
        <f t="shared" si="0"/>
        <v/>
      </c>
    </row>
    <row r="46" spans="2:5">
      <c r="B46" s="108">
        <v>39</v>
      </c>
      <c r="C46" t="str">
        <f>TABLERO!ET69</f>
        <v/>
      </c>
      <c r="D46" t="str">
        <f>IF(C46&lt;&gt;"",TABLERO!F69,"")</f>
        <v/>
      </c>
      <c r="E46" t="str">
        <f t="shared" si="0"/>
        <v/>
      </c>
    </row>
    <row r="47" spans="2:5">
      <c r="B47" s="108">
        <v>40</v>
      </c>
      <c r="C47" t="str">
        <f>TABLERO!ET70</f>
        <v/>
      </c>
      <c r="D47" t="str">
        <f>IF(C47&lt;&gt;"",TABLERO!F70,"")</f>
        <v/>
      </c>
      <c r="E47" t="str">
        <f t="shared" si="0"/>
        <v/>
      </c>
    </row>
    <row r="48" spans="2:5">
      <c r="B48" s="108">
        <v>41</v>
      </c>
      <c r="C48" t="str">
        <f>TABLERO!ET71</f>
        <v/>
      </c>
      <c r="D48" t="str">
        <f>IF(C48&lt;&gt;"",TABLERO!F71,"")</f>
        <v/>
      </c>
      <c r="E48" t="str">
        <f t="shared" si="0"/>
        <v/>
      </c>
    </row>
    <row r="49" spans="2:5">
      <c r="B49" s="108">
        <v>42</v>
      </c>
      <c r="C49" t="str">
        <f>TABLERO!ET72</f>
        <v/>
      </c>
      <c r="D49" t="str">
        <f>IF(C49&lt;&gt;"",TABLERO!F72,"")</f>
        <v/>
      </c>
      <c r="E49" t="str">
        <f t="shared" si="0"/>
        <v/>
      </c>
    </row>
  </sheetData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actualizar_TABLA">
                <anchor moveWithCells="1" sizeWithCells="1">
                  <from>
                    <xdr:col>6</xdr:col>
                    <xdr:colOff>60960</xdr:colOff>
                    <xdr:row>1</xdr:row>
                    <xdr:rowOff>30480</xdr:rowOff>
                  </from>
                  <to>
                    <xdr:col>7</xdr:col>
                    <xdr:colOff>45720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05072-C2EF-40C0-86B4-5495E8B19F67}">
  <sheetPr codeName="Hoja7"/>
  <dimension ref="A1"/>
  <sheetViews>
    <sheetView topLeftCell="A16" workbookViewId="0">
      <selection sqref="A1:FW150"/>
    </sheetView>
  </sheetViews>
  <sheetFormatPr baseColWidth="10" defaultRowHeight="13.2"/>
  <sheetData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345B1-EFF4-4178-B97A-B93542231999}">
  <sheetPr codeName="Hoja8"/>
  <dimension ref="A1:C9"/>
  <sheetViews>
    <sheetView workbookViewId="0">
      <selection activeCell="C10" sqref="C10"/>
    </sheetView>
  </sheetViews>
  <sheetFormatPr baseColWidth="10" defaultRowHeight="13.2"/>
  <sheetData>
    <row r="1" spans="1:3">
      <c r="A1">
        <v>7.82</v>
      </c>
      <c r="B1" s="837">
        <v>45523</v>
      </c>
      <c r="C1" s="154" t="s">
        <v>1902</v>
      </c>
    </row>
    <row r="2" spans="1:3">
      <c r="A2">
        <v>7.82</v>
      </c>
      <c r="B2" s="837">
        <v>45627</v>
      </c>
      <c r="C2" s="154" t="s">
        <v>1903</v>
      </c>
    </row>
    <row r="3" spans="1:3">
      <c r="A3">
        <v>7.82</v>
      </c>
      <c r="B3" s="837">
        <v>45627</v>
      </c>
      <c r="C3" s="154" t="s">
        <v>1904</v>
      </c>
    </row>
    <row r="4" spans="1:3">
      <c r="A4">
        <v>7.82</v>
      </c>
      <c r="B4" s="837">
        <v>45627</v>
      </c>
      <c r="C4" s="154" t="s">
        <v>1908</v>
      </c>
    </row>
    <row r="5" spans="1:3">
      <c r="A5">
        <v>7.82</v>
      </c>
      <c r="B5" s="837">
        <v>45627</v>
      </c>
      <c r="C5" s="154" t="s">
        <v>1909</v>
      </c>
    </row>
    <row r="6" spans="1:3">
      <c r="A6">
        <v>7.8209999999999997</v>
      </c>
      <c r="B6" s="837">
        <v>45627</v>
      </c>
      <c r="C6" s="154" t="s">
        <v>1910</v>
      </c>
    </row>
    <row r="7" spans="1:3">
      <c r="B7" s="837">
        <v>45741</v>
      </c>
      <c r="C7" s="154" t="s">
        <v>1911</v>
      </c>
    </row>
    <row r="8" spans="1:3">
      <c r="B8" s="837">
        <v>45741</v>
      </c>
      <c r="C8" s="154" t="s">
        <v>1912</v>
      </c>
    </row>
    <row r="9" spans="1:3">
      <c r="B9" s="837">
        <v>46051</v>
      </c>
      <c r="C9" s="154" t="s">
        <v>1915</v>
      </c>
    </row>
  </sheetData>
  <pageMargins left="0.7" right="0.7" top="0.75" bottom="0.75" header="0.3" footer="0.3"/>
</worksheet>
</file>

<file path=customUI/customUI.xml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24</vt:i4>
      </vt:variant>
    </vt:vector>
  </HeadingPairs>
  <TitlesOfParts>
    <vt:vector size="32" baseType="lpstr">
      <vt:lpstr>Base de Datos</vt:lpstr>
      <vt:lpstr>TABLA</vt:lpstr>
      <vt:lpstr>DATOS</vt:lpstr>
      <vt:lpstr>TABLERO</vt:lpstr>
      <vt:lpstr>CUADROACAD</vt:lpstr>
      <vt:lpstr>CUANTIFICACION</vt:lpstr>
      <vt:lpstr>DESTINO</vt:lpstr>
      <vt:lpstr>CAMBIOS</vt:lpstr>
      <vt:lpstr>ACOMETIPO</vt:lpstr>
      <vt:lpstr>CANALIZACIONTIPO</vt:lpstr>
      <vt:lpstr>CAPCONDALUM</vt:lpstr>
      <vt:lpstr>CAPCONDCOBRE</vt:lpstr>
      <vt:lpstr>CAPDECONDUCCION</vt:lpstr>
      <vt:lpstr>DERIVADOS</vt:lpstr>
      <vt:lpstr>DERIVADOSX</vt:lpstr>
      <vt:lpstr>Desc_tipo_carga</vt:lpstr>
      <vt:lpstr>DIBTAB</vt:lpstr>
      <vt:lpstr>FCA</vt:lpstr>
      <vt:lpstr>FCADUCTO</vt:lpstr>
      <vt:lpstr>FCATUBO</vt:lpstr>
      <vt:lpstr>FCTEMP</vt:lpstr>
      <vt:lpstr>MM2CONDUTOR</vt:lpstr>
      <vt:lpstr>nomenclaturacables</vt:lpstr>
      <vt:lpstr>TABLEROREFERENCIA</vt:lpstr>
      <vt:lpstr>TB31015_FCA</vt:lpstr>
      <vt:lpstr>TIERRAMC</vt:lpstr>
      <vt:lpstr>TIERRAPROTECCION</vt:lpstr>
      <vt:lpstr>TIERRATUBERIA</vt:lpstr>
      <vt:lpstr>TIPOCALCULO</vt:lpstr>
      <vt:lpstr>tipocana1</vt:lpstr>
      <vt:lpstr>TIPOCARGAX</vt:lpstr>
      <vt:lpstr>trafostipos</vt:lpstr>
    </vt:vector>
  </TitlesOfParts>
  <Manager/>
  <Company>AOSQUANTUM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AdolfoH</dc:creator>
  <cp:keywords/>
  <dc:description/>
  <cp:lastModifiedBy>Adolfo E. Hernández Rodríguez</cp:lastModifiedBy>
  <cp:revision/>
  <cp:lastPrinted>2023-11-01T21:59:07Z</cp:lastPrinted>
  <dcterms:created xsi:type="dcterms:W3CDTF">2007-06-05T22:13:05Z</dcterms:created>
  <dcterms:modified xsi:type="dcterms:W3CDTF">2026-04-13T01:17:57Z</dcterms:modified>
  <cp:category/>
  <cp:contentStatus/>
</cp:coreProperties>
</file>